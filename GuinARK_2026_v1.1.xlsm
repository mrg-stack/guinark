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4" codeName="{52B413DB-416B-A148-0A32-6202AF4EA34E}"/>
  <workbookPr updateLinks="always"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guin/Developer/guinark/"/>
    </mc:Choice>
  </mc:AlternateContent>
  <xr:revisionPtr revIDLastSave="0" documentId="13_ncr:1_{F7FF02E7-B4B6-B64B-BFFF-5DD7AFA67C20}" xr6:coauthVersionLast="47" xr6:coauthVersionMax="47" xr10:uidLastSave="{00000000-0000-0000-0000-000000000000}"/>
  <bookViews>
    <workbookView xWindow="0" yWindow="660" windowWidth="34560" windowHeight="21680" activeTab="12" xr2:uid="{5AFB42DD-135D-4FB9-BE03-D62B3725459F}"/>
  </bookViews>
  <sheets>
    <sheet name="2. Sem (test)" sheetId="1119" state="hidden" r:id="rId1"/>
    <sheet name="Ressourcer" sheetId="4" r:id="rId2"/>
    <sheet name="Data" sheetId="10" r:id="rId3"/>
    <sheet name="Lokaleplan" sheetId="1177" state="hidden" r:id="rId4"/>
    <sheet name="TemplateLokale" sheetId="1150" state="hidden" r:id="rId5"/>
    <sheet name="TemplateBig" sheetId="24" state="hidden" r:id="rId6"/>
    <sheet name="TemplateSmall" sheetId="13" state="hidden" r:id="rId7"/>
    <sheet name="TimeEdit" sheetId="14" state="hidden" r:id="rId8"/>
    <sheet name="TemplateOverblikHeader" sheetId="1218" state="veryHidden" r:id="rId9"/>
    <sheet name="Overblik" sheetId="1291" r:id="rId10"/>
    <sheet name="Dobbeltbooking" sheetId="1244" r:id="rId11"/>
    <sheet name="1. Sem" sheetId="1287" r:id="rId12"/>
    <sheet name="2. Sem" sheetId="1288" r:id="rId13"/>
    <sheet name="3. Sem" sheetId="1289" r:id="rId14"/>
    <sheet name="4. Sem" sheetId="1290" r:id="rId15"/>
  </sheets>
  <functionGroups builtInGroupCount="19"/>
  <definedNames>
    <definedName name="_xleta.EVEN" hidden="1" xlm="1">#NAME?</definedName>
    <definedName name="_xleta.ODD" hidden="1" xlm="1">#NAME?</definedName>
    <definedName name="_xlpm.bot" hidden="1" xlm="1">#NAME?</definedName>
    <definedName name="_xlpm.botHas" hidden="1" xlm="1">#NAME?</definedName>
    <definedName name="_xlpm.botR" hidden="1" xlm="1">#NAME?</definedName>
    <definedName name="_xlpm.botRow" hidden="1" xlm="1">#NAME?</definedName>
    <definedName name="_xlpm.botTxt" hidden="1" xlm="1">#NAME?</definedName>
    <definedName name="_xlpm.botV" hidden="1" xlm="1">#NAME?</definedName>
    <definedName name="_xlpm.botVal" hidden="1" xlm="1">#NAME?</definedName>
    <definedName name="_xlpm.c" hidden="1" xlm="1">#NAME?</definedName>
    <definedName name="_xlpm.col" hidden="1" xlm="1">#NAME?</definedName>
    <definedName name="_xlpm.colData" hidden="1" xlm="1">#NAME?</definedName>
    <definedName name="_xlpm.colIdx" hidden="1" xlm="1">#NAME?</definedName>
    <definedName name="_xlpm.colIx" hidden="1" xlm="1">#NAME?</definedName>
    <definedName name="_xlpm.cols" hidden="1" xlm="1">#NAME?</definedName>
    <definedName name="_xlpm.curKey" hidden="1" xlm="1">#NAME?</definedName>
    <definedName name="_xlpm.cy" hidden="1" xlm="1">#NAME?</definedName>
    <definedName name="_xlpm.d" hidden="1" xlm="1">#NAME?</definedName>
    <definedName name="_xlpm.data" hidden="1" xlm="1">#NAME?</definedName>
    <definedName name="_xlpm.firstValues" hidden="1" xlm="1">#NAME?</definedName>
    <definedName name="_xlpm.hasBot" hidden="1" xlm="1">#NAME?</definedName>
    <definedName name="_xlpm.hasTop" hidden="1" xlm="1">#NAME?</definedName>
    <definedName name="_xlpm.headers" hidden="1" xlm="1">#NAME?</definedName>
    <definedName name="_xlpm.hits" hidden="1" xlm="1">#NAME?</definedName>
    <definedName name="_xlpm.isBig" hidden="1" xlm="1">#NAME?</definedName>
    <definedName name="_xlpm.isOn" hidden="1" xlm="1">#NAME?</definedName>
    <definedName name="_xlpm.k" hidden="1" xlm="1">#NAME?</definedName>
    <definedName name="_xlpm.lbl" hidden="1" xlm="1">#NAME?</definedName>
    <definedName name="_xlpm.m" hidden="1" xlm="1">#NAME?</definedName>
    <definedName name="_xlpm.n" hidden="1" xlm="1">#NAME?</definedName>
    <definedName name="_xlpm.nonEmptyCols" hidden="1" xlm="1">#NAME?</definedName>
    <definedName name="_xlpm.oddBig" hidden="1" xlm="1">#NAME?</definedName>
    <definedName name="_xlpm.r" hidden="1" xlm="1">#NAME?</definedName>
    <definedName name="_xlpm.rawBot" hidden="1" xlm="1">#NAME?</definedName>
    <definedName name="_xlpm.rawTop" hidden="1" xlm="1">#NAME?</definedName>
    <definedName name="_xlpm.relCol" hidden="1" xlm="1">#NAME?</definedName>
    <definedName name="_xlpm.rng" hidden="1" xlm="1">#NAME?</definedName>
    <definedName name="_xlpm.sem" hidden="1" xlm="1">#NAME?</definedName>
    <definedName name="_xlpm.semLbl" hidden="1" xlm="1">#NAME?</definedName>
    <definedName name="_xlpm.semNum" hidden="1" xlm="1">#NAME?</definedName>
    <definedName name="_xlpm.semTxt" hidden="1" xlm="1">#NAME?</definedName>
    <definedName name="_xlpm.sh" hidden="1" xlm="1">#NAME?</definedName>
    <definedName name="_xlpm.slot" hidden="1" xlm="1">#NAME?</definedName>
    <definedName name="_xlpm.srcKeys" hidden="1" xlm="1">#NAME?</definedName>
    <definedName name="_xlpm.srcRow" hidden="1" xlm="1">#NAME?</definedName>
    <definedName name="_xlpm.srcTop" hidden="1" xlm="1">#NAME?</definedName>
    <definedName name="_xlpm.suf" hidden="1" xlm="1">#NAME?</definedName>
    <definedName name="_xlpm.t" hidden="1" xlm="1">#NAME?</definedName>
    <definedName name="_xlpm.top" hidden="1" xlm="1">#NAME?</definedName>
    <definedName name="_xlpm.topHas" hidden="1" xlm="1">#NAME?</definedName>
    <definedName name="_xlpm.topR" hidden="1" xlm="1">#NAME?</definedName>
    <definedName name="_xlpm.topRow" hidden="1" xlm="1">#NAME?</definedName>
    <definedName name="_xlpm.topTxt" hidden="1" xlm="1">#NAME?</definedName>
    <definedName name="_xlpm.topV" hidden="1" xlm="1">#NAME?</definedName>
    <definedName name="_xlpm.topVal" hidden="1" xlm="1">#NAME?</definedName>
    <definedName name="_xlpm.usedCols" hidden="1" xlm="1">#NAME?</definedName>
    <definedName name="_xlpm.v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6" i="1291" l="1"/>
  <c r="D86" i="1291"/>
  <c r="E86" i="1291"/>
  <c r="F86" i="1291"/>
  <c r="G86" i="1291"/>
  <c r="H86" i="1291"/>
  <c r="I86" i="1291"/>
  <c r="J86" i="1291"/>
  <c r="K86" i="1291"/>
  <c r="L86" i="1291"/>
  <c r="M86" i="1291"/>
  <c r="N86" i="1291"/>
  <c r="O86" i="1291"/>
  <c r="P86" i="1291"/>
  <c r="Q86" i="1291"/>
  <c r="R86" i="1291"/>
  <c r="S86" i="1291"/>
  <c r="T86" i="1291"/>
  <c r="U86" i="1291"/>
  <c r="V86" i="1291"/>
  <c r="W86" i="1291"/>
  <c r="X86" i="1291"/>
  <c r="Y86" i="1291"/>
  <c r="Z86" i="1291"/>
  <c r="AA86" i="1291"/>
  <c r="AB86" i="1291"/>
  <c r="AC86" i="1291"/>
  <c r="AD86" i="1291"/>
  <c r="AE86" i="1291"/>
  <c r="AF86" i="1291"/>
  <c r="AG86" i="1291"/>
  <c r="AH86" i="1291"/>
  <c r="AI86" i="1291"/>
  <c r="AJ86" i="1291"/>
  <c r="AK86" i="1291"/>
  <c r="AL86" i="1291"/>
  <c r="AM86" i="1291"/>
  <c r="AN86" i="1291"/>
  <c r="AO86" i="1291"/>
  <c r="AP86" i="1291"/>
  <c r="AQ86" i="1291"/>
  <c r="AR86" i="1291"/>
  <c r="AS86" i="1291"/>
  <c r="AT86" i="1291"/>
  <c r="AU86" i="1291"/>
  <c r="AV86" i="1291"/>
  <c r="AW86" i="1291"/>
  <c r="AX86" i="1291"/>
  <c r="AY86" i="1291"/>
  <c r="AZ86" i="1291"/>
  <c r="BA86" i="1291"/>
  <c r="BB86" i="1291"/>
  <c r="BC86" i="1291"/>
  <c r="BD86" i="1291"/>
  <c r="BE86" i="1291"/>
  <c r="BF86" i="1291"/>
  <c r="BG86" i="1291"/>
  <c r="BH86" i="1291"/>
  <c r="BI86" i="1291"/>
  <c r="BJ86" i="1291"/>
  <c r="BK86" i="1291"/>
  <c r="BL86" i="1291"/>
  <c r="BM86" i="1291"/>
  <c r="BN86" i="1291"/>
  <c r="BO86" i="1291"/>
  <c r="BP86" i="1291"/>
  <c r="BQ86" i="1291"/>
  <c r="BR86" i="1291"/>
  <c r="BS86" i="1291"/>
  <c r="BT86" i="1291"/>
  <c r="BU86" i="1291"/>
  <c r="BV86" i="1291"/>
  <c r="BW86" i="1291"/>
  <c r="BX86" i="1291"/>
  <c r="BY86" i="1291"/>
  <c r="BZ86" i="1291"/>
  <c r="CA86" i="1291"/>
  <c r="CB86" i="1291"/>
  <c r="CC86" i="1291"/>
  <c r="CD86" i="1291"/>
  <c r="CE86" i="1291"/>
  <c r="CF86" i="1291"/>
  <c r="CG86" i="1291"/>
  <c r="CH86" i="1291"/>
  <c r="CI86" i="1291"/>
  <c r="CJ86" i="1291"/>
  <c r="CK86" i="1291"/>
  <c r="CL86" i="1291"/>
  <c r="CM86" i="1291"/>
  <c r="CN86" i="1291"/>
  <c r="CO86" i="1291"/>
  <c r="CP86" i="1291"/>
  <c r="CQ86" i="1291"/>
  <c r="CR86" i="1291"/>
  <c r="CS86" i="1291"/>
  <c r="CT86" i="1291"/>
  <c r="CU86" i="1291"/>
  <c r="CV86" i="1291"/>
  <c r="CW86" i="1291"/>
  <c r="CX86" i="1291"/>
  <c r="CY86" i="1291"/>
  <c r="CZ86" i="1291"/>
  <c r="DA86" i="1291"/>
  <c r="DB86" i="1291"/>
  <c r="DC86" i="1291"/>
  <c r="C87" i="1291"/>
  <c r="D87" i="1291"/>
  <c r="E87" i="1291"/>
  <c r="F87" i="1291"/>
  <c r="G87" i="1291"/>
  <c r="H87" i="1291"/>
  <c r="I87" i="1291"/>
  <c r="J87" i="1291"/>
  <c r="K87" i="1291"/>
  <c r="L87" i="1291"/>
  <c r="M87" i="1291"/>
  <c r="N87" i="1291"/>
  <c r="O87" i="1291"/>
  <c r="P87" i="1291"/>
  <c r="Q87" i="1291"/>
  <c r="R87" i="1291"/>
  <c r="S87" i="1291"/>
  <c r="T87" i="1291"/>
  <c r="U87" i="1291"/>
  <c r="V87" i="1291"/>
  <c r="W87" i="1291"/>
  <c r="X87" i="1291"/>
  <c r="Y87" i="1291"/>
  <c r="Z87" i="1291"/>
  <c r="AA87" i="1291"/>
  <c r="AB87" i="1291"/>
  <c r="AC87" i="1291"/>
  <c r="AD87" i="1291"/>
  <c r="AE87" i="1291"/>
  <c r="AF87" i="1291"/>
  <c r="AG87" i="1291"/>
  <c r="AH87" i="1291"/>
  <c r="AI87" i="1291"/>
  <c r="AJ87" i="1291"/>
  <c r="AK87" i="1291"/>
  <c r="AL87" i="1291"/>
  <c r="AM87" i="1291"/>
  <c r="AN87" i="1291"/>
  <c r="AO87" i="1291"/>
  <c r="AP87" i="1291"/>
  <c r="AQ87" i="1291"/>
  <c r="AR87" i="1291"/>
  <c r="AS87" i="1291"/>
  <c r="AT87" i="1291"/>
  <c r="AU87" i="1291"/>
  <c r="AV87" i="1291"/>
  <c r="AW87" i="1291"/>
  <c r="AX87" i="1291"/>
  <c r="AY87" i="1291"/>
  <c r="AZ87" i="1291"/>
  <c r="BA87" i="1291"/>
  <c r="BB87" i="1291"/>
  <c r="BC87" i="1291"/>
  <c r="BD87" i="1291"/>
  <c r="BE87" i="1291"/>
  <c r="BF87" i="1291"/>
  <c r="BG87" i="1291"/>
  <c r="BH87" i="1291"/>
  <c r="BI87" i="1291"/>
  <c r="BJ87" i="1291"/>
  <c r="BK87" i="1291"/>
  <c r="BL87" i="1291"/>
  <c r="BM87" i="1291"/>
  <c r="BN87" i="1291"/>
  <c r="BO87" i="1291"/>
  <c r="BP87" i="1291"/>
  <c r="BQ87" i="1291"/>
  <c r="BR87" i="1291"/>
  <c r="BS87" i="1291"/>
  <c r="BT87" i="1291"/>
  <c r="BU87" i="1291"/>
  <c r="BV87" i="1291"/>
  <c r="BW87" i="1291"/>
  <c r="BX87" i="1291"/>
  <c r="BY87" i="1291"/>
  <c r="BZ87" i="1291"/>
  <c r="CA87" i="1291"/>
  <c r="CB87" i="1291"/>
  <c r="CC87" i="1291"/>
  <c r="CD87" i="1291"/>
  <c r="CE87" i="1291"/>
  <c r="CF87" i="1291"/>
  <c r="CG87" i="1291"/>
  <c r="CH87" i="1291"/>
  <c r="CI87" i="1291"/>
  <c r="CJ87" i="1291"/>
  <c r="CK87" i="1291"/>
  <c r="CL87" i="1291"/>
  <c r="CM87" i="1291"/>
  <c r="CN87" i="1291"/>
  <c r="CO87" i="1291"/>
  <c r="CP87" i="1291"/>
  <c r="CQ87" i="1291"/>
  <c r="CR87" i="1291"/>
  <c r="CS87" i="1291"/>
  <c r="CT87" i="1291"/>
  <c r="CU87" i="1291"/>
  <c r="CV87" i="1291"/>
  <c r="CW87" i="1291"/>
  <c r="CX87" i="1291"/>
  <c r="CY87" i="1291"/>
  <c r="CZ87" i="1291"/>
  <c r="DA87" i="1291"/>
  <c r="DB87" i="1291"/>
  <c r="DC87" i="1291"/>
  <c r="C88" i="1291"/>
  <c r="D88" i="1291"/>
  <c r="E88" i="1291"/>
  <c r="F88" i="1291"/>
  <c r="G88" i="1291"/>
  <c r="H88" i="1291"/>
  <c r="I88" i="1291"/>
  <c r="J88" i="1291"/>
  <c r="K88" i="1291"/>
  <c r="L88" i="1291"/>
  <c r="M88" i="1291"/>
  <c r="N88" i="1291"/>
  <c r="O88" i="1291"/>
  <c r="P88" i="1291"/>
  <c r="Q88" i="1291"/>
  <c r="R88" i="1291"/>
  <c r="S88" i="1291"/>
  <c r="T88" i="1291"/>
  <c r="U88" i="1291"/>
  <c r="V88" i="1291"/>
  <c r="W88" i="1291"/>
  <c r="X88" i="1291"/>
  <c r="Y88" i="1291"/>
  <c r="Z88" i="1291"/>
  <c r="AA88" i="1291"/>
  <c r="AB88" i="1291"/>
  <c r="AC88" i="1291"/>
  <c r="AD88" i="1291"/>
  <c r="AE88" i="1291"/>
  <c r="AF88" i="1291"/>
  <c r="AG88" i="1291"/>
  <c r="AH88" i="1291"/>
  <c r="AI88" i="1291"/>
  <c r="AJ88" i="1291"/>
  <c r="AK88" i="1291"/>
  <c r="AL88" i="1291"/>
  <c r="AM88" i="1291"/>
  <c r="AN88" i="1291"/>
  <c r="AO88" i="1291"/>
  <c r="AP88" i="1291"/>
  <c r="AQ88" i="1291"/>
  <c r="AR88" i="1291"/>
  <c r="AS88" i="1291"/>
  <c r="AT88" i="1291"/>
  <c r="AU88" i="1291"/>
  <c r="AV88" i="1291"/>
  <c r="AW88" i="1291"/>
  <c r="AX88" i="1291"/>
  <c r="AY88" i="1291"/>
  <c r="AZ88" i="1291"/>
  <c r="BA88" i="1291"/>
  <c r="BB88" i="1291"/>
  <c r="BC88" i="1291"/>
  <c r="BD88" i="1291"/>
  <c r="BE88" i="1291"/>
  <c r="BF88" i="1291"/>
  <c r="BG88" i="1291"/>
  <c r="BH88" i="1291"/>
  <c r="BI88" i="1291"/>
  <c r="BJ88" i="1291"/>
  <c r="BK88" i="1291"/>
  <c r="BL88" i="1291"/>
  <c r="BM88" i="1291"/>
  <c r="BN88" i="1291"/>
  <c r="BO88" i="1291"/>
  <c r="BP88" i="1291"/>
  <c r="BQ88" i="1291"/>
  <c r="BR88" i="1291"/>
  <c r="BS88" i="1291"/>
  <c r="BT88" i="1291"/>
  <c r="BU88" i="1291"/>
  <c r="BV88" i="1291"/>
  <c r="BW88" i="1291"/>
  <c r="BX88" i="1291"/>
  <c r="BY88" i="1291"/>
  <c r="BZ88" i="1291"/>
  <c r="CA88" i="1291"/>
  <c r="CB88" i="1291"/>
  <c r="CC88" i="1291"/>
  <c r="CD88" i="1291"/>
  <c r="CE88" i="1291"/>
  <c r="CF88" i="1291"/>
  <c r="CG88" i="1291"/>
  <c r="CH88" i="1291"/>
  <c r="CI88" i="1291"/>
  <c r="CJ88" i="1291"/>
  <c r="CK88" i="1291"/>
  <c r="CL88" i="1291"/>
  <c r="CM88" i="1291"/>
  <c r="CN88" i="1291"/>
  <c r="CO88" i="1291"/>
  <c r="CP88" i="1291"/>
  <c r="CQ88" i="1291"/>
  <c r="CR88" i="1291"/>
  <c r="CS88" i="1291"/>
  <c r="CT88" i="1291"/>
  <c r="CU88" i="1291"/>
  <c r="CV88" i="1291"/>
  <c r="CW88" i="1291"/>
  <c r="CX88" i="1291"/>
  <c r="CY88" i="1291"/>
  <c r="CZ88" i="1291"/>
  <c r="DA88" i="1291"/>
  <c r="DB88" i="1291"/>
  <c r="DC88" i="1291"/>
  <c r="C89" i="1291"/>
  <c r="D89" i="1291"/>
  <c r="E89" i="1291"/>
  <c r="F89" i="1291"/>
  <c r="G89" i="1291"/>
  <c r="H89" i="1291"/>
  <c r="I89" i="1291"/>
  <c r="J89" i="1291"/>
  <c r="K89" i="1291"/>
  <c r="L89" i="1291"/>
  <c r="M89" i="1291"/>
  <c r="N89" i="1291"/>
  <c r="O89" i="1291"/>
  <c r="P89" i="1291"/>
  <c r="Q89" i="1291"/>
  <c r="R89" i="1291"/>
  <c r="S89" i="1291"/>
  <c r="T89" i="1291"/>
  <c r="U89" i="1291"/>
  <c r="V89" i="1291"/>
  <c r="W89" i="1291"/>
  <c r="X89" i="1291"/>
  <c r="Y89" i="1291"/>
  <c r="Z89" i="1291"/>
  <c r="AA89" i="1291"/>
  <c r="AB89" i="1291"/>
  <c r="AC89" i="1291"/>
  <c r="AD89" i="1291"/>
  <c r="AE89" i="1291"/>
  <c r="AF89" i="1291"/>
  <c r="AG89" i="1291"/>
  <c r="AH89" i="1291"/>
  <c r="AI89" i="1291"/>
  <c r="AJ89" i="1291"/>
  <c r="AK89" i="1291"/>
  <c r="AL89" i="1291"/>
  <c r="AM89" i="1291"/>
  <c r="AN89" i="1291"/>
  <c r="AO89" i="1291"/>
  <c r="AP89" i="1291"/>
  <c r="AQ89" i="1291"/>
  <c r="AR89" i="1291"/>
  <c r="AS89" i="1291"/>
  <c r="AT89" i="1291"/>
  <c r="AU89" i="1291"/>
  <c r="AV89" i="1291"/>
  <c r="AW89" i="1291"/>
  <c r="AX89" i="1291"/>
  <c r="AY89" i="1291"/>
  <c r="AZ89" i="1291"/>
  <c r="BA89" i="1291"/>
  <c r="BB89" i="1291"/>
  <c r="BC89" i="1291"/>
  <c r="BD89" i="1291"/>
  <c r="BE89" i="1291"/>
  <c r="BF89" i="1291"/>
  <c r="BG89" i="1291"/>
  <c r="BH89" i="1291"/>
  <c r="BI89" i="1291"/>
  <c r="BJ89" i="1291"/>
  <c r="BK89" i="1291"/>
  <c r="BL89" i="1291"/>
  <c r="BM89" i="1291"/>
  <c r="BN89" i="1291"/>
  <c r="BO89" i="1291"/>
  <c r="BP89" i="1291"/>
  <c r="BQ89" i="1291"/>
  <c r="BR89" i="1291"/>
  <c r="BS89" i="1291"/>
  <c r="BT89" i="1291"/>
  <c r="BU89" i="1291"/>
  <c r="BV89" i="1291"/>
  <c r="BW89" i="1291"/>
  <c r="BX89" i="1291"/>
  <c r="BY89" i="1291"/>
  <c r="BZ89" i="1291"/>
  <c r="CA89" i="1291"/>
  <c r="CB89" i="1291"/>
  <c r="CC89" i="1291"/>
  <c r="CD89" i="1291"/>
  <c r="CE89" i="1291"/>
  <c r="CF89" i="1291"/>
  <c r="CG89" i="1291"/>
  <c r="CH89" i="1291"/>
  <c r="CI89" i="1291"/>
  <c r="CJ89" i="1291"/>
  <c r="CK89" i="1291"/>
  <c r="CL89" i="1291"/>
  <c r="CM89" i="1291"/>
  <c r="CN89" i="1291"/>
  <c r="CO89" i="1291"/>
  <c r="CP89" i="1291"/>
  <c r="CQ89" i="1291"/>
  <c r="CR89" i="1291"/>
  <c r="CS89" i="1291"/>
  <c r="CT89" i="1291"/>
  <c r="CU89" i="1291"/>
  <c r="CV89" i="1291"/>
  <c r="CW89" i="1291"/>
  <c r="CX89" i="1291"/>
  <c r="CY89" i="1291"/>
  <c r="CZ89" i="1291"/>
  <c r="DA89" i="1291"/>
  <c r="DB89" i="1291"/>
  <c r="DC89" i="1291"/>
  <c r="C90" i="1291"/>
  <c r="D90" i="1291"/>
  <c r="E90" i="1291"/>
  <c r="F90" i="1291"/>
  <c r="G90" i="1291"/>
  <c r="H90" i="1291"/>
  <c r="I90" i="1291"/>
  <c r="J90" i="1291"/>
  <c r="K90" i="1291"/>
  <c r="L90" i="1291"/>
  <c r="M90" i="1291"/>
  <c r="N90" i="1291"/>
  <c r="O90" i="1291"/>
  <c r="P90" i="1291"/>
  <c r="Q90" i="1291"/>
  <c r="R90" i="1291"/>
  <c r="S90" i="1291"/>
  <c r="T90" i="1291"/>
  <c r="U90" i="1291"/>
  <c r="V90" i="1291"/>
  <c r="W90" i="1291"/>
  <c r="X90" i="1291"/>
  <c r="Y90" i="1291"/>
  <c r="Z90" i="1291"/>
  <c r="AA90" i="1291"/>
  <c r="AB90" i="1291"/>
  <c r="AC90" i="1291"/>
  <c r="AD90" i="1291"/>
  <c r="AE90" i="1291"/>
  <c r="AF90" i="1291"/>
  <c r="AG90" i="1291"/>
  <c r="AH90" i="1291"/>
  <c r="AI90" i="1291"/>
  <c r="AJ90" i="1291"/>
  <c r="AK90" i="1291"/>
  <c r="AL90" i="1291"/>
  <c r="AM90" i="1291"/>
  <c r="AN90" i="1291"/>
  <c r="AO90" i="1291"/>
  <c r="AP90" i="1291"/>
  <c r="AQ90" i="1291"/>
  <c r="AR90" i="1291"/>
  <c r="AS90" i="1291"/>
  <c r="AT90" i="1291"/>
  <c r="AU90" i="1291"/>
  <c r="AV90" i="1291"/>
  <c r="AW90" i="1291"/>
  <c r="AX90" i="1291"/>
  <c r="AY90" i="1291"/>
  <c r="AZ90" i="1291"/>
  <c r="BA90" i="1291"/>
  <c r="BB90" i="1291"/>
  <c r="BC90" i="1291"/>
  <c r="BD90" i="1291"/>
  <c r="BE90" i="1291"/>
  <c r="BF90" i="1291"/>
  <c r="BG90" i="1291"/>
  <c r="BH90" i="1291"/>
  <c r="BI90" i="1291"/>
  <c r="BJ90" i="1291"/>
  <c r="BK90" i="1291"/>
  <c r="BL90" i="1291"/>
  <c r="BM90" i="1291"/>
  <c r="BN90" i="1291"/>
  <c r="BO90" i="1291"/>
  <c r="BP90" i="1291"/>
  <c r="BQ90" i="1291"/>
  <c r="BR90" i="1291"/>
  <c r="BS90" i="1291"/>
  <c r="BT90" i="1291"/>
  <c r="BU90" i="1291"/>
  <c r="BV90" i="1291"/>
  <c r="BW90" i="1291"/>
  <c r="BX90" i="1291"/>
  <c r="BY90" i="1291"/>
  <c r="BZ90" i="1291"/>
  <c r="CA90" i="1291"/>
  <c r="CB90" i="1291"/>
  <c r="CC90" i="1291"/>
  <c r="CD90" i="1291"/>
  <c r="CE90" i="1291"/>
  <c r="CF90" i="1291"/>
  <c r="CG90" i="1291"/>
  <c r="CH90" i="1291"/>
  <c r="CI90" i="1291"/>
  <c r="CJ90" i="1291"/>
  <c r="CK90" i="1291"/>
  <c r="CL90" i="1291"/>
  <c r="CM90" i="1291"/>
  <c r="CN90" i="1291"/>
  <c r="CO90" i="1291"/>
  <c r="CP90" i="1291"/>
  <c r="CQ90" i="1291"/>
  <c r="CR90" i="1291"/>
  <c r="CS90" i="1291"/>
  <c r="CT90" i="1291"/>
  <c r="CU90" i="1291"/>
  <c r="CV90" i="1291"/>
  <c r="CW90" i="1291"/>
  <c r="CX90" i="1291"/>
  <c r="CY90" i="1291"/>
  <c r="CZ90" i="1291"/>
  <c r="DA90" i="1291"/>
  <c r="DB90" i="1291"/>
  <c r="DC90" i="1291"/>
  <c r="C91" i="1291"/>
  <c r="D91" i="1291"/>
  <c r="E91" i="1291"/>
  <c r="F91" i="1291"/>
  <c r="G91" i="1291"/>
  <c r="H91" i="1291"/>
  <c r="I91" i="1291"/>
  <c r="J91" i="1291"/>
  <c r="K91" i="1291"/>
  <c r="L91" i="1291"/>
  <c r="M91" i="1291"/>
  <c r="N91" i="1291"/>
  <c r="O91" i="1291"/>
  <c r="P91" i="1291"/>
  <c r="Q91" i="1291"/>
  <c r="R91" i="1291"/>
  <c r="S91" i="1291"/>
  <c r="T91" i="1291"/>
  <c r="U91" i="1291"/>
  <c r="V91" i="1291"/>
  <c r="W91" i="1291"/>
  <c r="X91" i="1291"/>
  <c r="Y91" i="1291"/>
  <c r="Z91" i="1291"/>
  <c r="AA91" i="1291"/>
  <c r="AB91" i="1291"/>
  <c r="AC91" i="1291"/>
  <c r="AD91" i="1291"/>
  <c r="AE91" i="1291"/>
  <c r="AF91" i="1291"/>
  <c r="AG91" i="1291"/>
  <c r="AH91" i="1291"/>
  <c r="AI91" i="1291"/>
  <c r="AJ91" i="1291"/>
  <c r="AK91" i="1291"/>
  <c r="AL91" i="1291"/>
  <c r="AM91" i="1291"/>
  <c r="AN91" i="1291"/>
  <c r="AO91" i="1291"/>
  <c r="AP91" i="1291"/>
  <c r="AQ91" i="1291"/>
  <c r="AR91" i="1291"/>
  <c r="AS91" i="1291"/>
  <c r="AT91" i="1291"/>
  <c r="AU91" i="1291"/>
  <c r="AV91" i="1291"/>
  <c r="AW91" i="1291"/>
  <c r="AX91" i="1291"/>
  <c r="AY91" i="1291"/>
  <c r="AZ91" i="1291"/>
  <c r="BA91" i="1291"/>
  <c r="BB91" i="1291"/>
  <c r="BC91" i="1291"/>
  <c r="BD91" i="1291"/>
  <c r="BE91" i="1291"/>
  <c r="BF91" i="1291"/>
  <c r="BG91" i="1291"/>
  <c r="BH91" i="1291"/>
  <c r="BI91" i="1291"/>
  <c r="BJ91" i="1291"/>
  <c r="BK91" i="1291"/>
  <c r="BL91" i="1291"/>
  <c r="BM91" i="1291"/>
  <c r="BN91" i="1291"/>
  <c r="BO91" i="1291"/>
  <c r="BP91" i="1291"/>
  <c r="BQ91" i="1291"/>
  <c r="BR91" i="1291"/>
  <c r="BS91" i="1291"/>
  <c r="BT91" i="1291"/>
  <c r="BU91" i="1291"/>
  <c r="BV91" i="1291"/>
  <c r="BW91" i="1291"/>
  <c r="BX91" i="1291"/>
  <c r="BY91" i="1291"/>
  <c r="BZ91" i="1291"/>
  <c r="CA91" i="1291"/>
  <c r="CB91" i="1291"/>
  <c r="CC91" i="1291"/>
  <c r="CD91" i="1291"/>
  <c r="CE91" i="1291"/>
  <c r="CF91" i="1291"/>
  <c r="CG91" i="1291"/>
  <c r="CH91" i="1291"/>
  <c r="CI91" i="1291"/>
  <c r="CJ91" i="1291"/>
  <c r="CK91" i="1291"/>
  <c r="CL91" i="1291"/>
  <c r="CM91" i="1291"/>
  <c r="CN91" i="1291"/>
  <c r="CO91" i="1291"/>
  <c r="CP91" i="1291"/>
  <c r="CQ91" i="1291"/>
  <c r="CR91" i="1291"/>
  <c r="CS91" i="1291"/>
  <c r="CT91" i="1291"/>
  <c r="CU91" i="1291"/>
  <c r="CV91" i="1291"/>
  <c r="CW91" i="1291"/>
  <c r="CX91" i="1291"/>
  <c r="CY91" i="1291"/>
  <c r="CZ91" i="1291"/>
  <c r="DA91" i="1291"/>
  <c r="DB91" i="1291"/>
  <c r="DC91" i="1291"/>
  <c r="C92" i="1291"/>
  <c r="D92" i="1291"/>
  <c r="E92" i="1291"/>
  <c r="F92" i="1291"/>
  <c r="G92" i="1291"/>
  <c r="H92" i="1291"/>
  <c r="I92" i="1291"/>
  <c r="J92" i="1291"/>
  <c r="K92" i="1291"/>
  <c r="L92" i="1291"/>
  <c r="M92" i="1291"/>
  <c r="N92" i="1291"/>
  <c r="O92" i="1291"/>
  <c r="P92" i="1291"/>
  <c r="Q92" i="1291"/>
  <c r="R92" i="1291"/>
  <c r="S92" i="1291"/>
  <c r="T92" i="1291"/>
  <c r="U92" i="1291"/>
  <c r="V92" i="1291"/>
  <c r="W92" i="1291"/>
  <c r="X92" i="1291"/>
  <c r="Y92" i="1291"/>
  <c r="Z92" i="1291"/>
  <c r="AA92" i="1291"/>
  <c r="AB92" i="1291"/>
  <c r="AC92" i="1291"/>
  <c r="AD92" i="1291"/>
  <c r="AE92" i="1291"/>
  <c r="AF92" i="1291"/>
  <c r="AG92" i="1291"/>
  <c r="AH92" i="1291"/>
  <c r="AI92" i="1291"/>
  <c r="AJ92" i="1291"/>
  <c r="AK92" i="1291"/>
  <c r="AL92" i="1291"/>
  <c r="AM92" i="1291"/>
  <c r="AN92" i="1291"/>
  <c r="AO92" i="1291"/>
  <c r="AP92" i="1291"/>
  <c r="AQ92" i="1291"/>
  <c r="AR92" i="1291"/>
  <c r="AS92" i="1291"/>
  <c r="AT92" i="1291"/>
  <c r="AU92" i="1291"/>
  <c r="AV92" i="1291"/>
  <c r="AW92" i="1291"/>
  <c r="AX92" i="1291"/>
  <c r="AY92" i="1291"/>
  <c r="AZ92" i="1291"/>
  <c r="BA92" i="1291"/>
  <c r="BB92" i="1291"/>
  <c r="BC92" i="1291"/>
  <c r="BD92" i="1291"/>
  <c r="BE92" i="1291"/>
  <c r="BF92" i="1291"/>
  <c r="BG92" i="1291"/>
  <c r="BH92" i="1291"/>
  <c r="BI92" i="1291"/>
  <c r="BJ92" i="1291"/>
  <c r="BK92" i="1291"/>
  <c r="BL92" i="1291"/>
  <c r="BM92" i="1291"/>
  <c r="BN92" i="1291"/>
  <c r="BO92" i="1291"/>
  <c r="BP92" i="1291"/>
  <c r="BQ92" i="1291"/>
  <c r="BR92" i="1291"/>
  <c r="BS92" i="1291"/>
  <c r="BT92" i="1291"/>
  <c r="BU92" i="1291"/>
  <c r="BV92" i="1291"/>
  <c r="BW92" i="1291"/>
  <c r="BX92" i="1291"/>
  <c r="BY92" i="1291"/>
  <c r="BZ92" i="1291"/>
  <c r="CA92" i="1291"/>
  <c r="CB92" i="1291"/>
  <c r="CC92" i="1291"/>
  <c r="CD92" i="1291"/>
  <c r="CE92" i="1291"/>
  <c r="CF92" i="1291"/>
  <c r="CG92" i="1291"/>
  <c r="CH92" i="1291"/>
  <c r="CI92" i="1291"/>
  <c r="CJ92" i="1291"/>
  <c r="CK92" i="1291"/>
  <c r="CL92" i="1291"/>
  <c r="CM92" i="1291"/>
  <c r="CN92" i="1291"/>
  <c r="CO92" i="1291"/>
  <c r="CP92" i="1291"/>
  <c r="CQ92" i="1291"/>
  <c r="CR92" i="1291"/>
  <c r="CS92" i="1291"/>
  <c r="CT92" i="1291"/>
  <c r="CU92" i="1291"/>
  <c r="CV92" i="1291"/>
  <c r="CW92" i="1291"/>
  <c r="CX92" i="1291"/>
  <c r="CY92" i="1291"/>
  <c r="CZ92" i="1291"/>
  <c r="DA92" i="1291"/>
  <c r="DB92" i="1291"/>
  <c r="DC92" i="1291"/>
  <c r="C93" i="1291"/>
  <c r="D93" i="1291"/>
  <c r="E93" i="1291"/>
  <c r="F93" i="1291"/>
  <c r="G93" i="1291"/>
  <c r="H93" i="1291"/>
  <c r="I93" i="1291"/>
  <c r="J93" i="1291"/>
  <c r="K93" i="1291"/>
  <c r="L93" i="1291"/>
  <c r="M93" i="1291"/>
  <c r="N93" i="1291"/>
  <c r="O93" i="1291"/>
  <c r="P93" i="1291"/>
  <c r="Q93" i="1291"/>
  <c r="R93" i="1291"/>
  <c r="S93" i="1291"/>
  <c r="T93" i="1291"/>
  <c r="U93" i="1291"/>
  <c r="V93" i="1291"/>
  <c r="W93" i="1291"/>
  <c r="X93" i="1291"/>
  <c r="Y93" i="1291"/>
  <c r="Z93" i="1291"/>
  <c r="AA93" i="1291"/>
  <c r="AB93" i="1291"/>
  <c r="AC93" i="1291"/>
  <c r="AD93" i="1291"/>
  <c r="AE93" i="1291"/>
  <c r="AF93" i="1291"/>
  <c r="AG93" i="1291"/>
  <c r="AH93" i="1291"/>
  <c r="AI93" i="1291"/>
  <c r="AJ93" i="1291"/>
  <c r="AK93" i="1291"/>
  <c r="AL93" i="1291"/>
  <c r="AM93" i="1291"/>
  <c r="AN93" i="1291"/>
  <c r="AO93" i="1291"/>
  <c r="AP93" i="1291"/>
  <c r="AQ93" i="1291"/>
  <c r="AR93" i="1291"/>
  <c r="AS93" i="1291"/>
  <c r="AT93" i="1291"/>
  <c r="AU93" i="1291"/>
  <c r="AV93" i="1291"/>
  <c r="AW93" i="1291"/>
  <c r="AX93" i="1291"/>
  <c r="AY93" i="1291"/>
  <c r="AZ93" i="1291"/>
  <c r="BA93" i="1291"/>
  <c r="BB93" i="1291"/>
  <c r="BC93" i="1291"/>
  <c r="BD93" i="1291"/>
  <c r="BE93" i="1291"/>
  <c r="BF93" i="1291"/>
  <c r="BG93" i="1291"/>
  <c r="BH93" i="1291"/>
  <c r="BI93" i="1291"/>
  <c r="BJ93" i="1291"/>
  <c r="BK93" i="1291"/>
  <c r="BL93" i="1291"/>
  <c r="BM93" i="1291"/>
  <c r="BN93" i="1291"/>
  <c r="BO93" i="1291"/>
  <c r="BP93" i="1291"/>
  <c r="BQ93" i="1291"/>
  <c r="BR93" i="1291"/>
  <c r="BS93" i="1291"/>
  <c r="BT93" i="1291"/>
  <c r="BU93" i="1291"/>
  <c r="BV93" i="1291"/>
  <c r="BW93" i="1291"/>
  <c r="BX93" i="1291"/>
  <c r="BY93" i="1291"/>
  <c r="BZ93" i="1291"/>
  <c r="CA93" i="1291"/>
  <c r="CB93" i="1291"/>
  <c r="CC93" i="1291"/>
  <c r="CD93" i="1291"/>
  <c r="CE93" i="1291"/>
  <c r="CF93" i="1291"/>
  <c r="CG93" i="1291"/>
  <c r="CH93" i="1291"/>
  <c r="CI93" i="1291"/>
  <c r="CJ93" i="1291"/>
  <c r="CK93" i="1291"/>
  <c r="CL93" i="1291"/>
  <c r="CM93" i="1291"/>
  <c r="CN93" i="1291"/>
  <c r="CO93" i="1291"/>
  <c r="CP93" i="1291"/>
  <c r="CQ93" i="1291"/>
  <c r="CR93" i="1291"/>
  <c r="CS93" i="1291"/>
  <c r="CT93" i="1291"/>
  <c r="CU93" i="1291"/>
  <c r="CV93" i="1291"/>
  <c r="CW93" i="1291"/>
  <c r="CX93" i="1291"/>
  <c r="CY93" i="1291"/>
  <c r="CZ93" i="1291"/>
  <c r="DA93" i="1291"/>
  <c r="DB93" i="1291"/>
  <c r="DC93" i="1291"/>
  <c r="C94" i="1291"/>
  <c r="D94" i="1291"/>
  <c r="E94" i="1291"/>
  <c r="F94" i="1291"/>
  <c r="G94" i="1291"/>
  <c r="H94" i="1291"/>
  <c r="I94" i="1291"/>
  <c r="J94" i="1291"/>
  <c r="K94" i="1291"/>
  <c r="L94" i="1291"/>
  <c r="M94" i="1291"/>
  <c r="N94" i="1291"/>
  <c r="O94" i="1291"/>
  <c r="P94" i="1291"/>
  <c r="Q94" i="1291"/>
  <c r="R94" i="1291"/>
  <c r="S94" i="1291"/>
  <c r="T94" i="1291"/>
  <c r="U94" i="1291"/>
  <c r="V94" i="1291"/>
  <c r="W94" i="1291"/>
  <c r="X94" i="1291"/>
  <c r="Y94" i="1291"/>
  <c r="Z94" i="1291"/>
  <c r="AA94" i="1291"/>
  <c r="AB94" i="1291"/>
  <c r="AC94" i="1291"/>
  <c r="AD94" i="1291"/>
  <c r="AE94" i="1291"/>
  <c r="AF94" i="1291"/>
  <c r="AG94" i="1291"/>
  <c r="AH94" i="1291"/>
  <c r="AI94" i="1291"/>
  <c r="AJ94" i="1291"/>
  <c r="AK94" i="1291"/>
  <c r="AL94" i="1291"/>
  <c r="AM94" i="1291"/>
  <c r="AN94" i="1291"/>
  <c r="AO94" i="1291"/>
  <c r="AP94" i="1291"/>
  <c r="AQ94" i="1291"/>
  <c r="AR94" i="1291"/>
  <c r="AS94" i="1291"/>
  <c r="AT94" i="1291"/>
  <c r="AU94" i="1291"/>
  <c r="AV94" i="1291"/>
  <c r="AW94" i="1291"/>
  <c r="AX94" i="1291"/>
  <c r="AY94" i="1291"/>
  <c r="AZ94" i="1291"/>
  <c r="BA94" i="1291"/>
  <c r="BB94" i="1291"/>
  <c r="BC94" i="1291"/>
  <c r="BD94" i="1291"/>
  <c r="BE94" i="1291"/>
  <c r="BF94" i="1291"/>
  <c r="BG94" i="1291"/>
  <c r="BH94" i="1291"/>
  <c r="BI94" i="1291"/>
  <c r="BJ94" i="1291"/>
  <c r="BK94" i="1291"/>
  <c r="BL94" i="1291"/>
  <c r="BM94" i="1291"/>
  <c r="BN94" i="1291"/>
  <c r="BO94" i="1291"/>
  <c r="BP94" i="1291"/>
  <c r="BQ94" i="1291"/>
  <c r="BR94" i="1291"/>
  <c r="BS94" i="1291"/>
  <c r="BT94" i="1291"/>
  <c r="BU94" i="1291"/>
  <c r="BV94" i="1291"/>
  <c r="BW94" i="1291"/>
  <c r="BX94" i="1291"/>
  <c r="BY94" i="1291"/>
  <c r="BZ94" i="1291"/>
  <c r="CA94" i="1291"/>
  <c r="CB94" i="1291"/>
  <c r="CC94" i="1291"/>
  <c r="CD94" i="1291"/>
  <c r="CE94" i="1291"/>
  <c r="CF94" i="1291"/>
  <c r="CG94" i="1291"/>
  <c r="CH94" i="1291"/>
  <c r="CI94" i="1291"/>
  <c r="CJ94" i="1291"/>
  <c r="CK94" i="1291"/>
  <c r="CL94" i="1291"/>
  <c r="CM94" i="1291"/>
  <c r="CN94" i="1291"/>
  <c r="CO94" i="1291"/>
  <c r="CP94" i="1291"/>
  <c r="CQ94" i="1291"/>
  <c r="CR94" i="1291"/>
  <c r="CS94" i="1291"/>
  <c r="CT94" i="1291"/>
  <c r="CU94" i="1291"/>
  <c r="CV94" i="1291"/>
  <c r="CW94" i="1291"/>
  <c r="CX94" i="1291"/>
  <c r="CY94" i="1291"/>
  <c r="CZ94" i="1291"/>
  <c r="DA94" i="1291"/>
  <c r="DB94" i="1291"/>
  <c r="DC94" i="1291"/>
  <c r="C95" i="1291"/>
  <c r="D95" i="1291"/>
  <c r="E95" i="1291"/>
  <c r="F95" i="1291"/>
  <c r="G95" i="1291"/>
  <c r="H95" i="1291"/>
  <c r="I95" i="1291"/>
  <c r="J95" i="1291"/>
  <c r="K95" i="1291"/>
  <c r="L95" i="1291"/>
  <c r="M95" i="1291"/>
  <c r="N95" i="1291"/>
  <c r="O95" i="1291"/>
  <c r="P95" i="1291"/>
  <c r="Q95" i="1291"/>
  <c r="R95" i="1291"/>
  <c r="S95" i="1291"/>
  <c r="T95" i="1291"/>
  <c r="U95" i="1291"/>
  <c r="V95" i="1291"/>
  <c r="W95" i="1291"/>
  <c r="X95" i="1291"/>
  <c r="Y95" i="1291"/>
  <c r="Z95" i="1291"/>
  <c r="AA95" i="1291"/>
  <c r="AB95" i="1291"/>
  <c r="AC95" i="1291"/>
  <c r="AD95" i="1291"/>
  <c r="AE95" i="1291"/>
  <c r="AF95" i="1291"/>
  <c r="AG95" i="1291"/>
  <c r="AH95" i="1291"/>
  <c r="AI95" i="1291"/>
  <c r="AJ95" i="1291"/>
  <c r="AK95" i="1291"/>
  <c r="AL95" i="1291"/>
  <c r="AM95" i="1291"/>
  <c r="AN95" i="1291"/>
  <c r="AO95" i="1291"/>
  <c r="AP95" i="1291"/>
  <c r="AQ95" i="1291"/>
  <c r="AR95" i="1291"/>
  <c r="AS95" i="1291"/>
  <c r="AT95" i="1291"/>
  <c r="AU95" i="1291"/>
  <c r="AV95" i="1291"/>
  <c r="AW95" i="1291"/>
  <c r="AX95" i="1291"/>
  <c r="AY95" i="1291"/>
  <c r="AZ95" i="1291"/>
  <c r="BA95" i="1291"/>
  <c r="BB95" i="1291"/>
  <c r="BC95" i="1291"/>
  <c r="BD95" i="1291"/>
  <c r="BE95" i="1291"/>
  <c r="BF95" i="1291"/>
  <c r="BG95" i="1291"/>
  <c r="BH95" i="1291"/>
  <c r="BI95" i="1291"/>
  <c r="BJ95" i="1291"/>
  <c r="BK95" i="1291"/>
  <c r="BL95" i="1291"/>
  <c r="BM95" i="1291"/>
  <c r="BN95" i="1291"/>
  <c r="BO95" i="1291"/>
  <c r="BP95" i="1291"/>
  <c r="BQ95" i="1291"/>
  <c r="BR95" i="1291"/>
  <c r="BS95" i="1291"/>
  <c r="BT95" i="1291"/>
  <c r="BU95" i="1291"/>
  <c r="BV95" i="1291"/>
  <c r="BW95" i="1291"/>
  <c r="BX95" i="1291"/>
  <c r="BY95" i="1291"/>
  <c r="BZ95" i="1291"/>
  <c r="CA95" i="1291"/>
  <c r="CB95" i="1291"/>
  <c r="CC95" i="1291"/>
  <c r="CD95" i="1291"/>
  <c r="CE95" i="1291"/>
  <c r="CF95" i="1291"/>
  <c r="CG95" i="1291"/>
  <c r="CH95" i="1291"/>
  <c r="CI95" i="1291"/>
  <c r="CJ95" i="1291"/>
  <c r="CK95" i="1291"/>
  <c r="CL95" i="1291"/>
  <c r="CM95" i="1291"/>
  <c r="CN95" i="1291"/>
  <c r="CO95" i="1291"/>
  <c r="CP95" i="1291"/>
  <c r="CQ95" i="1291"/>
  <c r="CR95" i="1291"/>
  <c r="CS95" i="1291"/>
  <c r="CT95" i="1291"/>
  <c r="CU95" i="1291"/>
  <c r="CV95" i="1291"/>
  <c r="CW95" i="1291"/>
  <c r="CX95" i="1291"/>
  <c r="CY95" i="1291"/>
  <c r="CZ95" i="1291"/>
  <c r="DA95" i="1291"/>
  <c r="DB95" i="1291"/>
  <c r="DC95" i="1291"/>
  <c r="C96" i="1291"/>
  <c r="D96" i="1291"/>
  <c r="E96" i="1291"/>
  <c r="F96" i="1291"/>
  <c r="G96" i="1291"/>
  <c r="H96" i="1291"/>
  <c r="I96" i="1291"/>
  <c r="J96" i="1291"/>
  <c r="K96" i="1291"/>
  <c r="L96" i="1291"/>
  <c r="M96" i="1291"/>
  <c r="N96" i="1291"/>
  <c r="O96" i="1291"/>
  <c r="P96" i="1291"/>
  <c r="Q96" i="1291"/>
  <c r="R96" i="1291"/>
  <c r="S96" i="1291"/>
  <c r="T96" i="1291"/>
  <c r="U96" i="1291"/>
  <c r="V96" i="1291"/>
  <c r="W96" i="1291"/>
  <c r="X96" i="1291"/>
  <c r="Y96" i="1291"/>
  <c r="Z96" i="1291"/>
  <c r="AA96" i="1291"/>
  <c r="AB96" i="1291"/>
  <c r="AC96" i="1291"/>
  <c r="AD96" i="1291"/>
  <c r="AE96" i="1291"/>
  <c r="AF96" i="1291"/>
  <c r="AG96" i="1291"/>
  <c r="AH96" i="1291"/>
  <c r="AI96" i="1291"/>
  <c r="AJ96" i="1291"/>
  <c r="AK96" i="1291"/>
  <c r="AL96" i="1291"/>
  <c r="AM96" i="1291"/>
  <c r="AN96" i="1291"/>
  <c r="AO96" i="1291"/>
  <c r="AP96" i="1291"/>
  <c r="AQ96" i="1291"/>
  <c r="AR96" i="1291"/>
  <c r="AS96" i="1291"/>
  <c r="AT96" i="1291"/>
  <c r="AU96" i="1291"/>
  <c r="AV96" i="1291"/>
  <c r="AW96" i="1291"/>
  <c r="AX96" i="1291"/>
  <c r="AY96" i="1291"/>
  <c r="AZ96" i="1291"/>
  <c r="BA96" i="1291"/>
  <c r="BB96" i="1291"/>
  <c r="BC96" i="1291"/>
  <c r="BD96" i="1291"/>
  <c r="BE96" i="1291"/>
  <c r="BF96" i="1291"/>
  <c r="BG96" i="1291"/>
  <c r="BH96" i="1291"/>
  <c r="BI96" i="1291"/>
  <c r="BJ96" i="1291"/>
  <c r="BK96" i="1291"/>
  <c r="BL96" i="1291"/>
  <c r="BM96" i="1291"/>
  <c r="BN96" i="1291"/>
  <c r="BO96" i="1291"/>
  <c r="BP96" i="1291"/>
  <c r="BQ96" i="1291"/>
  <c r="BR96" i="1291"/>
  <c r="BS96" i="1291"/>
  <c r="BT96" i="1291"/>
  <c r="BU96" i="1291"/>
  <c r="BV96" i="1291"/>
  <c r="BW96" i="1291"/>
  <c r="BX96" i="1291"/>
  <c r="BY96" i="1291"/>
  <c r="BZ96" i="1291"/>
  <c r="CA96" i="1291"/>
  <c r="CB96" i="1291"/>
  <c r="CC96" i="1291"/>
  <c r="CD96" i="1291"/>
  <c r="CE96" i="1291"/>
  <c r="CF96" i="1291"/>
  <c r="CG96" i="1291"/>
  <c r="CH96" i="1291"/>
  <c r="CI96" i="1291"/>
  <c r="CJ96" i="1291"/>
  <c r="CK96" i="1291"/>
  <c r="CL96" i="1291"/>
  <c r="CM96" i="1291"/>
  <c r="CN96" i="1291"/>
  <c r="CO96" i="1291"/>
  <c r="CP96" i="1291"/>
  <c r="CQ96" i="1291"/>
  <c r="CR96" i="1291"/>
  <c r="CS96" i="1291"/>
  <c r="CT96" i="1291"/>
  <c r="CU96" i="1291"/>
  <c r="CV96" i="1291"/>
  <c r="CW96" i="1291"/>
  <c r="CX96" i="1291"/>
  <c r="CY96" i="1291"/>
  <c r="CZ96" i="1291"/>
  <c r="DA96" i="1291"/>
  <c r="DB96" i="1291"/>
  <c r="DC96" i="1291"/>
  <c r="C97" i="1291"/>
  <c r="D97" i="1291"/>
  <c r="E97" i="1291"/>
  <c r="F97" i="1291"/>
  <c r="G97" i="1291"/>
  <c r="H97" i="1291"/>
  <c r="I97" i="1291"/>
  <c r="J97" i="1291"/>
  <c r="K97" i="1291"/>
  <c r="L97" i="1291"/>
  <c r="M97" i="1291"/>
  <c r="N97" i="1291"/>
  <c r="O97" i="1291"/>
  <c r="P97" i="1291"/>
  <c r="Q97" i="1291"/>
  <c r="R97" i="1291"/>
  <c r="S97" i="1291"/>
  <c r="T97" i="1291"/>
  <c r="U97" i="1291"/>
  <c r="V97" i="1291"/>
  <c r="W97" i="1291"/>
  <c r="X97" i="1291"/>
  <c r="Y97" i="1291"/>
  <c r="Z97" i="1291"/>
  <c r="AA97" i="1291"/>
  <c r="AB97" i="1291"/>
  <c r="AC97" i="1291"/>
  <c r="AD97" i="1291"/>
  <c r="AE97" i="1291"/>
  <c r="AF97" i="1291"/>
  <c r="AG97" i="1291"/>
  <c r="AH97" i="1291"/>
  <c r="AI97" i="1291"/>
  <c r="AJ97" i="1291"/>
  <c r="AK97" i="1291"/>
  <c r="AL97" i="1291"/>
  <c r="AM97" i="1291"/>
  <c r="AN97" i="1291"/>
  <c r="AO97" i="1291"/>
  <c r="AP97" i="1291"/>
  <c r="AQ97" i="1291"/>
  <c r="AR97" i="1291"/>
  <c r="AS97" i="1291"/>
  <c r="AT97" i="1291"/>
  <c r="AU97" i="1291"/>
  <c r="AV97" i="1291"/>
  <c r="AW97" i="1291"/>
  <c r="AX97" i="1291"/>
  <c r="AY97" i="1291"/>
  <c r="AZ97" i="1291"/>
  <c r="BA97" i="1291"/>
  <c r="BB97" i="1291"/>
  <c r="BC97" i="1291"/>
  <c r="BD97" i="1291"/>
  <c r="BE97" i="1291"/>
  <c r="BF97" i="1291"/>
  <c r="BG97" i="1291"/>
  <c r="BH97" i="1291"/>
  <c r="BI97" i="1291"/>
  <c r="BJ97" i="1291"/>
  <c r="BK97" i="1291"/>
  <c r="BL97" i="1291"/>
  <c r="BM97" i="1291"/>
  <c r="BN97" i="1291"/>
  <c r="BO97" i="1291"/>
  <c r="BP97" i="1291"/>
  <c r="BQ97" i="1291"/>
  <c r="BR97" i="1291"/>
  <c r="BS97" i="1291"/>
  <c r="BT97" i="1291"/>
  <c r="BU97" i="1291"/>
  <c r="BV97" i="1291"/>
  <c r="BW97" i="1291"/>
  <c r="BX97" i="1291"/>
  <c r="BY97" i="1291"/>
  <c r="BZ97" i="1291"/>
  <c r="CA97" i="1291"/>
  <c r="CB97" i="1291"/>
  <c r="CC97" i="1291"/>
  <c r="CD97" i="1291"/>
  <c r="CE97" i="1291"/>
  <c r="CF97" i="1291"/>
  <c r="CG97" i="1291"/>
  <c r="CH97" i="1291"/>
  <c r="CI97" i="1291"/>
  <c r="CJ97" i="1291"/>
  <c r="CK97" i="1291"/>
  <c r="CL97" i="1291"/>
  <c r="CM97" i="1291"/>
  <c r="CN97" i="1291"/>
  <c r="CO97" i="1291"/>
  <c r="CP97" i="1291"/>
  <c r="CQ97" i="1291"/>
  <c r="CR97" i="1291"/>
  <c r="CS97" i="1291"/>
  <c r="CT97" i="1291"/>
  <c r="CU97" i="1291"/>
  <c r="CV97" i="1291"/>
  <c r="CW97" i="1291"/>
  <c r="CX97" i="1291"/>
  <c r="CY97" i="1291"/>
  <c r="CZ97" i="1291"/>
  <c r="DA97" i="1291"/>
  <c r="DB97" i="1291"/>
  <c r="DC97" i="1291"/>
  <c r="C98" i="1291"/>
  <c r="D98" i="1291"/>
  <c r="E98" i="1291"/>
  <c r="F98" i="1291"/>
  <c r="G98" i="1291"/>
  <c r="H98" i="1291"/>
  <c r="I98" i="1291"/>
  <c r="J98" i="1291"/>
  <c r="K98" i="1291"/>
  <c r="L98" i="1291"/>
  <c r="M98" i="1291"/>
  <c r="N98" i="1291"/>
  <c r="O98" i="1291"/>
  <c r="P98" i="1291"/>
  <c r="Q98" i="1291"/>
  <c r="R98" i="1291"/>
  <c r="S98" i="1291"/>
  <c r="T98" i="1291"/>
  <c r="U98" i="1291"/>
  <c r="V98" i="1291"/>
  <c r="W98" i="1291"/>
  <c r="X98" i="1291"/>
  <c r="Y98" i="1291"/>
  <c r="Z98" i="1291"/>
  <c r="AA98" i="1291"/>
  <c r="AB98" i="1291"/>
  <c r="AC98" i="1291"/>
  <c r="AD98" i="1291"/>
  <c r="AE98" i="1291"/>
  <c r="AF98" i="1291"/>
  <c r="AG98" i="1291"/>
  <c r="AH98" i="1291"/>
  <c r="AI98" i="1291"/>
  <c r="AJ98" i="1291"/>
  <c r="AK98" i="1291"/>
  <c r="AL98" i="1291"/>
  <c r="AM98" i="1291"/>
  <c r="AN98" i="1291"/>
  <c r="AO98" i="1291"/>
  <c r="AP98" i="1291"/>
  <c r="AQ98" i="1291"/>
  <c r="AR98" i="1291"/>
  <c r="AS98" i="1291"/>
  <c r="AT98" i="1291"/>
  <c r="AU98" i="1291"/>
  <c r="AV98" i="1291"/>
  <c r="AW98" i="1291"/>
  <c r="AX98" i="1291"/>
  <c r="AY98" i="1291"/>
  <c r="AZ98" i="1291"/>
  <c r="BA98" i="1291"/>
  <c r="BB98" i="1291"/>
  <c r="BC98" i="1291"/>
  <c r="BD98" i="1291"/>
  <c r="BE98" i="1291"/>
  <c r="BF98" i="1291"/>
  <c r="BG98" i="1291"/>
  <c r="BH98" i="1291"/>
  <c r="BI98" i="1291"/>
  <c r="BJ98" i="1291"/>
  <c r="BK98" i="1291"/>
  <c r="BL98" i="1291"/>
  <c r="BM98" i="1291"/>
  <c r="BN98" i="1291"/>
  <c r="BO98" i="1291"/>
  <c r="BP98" i="1291"/>
  <c r="BQ98" i="1291"/>
  <c r="BR98" i="1291"/>
  <c r="BS98" i="1291"/>
  <c r="BT98" i="1291"/>
  <c r="BU98" i="1291"/>
  <c r="BV98" i="1291"/>
  <c r="BW98" i="1291"/>
  <c r="BX98" i="1291"/>
  <c r="BY98" i="1291"/>
  <c r="BZ98" i="1291"/>
  <c r="CA98" i="1291"/>
  <c r="CB98" i="1291"/>
  <c r="CC98" i="1291"/>
  <c r="CD98" i="1291"/>
  <c r="CE98" i="1291"/>
  <c r="CF98" i="1291"/>
  <c r="CG98" i="1291"/>
  <c r="CH98" i="1291"/>
  <c r="CI98" i="1291"/>
  <c r="CJ98" i="1291"/>
  <c r="CK98" i="1291"/>
  <c r="CL98" i="1291"/>
  <c r="CM98" i="1291"/>
  <c r="CN98" i="1291"/>
  <c r="CO98" i="1291"/>
  <c r="CP98" i="1291"/>
  <c r="CQ98" i="1291"/>
  <c r="CR98" i="1291"/>
  <c r="CS98" i="1291"/>
  <c r="CT98" i="1291"/>
  <c r="CU98" i="1291"/>
  <c r="CV98" i="1291"/>
  <c r="CW98" i="1291"/>
  <c r="CX98" i="1291"/>
  <c r="CY98" i="1291"/>
  <c r="CZ98" i="1291"/>
  <c r="DA98" i="1291"/>
  <c r="DB98" i="1291"/>
  <c r="DC98" i="1291"/>
  <c r="C99" i="1291"/>
  <c r="D99" i="1291"/>
  <c r="E99" i="1291"/>
  <c r="F99" i="1291"/>
  <c r="G99" i="1291"/>
  <c r="H99" i="1291"/>
  <c r="I99" i="1291"/>
  <c r="J99" i="1291"/>
  <c r="K99" i="1291"/>
  <c r="L99" i="1291"/>
  <c r="M99" i="1291"/>
  <c r="N99" i="1291"/>
  <c r="O99" i="1291"/>
  <c r="P99" i="1291"/>
  <c r="Q99" i="1291"/>
  <c r="R99" i="1291"/>
  <c r="S99" i="1291"/>
  <c r="T99" i="1291"/>
  <c r="U99" i="1291"/>
  <c r="V99" i="1291"/>
  <c r="W99" i="1291"/>
  <c r="X99" i="1291"/>
  <c r="Y99" i="1291"/>
  <c r="Z99" i="1291"/>
  <c r="AA99" i="1291"/>
  <c r="AB99" i="1291"/>
  <c r="AC99" i="1291"/>
  <c r="AD99" i="1291"/>
  <c r="AE99" i="1291"/>
  <c r="AF99" i="1291"/>
  <c r="AG99" i="1291"/>
  <c r="AH99" i="1291"/>
  <c r="AI99" i="1291"/>
  <c r="AJ99" i="1291"/>
  <c r="AK99" i="1291"/>
  <c r="AL99" i="1291"/>
  <c r="AM99" i="1291"/>
  <c r="AN99" i="1291"/>
  <c r="AO99" i="1291"/>
  <c r="AP99" i="1291"/>
  <c r="AQ99" i="1291"/>
  <c r="AR99" i="1291"/>
  <c r="AS99" i="1291"/>
  <c r="AT99" i="1291"/>
  <c r="AU99" i="1291"/>
  <c r="AV99" i="1291"/>
  <c r="AW99" i="1291"/>
  <c r="AX99" i="1291"/>
  <c r="AY99" i="1291"/>
  <c r="AZ99" i="1291"/>
  <c r="BA99" i="1291"/>
  <c r="BB99" i="1291"/>
  <c r="BC99" i="1291"/>
  <c r="BD99" i="1291"/>
  <c r="BE99" i="1291"/>
  <c r="BF99" i="1291"/>
  <c r="BG99" i="1291"/>
  <c r="BH99" i="1291"/>
  <c r="BI99" i="1291"/>
  <c r="BJ99" i="1291"/>
  <c r="BK99" i="1291"/>
  <c r="BL99" i="1291"/>
  <c r="BM99" i="1291"/>
  <c r="BN99" i="1291"/>
  <c r="BO99" i="1291"/>
  <c r="BP99" i="1291"/>
  <c r="BQ99" i="1291"/>
  <c r="BR99" i="1291"/>
  <c r="BS99" i="1291"/>
  <c r="BT99" i="1291"/>
  <c r="BU99" i="1291"/>
  <c r="BV99" i="1291"/>
  <c r="BW99" i="1291"/>
  <c r="BX99" i="1291"/>
  <c r="BY99" i="1291"/>
  <c r="BZ99" i="1291"/>
  <c r="CA99" i="1291"/>
  <c r="CB99" i="1291"/>
  <c r="CC99" i="1291"/>
  <c r="CD99" i="1291"/>
  <c r="CE99" i="1291"/>
  <c r="CF99" i="1291"/>
  <c r="CG99" i="1291"/>
  <c r="CH99" i="1291"/>
  <c r="CI99" i="1291"/>
  <c r="CJ99" i="1291"/>
  <c r="CK99" i="1291"/>
  <c r="CL99" i="1291"/>
  <c r="CM99" i="1291"/>
  <c r="CN99" i="1291"/>
  <c r="CO99" i="1291"/>
  <c r="CP99" i="1291"/>
  <c r="CQ99" i="1291"/>
  <c r="CR99" i="1291"/>
  <c r="CS99" i="1291"/>
  <c r="CT99" i="1291"/>
  <c r="CU99" i="1291"/>
  <c r="CV99" i="1291"/>
  <c r="CW99" i="1291"/>
  <c r="CX99" i="1291"/>
  <c r="CY99" i="1291"/>
  <c r="CZ99" i="1291"/>
  <c r="DA99" i="1291"/>
  <c r="DB99" i="1291"/>
  <c r="DC99" i="1291"/>
  <c r="C100" i="1291"/>
  <c r="D100" i="1291"/>
  <c r="E100" i="1291"/>
  <c r="F100" i="1291"/>
  <c r="G100" i="1291"/>
  <c r="H100" i="1291"/>
  <c r="I100" i="1291"/>
  <c r="J100" i="1291"/>
  <c r="K100" i="1291"/>
  <c r="L100" i="1291"/>
  <c r="M100" i="1291"/>
  <c r="N100" i="1291"/>
  <c r="O100" i="1291"/>
  <c r="P100" i="1291"/>
  <c r="Q100" i="1291"/>
  <c r="R100" i="1291"/>
  <c r="S100" i="1291"/>
  <c r="T100" i="1291"/>
  <c r="U100" i="1291"/>
  <c r="V100" i="1291"/>
  <c r="W100" i="1291"/>
  <c r="X100" i="1291"/>
  <c r="Y100" i="1291"/>
  <c r="Z100" i="1291"/>
  <c r="AA100" i="1291"/>
  <c r="AB100" i="1291"/>
  <c r="AC100" i="1291"/>
  <c r="AD100" i="1291"/>
  <c r="AE100" i="1291"/>
  <c r="AF100" i="1291"/>
  <c r="AG100" i="1291"/>
  <c r="AH100" i="1291"/>
  <c r="AI100" i="1291"/>
  <c r="AJ100" i="1291"/>
  <c r="AK100" i="1291"/>
  <c r="AL100" i="1291"/>
  <c r="AM100" i="1291"/>
  <c r="AN100" i="1291"/>
  <c r="AO100" i="1291"/>
  <c r="AP100" i="1291"/>
  <c r="AQ100" i="1291"/>
  <c r="AR100" i="1291"/>
  <c r="AS100" i="1291"/>
  <c r="AT100" i="1291"/>
  <c r="AU100" i="1291"/>
  <c r="AV100" i="1291"/>
  <c r="AW100" i="1291"/>
  <c r="AX100" i="1291"/>
  <c r="AY100" i="1291"/>
  <c r="AZ100" i="1291"/>
  <c r="BA100" i="1291"/>
  <c r="BB100" i="1291"/>
  <c r="BC100" i="1291"/>
  <c r="BD100" i="1291"/>
  <c r="BE100" i="1291"/>
  <c r="BF100" i="1291"/>
  <c r="BG100" i="1291"/>
  <c r="BH100" i="1291"/>
  <c r="BI100" i="1291"/>
  <c r="BJ100" i="1291"/>
  <c r="BK100" i="1291"/>
  <c r="BL100" i="1291"/>
  <c r="BM100" i="1291"/>
  <c r="BN100" i="1291"/>
  <c r="BO100" i="1291"/>
  <c r="BP100" i="1291"/>
  <c r="BQ100" i="1291"/>
  <c r="BR100" i="1291"/>
  <c r="BS100" i="1291"/>
  <c r="BT100" i="1291"/>
  <c r="BU100" i="1291"/>
  <c r="BV100" i="1291"/>
  <c r="BW100" i="1291"/>
  <c r="BX100" i="1291"/>
  <c r="BY100" i="1291"/>
  <c r="BZ100" i="1291"/>
  <c r="CA100" i="1291"/>
  <c r="CB100" i="1291"/>
  <c r="CC100" i="1291"/>
  <c r="CD100" i="1291"/>
  <c r="CE100" i="1291"/>
  <c r="CF100" i="1291"/>
  <c r="CG100" i="1291"/>
  <c r="CH100" i="1291"/>
  <c r="CI100" i="1291"/>
  <c r="CJ100" i="1291"/>
  <c r="CK100" i="1291"/>
  <c r="CL100" i="1291"/>
  <c r="CM100" i="1291"/>
  <c r="CN100" i="1291"/>
  <c r="CO100" i="1291"/>
  <c r="CP100" i="1291"/>
  <c r="CQ100" i="1291"/>
  <c r="CR100" i="1291"/>
  <c r="CS100" i="1291"/>
  <c r="CT100" i="1291"/>
  <c r="CU100" i="1291"/>
  <c r="CV100" i="1291"/>
  <c r="CW100" i="1291"/>
  <c r="CX100" i="1291"/>
  <c r="CY100" i="1291"/>
  <c r="CZ100" i="1291"/>
  <c r="DA100" i="1291"/>
  <c r="DB100" i="1291"/>
  <c r="DC100" i="1291"/>
  <c r="C70" i="1291"/>
  <c r="D70" i="1291"/>
  <c r="E70" i="1291"/>
  <c r="F70" i="1291"/>
  <c r="G70" i="1291"/>
  <c r="H70" i="1291"/>
  <c r="I70" i="1291"/>
  <c r="J70" i="1291"/>
  <c r="K70" i="1291"/>
  <c r="L70" i="1291"/>
  <c r="M70" i="1291"/>
  <c r="N70" i="1291"/>
  <c r="O70" i="1291"/>
  <c r="P70" i="1291"/>
  <c r="Q70" i="1291"/>
  <c r="R70" i="1291"/>
  <c r="S70" i="1291"/>
  <c r="T70" i="1291"/>
  <c r="U70" i="1291"/>
  <c r="V70" i="1291"/>
  <c r="W70" i="1291"/>
  <c r="X70" i="1291"/>
  <c r="Y70" i="1291"/>
  <c r="Z70" i="1291"/>
  <c r="AA70" i="1291"/>
  <c r="AB70" i="1291"/>
  <c r="AC70" i="1291"/>
  <c r="AD70" i="1291"/>
  <c r="AE70" i="1291"/>
  <c r="AF70" i="1291"/>
  <c r="AG70" i="1291"/>
  <c r="AH70" i="1291"/>
  <c r="AI70" i="1291"/>
  <c r="AJ70" i="1291"/>
  <c r="AK70" i="1291"/>
  <c r="AL70" i="1291"/>
  <c r="AM70" i="1291"/>
  <c r="AN70" i="1291"/>
  <c r="AO70" i="1291"/>
  <c r="AP70" i="1291"/>
  <c r="AQ70" i="1291"/>
  <c r="AR70" i="1291"/>
  <c r="AS70" i="1291"/>
  <c r="AT70" i="1291"/>
  <c r="AU70" i="1291"/>
  <c r="AV70" i="1291"/>
  <c r="AW70" i="1291"/>
  <c r="AX70" i="1291"/>
  <c r="AY70" i="1291"/>
  <c r="AZ70" i="1291"/>
  <c r="BA70" i="1291"/>
  <c r="BB70" i="1291"/>
  <c r="BC70" i="1291"/>
  <c r="BD70" i="1291"/>
  <c r="BE70" i="1291"/>
  <c r="BF70" i="1291"/>
  <c r="BG70" i="1291"/>
  <c r="BH70" i="1291"/>
  <c r="BI70" i="1291"/>
  <c r="BJ70" i="1291"/>
  <c r="BK70" i="1291"/>
  <c r="BL70" i="1291"/>
  <c r="BM70" i="1291"/>
  <c r="BN70" i="1291"/>
  <c r="BO70" i="1291"/>
  <c r="BP70" i="1291"/>
  <c r="BQ70" i="1291"/>
  <c r="BR70" i="1291"/>
  <c r="BS70" i="1291"/>
  <c r="BT70" i="1291"/>
  <c r="BU70" i="1291"/>
  <c r="BV70" i="1291"/>
  <c r="BW70" i="1291"/>
  <c r="BX70" i="1291"/>
  <c r="BY70" i="1291"/>
  <c r="BZ70" i="1291"/>
  <c r="CA70" i="1291"/>
  <c r="CB70" i="1291"/>
  <c r="CC70" i="1291"/>
  <c r="CD70" i="1291"/>
  <c r="CE70" i="1291"/>
  <c r="CF70" i="1291"/>
  <c r="CG70" i="1291"/>
  <c r="CH70" i="1291"/>
  <c r="CI70" i="1291"/>
  <c r="CJ70" i="1291"/>
  <c r="CK70" i="1291"/>
  <c r="CL70" i="1291"/>
  <c r="CM70" i="1291"/>
  <c r="CN70" i="1291"/>
  <c r="CO70" i="1291"/>
  <c r="CP70" i="1291"/>
  <c r="CQ70" i="1291"/>
  <c r="CR70" i="1291"/>
  <c r="CS70" i="1291"/>
  <c r="CT70" i="1291"/>
  <c r="CU70" i="1291"/>
  <c r="CV70" i="1291"/>
  <c r="CW70" i="1291"/>
  <c r="CX70" i="1291"/>
  <c r="CY70" i="1291"/>
  <c r="CZ70" i="1291"/>
  <c r="DA70" i="1291"/>
  <c r="DB70" i="1291"/>
  <c r="DC70" i="1291"/>
  <c r="C71" i="1291"/>
  <c r="D71" i="1291"/>
  <c r="E71" i="1291"/>
  <c r="F71" i="1291"/>
  <c r="G71" i="1291"/>
  <c r="H71" i="1291"/>
  <c r="I71" i="1291"/>
  <c r="J71" i="1291"/>
  <c r="K71" i="1291"/>
  <c r="L71" i="1291"/>
  <c r="M71" i="1291"/>
  <c r="N71" i="1291"/>
  <c r="O71" i="1291"/>
  <c r="P71" i="1291"/>
  <c r="Q71" i="1291"/>
  <c r="R71" i="1291"/>
  <c r="S71" i="1291"/>
  <c r="T71" i="1291"/>
  <c r="U71" i="1291"/>
  <c r="V71" i="1291"/>
  <c r="W71" i="1291"/>
  <c r="X71" i="1291"/>
  <c r="Y71" i="1291"/>
  <c r="Z71" i="1291"/>
  <c r="AA71" i="1291"/>
  <c r="AB71" i="1291"/>
  <c r="AC71" i="1291"/>
  <c r="AD71" i="1291"/>
  <c r="AE71" i="1291"/>
  <c r="AF71" i="1291"/>
  <c r="AG71" i="1291"/>
  <c r="AH71" i="1291"/>
  <c r="AI71" i="1291"/>
  <c r="AJ71" i="1291"/>
  <c r="AK71" i="1291"/>
  <c r="AL71" i="1291"/>
  <c r="AM71" i="1291"/>
  <c r="AN71" i="1291"/>
  <c r="AO71" i="1291"/>
  <c r="AP71" i="1291"/>
  <c r="AQ71" i="1291"/>
  <c r="AR71" i="1291"/>
  <c r="AS71" i="1291"/>
  <c r="AT71" i="1291"/>
  <c r="AU71" i="1291"/>
  <c r="AV71" i="1291"/>
  <c r="AW71" i="1291"/>
  <c r="AX71" i="1291"/>
  <c r="AY71" i="1291"/>
  <c r="AZ71" i="1291"/>
  <c r="BA71" i="1291"/>
  <c r="BB71" i="1291"/>
  <c r="BC71" i="1291"/>
  <c r="BD71" i="1291"/>
  <c r="BE71" i="1291"/>
  <c r="BF71" i="1291"/>
  <c r="BG71" i="1291"/>
  <c r="BH71" i="1291"/>
  <c r="BI71" i="1291"/>
  <c r="BJ71" i="1291"/>
  <c r="BK71" i="1291"/>
  <c r="BL71" i="1291"/>
  <c r="BM71" i="1291"/>
  <c r="BN71" i="1291"/>
  <c r="BO71" i="1291"/>
  <c r="BP71" i="1291"/>
  <c r="BQ71" i="1291"/>
  <c r="BR71" i="1291"/>
  <c r="BS71" i="1291"/>
  <c r="BT71" i="1291"/>
  <c r="BU71" i="1291"/>
  <c r="BV71" i="1291"/>
  <c r="BW71" i="1291"/>
  <c r="BX71" i="1291"/>
  <c r="BY71" i="1291"/>
  <c r="BZ71" i="1291"/>
  <c r="CA71" i="1291"/>
  <c r="CB71" i="1291"/>
  <c r="CC71" i="1291"/>
  <c r="CD71" i="1291"/>
  <c r="CE71" i="1291"/>
  <c r="CF71" i="1291"/>
  <c r="CG71" i="1291"/>
  <c r="CH71" i="1291"/>
  <c r="CI71" i="1291"/>
  <c r="CJ71" i="1291"/>
  <c r="CK71" i="1291"/>
  <c r="CL71" i="1291"/>
  <c r="CM71" i="1291"/>
  <c r="CN71" i="1291"/>
  <c r="CO71" i="1291"/>
  <c r="CP71" i="1291"/>
  <c r="CQ71" i="1291"/>
  <c r="CR71" i="1291"/>
  <c r="CS71" i="1291"/>
  <c r="CT71" i="1291"/>
  <c r="CU71" i="1291"/>
  <c r="CV71" i="1291"/>
  <c r="CW71" i="1291"/>
  <c r="CX71" i="1291"/>
  <c r="CY71" i="1291"/>
  <c r="CZ71" i="1291"/>
  <c r="DA71" i="1291"/>
  <c r="DB71" i="1291"/>
  <c r="DC71" i="1291"/>
  <c r="C72" i="1291"/>
  <c r="D72" i="1291"/>
  <c r="E72" i="1291"/>
  <c r="F72" i="1291"/>
  <c r="G72" i="1291"/>
  <c r="H72" i="1291"/>
  <c r="I72" i="1291"/>
  <c r="J72" i="1291"/>
  <c r="K72" i="1291"/>
  <c r="L72" i="1291"/>
  <c r="M72" i="1291"/>
  <c r="N72" i="1291"/>
  <c r="O72" i="1291"/>
  <c r="P72" i="1291"/>
  <c r="Q72" i="1291"/>
  <c r="R72" i="1291"/>
  <c r="S72" i="1291"/>
  <c r="T72" i="1291"/>
  <c r="U72" i="1291"/>
  <c r="V72" i="1291"/>
  <c r="W72" i="1291"/>
  <c r="X72" i="1291"/>
  <c r="Y72" i="1291"/>
  <c r="Z72" i="1291"/>
  <c r="AA72" i="1291"/>
  <c r="AB72" i="1291"/>
  <c r="AC72" i="1291"/>
  <c r="AD72" i="1291"/>
  <c r="AE72" i="1291"/>
  <c r="AF72" i="1291"/>
  <c r="AG72" i="1291"/>
  <c r="AH72" i="1291"/>
  <c r="AI72" i="1291"/>
  <c r="AJ72" i="1291"/>
  <c r="AK72" i="1291"/>
  <c r="AL72" i="1291"/>
  <c r="AM72" i="1291"/>
  <c r="AN72" i="1291"/>
  <c r="AO72" i="1291"/>
  <c r="AP72" i="1291"/>
  <c r="AQ72" i="1291"/>
  <c r="AR72" i="1291"/>
  <c r="AS72" i="1291"/>
  <c r="AT72" i="1291"/>
  <c r="AU72" i="1291"/>
  <c r="AV72" i="1291"/>
  <c r="AW72" i="1291"/>
  <c r="AX72" i="1291"/>
  <c r="AY72" i="1291"/>
  <c r="AZ72" i="1291"/>
  <c r="BA72" i="1291"/>
  <c r="BB72" i="1291"/>
  <c r="BC72" i="1291"/>
  <c r="BD72" i="1291"/>
  <c r="BE72" i="1291"/>
  <c r="BF72" i="1291"/>
  <c r="BG72" i="1291"/>
  <c r="BH72" i="1291"/>
  <c r="BI72" i="1291"/>
  <c r="BJ72" i="1291"/>
  <c r="BK72" i="1291"/>
  <c r="BL72" i="1291"/>
  <c r="BM72" i="1291"/>
  <c r="BN72" i="1291"/>
  <c r="BO72" i="1291"/>
  <c r="BP72" i="1291"/>
  <c r="BQ72" i="1291"/>
  <c r="BR72" i="1291"/>
  <c r="BS72" i="1291"/>
  <c r="BT72" i="1291"/>
  <c r="BU72" i="1291"/>
  <c r="BV72" i="1291"/>
  <c r="BW72" i="1291"/>
  <c r="BX72" i="1291"/>
  <c r="BY72" i="1291"/>
  <c r="BZ72" i="1291"/>
  <c r="CA72" i="1291"/>
  <c r="CB72" i="1291"/>
  <c r="CC72" i="1291"/>
  <c r="CD72" i="1291"/>
  <c r="CE72" i="1291"/>
  <c r="CF72" i="1291"/>
  <c r="CG72" i="1291"/>
  <c r="CH72" i="1291"/>
  <c r="CI72" i="1291"/>
  <c r="CJ72" i="1291"/>
  <c r="CK72" i="1291"/>
  <c r="CL72" i="1291"/>
  <c r="CM72" i="1291"/>
  <c r="CN72" i="1291"/>
  <c r="CO72" i="1291"/>
  <c r="CP72" i="1291"/>
  <c r="CQ72" i="1291"/>
  <c r="CR72" i="1291"/>
  <c r="CS72" i="1291"/>
  <c r="CT72" i="1291"/>
  <c r="CU72" i="1291"/>
  <c r="CV72" i="1291"/>
  <c r="CW72" i="1291"/>
  <c r="CX72" i="1291"/>
  <c r="CY72" i="1291"/>
  <c r="CZ72" i="1291"/>
  <c r="DA72" i="1291"/>
  <c r="DB72" i="1291"/>
  <c r="DC72" i="1291"/>
  <c r="C73" i="1291"/>
  <c r="D73" i="1291"/>
  <c r="E73" i="1291"/>
  <c r="F73" i="1291"/>
  <c r="G73" i="1291"/>
  <c r="H73" i="1291"/>
  <c r="I73" i="1291"/>
  <c r="J73" i="1291"/>
  <c r="K73" i="1291"/>
  <c r="L73" i="1291"/>
  <c r="M73" i="1291"/>
  <c r="N73" i="1291"/>
  <c r="O73" i="1291"/>
  <c r="P73" i="1291"/>
  <c r="Q73" i="1291"/>
  <c r="R73" i="1291"/>
  <c r="S73" i="1291"/>
  <c r="T73" i="1291"/>
  <c r="U73" i="1291"/>
  <c r="V73" i="1291"/>
  <c r="W73" i="1291"/>
  <c r="X73" i="1291"/>
  <c r="Y73" i="1291"/>
  <c r="Z73" i="1291"/>
  <c r="AA73" i="1291"/>
  <c r="AB73" i="1291"/>
  <c r="AC73" i="1291"/>
  <c r="AD73" i="1291"/>
  <c r="AE73" i="1291"/>
  <c r="AF73" i="1291"/>
  <c r="AG73" i="1291"/>
  <c r="AH73" i="1291"/>
  <c r="AI73" i="1291"/>
  <c r="AJ73" i="1291"/>
  <c r="AK73" i="1291"/>
  <c r="AL73" i="1291"/>
  <c r="AM73" i="1291"/>
  <c r="AN73" i="1291"/>
  <c r="AO73" i="1291"/>
  <c r="AP73" i="1291"/>
  <c r="AQ73" i="1291"/>
  <c r="AR73" i="1291"/>
  <c r="AS73" i="1291"/>
  <c r="AT73" i="1291"/>
  <c r="AU73" i="1291"/>
  <c r="AV73" i="1291"/>
  <c r="AW73" i="1291"/>
  <c r="AX73" i="1291"/>
  <c r="AY73" i="1291"/>
  <c r="AZ73" i="1291"/>
  <c r="BA73" i="1291"/>
  <c r="BB73" i="1291"/>
  <c r="BC73" i="1291"/>
  <c r="BD73" i="1291"/>
  <c r="BE73" i="1291"/>
  <c r="BF73" i="1291"/>
  <c r="BG73" i="1291"/>
  <c r="BH73" i="1291"/>
  <c r="BI73" i="1291"/>
  <c r="BJ73" i="1291"/>
  <c r="BK73" i="1291"/>
  <c r="BL73" i="1291"/>
  <c r="BM73" i="1291"/>
  <c r="BN73" i="1291"/>
  <c r="BO73" i="1291"/>
  <c r="BP73" i="1291"/>
  <c r="BQ73" i="1291"/>
  <c r="BR73" i="1291"/>
  <c r="BS73" i="1291"/>
  <c r="BT73" i="1291"/>
  <c r="BU73" i="1291"/>
  <c r="BV73" i="1291"/>
  <c r="BW73" i="1291"/>
  <c r="BX73" i="1291"/>
  <c r="BY73" i="1291"/>
  <c r="BZ73" i="1291"/>
  <c r="CA73" i="1291"/>
  <c r="CB73" i="1291"/>
  <c r="CC73" i="1291"/>
  <c r="CD73" i="1291"/>
  <c r="CE73" i="1291"/>
  <c r="CF73" i="1291"/>
  <c r="CG73" i="1291"/>
  <c r="CH73" i="1291"/>
  <c r="CI73" i="1291"/>
  <c r="CJ73" i="1291"/>
  <c r="CK73" i="1291"/>
  <c r="CL73" i="1291"/>
  <c r="CM73" i="1291"/>
  <c r="CN73" i="1291"/>
  <c r="CO73" i="1291"/>
  <c r="CP73" i="1291"/>
  <c r="CQ73" i="1291"/>
  <c r="CR73" i="1291"/>
  <c r="CS73" i="1291"/>
  <c r="CT73" i="1291"/>
  <c r="CU73" i="1291"/>
  <c r="CV73" i="1291"/>
  <c r="CW73" i="1291"/>
  <c r="CX73" i="1291"/>
  <c r="CY73" i="1291"/>
  <c r="CZ73" i="1291"/>
  <c r="DA73" i="1291"/>
  <c r="DB73" i="1291"/>
  <c r="DC73" i="1291"/>
  <c r="C74" i="1291"/>
  <c r="D74" i="1291"/>
  <c r="E74" i="1291"/>
  <c r="F74" i="1291"/>
  <c r="G74" i="1291"/>
  <c r="H74" i="1291"/>
  <c r="I74" i="1291"/>
  <c r="J74" i="1291"/>
  <c r="K74" i="1291"/>
  <c r="L74" i="1291"/>
  <c r="M74" i="1291"/>
  <c r="N74" i="1291"/>
  <c r="O74" i="1291"/>
  <c r="P74" i="1291"/>
  <c r="Q74" i="1291"/>
  <c r="R74" i="1291"/>
  <c r="S74" i="1291"/>
  <c r="T74" i="1291"/>
  <c r="U74" i="1291"/>
  <c r="V74" i="1291"/>
  <c r="W74" i="1291"/>
  <c r="X74" i="1291"/>
  <c r="Y74" i="1291"/>
  <c r="Z74" i="1291"/>
  <c r="AA74" i="1291"/>
  <c r="AB74" i="1291"/>
  <c r="AC74" i="1291"/>
  <c r="AD74" i="1291"/>
  <c r="AE74" i="1291"/>
  <c r="AF74" i="1291"/>
  <c r="AG74" i="1291"/>
  <c r="AH74" i="1291"/>
  <c r="AI74" i="1291"/>
  <c r="AJ74" i="1291"/>
  <c r="AK74" i="1291"/>
  <c r="AL74" i="1291"/>
  <c r="AM74" i="1291"/>
  <c r="AN74" i="1291"/>
  <c r="AO74" i="1291"/>
  <c r="AP74" i="1291"/>
  <c r="AQ74" i="1291"/>
  <c r="AR74" i="1291"/>
  <c r="AS74" i="1291"/>
  <c r="AT74" i="1291"/>
  <c r="AU74" i="1291"/>
  <c r="AV74" i="1291"/>
  <c r="AW74" i="1291"/>
  <c r="AX74" i="1291"/>
  <c r="AY74" i="1291"/>
  <c r="AZ74" i="1291"/>
  <c r="BA74" i="1291"/>
  <c r="BB74" i="1291"/>
  <c r="BC74" i="1291"/>
  <c r="BD74" i="1291"/>
  <c r="BE74" i="1291"/>
  <c r="BF74" i="1291"/>
  <c r="BG74" i="1291"/>
  <c r="BH74" i="1291"/>
  <c r="BI74" i="1291"/>
  <c r="BJ74" i="1291"/>
  <c r="BK74" i="1291"/>
  <c r="BL74" i="1291"/>
  <c r="BM74" i="1291"/>
  <c r="BN74" i="1291"/>
  <c r="BO74" i="1291"/>
  <c r="BP74" i="1291"/>
  <c r="BQ74" i="1291"/>
  <c r="BR74" i="1291"/>
  <c r="BS74" i="1291"/>
  <c r="BT74" i="1291"/>
  <c r="BU74" i="1291"/>
  <c r="BV74" i="1291"/>
  <c r="BW74" i="1291"/>
  <c r="BX74" i="1291"/>
  <c r="BY74" i="1291"/>
  <c r="BZ74" i="1291"/>
  <c r="CA74" i="1291"/>
  <c r="CB74" i="1291"/>
  <c r="CC74" i="1291"/>
  <c r="CD74" i="1291"/>
  <c r="CE74" i="1291"/>
  <c r="CF74" i="1291"/>
  <c r="CG74" i="1291"/>
  <c r="CH74" i="1291"/>
  <c r="CI74" i="1291"/>
  <c r="CJ74" i="1291"/>
  <c r="CK74" i="1291"/>
  <c r="CL74" i="1291"/>
  <c r="CM74" i="1291"/>
  <c r="CN74" i="1291"/>
  <c r="CO74" i="1291"/>
  <c r="CP74" i="1291"/>
  <c r="CQ74" i="1291"/>
  <c r="CR74" i="1291"/>
  <c r="CS74" i="1291"/>
  <c r="CT74" i="1291"/>
  <c r="CU74" i="1291"/>
  <c r="CV74" i="1291"/>
  <c r="CW74" i="1291"/>
  <c r="CX74" i="1291"/>
  <c r="CY74" i="1291"/>
  <c r="CZ74" i="1291"/>
  <c r="DA74" i="1291"/>
  <c r="DB74" i="1291"/>
  <c r="DC74" i="1291"/>
  <c r="C75" i="1291"/>
  <c r="D75" i="1291"/>
  <c r="E75" i="1291"/>
  <c r="F75" i="1291"/>
  <c r="G75" i="1291"/>
  <c r="H75" i="1291"/>
  <c r="I75" i="1291"/>
  <c r="J75" i="1291"/>
  <c r="K75" i="1291"/>
  <c r="L75" i="1291"/>
  <c r="M75" i="1291"/>
  <c r="N75" i="1291"/>
  <c r="O75" i="1291"/>
  <c r="P75" i="1291"/>
  <c r="Q75" i="1291"/>
  <c r="R75" i="1291"/>
  <c r="S75" i="1291"/>
  <c r="T75" i="1291"/>
  <c r="U75" i="1291"/>
  <c r="V75" i="1291"/>
  <c r="W75" i="1291"/>
  <c r="X75" i="1291"/>
  <c r="Y75" i="1291"/>
  <c r="Z75" i="1291"/>
  <c r="AA75" i="1291"/>
  <c r="AB75" i="1291"/>
  <c r="AC75" i="1291"/>
  <c r="AD75" i="1291"/>
  <c r="AE75" i="1291"/>
  <c r="AF75" i="1291"/>
  <c r="AG75" i="1291"/>
  <c r="AH75" i="1291"/>
  <c r="AI75" i="1291"/>
  <c r="AJ75" i="1291"/>
  <c r="AK75" i="1291"/>
  <c r="AL75" i="1291"/>
  <c r="AM75" i="1291"/>
  <c r="AN75" i="1291"/>
  <c r="AO75" i="1291"/>
  <c r="AP75" i="1291"/>
  <c r="AQ75" i="1291"/>
  <c r="AR75" i="1291"/>
  <c r="AS75" i="1291"/>
  <c r="AT75" i="1291"/>
  <c r="AU75" i="1291"/>
  <c r="AV75" i="1291"/>
  <c r="AW75" i="1291"/>
  <c r="AX75" i="1291"/>
  <c r="AY75" i="1291"/>
  <c r="AZ75" i="1291"/>
  <c r="BA75" i="1291"/>
  <c r="BB75" i="1291"/>
  <c r="BC75" i="1291"/>
  <c r="BD75" i="1291"/>
  <c r="BE75" i="1291"/>
  <c r="BF75" i="1291"/>
  <c r="BG75" i="1291"/>
  <c r="BH75" i="1291"/>
  <c r="BI75" i="1291"/>
  <c r="BJ75" i="1291"/>
  <c r="BK75" i="1291"/>
  <c r="BL75" i="1291"/>
  <c r="BM75" i="1291"/>
  <c r="BN75" i="1291"/>
  <c r="BO75" i="1291"/>
  <c r="BP75" i="1291"/>
  <c r="BQ75" i="1291"/>
  <c r="BR75" i="1291"/>
  <c r="BS75" i="1291"/>
  <c r="BT75" i="1291"/>
  <c r="BU75" i="1291"/>
  <c r="BV75" i="1291"/>
  <c r="BW75" i="1291"/>
  <c r="BX75" i="1291"/>
  <c r="BY75" i="1291"/>
  <c r="BZ75" i="1291"/>
  <c r="CA75" i="1291"/>
  <c r="CB75" i="1291"/>
  <c r="CC75" i="1291"/>
  <c r="CD75" i="1291"/>
  <c r="CE75" i="1291"/>
  <c r="CF75" i="1291"/>
  <c r="CG75" i="1291"/>
  <c r="CH75" i="1291"/>
  <c r="CI75" i="1291"/>
  <c r="CJ75" i="1291"/>
  <c r="CK75" i="1291"/>
  <c r="CL75" i="1291"/>
  <c r="CM75" i="1291"/>
  <c r="CN75" i="1291"/>
  <c r="CO75" i="1291"/>
  <c r="CP75" i="1291"/>
  <c r="CQ75" i="1291"/>
  <c r="CR75" i="1291"/>
  <c r="CS75" i="1291"/>
  <c r="CT75" i="1291"/>
  <c r="CU75" i="1291"/>
  <c r="CV75" i="1291"/>
  <c r="CW75" i="1291"/>
  <c r="CX75" i="1291"/>
  <c r="CY75" i="1291"/>
  <c r="CZ75" i="1291"/>
  <c r="DA75" i="1291"/>
  <c r="DB75" i="1291"/>
  <c r="DC75" i="1291"/>
  <c r="C76" i="1291"/>
  <c r="D76" i="1291"/>
  <c r="E76" i="1291"/>
  <c r="F76" i="1291"/>
  <c r="G76" i="1291"/>
  <c r="H76" i="1291"/>
  <c r="I76" i="1291"/>
  <c r="J76" i="1291"/>
  <c r="K76" i="1291"/>
  <c r="L76" i="1291"/>
  <c r="M76" i="1291"/>
  <c r="N76" i="1291"/>
  <c r="O76" i="1291"/>
  <c r="P76" i="1291"/>
  <c r="Q76" i="1291"/>
  <c r="R76" i="1291"/>
  <c r="S76" i="1291"/>
  <c r="T76" i="1291"/>
  <c r="U76" i="1291"/>
  <c r="V76" i="1291"/>
  <c r="W76" i="1291"/>
  <c r="X76" i="1291"/>
  <c r="Y76" i="1291"/>
  <c r="Z76" i="1291"/>
  <c r="AA76" i="1291"/>
  <c r="AB76" i="1291"/>
  <c r="AC76" i="1291"/>
  <c r="AD76" i="1291"/>
  <c r="AE76" i="1291"/>
  <c r="AF76" i="1291"/>
  <c r="AG76" i="1291"/>
  <c r="AH76" i="1291"/>
  <c r="AI76" i="1291"/>
  <c r="AJ76" i="1291"/>
  <c r="AK76" i="1291"/>
  <c r="AL76" i="1291"/>
  <c r="AM76" i="1291"/>
  <c r="AN76" i="1291"/>
  <c r="AO76" i="1291"/>
  <c r="AP76" i="1291"/>
  <c r="AQ76" i="1291"/>
  <c r="AR76" i="1291"/>
  <c r="AS76" i="1291"/>
  <c r="AT76" i="1291"/>
  <c r="AU76" i="1291"/>
  <c r="AV76" i="1291"/>
  <c r="AW76" i="1291"/>
  <c r="AX76" i="1291"/>
  <c r="AY76" i="1291"/>
  <c r="AZ76" i="1291"/>
  <c r="BA76" i="1291"/>
  <c r="BB76" i="1291"/>
  <c r="BC76" i="1291"/>
  <c r="BD76" i="1291"/>
  <c r="BE76" i="1291"/>
  <c r="BF76" i="1291"/>
  <c r="BG76" i="1291"/>
  <c r="BH76" i="1291"/>
  <c r="BI76" i="1291"/>
  <c r="BJ76" i="1291"/>
  <c r="BK76" i="1291"/>
  <c r="BL76" i="1291"/>
  <c r="BM76" i="1291"/>
  <c r="BN76" i="1291"/>
  <c r="BO76" i="1291"/>
  <c r="BP76" i="1291"/>
  <c r="BQ76" i="1291"/>
  <c r="BR76" i="1291"/>
  <c r="BS76" i="1291"/>
  <c r="BT76" i="1291"/>
  <c r="BU76" i="1291"/>
  <c r="BV76" i="1291"/>
  <c r="BW76" i="1291"/>
  <c r="BX76" i="1291"/>
  <c r="BY76" i="1291"/>
  <c r="BZ76" i="1291"/>
  <c r="CA76" i="1291"/>
  <c r="CB76" i="1291"/>
  <c r="CC76" i="1291"/>
  <c r="CD76" i="1291"/>
  <c r="CE76" i="1291"/>
  <c r="CF76" i="1291"/>
  <c r="CG76" i="1291"/>
  <c r="CH76" i="1291"/>
  <c r="CI76" i="1291"/>
  <c r="CJ76" i="1291"/>
  <c r="CK76" i="1291"/>
  <c r="CL76" i="1291"/>
  <c r="CM76" i="1291"/>
  <c r="CN76" i="1291"/>
  <c r="CO76" i="1291"/>
  <c r="CP76" i="1291"/>
  <c r="CQ76" i="1291"/>
  <c r="CR76" i="1291"/>
  <c r="CS76" i="1291"/>
  <c r="CT76" i="1291"/>
  <c r="CU76" i="1291"/>
  <c r="CV76" i="1291"/>
  <c r="CW76" i="1291"/>
  <c r="CX76" i="1291"/>
  <c r="CY76" i="1291"/>
  <c r="CZ76" i="1291"/>
  <c r="DA76" i="1291"/>
  <c r="DB76" i="1291"/>
  <c r="DC76" i="1291"/>
  <c r="C77" i="1291"/>
  <c r="D77" i="1291"/>
  <c r="E77" i="1291"/>
  <c r="F77" i="1291"/>
  <c r="G77" i="1291"/>
  <c r="H77" i="1291"/>
  <c r="I77" i="1291"/>
  <c r="J77" i="1291"/>
  <c r="K77" i="1291"/>
  <c r="L77" i="1291"/>
  <c r="M77" i="1291"/>
  <c r="N77" i="1291"/>
  <c r="O77" i="1291"/>
  <c r="P77" i="1291"/>
  <c r="Q77" i="1291"/>
  <c r="R77" i="1291"/>
  <c r="S77" i="1291"/>
  <c r="T77" i="1291"/>
  <c r="U77" i="1291"/>
  <c r="V77" i="1291"/>
  <c r="W77" i="1291"/>
  <c r="X77" i="1291"/>
  <c r="Y77" i="1291"/>
  <c r="Z77" i="1291"/>
  <c r="AA77" i="1291"/>
  <c r="AB77" i="1291"/>
  <c r="AC77" i="1291"/>
  <c r="AD77" i="1291"/>
  <c r="AE77" i="1291"/>
  <c r="AF77" i="1291"/>
  <c r="AG77" i="1291"/>
  <c r="AH77" i="1291"/>
  <c r="AI77" i="1291"/>
  <c r="AJ77" i="1291"/>
  <c r="AK77" i="1291"/>
  <c r="AL77" i="1291"/>
  <c r="AM77" i="1291"/>
  <c r="AN77" i="1291"/>
  <c r="AO77" i="1291"/>
  <c r="AP77" i="1291"/>
  <c r="AQ77" i="1291"/>
  <c r="AR77" i="1291"/>
  <c r="AS77" i="1291"/>
  <c r="AT77" i="1291"/>
  <c r="AU77" i="1291"/>
  <c r="AV77" i="1291"/>
  <c r="AW77" i="1291"/>
  <c r="AX77" i="1291"/>
  <c r="AY77" i="1291"/>
  <c r="AZ77" i="1291"/>
  <c r="BA77" i="1291"/>
  <c r="BB77" i="1291"/>
  <c r="BC77" i="1291"/>
  <c r="BD77" i="1291"/>
  <c r="BE77" i="1291"/>
  <c r="BF77" i="1291"/>
  <c r="BG77" i="1291"/>
  <c r="BH77" i="1291"/>
  <c r="BI77" i="1291"/>
  <c r="BJ77" i="1291"/>
  <c r="BK77" i="1291"/>
  <c r="BL77" i="1291"/>
  <c r="BM77" i="1291"/>
  <c r="BN77" i="1291"/>
  <c r="BO77" i="1291"/>
  <c r="BP77" i="1291"/>
  <c r="BQ77" i="1291"/>
  <c r="BR77" i="1291"/>
  <c r="BS77" i="1291"/>
  <c r="BT77" i="1291"/>
  <c r="BU77" i="1291"/>
  <c r="BV77" i="1291"/>
  <c r="BW77" i="1291"/>
  <c r="BX77" i="1291"/>
  <c r="BY77" i="1291"/>
  <c r="BZ77" i="1291"/>
  <c r="CA77" i="1291"/>
  <c r="CB77" i="1291"/>
  <c r="CC77" i="1291"/>
  <c r="CD77" i="1291"/>
  <c r="CE77" i="1291"/>
  <c r="CF77" i="1291"/>
  <c r="CG77" i="1291"/>
  <c r="CH77" i="1291"/>
  <c r="CI77" i="1291"/>
  <c r="CJ77" i="1291"/>
  <c r="CK77" i="1291"/>
  <c r="CL77" i="1291"/>
  <c r="CM77" i="1291"/>
  <c r="CN77" i="1291"/>
  <c r="CO77" i="1291"/>
  <c r="CP77" i="1291"/>
  <c r="CQ77" i="1291"/>
  <c r="CR77" i="1291"/>
  <c r="CS77" i="1291"/>
  <c r="CT77" i="1291"/>
  <c r="CU77" i="1291"/>
  <c r="CV77" i="1291"/>
  <c r="CW77" i="1291"/>
  <c r="CX77" i="1291"/>
  <c r="CY77" i="1291"/>
  <c r="CZ77" i="1291"/>
  <c r="DA77" i="1291"/>
  <c r="DB77" i="1291"/>
  <c r="DC77" i="1291"/>
  <c r="C78" i="1291"/>
  <c r="D78" i="1291"/>
  <c r="E78" i="1291"/>
  <c r="F78" i="1291"/>
  <c r="G78" i="1291"/>
  <c r="H78" i="1291"/>
  <c r="I78" i="1291"/>
  <c r="J78" i="1291"/>
  <c r="K78" i="1291"/>
  <c r="L78" i="1291"/>
  <c r="M78" i="1291"/>
  <c r="N78" i="1291"/>
  <c r="O78" i="1291"/>
  <c r="P78" i="1291"/>
  <c r="Q78" i="1291"/>
  <c r="R78" i="1291"/>
  <c r="S78" i="1291"/>
  <c r="T78" i="1291"/>
  <c r="U78" i="1291"/>
  <c r="V78" i="1291"/>
  <c r="W78" i="1291"/>
  <c r="X78" i="1291"/>
  <c r="Y78" i="1291"/>
  <c r="Z78" i="1291"/>
  <c r="AA78" i="1291"/>
  <c r="AB78" i="1291"/>
  <c r="AC78" i="1291"/>
  <c r="AD78" i="1291"/>
  <c r="AE78" i="1291"/>
  <c r="AF78" i="1291"/>
  <c r="AG78" i="1291"/>
  <c r="AH78" i="1291"/>
  <c r="AI78" i="1291"/>
  <c r="AJ78" i="1291"/>
  <c r="AK78" i="1291"/>
  <c r="AL78" i="1291"/>
  <c r="AM78" i="1291"/>
  <c r="AN78" i="1291"/>
  <c r="AO78" i="1291"/>
  <c r="AP78" i="1291"/>
  <c r="AQ78" i="1291"/>
  <c r="AR78" i="1291"/>
  <c r="AS78" i="1291"/>
  <c r="AT78" i="1291"/>
  <c r="AU78" i="1291"/>
  <c r="AV78" i="1291"/>
  <c r="AW78" i="1291"/>
  <c r="AX78" i="1291"/>
  <c r="AY78" i="1291"/>
  <c r="AZ78" i="1291"/>
  <c r="BA78" i="1291"/>
  <c r="BB78" i="1291"/>
  <c r="BC78" i="1291"/>
  <c r="BD78" i="1291"/>
  <c r="BE78" i="1291"/>
  <c r="BF78" i="1291"/>
  <c r="BG78" i="1291"/>
  <c r="BH78" i="1291"/>
  <c r="BI78" i="1291"/>
  <c r="BJ78" i="1291"/>
  <c r="BK78" i="1291"/>
  <c r="BL78" i="1291"/>
  <c r="BM78" i="1291"/>
  <c r="BN78" i="1291"/>
  <c r="BO78" i="1291"/>
  <c r="BP78" i="1291"/>
  <c r="BQ78" i="1291"/>
  <c r="BR78" i="1291"/>
  <c r="BS78" i="1291"/>
  <c r="BT78" i="1291"/>
  <c r="BU78" i="1291"/>
  <c r="BV78" i="1291"/>
  <c r="BW78" i="1291"/>
  <c r="BX78" i="1291"/>
  <c r="BY78" i="1291"/>
  <c r="BZ78" i="1291"/>
  <c r="CA78" i="1291"/>
  <c r="CB78" i="1291"/>
  <c r="CC78" i="1291"/>
  <c r="CD78" i="1291"/>
  <c r="CE78" i="1291"/>
  <c r="CF78" i="1291"/>
  <c r="CG78" i="1291"/>
  <c r="CH78" i="1291"/>
  <c r="CI78" i="1291"/>
  <c r="CJ78" i="1291"/>
  <c r="CK78" i="1291"/>
  <c r="CL78" i="1291"/>
  <c r="CM78" i="1291"/>
  <c r="CN78" i="1291"/>
  <c r="CO78" i="1291"/>
  <c r="CP78" i="1291"/>
  <c r="CQ78" i="1291"/>
  <c r="CR78" i="1291"/>
  <c r="CS78" i="1291"/>
  <c r="CT78" i="1291"/>
  <c r="CU78" i="1291"/>
  <c r="CV78" i="1291"/>
  <c r="CW78" i="1291"/>
  <c r="CX78" i="1291"/>
  <c r="CY78" i="1291"/>
  <c r="CZ78" i="1291"/>
  <c r="DA78" i="1291"/>
  <c r="DB78" i="1291"/>
  <c r="DC78" i="1291"/>
  <c r="C79" i="1291"/>
  <c r="D79" i="1291"/>
  <c r="E79" i="1291"/>
  <c r="F79" i="1291"/>
  <c r="G79" i="1291"/>
  <c r="H79" i="1291"/>
  <c r="I79" i="1291"/>
  <c r="J79" i="1291"/>
  <c r="K79" i="1291"/>
  <c r="L79" i="1291"/>
  <c r="M79" i="1291"/>
  <c r="N79" i="1291"/>
  <c r="O79" i="1291"/>
  <c r="P79" i="1291"/>
  <c r="Q79" i="1291"/>
  <c r="R79" i="1291"/>
  <c r="S79" i="1291"/>
  <c r="T79" i="1291"/>
  <c r="U79" i="1291"/>
  <c r="V79" i="1291"/>
  <c r="W79" i="1291"/>
  <c r="X79" i="1291"/>
  <c r="Y79" i="1291"/>
  <c r="Z79" i="1291"/>
  <c r="AA79" i="1291"/>
  <c r="AB79" i="1291"/>
  <c r="AC79" i="1291"/>
  <c r="AD79" i="1291"/>
  <c r="AE79" i="1291"/>
  <c r="AF79" i="1291"/>
  <c r="AG79" i="1291"/>
  <c r="AH79" i="1291"/>
  <c r="AI79" i="1291"/>
  <c r="AJ79" i="1291"/>
  <c r="AK79" i="1291"/>
  <c r="AL79" i="1291"/>
  <c r="AM79" i="1291"/>
  <c r="AN79" i="1291"/>
  <c r="AO79" i="1291"/>
  <c r="AP79" i="1291"/>
  <c r="AQ79" i="1291"/>
  <c r="AR79" i="1291"/>
  <c r="AS79" i="1291"/>
  <c r="AT79" i="1291"/>
  <c r="AU79" i="1291"/>
  <c r="AV79" i="1291"/>
  <c r="AW79" i="1291"/>
  <c r="AX79" i="1291"/>
  <c r="AY79" i="1291"/>
  <c r="AZ79" i="1291"/>
  <c r="BA79" i="1291"/>
  <c r="BB79" i="1291"/>
  <c r="BC79" i="1291"/>
  <c r="BD79" i="1291"/>
  <c r="BE79" i="1291"/>
  <c r="BF79" i="1291"/>
  <c r="BG79" i="1291"/>
  <c r="BH79" i="1291"/>
  <c r="BI79" i="1291"/>
  <c r="BJ79" i="1291"/>
  <c r="BK79" i="1291"/>
  <c r="BL79" i="1291"/>
  <c r="BM79" i="1291"/>
  <c r="BN79" i="1291"/>
  <c r="BO79" i="1291"/>
  <c r="BP79" i="1291"/>
  <c r="BQ79" i="1291"/>
  <c r="BR79" i="1291"/>
  <c r="BS79" i="1291"/>
  <c r="BT79" i="1291"/>
  <c r="BU79" i="1291"/>
  <c r="BV79" i="1291"/>
  <c r="BW79" i="1291"/>
  <c r="BX79" i="1291"/>
  <c r="BY79" i="1291"/>
  <c r="BZ79" i="1291"/>
  <c r="CA79" i="1291"/>
  <c r="CB79" i="1291"/>
  <c r="CC79" i="1291"/>
  <c r="CD79" i="1291"/>
  <c r="CE79" i="1291"/>
  <c r="CF79" i="1291"/>
  <c r="CG79" i="1291"/>
  <c r="CH79" i="1291"/>
  <c r="CI79" i="1291"/>
  <c r="CJ79" i="1291"/>
  <c r="CK79" i="1291"/>
  <c r="CL79" i="1291"/>
  <c r="CM79" i="1291"/>
  <c r="CN79" i="1291"/>
  <c r="CO79" i="1291"/>
  <c r="CP79" i="1291"/>
  <c r="CQ79" i="1291"/>
  <c r="CR79" i="1291"/>
  <c r="CS79" i="1291"/>
  <c r="CT79" i="1291"/>
  <c r="CU79" i="1291"/>
  <c r="CV79" i="1291"/>
  <c r="CW79" i="1291"/>
  <c r="CX79" i="1291"/>
  <c r="CY79" i="1291"/>
  <c r="CZ79" i="1291"/>
  <c r="DA79" i="1291"/>
  <c r="DB79" i="1291"/>
  <c r="DC79" i="1291"/>
  <c r="C80" i="1291"/>
  <c r="D80" i="1291"/>
  <c r="E80" i="1291"/>
  <c r="F80" i="1291"/>
  <c r="G80" i="1291"/>
  <c r="H80" i="1291"/>
  <c r="I80" i="1291"/>
  <c r="J80" i="1291"/>
  <c r="K80" i="1291"/>
  <c r="L80" i="1291"/>
  <c r="M80" i="1291"/>
  <c r="N80" i="1291"/>
  <c r="O80" i="1291"/>
  <c r="P80" i="1291"/>
  <c r="Q80" i="1291"/>
  <c r="R80" i="1291"/>
  <c r="S80" i="1291"/>
  <c r="T80" i="1291"/>
  <c r="U80" i="1291"/>
  <c r="V80" i="1291"/>
  <c r="W80" i="1291"/>
  <c r="X80" i="1291"/>
  <c r="Y80" i="1291"/>
  <c r="Z80" i="1291"/>
  <c r="AA80" i="1291"/>
  <c r="AB80" i="1291"/>
  <c r="AC80" i="1291"/>
  <c r="AD80" i="1291"/>
  <c r="AE80" i="1291"/>
  <c r="AF80" i="1291"/>
  <c r="AG80" i="1291"/>
  <c r="AH80" i="1291"/>
  <c r="AI80" i="1291"/>
  <c r="AJ80" i="1291"/>
  <c r="AK80" i="1291"/>
  <c r="AL80" i="1291"/>
  <c r="AM80" i="1291"/>
  <c r="AN80" i="1291"/>
  <c r="AO80" i="1291"/>
  <c r="AP80" i="1291"/>
  <c r="AQ80" i="1291"/>
  <c r="AR80" i="1291"/>
  <c r="AS80" i="1291"/>
  <c r="AT80" i="1291"/>
  <c r="AU80" i="1291"/>
  <c r="AV80" i="1291"/>
  <c r="AW80" i="1291"/>
  <c r="AX80" i="1291"/>
  <c r="AY80" i="1291"/>
  <c r="AZ80" i="1291"/>
  <c r="BA80" i="1291"/>
  <c r="BB80" i="1291"/>
  <c r="BC80" i="1291"/>
  <c r="BD80" i="1291"/>
  <c r="BE80" i="1291"/>
  <c r="BF80" i="1291"/>
  <c r="BG80" i="1291"/>
  <c r="BH80" i="1291"/>
  <c r="BI80" i="1291"/>
  <c r="BJ80" i="1291"/>
  <c r="BK80" i="1291"/>
  <c r="BL80" i="1291"/>
  <c r="BM80" i="1291"/>
  <c r="BN80" i="1291"/>
  <c r="BO80" i="1291"/>
  <c r="BP80" i="1291"/>
  <c r="BQ80" i="1291"/>
  <c r="BR80" i="1291"/>
  <c r="BS80" i="1291"/>
  <c r="BT80" i="1291"/>
  <c r="BU80" i="1291"/>
  <c r="BV80" i="1291"/>
  <c r="BW80" i="1291"/>
  <c r="BX80" i="1291"/>
  <c r="BY80" i="1291"/>
  <c r="BZ80" i="1291"/>
  <c r="CA80" i="1291"/>
  <c r="CB80" i="1291"/>
  <c r="CC80" i="1291"/>
  <c r="CD80" i="1291"/>
  <c r="CE80" i="1291"/>
  <c r="CF80" i="1291"/>
  <c r="CG80" i="1291"/>
  <c r="CH80" i="1291"/>
  <c r="CI80" i="1291"/>
  <c r="CJ80" i="1291"/>
  <c r="CK80" i="1291"/>
  <c r="CL80" i="1291"/>
  <c r="CM80" i="1291"/>
  <c r="CN80" i="1291"/>
  <c r="CO80" i="1291"/>
  <c r="CP80" i="1291"/>
  <c r="CQ80" i="1291"/>
  <c r="CR80" i="1291"/>
  <c r="CS80" i="1291"/>
  <c r="CT80" i="1291"/>
  <c r="CU80" i="1291"/>
  <c r="CV80" i="1291"/>
  <c r="CW80" i="1291"/>
  <c r="CX80" i="1291"/>
  <c r="CY80" i="1291"/>
  <c r="CZ80" i="1291"/>
  <c r="DA80" i="1291"/>
  <c r="DB80" i="1291"/>
  <c r="DC80" i="1291"/>
  <c r="C81" i="1291"/>
  <c r="D81" i="1291"/>
  <c r="E81" i="1291"/>
  <c r="F81" i="1291"/>
  <c r="G81" i="1291"/>
  <c r="H81" i="1291"/>
  <c r="I81" i="1291"/>
  <c r="J81" i="1291"/>
  <c r="K81" i="1291"/>
  <c r="L81" i="1291"/>
  <c r="M81" i="1291"/>
  <c r="N81" i="1291"/>
  <c r="O81" i="1291"/>
  <c r="P81" i="1291"/>
  <c r="Q81" i="1291"/>
  <c r="R81" i="1291"/>
  <c r="S81" i="1291"/>
  <c r="T81" i="1291"/>
  <c r="U81" i="1291"/>
  <c r="V81" i="1291"/>
  <c r="W81" i="1291"/>
  <c r="X81" i="1291"/>
  <c r="Y81" i="1291"/>
  <c r="Z81" i="1291"/>
  <c r="AA81" i="1291"/>
  <c r="AB81" i="1291"/>
  <c r="AC81" i="1291"/>
  <c r="AD81" i="1291"/>
  <c r="AE81" i="1291"/>
  <c r="AF81" i="1291"/>
  <c r="AG81" i="1291"/>
  <c r="AH81" i="1291"/>
  <c r="AI81" i="1291"/>
  <c r="AJ81" i="1291"/>
  <c r="AK81" i="1291"/>
  <c r="AL81" i="1291"/>
  <c r="AM81" i="1291"/>
  <c r="AN81" i="1291"/>
  <c r="AO81" i="1291"/>
  <c r="AP81" i="1291"/>
  <c r="AQ81" i="1291"/>
  <c r="AR81" i="1291"/>
  <c r="AS81" i="1291"/>
  <c r="AT81" i="1291"/>
  <c r="AU81" i="1291"/>
  <c r="AV81" i="1291"/>
  <c r="AW81" i="1291"/>
  <c r="AX81" i="1291"/>
  <c r="AY81" i="1291"/>
  <c r="AZ81" i="1291"/>
  <c r="BA81" i="1291"/>
  <c r="BB81" i="1291"/>
  <c r="BC81" i="1291"/>
  <c r="BD81" i="1291"/>
  <c r="BE81" i="1291"/>
  <c r="BF81" i="1291"/>
  <c r="BG81" i="1291"/>
  <c r="BH81" i="1291"/>
  <c r="BI81" i="1291"/>
  <c r="BJ81" i="1291"/>
  <c r="BK81" i="1291"/>
  <c r="BL81" i="1291"/>
  <c r="BM81" i="1291"/>
  <c r="BN81" i="1291"/>
  <c r="BO81" i="1291"/>
  <c r="BP81" i="1291"/>
  <c r="BQ81" i="1291"/>
  <c r="BR81" i="1291"/>
  <c r="BS81" i="1291"/>
  <c r="BT81" i="1291"/>
  <c r="BU81" i="1291"/>
  <c r="BV81" i="1291"/>
  <c r="BW81" i="1291"/>
  <c r="BX81" i="1291"/>
  <c r="BY81" i="1291"/>
  <c r="BZ81" i="1291"/>
  <c r="CA81" i="1291"/>
  <c r="CB81" i="1291"/>
  <c r="CC81" i="1291"/>
  <c r="CD81" i="1291"/>
  <c r="CE81" i="1291"/>
  <c r="CF81" i="1291"/>
  <c r="CG81" i="1291"/>
  <c r="CH81" i="1291"/>
  <c r="CI81" i="1291"/>
  <c r="CJ81" i="1291"/>
  <c r="CK81" i="1291"/>
  <c r="CL81" i="1291"/>
  <c r="CM81" i="1291"/>
  <c r="CN81" i="1291"/>
  <c r="CO81" i="1291"/>
  <c r="CP81" i="1291"/>
  <c r="CQ81" i="1291"/>
  <c r="CR81" i="1291"/>
  <c r="CS81" i="1291"/>
  <c r="CT81" i="1291"/>
  <c r="CU81" i="1291"/>
  <c r="CV81" i="1291"/>
  <c r="CW81" i="1291"/>
  <c r="CX81" i="1291"/>
  <c r="CY81" i="1291"/>
  <c r="CZ81" i="1291"/>
  <c r="DA81" i="1291"/>
  <c r="DB81" i="1291"/>
  <c r="DC81" i="1291"/>
  <c r="C82" i="1291"/>
  <c r="D82" i="1291"/>
  <c r="E82" i="1291"/>
  <c r="F82" i="1291"/>
  <c r="G82" i="1291"/>
  <c r="H82" i="1291"/>
  <c r="I82" i="1291"/>
  <c r="J82" i="1291"/>
  <c r="K82" i="1291"/>
  <c r="L82" i="1291"/>
  <c r="M82" i="1291"/>
  <c r="N82" i="1291"/>
  <c r="O82" i="1291"/>
  <c r="P82" i="1291"/>
  <c r="Q82" i="1291"/>
  <c r="R82" i="1291"/>
  <c r="S82" i="1291"/>
  <c r="T82" i="1291"/>
  <c r="U82" i="1291"/>
  <c r="V82" i="1291"/>
  <c r="W82" i="1291"/>
  <c r="X82" i="1291"/>
  <c r="Y82" i="1291"/>
  <c r="Z82" i="1291"/>
  <c r="AA82" i="1291"/>
  <c r="AB82" i="1291"/>
  <c r="AC82" i="1291"/>
  <c r="AD82" i="1291"/>
  <c r="AE82" i="1291"/>
  <c r="AF82" i="1291"/>
  <c r="AG82" i="1291"/>
  <c r="AH82" i="1291"/>
  <c r="AI82" i="1291"/>
  <c r="AJ82" i="1291"/>
  <c r="AK82" i="1291"/>
  <c r="AL82" i="1291"/>
  <c r="AM82" i="1291"/>
  <c r="AN82" i="1291"/>
  <c r="AO82" i="1291"/>
  <c r="AP82" i="1291"/>
  <c r="AQ82" i="1291"/>
  <c r="AR82" i="1291"/>
  <c r="AS82" i="1291"/>
  <c r="AT82" i="1291"/>
  <c r="AU82" i="1291"/>
  <c r="AV82" i="1291"/>
  <c r="AW82" i="1291"/>
  <c r="AX82" i="1291"/>
  <c r="AY82" i="1291"/>
  <c r="AZ82" i="1291"/>
  <c r="BA82" i="1291"/>
  <c r="BB82" i="1291"/>
  <c r="BC82" i="1291"/>
  <c r="BD82" i="1291"/>
  <c r="BE82" i="1291"/>
  <c r="BF82" i="1291"/>
  <c r="BG82" i="1291"/>
  <c r="BH82" i="1291"/>
  <c r="BI82" i="1291"/>
  <c r="BJ82" i="1291"/>
  <c r="BK82" i="1291"/>
  <c r="BL82" i="1291"/>
  <c r="BM82" i="1291"/>
  <c r="BN82" i="1291"/>
  <c r="BO82" i="1291"/>
  <c r="BP82" i="1291"/>
  <c r="BQ82" i="1291"/>
  <c r="BR82" i="1291"/>
  <c r="BS82" i="1291"/>
  <c r="BT82" i="1291"/>
  <c r="BU82" i="1291"/>
  <c r="BV82" i="1291"/>
  <c r="BW82" i="1291"/>
  <c r="BX82" i="1291"/>
  <c r="BY82" i="1291"/>
  <c r="BZ82" i="1291"/>
  <c r="CA82" i="1291"/>
  <c r="CB82" i="1291"/>
  <c r="CC82" i="1291"/>
  <c r="CD82" i="1291"/>
  <c r="CE82" i="1291"/>
  <c r="CF82" i="1291"/>
  <c r="CG82" i="1291"/>
  <c r="CH82" i="1291"/>
  <c r="CI82" i="1291"/>
  <c r="CJ82" i="1291"/>
  <c r="CK82" i="1291"/>
  <c r="CL82" i="1291"/>
  <c r="CM82" i="1291"/>
  <c r="CN82" i="1291"/>
  <c r="CO82" i="1291"/>
  <c r="CP82" i="1291"/>
  <c r="CQ82" i="1291"/>
  <c r="CR82" i="1291"/>
  <c r="CS82" i="1291"/>
  <c r="CT82" i="1291"/>
  <c r="CU82" i="1291"/>
  <c r="CV82" i="1291"/>
  <c r="CW82" i="1291"/>
  <c r="CX82" i="1291"/>
  <c r="CY82" i="1291"/>
  <c r="CZ82" i="1291"/>
  <c r="DA82" i="1291"/>
  <c r="DB82" i="1291"/>
  <c r="DC82" i="1291"/>
  <c r="C83" i="1291"/>
  <c r="D83" i="1291"/>
  <c r="E83" i="1291"/>
  <c r="F83" i="1291"/>
  <c r="G83" i="1291"/>
  <c r="H83" i="1291"/>
  <c r="I83" i="1291"/>
  <c r="J83" i="1291"/>
  <c r="K83" i="1291"/>
  <c r="L83" i="1291"/>
  <c r="M83" i="1291"/>
  <c r="N83" i="1291"/>
  <c r="O83" i="1291"/>
  <c r="P83" i="1291"/>
  <c r="Q83" i="1291"/>
  <c r="R83" i="1291"/>
  <c r="S83" i="1291"/>
  <c r="T83" i="1291"/>
  <c r="U83" i="1291"/>
  <c r="V83" i="1291"/>
  <c r="W83" i="1291"/>
  <c r="X83" i="1291"/>
  <c r="Y83" i="1291"/>
  <c r="Z83" i="1291"/>
  <c r="AA83" i="1291"/>
  <c r="AB83" i="1291"/>
  <c r="AC83" i="1291"/>
  <c r="AD83" i="1291"/>
  <c r="AE83" i="1291"/>
  <c r="AF83" i="1291"/>
  <c r="AG83" i="1291"/>
  <c r="AH83" i="1291"/>
  <c r="AI83" i="1291"/>
  <c r="AJ83" i="1291"/>
  <c r="AK83" i="1291"/>
  <c r="AL83" i="1291"/>
  <c r="AM83" i="1291"/>
  <c r="AN83" i="1291"/>
  <c r="AO83" i="1291"/>
  <c r="AP83" i="1291"/>
  <c r="AQ83" i="1291"/>
  <c r="AR83" i="1291"/>
  <c r="AS83" i="1291"/>
  <c r="AT83" i="1291"/>
  <c r="AU83" i="1291"/>
  <c r="AV83" i="1291"/>
  <c r="AW83" i="1291"/>
  <c r="AX83" i="1291"/>
  <c r="AY83" i="1291"/>
  <c r="AZ83" i="1291"/>
  <c r="BA83" i="1291"/>
  <c r="BB83" i="1291"/>
  <c r="BC83" i="1291"/>
  <c r="BD83" i="1291"/>
  <c r="BE83" i="1291"/>
  <c r="BF83" i="1291"/>
  <c r="BG83" i="1291"/>
  <c r="BH83" i="1291"/>
  <c r="BI83" i="1291"/>
  <c r="BJ83" i="1291"/>
  <c r="BK83" i="1291"/>
  <c r="BL83" i="1291"/>
  <c r="BM83" i="1291"/>
  <c r="BN83" i="1291"/>
  <c r="BO83" i="1291"/>
  <c r="BP83" i="1291"/>
  <c r="BQ83" i="1291"/>
  <c r="BR83" i="1291"/>
  <c r="BS83" i="1291"/>
  <c r="BT83" i="1291"/>
  <c r="BU83" i="1291"/>
  <c r="BV83" i="1291"/>
  <c r="BW83" i="1291"/>
  <c r="BX83" i="1291"/>
  <c r="BY83" i="1291"/>
  <c r="BZ83" i="1291"/>
  <c r="CA83" i="1291"/>
  <c r="CB83" i="1291"/>
  <c r="CC83" i="1291"/>
  <c r="CD83" i="1291"/>
  <c r="CE83" i="1291"/>
  <c r="CF83" i="1291"/>
  <c r="CG83" i="1291"/>
  <c r="CH83" i="1291"/>
  <c r="CI83" i="1291"/>
  <c r="CJ83" i="1291"/>
  <c r="CK83" i="1291"/>
  <c r="CL83" i="1291"/>
  <c r="CM83" i="1291"/>
  <c r="CN83" i="1291"/>
  <c r="CO83" i="1291"/>
  <c r="CP83" i="1291"/>
  <c r="CQ83" i="1291"/>
  <c r="CR83" i="1291"/>
  <c r="CS83" i="1291"/>
  <c r="CT83" i="1291"/>
  <c r="CU83" i="1291"/>
  <c r="CV83" i="1291"/>
  <c r="CW83" i="1291"/>
  <c r="CX83" i="1291"/>
  <c r="CY83" i="1291"/>
  <c r="CZ83" i="1291"/>
  <c r="DA83" i="1291"/>
  <c r="DB83" i="1291"/>
  <c r="DC83" i="1291"/>
  <c r="C84" i="1291"/>
  <c r="D84" i="1291"/>
  <c r="E84" i="1291"/>
  <c r="F84" i="1291"/>
  <c r="G84" i="1291"/>
  <c r="H84" i="1291"/>
  <c r="I84" i="1291"/>
  <c r="J84" i="1291"/>
  <c r="K84" i="1291"/>
  <c r="L84" i="1291"/>
  <c r="M84" i="1291"/>
  <c r="N84" i="1291"/>
  <c r="O84" i="1291"/>
  <c r="P84" i="1291"/>
  <c r="Q84" i="1291"/>
  <c r="R84" i="1291"/>
  <c r="S84" i="1291"/>
  <c r="T84" i="1291"/>
  <c r="U84" i="1291"/>
  <c r="V84" i="1291"/>
  <c r="W84" i="1291"/>
  <c r="X84" i="1291"/>
  <c r="Y84" i="1291"/>
  <c r="Z84" i="1291"/>
  <c r="AA84" i="1291"/>
  <c r="AB84" i="1291"/>
  <c r="AC84" i="1291"/>
  <c r="AD84" i="1291"/>
  <c r="AE84" i="1291"/>
  <c r="AF84" i="1291"/>
  <c r="AG84" i="1291"/>
  <c r="AH84" i="1291"/>
  <c r="AI84" i="1291"/>
  <c r="AJ84" i="1291"/>
  <c r="AK84" i="1291"/>
  <c r="AL84" i="1291"/>
  <c r="AM84" i="1291"/>
  <c r="AN84" i="1291"/>
  <c r="AO84" i="1291"/>
  <c r="AP84" i="1291"/>
  <c r="AQ84" i="1291"/>
  <c r="AR84" i="1291"/>
  <c r="AS84" i="1291"/>
  <c r="AT84" i="1291"/>
  <c r="AU84" i="1291"/>
  <c r="AV84" i="1291"/>
  <c r="AW84" i="1291"/>
  <c r="AX84" i="1291"/>
  <c r="AY84" i="1291"/>
  <c r="AZ84" i="1291"/>
  <c r="BA84" i="1291"/>
  <c r="BB84" i="1291"/>
  <c r="BC84" i="1291"/>
  <c r="BD84" i="1291"/>
  <c r="BE84" i="1291"/>
  <c r="BF84" i="1291"/>
  <c r="BG84" i="1291"/>
  <c r="BH84" i="1291"/>
  <c r="BI84" i="1291"/>
  <c r="BJ84" i="1291"/>
  <c r="BK84" i="1291"/>
  <c r="BL84" i="1291"/>
  <c r="BM84" i="1291"/>
  <c r="BN84" i="1291"/>
  <c r="BO84" i="1291"/>
  <c r="BP84" i="1291"/>
  <c r="BQ84" i="1291"/>
  <c r="BR84" i="1291"/>
  <c r="BS84" i="1291"/>
  <c r="BT84" i="1291"/>
  <c r="BU84" i="1291"/>
  <c r="BV84" i="1291"/>
  <c r="BW84" i="1291"/>
  <c r="BX84" i="1291"/>
  <c r="BY84" i="1291"/>
  <c r="BZ84" i="1291"/>
  <c r="CA84" i="1291"/>
  <c r="CB84" i="1291"/>
  <c r="CC84" i="1291"/>
  <c r="CD84" i="1291"/>
  <c r="CE84" i="1291"/>
  <c r="CF84" i="1291"/>
  <c r="CG84" i="1291"/>
  <c r="CH84" i="1291"/>
  <c r="CI84" i="1291"/>
  <c r="CJ84" i="1291"/>
  <c r="CK84" i="1291"/>
  <c r="CL84" i="1291"/>
  <c r="CM84" i="1291"/>
  <c r="CN84" i="1291"/>
  <c r="CO84" i="1291"/>
  <c r="CP84" i="1291"/>
  <c r="CQ84" i="1291"/>
  <c r="CR84" i="1291"/>
  <c r="CS84" i="1291"/>
  <c r="CT84" i="1291"/>
  <c r="CU84" i="1291"/>
  <c r="CV84" i="1291"/>
  <c r="CW84" i="1291"/>
  <c r="CX84" i="1291"/>
  <c r="CY84" i="1291"/>
  <c r="CZ84" i="1291"/>
  <c r="DA84" i="1291"/>
  <c r="DB84" i="1291"/>
  <c r="DC84" i="1291"/>
  <c r="C54" i="1291"/>
  <c r="D54" i="1291"/>
  <c r="E54" i="1291"/>
  <c r="F54" i="1291"/>
  <c r="G54" i="1291"/>
  <c r="H54" i="1291"/>
  <c r="I54" i="1291"/>
  <c r="J54" i="1291"/>
  <c r="K54" i="1291"/>
  <c r="L54" i="1291"/>
  <c r="M54" i="1291"/>
  <c r="N54" i="1291"/>
  <c r="O54" i="1291"/>
  <c r="P54" i="1291"/>
  <c r="Q54" i="1291"/>
  <c r="R54" i="1291"/>
  <c r="S54" i="1291"/>
  <c r="T54" i="1291"/>
  <c r="U54" i="1291"/>
  <c r="V54" i="1291"/>
  <c r="W54" i="1291"/>
  <c r="X54" i="1291"/>
  <c r="Y54" i="1291"/>
  <c r="Z54" i="1291"/>
  <c r="AA54" i="1291"/>
  <c r="AB54" i="1291"/>
  <c r="AC54" i="1291"/>
  <c r="AD54" i="1291"/>
  <c r="AE54" i="1291"/>
  <c r="AF54" i="1291"/>
  <c r="AG54" i="1291"/>
  <c r="AH54" i="1291"/>
  <c r="AI54" i="1291"/>
  <c r="AJ54" i="1291"/>
  <c r="AK54" i="1291"/>
  <c r="AL54" i="1291"/>
  <c r="AM54" i="1291"/>
  <c r="AN54" i="1291"/>
  <c r="AO54" i="1291"/>
  <c r="AP54" i="1291"/>
  <c r="AQ54" i="1291"/>
  <c r="AR54" i="1291"/>
  <c r="AS54" i="1291"/>
  <c r="AT54" i="1291"/>
  <c r="AU54" i="1291"/>
  <c r="AV54" i="1291"/>
  <c r="AW54" i="1291"/>
  <c r="AX54" i="1291"/>
  <c r="AY54" i="1291"/>
  <c r="AZ54" i="1291"/>
  <c r="BA54" i="1291"/>
  <c r="BB54" i="1291"/>
  <c r="BC54" i="1291"/>
  <c r="BD54" i="1291"/>
  <c r="BE54" i="1291"/>
  <c r="BF54" i="1291"/>
  <c r="BG54" i="1291"/>
  <c r="BH54" i="1291"/>
  <c r="BI54" i="1291"/>
  <c r="BJ54" i="1291"/>
  <c r="BK54" i="1291"/>
  <c r="BL54" i="1291"/>
  <c r="BM54" i="1291"/>
  <c r="BN54" i="1291"/>
  <c r="BO54" i="1291"/>
  <c r="BP54" i="1291"/>
  <c r="BQ54" i="1291"/>
  <c r="BR54" i="1291"/>
  <c r="BS54" i="1291"/>
  <c r="BT54" i="1291"/>
  <c r="BU54" i="1291"/>
  <c r="BV54" i="1291"/>
  <c r="BW54" i="1291"/>
  <c r="BX54" i="1291"/>
  <c r="BY54" i="1291"/>
  <c r="BZ54" i="1291"/>
  <c r="CA54" i="1291"/>
  <c r="CB54" i="1291"/>
  <c r="CC54" i="1291"/>
  <c r="CD54" i="1291"/>
  <c r="CE54" i="1291"/>
  <c r="CF54" i="1291"/>
  <c r="CG54" i="1291"/>
  <c r="CH54" i="1291"/>
  <c r="CI54" i="1291"/>
  <c r="CJ54" i="1291"/>
  <c r="CK54" i="1291"/>
  <c r="CL54" i="1291"/>
  <c r="CM54" i="1291"/>
  <c r="CN54" i="1291"/>
  <c r="CO54" i="1291"/>
  <c r="CP54" i="1291"/>
  <c r="CQ54" i="1291"/>
  <c r="CR54" i="1291"/>
  <c r="CS54" i="1291"/>
  <c r="CT54" i="1291"/>
  <c r="CU54" i="1291"/>
  <c r="CV54" i="1291"/>
  <c r="CW54" i="1291"/>
  <c r="CX54" i="1291"/>
  <c r="CY54" i="1291"/>
  <c r="CZ54" i="1291"/>
  <c r="DA54" i="1291"/>
  <c r="DB54" i="1291"/>
  <c r="DC54" i="1291"/>
  <c r="C55" i="1291"/>
  <c r="D55" i="1291"/>
  <c r="E55" i="1291"/>
  <c r="F55" i="1291"/>
  <c r="G55" i="1291"/>
  <c r="H55" i="1291"/>
  <c r="I55" i="1291"/>
  <c r="J55" i="1291"/>
  <c r="K55" i="1291"/>
  <c r="L55" i="1291"/>
  <c r="M55" i="1291"/>
  <c r="N55" i="1291"/>
  <c r="O55" i="1291"/>
  <c r="P55" i="1291"/>
  <c r="Q55" i="1291"/>
  <c r="R55" i="1291"/>
  <c r="S55" i="1291"/>
  <c r="T55" i="1291"/>
  <c r="U55" i="1291"/>
  <c r="V55" i="1291"/>
  <c r="W55" i="1291"/>
  <c r="X55" i="1291"/>
  <c r="Y55" i="1291"/>
  <c r="Z55" i="1291"/>
  <c r="AA55" i="1291"/>
  <c r="AB55" i="1291"/>
  <c r="AC55" i="1291"/>
  <c r="AD55" i="1291"/>
  <c r="AE55" i="1291"/>
  <c r="AF55" i="1291"/>
  <c r="AG55" i="1291"/>
  <c r="AH55" i="1291"/>
  <c r="AI55" i="1291"/>
  <c r="AJ55" i="1291"/>
  <c r="AK55" i="1291"/>
  <c r="AL55" i="1291"/>
  <c r="AM55" i="1291"/>
  <c r="AN55" i="1291"/>
  <c r="AO55" i="1291"/>
  <c r="AP55" i="1291"/>
  <c r="AQ55" i="1291"/>
  <c r="AR55" i="1291"/>
  <c r="AS55" i="1291"/>
  <c r="AT55" i="1291"/>
  <c r="AU55" i="1291"/>
  <c r="AV55" i="1291"/>
  <c r="AW55" i="1291"/>
  <c r="AX55" i="1291"/>
  <c r="AY55" i="1291"/>
  <c r="AZ55" i="1291"/>
  <c r="BA55" i="1291"/>
  <c r="BB55" i="1291"/>
  <c r="BC55" i="1291"/>
  <c r="BD55" i="1291"/>
  <c r="BE55" i="1291"/>
  <c r="BF55" i="1291"/>
  <c r="BG55" i="1291"/>
  <c r="BH55" i="1291"/>
  <c r="BI55" i="1291"/>
  <c r="BJ55" i="1291"/>
  <c r="BK55" i="1291"/>
  <c r="BL55" i="1291"/>
  <c r="BM55" i="1291"/>
  <c r="BN55" i="1291"/>
  <c r="BO55" i="1291"/>
  <c r="BP55" i="1291"/>
  <c r="BQ55" i="1291"/>
  <c r="BR55" i="1291"/>
  <c r="BS55" i="1291"/>
  <c r="BT55" i="1291"/>
  <c r="BU55" i="1291"/>
  <c r="BV55" i="1291"/>
  <c r="BW55" i="1291"/>
  <c r="BX55" i="1291"/>
  <c r="BY55" i="1291"/>
  <c r="BZ55" i="1291"/>
  <c r="CA55" i="1291"/>
  <c r="CB55" i="1291"/>
  <c r="CC55" i="1291"/>
  <c r="CD55" i="1291"/>
  <c r="CE55" i="1291"/>
  <c r="CF55" i="1291"/>
  <c r="CG55" i="1291"/>
  <c r="CH55" i="1291"/>
  <c r="CI55" i="1291"/>
  <c r="CJ55" i="1291"/>
  <c r="CK55" i="1291"/>
  <c r="CL55" i="1291"/>
  <c r="CM55" i="1291"/>
  <c r="CN55" i="1291"/>
  <c r="CO55" i="1291"/>
  <c r="CP55" i="1291"/>
  <c r="CQ55" i="1291"/>
  <c r="CR55" i="1291"/>
  <c r="CS55" i="1291"/>
  <c r="CT55" i="1291"/>
  <c r="CU55" i="1291"/>
  <c r="CV55" i="1291"/>
  <c r="CW55" i="1291"/>
  <c r="CX55" i="1291"/>
  <c r="CY55" i="1291"/>
  <c r="CZ55" i="1291"/>
  <c r="DA55" i="1291"/>
  <c r="DB55" i="1291"/>
  <c r="DC55" i="1291"/>
  <c r="C56" i="1291"/>
  <c r="D56" i="1291"/>
  <c r="E56" i="1291"/>
  <c r="F56" i="1291"/>
  <c r="G56" i="1291"/>
  <c r="H56" i="1291"/>
  <c r="I56" i="1291"/>
  <c r="J56" i="1291"/>
  <c r="K56" i="1291"/>
  <c r="L56" i="1291"/>
  <c r="M56" i="1291"/>
  <c r="N56" i="1291"/>
  <c r="O56" i="1291"/>
  <c r="P56" i="1291"/>
  <c r="Q56" i="1291"/>
  <c r="R56" i="1291"/>
  <c r="S56" i="1291"/>
  <c r="T56" i="1291"/>
  <c r="U56" i="1291"/>
  <c r="V56" i="1291"/>
  <c r="W56" i="1291"/>
  <c r="X56" i="1291"/>
  <c r="Y56" i="1291"/>
  <c r="Z56" i="1291"/>
  <c r="AA56" i="1291"/>
  <c r="AB56" i="1291"/>
  <c r="AC56" i="1291"/>
  <c r="AD56" i="1291"/>
  <c r="AE56" i="1291"/>
  <c r="AF56" i="1291"/>
  <c r="AG56" i="1291"/>
  <c r="AH56" i="1291"/>
  <c r="AI56" i="1291"/>
  <c r="AJ56" i="1291"/>
  <c r="AK56" i="1291"/>
  <c r="AL56" i="1291"/>
  <c r="AM56" i="1291"/>
  <c r="AN56" i="1291"/>
  <c r="AO56" i="1291"/>
  <c r="AP56" i="1291"/>
  <c r="AQ56" i="1291"/>
  <c r="AR56" i="1291"/>
  <c r="AS56" i="1291"/>
  <c r="AT56" i="1291"/>
  <c r="AU56" i="1291"/>
  <c r="AV56" i="1291"/>
  <c r="AW56" i="1291"/>
  <c r="AX56" i="1291"/>
  <c r="AY56" i="1291"/>
  <c r="AZ56" i="1291"/>
  <c r="BA56" i="1291"/>
  <c r="BB56" i="1291"/>
  <c r="BC56" i="1291"/>
  <c r="BD56" i="1291"/>
  <c r="BE56" i="1291"/>
  <c r="BF56" i="1291"/>
  <c r="BG56" i="1291"/>
  <c r="BH56" i="1291"/>
  <c r="BI56" i="1291"/>
  <c r="BJ56" i="1291"/>
  <c r="BK56" i="1291"/>
  <c r="BL56" i="1291"/>
  <c r="BM56" i="1291"/>
  <c r="BN56" i="1291"/>
  <c r="BO56" i="1291"/>
  <c r="BP56" i="1291"/>
  <c r="BQ56" i="1291"/>
  <c r="BR56" i="1291"/>
  <c r="BS56" i="1291"/>
  <c r="BT56" i="1291"/>
  <c r="BU56" i="1291"/>
  <c r="BV56" i="1291"/>
  <c r="BW56" i="1291"/>
  <c r="BX56" i="1291"/>
  <c r="BY56" i="1291"/>
  <c r="BZ56" i="1291"/>
  <c r="CA56" i="1291"/>
  <c r="CB56" i="1291"/>
  <c r="CC56" i="1291"/>
  <c r="CD56" i="1291"/>
  <c r="CE56" i="1291"/>
  <c r="CF56" i="1291"/>
  <c r="CG56" i="1291"/>
  <c r="CH56" i="1291"/>
  <c r="CI56" i="1291"/>
  <c r="CJ56" i="1291"/>
  <c r="CK56" i="1291"/>
  <c r="CL56" i="1291"/>
  <c r="CM56" i="1291"/>
  <c r="CN56" i="1291"/>
  <c r="CO56" i="1291"/>
  <c r="CP56" i="1291"/>
  <c r="CQ56" i="1291"/>
  <c r="CR56" i="1291"/>
  <c r="CS56" i="1291"/>
  <c r="CT56" i="1291"/>
  <c r="CU56" i="1291"/>
  <c r="CV56" i="1291"/>
  <c r="CW56" i="1291"/>
  <c r="CX56" i="1291"/>
  <c r="CY56" i="1291"/>
  <c r="CZ56" i="1291"/>
  <c r="DA56" i="1291"/>
  <c r="DB56" i="1291"/>
  <c r="DC56" i="1291"/>
  <c r="C57" i="1291"/>
  <c r="D57" i="1291"/>
  <c r="E57" i="1291"/>
  <c r="F57" i="1291"/>
  <c r="G57" i="1291"/>
  <c r="H57" i="1291"/>
  <c r="I57" i="1291"/>
  <c r="J57" i="1291"/>
  <c r="K57" i="1291"/>
  <c r="L57" i="1291"/>
  <c r="M57" i="1291"/>
  <c r="N57" i="1291"/>
  <c r="O57" i="1291"/>
  <c r="P57" i="1291"/>
  <c r="Q57" i="1291"/>
  <c r="R57" i="1291"/>
  <c r="S57" i="1291"/>
  <c r="T57" i="1291"/>
  <c r="U57" i="1291"/>
  <c r="V57" i="1291"/>
  <c r="W57" i="1291"/>
  <c r="X57" i="1291"/>
  <c r="Y57" i="1291"/>
  <c r="Z57" i="1291"/>
  <c r="AA57" i="1291"/>
  <c r="AB57" i="1291"/>
  <c r="AC57" i="1291"/>
  <c r="AD57" i="1291"/>
  <c r="AE57" i="1291"/>
  <c r="AF57" i="1291"/>
  <c r="AG57" i="1291"/>
  <c r="AH57" i="1291"/>
  <c r="AI57" i="1291"/>
  <c r="AJ57" i="1291"/>
  <c r="AK57" i="1291"/>
  <c r="AL57" i="1291"/>
  <c r="AM57" i="1291"/>
  <c r="AN57" i="1291"/>
  <c r="AO57" i="1291"/>
  <c r="AP57" i="1291"/>
  <c r="AQ57" i="1291"/>
  <c r="AR57" i="1291"/>
  <c r="AS57" i="1291"/>
  <c r="AT57" i="1291"/>
  <c r="AU57" i="1291"/>
  <c r="AV57" i="1291"/>
  <c r="AW57" i="1291"/>
  <c r="AX57" i="1291"/>
  <c r="AY57" i="1291"/>
  <c r="AZ57" i="1291"/>
  <c r="BA57" i="1291"/>
  <c r="BB57" i="1291"/>
  <c r="BC57" i="1291"/>
  <c r="BD57" i="1291"/>
  <c r="BE57" i="1291"/>
  <c r="BF57" i="1291"/>
  <c r="BG57" i="1291"/>
  <c r="BH57" i="1291"/>
  <c r="BI57" i="1291"/>
  <c r="BJ57" i="1291"/>
  <c r="BK57" i="1291"/>
  <c r="BL57" i="1291"/>
  <c r="BM57" i="1291"/>
  <c r="BN57" i="1291"/>
  <c r="BO57" i="1291"/>
  <c r="BP57" i="1291"/>
  <c r="BQ57" i="1291"/>
  <c r="BR57" i="1291"/>
  <c r="BS57" i="1291"/>
  <c r="BT57" i="1291"/>
  <c r="BU57" i="1291"/>
  <c r="BV57" i="1291"/>
  <c r="BW57" i="1291"/>
  <c r="BX57" i="1291"/>
  <c r="BY57" i="1291"/>
  <c r="BZ57" i="1291"/>
  <c r="CA57" i="1291"/>
  <c r="CB57" i="1291"/>
  <c r="CC57" i="1291"/>
  <c r="CD57" i="1291"/>
  <c r="CE57" i="1291"/>
  <c r="CF57" i="1291"/>
  <c r="CG57" i="1291"/>
  <c r="CH57" i="1291"/>
  <c r="CI57" i="1291"/>
  <c r="CJ57" i="1291"/>
  <c r="CK57" i="1291"/>
  <c r="CL57" i="1291"/>
  <c r="CM57" i="1291"/>
  <c r="CN57" i="1291"/>
  <c r="CO57" i="1291"/>
  <c r="CP57" i="1291"/>
  <c r="CQ57" i="1291"/>
  <c r="CR57" i="1291"/>
  <c r="CS57" i="1291"/>
  <c r="CT57" i="1291"/>
  <c r="CU57" i="1291"/>
  <c r="CV57" i="1291"/>
  <c r="CW57" i="1291"/>
  <c r="CX57" i="1291"/>
  <c r="CY57" i="1291"/>
  <c r="CZ57" i="1291"/>
  <c r="DA57" i="1291"/>
  <c r="DB57" i="1291"/>
  <c r="DC57" i="1291"/>
  <c r="C58" i="1291"/>
  <c r="D58" i="1291"/>
  <c r="E58" i="1291"/>
  <c r="F58" i="1291"/>
  <c r="G58" i="1291"/>
  <c r="H58" i="1291"/>
  <c r="I58" i="1291"/>
  <c r="J58" i="1291"/>
  <c r="K58" i="1291"/>
  <c r="L58" i="1291"/>
  <c r="M58" i="1291"/>
  <c r="N58" i="1291"/>
  <c r="O58" i="1291"/>
  <c r="P58" i="1291"/>
  <c r="Q58" i="1291"/>
  <c r="R58" i="1291"/>
  <c r="S58" i="1291"/>
  <c r="T58" i="1291"/>
  <c r="U58" i="1291"/>
  <c r="V58" i="1291"/>
  <c r="W58" i="1291"/>
  <c r="X58" i="1291"/>
  <c r="Y58" i="1291"/>
  <c r="Z58" i="1291"/>
  <c r="AA58" i="1291"/>
  <c r="AB58" i="1291"/>
  <c r="AC58" i="1291"/>
  <c r="AD58" i="1291"/>
  <c r="AE58" i="1291"/>
  <c r="AF58" i="1291"/>
  <c r="AG58" i="1291"/>
  <c r="AH58" i="1291"/>
  <c r="AI58" i="1291"/>
  <c r="AJ58" i="1291"/>
  <c r="AK58" i="1291"/>
  <c r="AL58" i="1291"/>
  <c r="AM58" i="1291"/>
  <c r="AN58" i="1291"/>
  <c r="AO58" i="1291"/>
  <c r="AP58" i="1291"/>
  <c r="AQ58" i="1291"/>
  <c r="AR58" i="1291"/>
  <c r="AS58" i="1291"/>
  <c r="AT58" i="1291"/>
  <c r="AU58" i="1291"/>
  <c r="AV58" i="1291"/>
  <c r="AW58" i="1291"/>
  <c r="AX58" i="1291"/>
  <c r="AY58" i="1291"/>
  <c r="AZ58" i="1291"/>
  <c r="BA58" i="1291"/>
  <c r="BB58" i="1291"/>
  <c r="BC58" i="1291"/>
  <c r="BD58" i="1291"/>
  <c r="BE58" i="1291"/>
  <c r="BF58" i="1291"/>
  <c r="BG58" i="1291"/>
  <c r="BH58" i="1291"/>
  <c r="BI58" i="1291"/>
  <c r="BJ58" i="1291"/>
  <c r="BK58" i="1291"/>
  <c r="BL58" i="1291"/>
  <c r="BM58" i="1291"/>
  <c r="BN58" i="1291"/>
  <c r="BO58" i="1291"/>
  <c r="BP58" i="1291"/>
  <c r="BQ58" i="1291"/>
  <c r="BR58" i="1291"/>
  <c r="BS58" i="1291"/>
  <c r="BT58" i="1291"/>
  <c r="BU58" i="1291"/>
  <c r="BV58" i="1291"/>
  <c r="BW58" i="1291"/>
  <c r="BX58" i="1291"/>
  <c r="BY58" i="1291"/>
  <c r="BZ58" i="1291"/>
  <c r="CA58" i="1291"/>
  <c r="CB58" i="1291"/>
  <c r="CC58" i="1291"/>
  <c r="CD58" i="1291"/>
  <c r="CE58" i="1291"/>
  <c r="CF58" i="1291"/>
  <c r="CG58" i="1291"/>
  <c r="CH58" i="1291"/>
  <c r="CI58" i="1291"/>
  <c r="CJ58" i="1291"/>
  <c r="CK58" i="1291"/>
  <c r="CL58" i="1291"/>
  <c r="CM58" i="1291"/>
  <c r="CN58" i="1291"/>
  <c r="CO58" i="1291"/>
  <c r="CP58" i="1291"/>
  <c r="CQ58" i="1291"/>
  <c r="CR58" i="1291"/>
  <c r="CS58" i="1291"/>
  <c r="CT58" i="1291"/>
  <c r="CU58" i="1291"/>
  <c r="CV58" i="1291"/>
  <c r="CW58" i="1291"/>
  <c r="CX58" i="1291"/>
  <c r="CY58" i="1291"/>
  <c r="CZ58" i="1291"/>
  <c r="DA58" i="1291"/>
  <c r="DB58" i="1291"/>
  <c r="DC58" i="1291"/>
  <c r="C59" i="1291"/>
  <c r="D59" i="1291"/>
  <c r="E59" i="1291"/>
  <c r="F59" i="1291"/>
  <c r="G59" i="1291"/>
  <c r="H59" i="1291"/>
  <c r="I59" i="1291"/>
  <c r="J59" i="1291"/>
  <c r="K59" i="1291"/>
  <c r="L59" i="1291"/>
  <c r="M59" i="1291"/>
  <c r="N59" i="1291"/>
  <c r="O59" i="1291"/>
  <c r="P59" i="1291"/>
  <c r="Q59" i="1291"/>
  <c r="R59" i="1291"/>
  <c r="S59" i="1291"/>
  <c r="T59" i="1291"/>
  <c r="U59" i="1291"/>
  <c r="V59" i="1291"/>
  <c r="W59" i="1291"/>
  <c r="X59" i="1291"/>
  <c r="Y59" i="1291"/>
  <c r="Z59" i="1291"/>
  <c r="AA59" i="1291"/>
  <c r="AB59" i="1291"/>
  <c r="AC59" i="1291"/>
  <c r="AD59" i="1291"/>
  <c r="AE59" i="1291"/>
  <c r="AF59" i="1291"/>
  <c r="AG59" i="1291"/>
  <c r="AH59" i="1291"/>
  <c r="AI59" i="1291"/>
  <c r="AJ59" i="1291"/>
  <c r="AK59" i="1291"/>
  <c r="AL59" i="1291"/>
  <c r="AM59" i="1291"/>
  <c r="AN59" i="1291"/>
  <c r="AO59" i="1291"/>
  <c r="AP59" i="1291"/>
  <c r="AQ59" i="1291"/>
  <c r="AR59" i="1291"/>
  <c r="AS59" i="1291"/>
  <c r="AT59" i="1291"/>
  <c r="AU59" i="1291"/>
  <c r="AV59" i="1291"/>
  <c r="AW59" i="1291"/>
  <c r="AX59" i="1291"/>
  <c r="AY59" i="1291"/>
  <c r="AZ59" i="1291"/>
  <c r="BA59" i="1291"/>
  <c r="BB59" i="1291"/>
  <c r="BC59" i="1291"/>
  <c r="BD59" i="1291"/>
  <c r="BE59" i="1291"/>
  <c r="BF59" i="1291"/>
  <c r="BG59" i="1291"/>
  <c r="BH59" i="1291"/>
  <c r="BI59" i="1291"/>
  <c r="BJ59" i="1291"/>
  <c r="BK59" i="1291"/>
  <c r="BL59" i="1291"/>
  <c r="BM59" i="1291"/>
  <c r="BN59" i="1291"/>
  <c r="BO59" i="1291"/>
  <c r="BP59" i="1291"/>
  <c r="BQ59" i="1291"/>
  <c r="BR59" i="1291"/>
  <c r="BS59" i="1291"/>
  <c r="BT59" i="1291"/>
  <c r="BU59" i="1291"/>
  <c r="BV59" i="1291"/>
  <c r="BW59" i="1291"/>
  <c r="BX59" i="1291"/>
  <c r="BY59" i="1291"/>
  <c r="BZ59" i="1291"/>
  <c r="CA59" i="1291"/>
  <c r="CB59" i="1291"/>
  <c r="CC59" i="1291"/>
  <c r="CD59" i="1291"/>
  <c r="CE59" i="1291"/>
  <c r="CF59" i="1291"/>
  <c r="CG59" i="1291"/>
  <c r="CH59" i="1291"/>
  <c r="CI59" i="1291"/>
  <c r="CJ59" i="1291"/>
  <c r="CK59" i="1291"/>
  <c r="CL59" i="1291"/>
  <c r="CM59" i="1291"/>
  <c r="CN59" i="1291"/>
  <c r="CO59" i="1291"/>
  <c r="CP59" i="1291"/>
  <c r="CQ59" i="1291"/>
  <c r="CR59" i="1291"/>
  <c r="CS59" i="1291"/>
  <c r="CT59" i="1291"/>
  <c r="CU59" i="1291"/>
  <c r="CV59" i="1291"/>
  <c r="CW59" i="1291"/>
  <c r="CX59" i="1291"/>
  <c r="CY59" i="1291"/>
  <c r="CZ59" i="1291"/>
  <c r="DA59" i="1291"/>
  <c r="DB59" i="1291"/>
  <c r="DC59" i="1291"/>
  <c r="C60" i="1291"/>
  <c r="D60" i="1291"/>
  <c r="E60" i="1291"/>
  <c r="F60" i="1291"/>
  <c r="G60" i="1291"/>
  <c r="H60" i="1291"/>
  <c r="I60" i="1291"/>
  <c r="J60" i="1291"/>
  <c r="K60" i="1291"/>
  <c r="L60" i="1291"/>
  <c r="M60" i="1291"/>
  <c r="N60" i="1291"/>
  <c r="O60" i="1291"/>
  <c r="P60" i="1291"/>
  <c r="Q60" i="1291"/>
  <c r="R60" i="1291"/>
  <c r="S60" i="1291"/>
  <c r="T60" i="1291"/>
  <c r="U60" i="1291"/>
  <c r="V60" i="1291"/>
  <c r="W60" i="1291"/>
  <c r="X60" i="1291"/>
  <c r="Y60" i="1291"/>
  <c r="Z60" i="1291"/>
  <c r="AA60" i="1291"/>
  <c r="AB60" i="1291"/>
  <c r="AC60" i="1291"/>
  <c r="AD60" i="1291"/>
  <c r="AE60" i="1291"/>
  <c r="AF60" i="1291"/>
  <c r="AG60" i="1291"/>
  <c r="AH60" i="1291"/>
  <c r="AI60" i="1291"/>
  <c r="AJ60" i="1291"/>
  <c r="AK60" i="1291"/>
  <c r="AL60" i="1291"/>
  <c r="AM60" i="1291"/>
  <c r="AN60" i="1291"/>
  <c r="AO60" i="1291"/>
  <c r="AP60" i="1291"/>
  <c r="AQ60" i="1291"/>
  <c r="AR60" i="1291"/>
  <c r="AS60" i="1291"/>
  <c r="AT60" i="1291"/>
  <c r="AU60" i="1291"/>
  <c r="AV60" i="1291"/>
  <c r="AW60" i="1291"/>
  <c r="AX60" i="1291"/>
  <c r="AY60" i="1291"/>
  <c r="AZ60" i="1291"/>
  <c r="BA60" i="1291"/>
  <c r="BB60" i="1291"/>
  <c r="BC60" i="1291"/>
  <c r="BD60" i="1291"/>
  <c r="BE60" i="1291"/>
  <c r="BF60" i="1291"/>
  <c r="BG60" i="1291"/>
  <c r="BH60" i="1291"/>
  <c r="BI60" i="1291"/>
  <c r="BJ60" i="1291"/>
  <c r="BK60" i="1291"/>
  <c r="BL60" i="1291"/>
  <c r="BM60" i="1291"/>
  <c r="BN60" i="1291"/>
  <c r="BO60" i="1291"/>
  <c r="BP60" i="1291"/>
  <c r="BQ60" i="1291"/>
  <c r="BR60" i="1291"/>
  <c r="BS60" i="1291"/>
  <c r="BT60" i="1291"/>
  <c r="BU60" i="1291"/>
  <c r="BV60" i="1291"/>
  <c r="BW60" i="1291"/>
  <c r="BX60" i="1291"/>
  <c r="BY60" i="1291"/>
  <c r="BZ60" i="1291"/>
  <c r="CA60" i="1291"/>
  <c r="CB60" i="1291"/>
  <c r="CC60" i="1291"/>
  <c r="CD60" i="1291"/>
  <c r="CE60" i="1291"/>
  <c r="CF60" i="1291"/>
  <c r="CG60" i="1291"/>
  <c r="CH60" i="1291"/>
  <c r="CI60" i="1291"/>
  <c r="CJ60" i="1291"/>
  <c r="CK60" i="1291"/>
  <c r="CL60" i="1291"/>
  <c r="CM60" i="1291"/>
  <c r="CN60" i="1291"/>
  <c r="CO60" i="1291"/>
  <c r="CP60" i="1291"/>
  <c r="CQ60" i="1291"/>
  <c r="CR60" i="1291"/>
  <c r="CS60" i="1291"/>
  <c r="CT60" i="1291"/>
  <c r="CU60" i="1291"/>
  <c r="CV60" i="1291"/>
  <c r="CW60" i="1291"/>
  <c r="CX60" i="1291"/>
  <c r="CY60" i="1291"/>
  <c r="CZ60" i="1291"/>
  <c r="DA60" i="1291"/>
  <c r="DB60" i="1291"/>
  <c r="DC60" i="1291"/>
  <c r="C61" i="1291"/>
  <c r="D61" i="1291"/>
  <c r="E61" i="1291"/>
  <c r="F61" i="1291"/>
  <c r="G61" i="1291"/>
  <c r="H61" i="1291"/>
  <c r="I61" i="1291"/>
  <c r="J61" i="1291"/>
  <c r="K61" i="1291"/>
  <c r="L61" i="1291"/>
  <c r="M61" i="1291"/>
  <c r="N61" i="1291"/>
  <c r="O61" i="1291"/>
  <c r="P61" i="1291"/>
  <c r="Q61" i="1291"/>
  <c r="R61" i="1291"/>
  <c r="S61" i="1291"/>
  <c r="T61" i="1291"/>
  <c r="U61" i="1291"/>
  <c r="V61" i="1291"/>
  <c r="W61" i="1291"/>
  <c r="X61" i="1291"/>
  <c r="Y61" i="1291"/>
  <c r="Z61" i="1291"/>
  <c r="AA61" i="1291"/>
  <c r="AB61" i="1291"/>
  <c r="AC61" i="1291"/>
  <c r="AD61" i="1291"/>
  <c r="AE61" i="1291"/>
  <c r="AF61" i="1291"/>
  <c r="AG61" i="1291"/>
  <c r="AH61" i="1291"/>
  <c r="AI61" i="1291"/>
  <c r="AJ61" i="1291"/>
  <c r="AK61" i="1291"/>
  <c r="AL61" i="1291"/>
  <c r="AM61" i="1291"/>
  <c r="AN61" i="1291"/>
  <c r="AO61" i="1291"/>
  <c r="AP61" i="1291"/>
  <c r="AQ61" i="1291"/>
  <c r="AR61" i="1291"/>
  <c r="AS61" i="1291"/>
  <c r="AT61" i="1291"/>
  <c r="AU61" i="1291"/>
  <c r="AV61" i="1291"/>
  <c r="AW61" i="1291"/>
  <c r="AX61" i="1291"/>
  <c r="AY61" i="1291"/>
  <c r="AZ61" i="1291"/>
  <c r="BA61" i="1291"/>
  <c r="BB61" i="1291"/>
  <c r="BC61" i="1291"/>
  <c r="BD61" i="1291"/>
  <c r="BE61" i="1291"/>
  <c r="BF61" i="1291"/>
  <c r="BG61" i="1291"/>
  <c r="BH61" i="1291"/>
  <c r="BI61" i="1291"/>
  <c r="BJ61" i="1291"/>
  <c r="BK61" i="1291"/>
  <c r="BL61" i="1291"/>
  <c r="BM61" i="1291"/>
  <c r="BN61" i="1291"/>
  <c r="BO61" i="1291"/>
  <c r="BP61" i="1291"/>
  <c r="BQ61" i="1291"/>
  <c r="BR61" i="1291"/>
  <c r="BS61" i="1291"/>
  <c r="BT61" i="1291"/>
  <c r="BU61" i="1291"/>
  <c r="BV61" i="1291"/>
  <c r="BW61" i="1291"/>
  <c r="BX61" i="1291"/>
  <c r="BY61" i="1291"/>
  <c r="BZ61" i="1291"/>
  <c r="CA61" i="1291"/>
  <c r="CB61" i="1291"/>
  <c r="CC61" i="1291"/>
  <c r="CD61" i="1291"/>
  <c r="CE61" i="1291"/>
  <c r="CF61" i="1291"/>
  <c r="CG61" i="1291"/>
  <c r="CH61" i="1291"/>
  <c r="CI61" i="1291"/>
  <c r="CJ61" i="1291"/>
  <c r="CK61" i="1291"/>
  <c r="CL61" i="1291"/>
  <c r="CM61" i="1291"/>
  <c r="CN61" i="1291"/>
  <c r="CO61" i="1291"/>
  <c r="CP61" i="1291"/>
  <c r="CQ61" i="1291"/>
  <c r="CR61" i="1291"/>
  <c r="CS61" i="1291"/>
  <c r="CT61" i="1291"/>
  <c r="CU61" i="1291"/>
  <c r="CV61" i="1291"/>
  <c r="CW61" i="1291"/>
  <c r="CX61" i="1291"/>
  <c r="CY61" i="1291"/>
  <c r="CZ61" i="1291"/>
  <c r="DA61" i="1291"/>
  <c r="DB61" i="1291"/>
  <c r="DC61" i="1291"/>
  <c r="C62" i="1291"/>
  <c r="D62" i="1291"/>
  <c r="E62" i="1291"/>
  <c r="F62" i="1291"/>
  <c r="G62" i="1291"/>
  <c r="H62" i="1291"/>
  <c r="I62" i="1291"/>
  <c r="J62" i="1291"/>
  <c r="K62" i="1291"/>
  <c r="L62" i="1291"/>
  <c r="M62" i="1291"/>
  <c r="N62" i="1291"/>
  <c r="O62" i="1291"/>
  <c r="P62" i="1291"/>
  <c r="Q62" i="1291"/>
  <c r="R62" i="1291"/>
  <c r="S62" i="1291"/>
  <c r="T62" i="1291"/>
  <c r="U62" i="1291"/>
  <c r="V62" i="1291"/>
  <c r="W62" i="1291"/>
  <c r="X62" i="1291"/>
  <c r="Y62" i="1291"/>
  <c r="Z62" i="1291"/>
  <c r="AA62" i="1291"/>
  <c r="AB62" i="1291"/>
  <c r="AC62" i="1291"/>
  <c r="AD62" i="1291"/>
  <c r="AE62" i="1291"/>
  <c r="AF62" i="1291"/>
  <c r="AG62" i="1291"/>
  <c r="AH62" i="1291"/>
  <c r="AI62" i="1291"/>
  <c r="AJ62" i="1291"/>
  <c r="AK62" i="1291"/>
  <c r="AL62" i="1291"/>
  <c r="AM62" i="1291"/>
  <c r="AN62" i="1291"/>
  <c r="AO62" i="1291"/>
  <c r="AP62" i="1291"/>
  <c r="AQ62" i="1291"/>
  <c r="AR62" i="1291"/>
  <c r="AS62" i="1291"/>
  <c r="AT62" i="1291"/>
  <c r="AU62" i="1291"/>
  <c r="AV62" i="1291"/>
  <c r="AW62" i="1291"/>
  <c r="AX62" i="1291"/>
  <c r="AY62" i="1291"/>
  <c r="AZ62" i="1291"/>
  <c r="BA62" i="1291"/>
  <c r="BB62" i="1291"/>
  <c r="BC62" i="1291"/>
  <c r="BD62" i="1291"/>
  <c r="BE62" i="1291"/>
  <c r="BF62" i="1291"/>
  <c r="BG62" i="1291"/>
  <c r="BH62" i="1291"/>
  <c r="BI62" i="1291"/>
  <c r="BJ62" i="1291"/>
  <c r="BK62" i="1291"/>
  <c r="BL62" i="1291"/>
  <c r="BM62" i="1291"/>
  <c r="BN62" i="1291"/>
  <c r="BO62" i="1291"/>
  <c r="BP62" i="1291"/>
  <c r="BQ62" i="1291"/>
  <c r="BR62" i="1291"/>
  <c r="BS62" i="1291"/>
  <c r="BT62" i="1291"/>
  <c r="BU62" i="1291"/>
  <c r="BV62" i="1291"/>
  <c r="BW62" i="1291"/>
  <c r="BX62" i="1291"/>
  <c r="BY62" i="1291"/>
  <c r="BZ62" i="1291"/>
  <c r="CA62" i="1291"/>
  <c r="CB62" i="1291"/>
  <c r="CC62" i="1291"/>
  <c r="CD62" i="1291"/>
  <c r="CE62" i="1291"/>
  <c r="CF62" i="1291"/>
  <c r="CG62" i="1291"/>
  <c r="CH62" i="1291"/>
  <c r="CI62" i="1291"/>
  <c r="CJ62" i="1291"/>
  <c r="CK62" i="1291"/>
  <c r="CL62" i="1291"/>
  <c r="CM62" i="1291"/>
  <c r="CN62" i="1291"/>
  <c r="CO62" i="1291"/>
  <c r="CP62" i="1291"/>
  <c r="CQ62" i="1291"/>
  <c r="CR62" i="1291"/>
  <c r="CS62" i="1291"/>
  <c r="CT62" i="1291"/>
  <c r="CU62" i="1291"/>
  <c r="CV62" i="1291"/>
  <c r="CW62" i="1291"/>
  <c r="CX62" i="1291"/>
  <c r="CY62" i="1291"/>
  <c r="CZ62" i="1291"/>
  <c r="DA62" i="1291"/>
  <c r="DB62" i="1291"/>
  <c r="DC62" i="1291"/>
  <c r="C63" i="1291"/>
  <c r="D63" i="1291"/>
  <c r="E63" i="1291"/>
  <c r="F63" i="1291"/>
  <c r="G63" i="1291"/>
  <c r="H63" i="1291"/>
  <c r="I63" i="1291"/>
  <c r="J63" i="1291"/>
  <c r="K63" i="1291"/>
  <c r="L63" i="1291"/>
  <c r="M63" i="1291"/>
  <c r="N63" i="1291"/>
  <c r="O63" i="1291"/>
  <c r="P63" i="1291"/>
  <c r="Q63" i="1291"/>
  <c r="R63" i="1291"/>
  <c r="S63" i="1291"/>
  <c r="T63" i="1291"/>
  <c r="U63" i="1291"/>
  <c r="V63" i="1291"/>
  <c r="W63" i="1291"/>
  <c r="X63" i="1291"/>
  <c r="Y63" i="1291"/>
  <c r="Z63" i="1291"/>
  <c r="AA63" i="1291"/>
  <c r="AB63" i="1291"/>
  <c r="AC63" i="1291"/>
  <c r="AD63" i="1291"/>
  <c r="AE63" i="1291"/>
  <c r="AF63" i="1291"/>
  <c r="AG63" i="1291"/>
  <c r="AH63" i="1291"/>
  <c r="AI63" i="1291"/>
  <c r="AJ63" i="1291"/>
  <c r="AK63" i="1291"/>
  <c r="AL63" i="1291"/>
  <c r="AM63" i="1291"/>
  <c r="AN63" i="1291"/>
  <c r="AO63" i="1291"/>
  <c r="AP63" i="1291"/>
  <c r="AQ63" i="1291"/>
  <c r="AR63" i="1291"/>
  <c r="AS63" i="1291"/>
  <c r="AT63" i="1291"/>
  <c r="AU63" i="1291"/>
  <c r="AV63" i="1291"/>
  <c r="AW63" i="1291"/>
  <c r="AX63" i="1291"/>
  <c r="AY63" i="1291"/>
  <c r="AZ63" i="1291"/>
  <c r="BA63" i="1291"/>
  <c r="BB63" i="1291"/>
  <c r="BC63" i="1291"/>
  <c r="BD63" i="1291"/>
  <c r="BE63" i="1291"/>
  <c r="BF63" i="1291"/>
  <c r="BG63" i="1291"/>
  <c r="BH63" i="1291"/>
  <c r="BI63" i="1291"/>
  <c r="BJ63" i="1291"/>
  <c r="BK63" i="1291"/>
  <c r="BL63" i="1291"/>
  <c r="BM63" i="1291"/>
  <c r="BN63" i="1291"/>
  <c r="BO63" i="1291"/>
  <c r="BP63" i="1291"/>
  <c r="BQ63" i="1291"/>
  <c r="BR63" i="1291"/>
  <c r="BS63" i="1291"/>
  <c r="BT63" i="1291"/>
  <c r="BU63" i="1291"/>
  <c r="BV63" i="1291"/>
  <c r="BW63" i="1291"/>
  <c r="BX63" i="1291"/>
  <c r="BY63" i="1291"/>
  <c r="BZ63" i="1291"/>
  <c r="CA63" i="1291"/>
  <c r="CB63" i="1291"/>
  <c r="CC63" i="1291"/>
  <c r="CD63" i="1291"/>
  <c r="CE63" i="1291"/>
  <c r="CF63" i="1291"/>
  <c r="CG63" i="1291"/>
  <c r="CH63" i="1291"/>
  <c r="CI63" i="1291"/>
  <c r="CJ63" i="1291"/>
  <c r="CK63" i="1291"/>
  <c r="CL63" i="1291"/>
  <c r="CM63" i="1291"/>
  <c r="CN63" i="1291"/>
  <c r="CO63" i="1291"/>
  <c r="CP63" i="1291"/>
  <c r="CQ63" i="1291"/>
  <c r="CR63" i="1291"/>
  <c r="CS63" i="1291"/>
  <c r="CT63" i="1291"/>
  <c r="CU63" i="1291"/>
  <c r="CV63" i="1291"/>
  <c r="CW63" i="1291"/>
  <c r="CX63" i="1291"/>
  <c r="CY63" i="1291"/>
  <c r="CZ63" i="1291"/>
  <c r="DA63" i="1291"/>
  <c r="DB63" i="1291"/>
  <c r="DC63" i="1291"/>
  <c r="C64" i="1291"/>
  <c r="D64" i="1291"/>
  <c r="E64" i="1291"/>
  <c r="F64" i="1291"/>
  <c r="G64" i="1291"/>
  <c r="H64" i="1291"/>
  <c r="I64" i="1291"/>
  <c r="J64" i="1291"/>
  <c r="K64" i="1291"/>
  <c r="L64" i="1291"/>
  <c r="M64" i="1291"/>
  <c r="N64" i="1291"/>
  <c r="O64" i="1291"/>
  <c r="P64" i="1291"/>
  <c r="Q64" i="1291"/>
  <c r="R64" i="1291"/>
  <c r="S64" i="1291"/>
  <c r="T64" i="1291"/>
  <c r="U64" i="1291"/>
  <c r="V64" i="1291"/>
  <c r="W64" i="1291"/>
  <c r="X64" i="1291"/>
  <c r="Y64" i="1291"/>
  <c r="Z64" i="1291"/>
  <c r="AA64" i="1291"/>
  <c r="AB64" i="1291"/>
  <c r="AC64" i="1291"/>
  <c r="AD64" i="1291"/>
  <c r="AE64" i="1291"/>
  <c r="AF64" i="1291"/>
  <c r="AG64" i="1291"/>
  <c r="AH64" i="1291"/>
  <c r="AI64" i="1291"/>
  <c r="AJ64" i="1291"/>
  <c r="AK64" i="1291"/>
  <c r="AL64" i="1291"/>
  <c r="AM64" i="1291"/>
  <c r="AN64" i="1291"/>
  <c r="AO64" i="1291"/>
  <c r="AP64" i="1291"/>
  <c r="AQ64" i="1291"/>
  <c r="AR64" i="1291"/>
  <c r="AS64" i="1291"/>
  <c r="AT64" i="1291"/>
  <c r="AU64" i="1291"/>
  <c r="AV64" i="1291"/>
  <c r="AW64" i="1291"/>
  <c r="AX64" i="1291"/>
  <c r="AY64" i="1291"/>
  <c r="AZ64" i="1291"/>
  <c r="BA64" i="1291"/>
  <c r="BB64" i="1291"/>
  <c r="BC64" i="1291"/>
  <c r="BD64" i="1291"/>
  <c r="BE64" i="1291"/>
  <c r="BF64" i="1291"/>
  <c r="BG64" i="1291"/>
  <c r="BH64" i="1291"/>
  <c r="BI64" i="1291"/>
  <c r="BJ64" i="1291"/>
  <c r="BK64" i="1291"/>
  <c r="BL64" i="1291"/>
  <c r="BM64" i="1291"/>
  <c r="BN64" i="1291"/>
  <c r="BO64" i="1291"/>
  <c r="BP64" i="1291"/>
  <c r="BQ64" i="1291"/>
  <c r="BR64" i="1291"/>
  <c r="BS64" i="1291"/>
  <c r="BT64" i="1291"/>
  <c r="BU64" i="1291"/>
  <c r="BV64" i="1291"/>
  <c r="BW64" i="1291"/>
  <c r="BX64" i="1291"/>
  <c r="BY64" i="1291"/>
  <c r="BZ64" i="1291"/>
  <c r="CA64" i="1291"/>
  <c r="CB64" i="1291"/>
  <c r="CC64" i="1291"/>
  <c r="CD64" i="1291"/>
  <c r="CE64" i="1291"/>
  <c r="CF64" i="1291"/>
  <c r="CG64" i="1291"/>
  <c r="CH64" i="1291"/>
  <c r="CI64" i="1291"/>
  <c r="CJ64" i="1291"/>
  <c r="CK64" i="1291"/>
  <c r="CL64" i="1291"/>
  <c r="CM64" i="1291"/>
  <c r="CN64" i="1291"/>
  <c r="CO64" i="1291"/>
  <c r="CP64" i="1291"/>
  <c r="CQ64" i="1291"/>
  <c r="CR64" i="1291"/>
  <c r="CS64" i="1291"/>
  <c r="CT64" i="1291"/>
  <c r="CU64" i="1291"/>
  <c r="CV64" i="1291"/>
  <c r="CW64" i="1291"/>
  <c r="CX64" i="1291"/>
  <c r="CY64" i="1291"/>
  <c r="CZ64" i="1291"/>
  <c r="DA64" i="1291"/>
  <c r="DB64" i="1291"/>
  <c r="DC64" i="1291"/>
  <c r="C65" i="1291"/>
  <c r="D65" i="1291"/>
  <c r="E65" i="1291"/>
  <c r="F65" i="1291"/>
  <c r="G65" i="1291"/>
  <c r="H65" i="1291"/>
  <c r="I65" i="1291"/>
  <c r="J65" i="1291"/>
  <c r="K65" i="1291"/>
  <c r="L65" i="1291"/>
  <c r="M65" i="1291"/>
  <c r="N65" i="1291"/>
  <c r="O65" i="1291"/>
  <c r="P65" i="1291"/>
  <c r="Q65" i="1291"/>
  <c r="R65" i="1291"/>
  <c r="S65" i="1291"/>
  <c r="T65" i="1291"/>
  <c r="U65" i="1291"/>
  <c r="V65" i="1291"/>
  <c r="W65" i="1291"/>
  <c r="X65" i="1291"/>
  <c r="Y65" i="1291"/>
  <c r="Z65" i="1291"/>
  <c r="AA65" i="1291"/>
  <c r="AB65" i="1291"/>
  <c r="AC65" i="1291"/>
  <c r="AD65" i="1291"/>
  <c r="AE65" i="1291"/>
  <c r="AF65" i="1291"/>
  <c r="AG65" i="1291"/>
  <c r="AH65" i="1291"/>
  <c r="AI65" i="1291"/>
  <c r="AJ65" i="1291"/>
  <c r="AK65" i="1291"/>
  <c r="AL65" i="1291"/>
  <c r="AM65" i="1291"/>
  <c r="AN65" i="1291"/>
  <c r="AO65" i="1291"/>
  <c r="AP65" i="1291"/>
  <c r="AQ65" i="1291"/>
  <c r="AR65" i="1291"/>
  <c r="AS65" i="1291"/>
  <c r="AT65" i="1291"/>
  <c r="AU65" i="1291"/>
  <c r="AV65" i="1291"/>
  <c r="AW65" i="1291"/>
  <c r="AX65" i="1291"/>
  <c r="AY65" i="1291"/>
  <c r="AZ65" i="1291"/>
  <c r="BA65" i="1291"/>
  <c r="BB65" i="1291"/>
  <c r="BC65" i="1291"/>
  <c r="BD65" i="1291"/>
  <c r="BE65" i="1291"/>
  <c r="BF65" i="1291"/>
  <c r="BG65" i="1291"/>
  <c r="BH65" i="1291"/>
  <c r="BI65" i="1291"/>
  <c r="BJ65" i="1291"/>
  <c r="BK65" i="1291"/>
  <c r="BL65" i="1291"/>
  <c r="BM65" i="1291"/>
  <c r="BN65" i="1291"/>
  <c r="BO65" i="1291"/>
  <c r="BP65" i="1291"/>
  <c r="BQ65" i="1291"/>
  <c r="BR65" i="1291"/>
  <c r="BS65" i="1291"/>
  <c r="BT65" i="1291"/>
  <c r="BU65" i="1291"/>
  <c r="BV65" i="1291"/>
  <c r="BW65" i="1291"/>
  <c r="BX65" i="1291"/>
  <c r="BY65" i="1291"/>
  <c r="BZ65" i="1291"/>
  <c r="CA65" i="1291"/>
  <c r="CB65" i="1291"/>
  <c r="CC65" i="1291"/>
  <c r="CD65" i="1291"/>
  <c r="CE65" i="1291"/>
  <c r="CF65" i="1291"/>
  <c r="CG65" i="1291"/>
  <c r="CH65" i="1291"/>
  <c r="CI65" i="1291"/>
  <c r="CJ65" i="1291"/>
  <c r="CK65" i="1291"/>
  <c r="CL65" i="1291"/>
  <c r="CM65" i="1291"/>
  <c r="CN65" i="1291"/>
  <c r="CO65" i="1291"/>
  <c r="CP65" i="1291"/>
  <c r="CQ65" i="1291"/>
  <c r="CR65" i="1291"/>
  <c r="CS65" i="1291"/>
  <c r="CT65" i="1291"/>
  <c r="CU65" i="1291"/>
  <c r="CV65" i="1291"/>
  <c r="CW65" i="1291"/>
  <c r="CX65" i="1291"/>
  <c r="CY65" i="1291"/>
  <c r="CZ65" i="1291"/>
  <c r="DA65" i="1291"/>
  <c r="DB65" i="1291"/>
  <c r="DC65" i="1291"/>
  <c r="C66" i="1291"/>
  <c r="D66" i="1291"/>
  <c r="E66" i="1291"/>
  <c r="F66" i="1291"/>
  <c r="G66" i="1291"/>
  <c r="H66" i="1291"/>
  <c r="I66" i="1291"/>
  <c r="J66" i="1291"/>
  <c r="K66" i="1291"/>
  <c r="L66" i="1291"/>
  <c r="M66" i="1291"/>
  <c r="N66" i="1291"/>
  <c r="O66" i="1291"/>
  <c r="P66" i="1291"/>
  <c r="Q66" i="1291"/>
  <c r="R66" i="1291"/>
  <c r="S66" i="1291"/>
  <c r="T66" i="1291"/>
  <c r="U66" i="1291"/>
  <c r="V66" i="1291"/>
  <c r="W66" i="1291"/>
  <c r="X66" i="1291"/>
  <c r="Y66" i="1291"/>
  <c r="Z66" i="1291"/>
  <c r="AA66" i="1291"/>
  <c r="AB66" i="1291"/>
  <c r="AC66" i="1291"/>
  <c r="AD66" i="1291"/>
  <c r="AE66" i="1291"/>
  <c r="AF66" i="1291"/>
  <c r="AG66" i="1291"/>
  <c r="AH66" i="1291"/>
  <c r="AI66" i="1291"/>
  <c r="AJ66" i="1291"/>
  <c r="AK66" i="1291"/>
  <c r="AL66" i="1291"/>
  <c r="AM66" i="1291"/>
  <c r="AN66" i="1291"/>
  <c r="AO66" i="1291"/>
  <c r="AP66" i="1291"/>
  <c r="AQ66" i="1291"/>
  <c r="AR66" i="1291"/>
  <c r="AS66" i="1291"/>
  <c r="AT66" i="1291"/>
  <c r="AU66" i="1291"/>
  <c r="AV66" i="1291"/>
  <c r="AW66" i="1291"/>
  <c r="AX66" i="1291"/>
  <c r="AY66" i="1291"/>
  <c r="AZ66" i="1291"/>
  <c r="BA66" i="1291"/>
  <c r="BB66" i="1291"/>
  <c r="BC66" i="1291"/>
  <c r="BD66" i="1291"/>
  <c r="BE66" i="1291"/>
  <c r="BF66" i="1291"/>
  <c r="BG66" i="1291"/>
  <c r="BH66" i="1291"/>
  <c r="BI66" i="1291"/>
  <c r="BJ66" i="1291"/>
  <c r="BK66" i="1291"/>
  <c r="BL66" i="1291"/>
  <c r="BM66" i="1291"/>
  <c r="BN66" i="1291"/>
  <c r="BO66" i="1291"/>
  <c r="BP66" i="1291"/>
  <c r="BQ66" i="1291"/>
  <c r="BR66" i="1291"/>
  <c r="BS66" i="1291"/>
  <c r="BT66" i="1291"/>
  <c r="BU66" i="1291"/>
  <c r="BV66" i="1291"/>
  <c r="BW66" i="1291"/>
  <c r="BX66" i="1291"/>
  <c r="BY66" i="1291"/>
  <c r="BZ66" i="1291"/>
  <c r="CA66" i="1291"/>
  <c r="CB66" i="1291"/>
  <c r="CC66" i="1291"/>
  <c r="CD66" i="1291"/>
  <c r="CE66" i="1291"/>
  <c r="CF66" i="1291"/>
  <c r="CG66" i="1291"/>
  <c r="CH66" i="1291"/>
  <c r="CI66" i="1291"/>
  <c r="CJ66" i="1291"/>
  <c r="CK66" i="1291"/>
  <c r="CL66" i="1291"/>
  <c r="CM66" i="1291"/>
  <c r="CN66" i="1291"/>
  <c r="CO66" i="1291"/>
  <c r="CP66" i="1291"/>
  <c r="CQ66" i="1291"/>
  <c r="CR66" i="1291"/>
  <c r="CS66" i="1291"/>
  <c r="CT66" i="1291"/>
  <c r="CU66" i="1291"/>
  <c r="CV66" i="1291"/>
  <c r="CW66" i="1291"/>
  <c r="CX66" i="1291"/>
  <c r="CY66" i="1291"/>
  <c r="CZ66" i="1291"/>
  <c r="DA66" i="1291"/>
  <c r="DB66" i="1291"/>
  <c r="DC66" i="1291"/>
  <c r="C67" i="1291"/>
  <c r="D67" i="1291"/>
  <c r="E67" i="1291"/>
  <c r="F67" i="1291"/>
  <c r="G67" i="1291"/>
  <c r="H67" i="1291"/>
  <c r="I67" i="1291"/>
  <c r="J67" i="1291"/>
  <c r="K67" i="1291"/>
  <c r="L67" i="1291"/>
  <c r="M67" i="1291"/>
  <c r="N67" i="1291"/>
  <c r="O67" i="1291"/>
  <c r="P67" i="1291"/>
  <c r="Q67" i="1291"/>
  <c r="R67" i="1291"/>
  <c r="S67" i="1291"/>
  <c r="T67" i="1291"/>
  <c r="U67" i="1291"/>
  <c r="V67" i="1291"/>
  <c r="W67" i="1291"/>
  <c r="X67" i="1291"/>
  <c r="Y67" i="1291"/>
  <c r="Z67" i="1291"/>
  <c r="AA67" i="1291"/>
  <c r="AB67" i="1291"/>
  <c r="AC67" i="1291"/>
  <c r="AD67" i="1291"/>
  <c r="AE67" i="1291"/>
  <c r="AF67" i="1291"/>
  <c r="AG67" i="1291"/>
  <c r="AH67" i="1291"/>
  <c r="AI67" i="1291"/>
  <c r="AJ67" i="1291"/>
  <c r="AK67" i="1291"/>
  <c r="AL67" i="1291"/>
  <c r="AM67" i="1291"/>
  <c r="AN67" i="1291"/>
  <c r="AO67" i="1291"/>
  <c r="AP67" i="1291"/>
  <c r="AQ67" i="1291"/>
  <c r="AR67" i="1291"/>
  <c r="AS67" i="1291"/>
  <c r="AT67" i="1291"/>
  <c r="AU67" i="1291"/>
  <c r="AV67" i="1291"/>
  <c r="AW67" i="1291"/>
  <c r="AX67" i="1291"/>
  <c r="AY67" i="1291"/>
  <c r="AZ67" i="1291"/>
  <c r="BA67" i="1291"/>
  <c r="BB67" i="1291"/>
  <c r="BC67" i="1291"/>
  <c r="BD67" i="1291"/>
  <c r="BE67" i="1291"/>
  <c r="BF67" i="1291"/>
  <c r="BG67" i="1291"/>
  <c r="BH67" i="1291"/>
  <c r="BI67" i="1291"/>
  <c r="BJ67" i="1291"/>
  <c r="BK67" i="1291"/>
  <c r="BL67" i="1291"/>
  <c r="BM67" i="1291"/>
  <c r="BN67" i="1291"/>
  <c r="BO67" i="1291"/>
  <c r="BP67" i="1291"/>
  <c r="BQ67" i="1291"/>
  <c r="BR67" i="1291"/>
  <c r="BS67" i="1291"/>
  <c r="BT67" i="1291"/>
  <c r="BU67" i="1291"/>
  <c r="BV67" i="1291"/>
  <c r="BW67" i="1291"/>
  <c r="BX67" i="1291"/>
  <c r="BY67" i="1291"/>
  <c r="BZ67" i="1291"/>
  <c r="CA67" i="1291"/>
  <c r="CB67" i="1291"/>
  <c r="CC67" i="1291"/>
  <c r="CD67" i="1291"/>
  <c r="CE67" i="1291"/>
  <c r="CF67" i="1291"/>
  <c r="CG67" i="1291"/>
  <c r="CH67" i="1291"/>
  <c r="CI67" i="1291"/>
  <c r="CJ67" i="1291"/>
  <c r="CK67" i="1291"/>
  <c r="CL67" i="1291"/>
  <c r="CM67" i="1291"/>
  <c r="CN67" i="1291"/>
  <c r="CO67" i="1291"/>
  <c r="CP67" i="1291"/>
  <c r="CQ67" i="1291"/>
  <c r="CR67" i="1291"/>
  <c r="CS67" i="1291"/>
  <c r="CT67" i="1291"/>
  <c r="CU67" i="1291"/>
  <c r="CV67" i="1291"/>
  <c r="CW67" i="1291"/>
  <c r="CX67" i="1291"/>
  <c r="CY67" i="1291"/>
  <c r="CZ67" i="1291"/>
  <c r="DA67" i="1291"/>
  <c r="DB67" i="1291"/>
  <c r="DC67" i="1291"/>
  <c r="C68" i="1291"/>
  <c r="D68" i="1291"/>
  <c r="E68" i="1291"/>
  <c r="F68" i="1291"/>
  <c r="G68" i="1291"/>
  <c r="H68" i="1291"/>
  <c r="I68" i="1291"/>
  <c r="J68" i="1291"/>
  <c r="K68" i="1291"/>
  <c r="L68" i="1291"/>
  <c r="M68" i="1291"/>
  <c r="N68" i="1291"/>
  <c r="O68" i="1291"/>
  <c r="P68" i="1291"/>
  <c r="Q68" i="1291"/>
  <c r="R68" i="1291"/>
  <c r="S68" i="1291"/>
  <c r="T68" i="1291"/>
  <c r="U68" i="1291"/>
  <c r="V68" i="1291"/>
  <c r="W68" i="1291"/>
  <c r="X68" i="1291"/>
  <c r="Y68" i="1291"/>
  <c r="Z68" i="1291"/>
  <c r="AA68" i="1291"/>
  <c r="AB68" i="1291"/>
  <c r="AC68" i="1291"/>
  <c r="AD68" i="1291"/>
  <c r="AE68" i="1291"/>
  <c r="AF68" i="1291"/>
  <c r="AG68" i="1291"/>
  <c r="AH68" i="1291"/>
  <c r="AI68" i="1291"/>
  <c r="AJ68" i="1291"/>
  <c r="AK68" i="1291"/>
  <c r="AL68" i="1291"/>
  <c r="AM68" i="1291"/>
  <c r="AN68" i="1291"/>
  <c r="AO68" i="1291"/>
  <c r="AP68" i="1291"/>
  <c r="AQ68" i="1291"/>
  <c r="AR68" i="1291"/>
  <c r="AS68" i="1291"/>
  <c r="AT68" i="1291"/>
  <c r="AU68" i="1291"/>
  <c r="AV68" i="1291"/>
  <c r="AW68" i="1291"/>
  <c r="AX68" i="1291"/>
  <c r="AY68" i="1291"/>
  <c r="AZ68" i="1291"/>
  <c r="BA68" i="1291"/>
  <c r="BB68" i="1291"/>
  <c r="BC68" i="1291"/>
  <c r="BD68" i="1291"/>
  <c r="BE68" i="1291"/>
  <c r="BF68" i="1291"/>
  <c r="BG68" i="1291"/>
  <c r="BH68" i="1291"/>
  <c r="BI68" i="1291"/>
  <c r="BJ68" i="1291"/>
  <c r="BK68" i="1291"/>
  <c r="BL68" i="1291"/>
  <c r="BM68" i="1291"/>
  <c r="BN68" i="1291"/>
  <c r="BO68" i="1291"/>
  <c r="BP68" i="1291"/>
  <c r="BQ68" i="1291"/>
  <c r="BR68" i="1291"/>
  <c r="BS68" i="1291"/>
  <c r="BT68" i="1291"/>
  <c r="BU68" i="1291"/>
  <c r="BV68" i="1291"/>
  <c r="BW68" i="1291"/>
  <c r="BX68" i="1291"/>
  <c r="BY68" i="1291"/>
  <c r="BZ68" i="1291"/>
  <c r="CA68" i="1291"/>
  <c r="CB68" i="1291"/>
  <c r="CC68" i="1291"/>
  <c r="CD68" i="1291"/>
  <c r="CE68" i="1291"/>
  <c r="CF68" i="1291"/>
  <c r="CG68" i="1291"/>
  <c r="CH68" i="1291"/>
  <c r="CI68" i="1291"/>
  <c r="CJ68" i="1291"/>
  <c r="CK68" i="1291"/>
  <c r="CL68" i="1291"/>
  <c r="CM68" i="1291"/>
  <c r="CN68" i="1291"/>
  <c r="CO68" i="1291"/>
  <c r="CP68" i="1291"/>
  <c r="CQ68" i="1291"/>
  <c r="CR68" i="1291"/>
  <c r="CS68" i="1291"/>
  <c r="CT68" i="1291"/>
  <c r="CU68" i="1291"/>
  <c r="CV68" i="1291"/>
  <c r="CW68" i="1291"/>
  <c r="CX68" i="1291"/>
  <c r="CY68" i="1291"/>
  <c r="CZ68" i="1291"/>
  <c r="DA68" i="1291"/>
  <c r="DB68" i="1291"/>
  <c r="DC68" i="1291"/>
  <c r="C38" i="1291"/>
  <c r="D38" i="1291"/>
  <c r="E38" i="1291"/>
  <c r="F38" i="1291"/>
  <c r="G38" i="1291"/>
  <c r="H38" i="1291"/>
  <c r="I38" i="1291"/>
  <c r="J38" i="1291"/>
  <c r="K38" i="1291"/>
  <c r="L38" i="1291"/>
  <c r="M38" i="1291"/>
  <c r="N38" i="1291"/>
  <c r="O38" i="1291"/>
  <c r="P38" i="1291"/>
  <c r="Q38" i="1291"/>
  <c r="R38" i="1291"/>
  <c r="S38" i="1291"/>
  <c r="T38" i="1291"/>
  <c r="U38" i="1291"/>
  <c r="V38" i="1291"/>
  <c r="W38" i="1291"/>
  <c r="X38" i="1291"/>
  <c r="Y38" i="1291"/>
  <c r="Z38" i="1291"/>
  <c r="AA38" i="1291"/>
  <c r="AB38" i="1291"/>
  <c r="AC38" i="1291"/>
  <c r="AD38" i="1291"/>
  <c r="AE38" i="1291"/>
  <c r="AF38" i="1291"/>
  <c r="AG38" i="1291"/>
  <c r="AH38" i="1291"/>
  <c r="AI38" i="1291"/>
  <c r="AJ38" i="1291"/>
  <c r="AK38" i="1291"/>
  <c r="AL38" i="1291"/>
  <c r="AM38" i="1291"/>
  <c r="AN38" i="1291"/>
  <c r="AO38" i="1291"/>
  <c r="AP38" i="1291"/>
  <c r="AQ38" i="1291"/>
  <c r="AR38" i="1291"/>
  <c r="AS38" i="1291"/>
  <c r="AT38" i="1291"/>
  <c r="AU38" i="1291"/>
  <c r="AV38" i="1291"/>
  <c r="AW38" i="1291"/>
  <c r="AX38" i="1291"/>
  <c r="AY38" i="1291"/>
  <c r="AZ38" i="1291"/>
  <c r="BA38" i="1291"/>
  <c r="BB38" i="1291"/>
  <c r="BC38" i="1291"/>
  <c r="BD38" i="1291"/>
  <c r="BE38" i="1291"/>
  <c r="BF38" i="1291"/>
  <c r="BG38" i="1291"/>
  <c r="BH38" i="1291"/>
  <c r="BI38" i="1291"/>
  <c r="BJ38" i="1291"/>
  <c r="BK38" i="1291"/>
  <c r="BL38" i="1291"/>
  <c r="BM38" i="1291"/>
  <c r="BN38" i="1291"/>
  <c r="BO38" i="1291"/>
  <c r="BP38" i="1291"/>
  <c r="BQ38" i="1291"/>
  <c r="BR38" i="1291"/>
  <c r="BS38" i="1291"/>
  <c r="BT38" i="1291"/>
  <c r="BU38" i="1291"/>
  <c r="BV38" i="1291"/>
  <c r="BW38" i="1291"/>
  <c r="BX38" i="1291"/>
  <c r="BY38" i="1291"/>
  <c r="BZ38" i="1291"/>
  <c r="CA38" i="1291"/>
  <c r="CB38" i="1291"/>
  <c r="CC38" i="1291"/>
  <c r="CD38" i="1291"/>
  <c r="CE38" i="1291"/>
  <c r="CF38" i="1291"/>
  <c r="CG38" i="1291"/>
  <c r="CH38" i="1291"/>
  <c r="CI38" i="1291"/>
  <c r="CJ38" i="1291"/>
  <c r="CK38" i="1291"/>
  <c r="CL38" i="1291"/>
  <c r="CM38" i="1291"/>
  <c r="CN38" i="1291"/>
  <c r="CO38" i="1291"/>
  <c r="CP38" i="1291"/>
  <c r="CQ38" i="1291"/>
  <c r="CR38" i="1291"/>
  <c r="CS38" i="1291"/>
  <c r="CT38" i="1291"/>
  <c r="CU38" i="1291"/>
  <c r="CV38" i="1291"/>
  <c r="CW38" i="1291"/>
  <c r="CX38" i="1291"/>
  <c r="CY38" i="1291"/>
  <c r="CZ38" i="1291"/>
  <c r="DA38" i="1291"/>
  <c r="DB38" i="1291"/>
  <c r="DC38" i="1291"/>
  <c r="C39" i="1291"/>
  <c r="D39" i="1291"/>
  <c r="E39" i="1291"/>
  <c r="F39" i="1291"/>
  <c r="G39" i="1291"/>
  <c r="H39" i="1291"/>
  <c r="I39" i="1291"/>
  <c r="J39" i="1291"/>
  <c r="K39" i="1291"/>
  <c r="L39" i="1291"/>
  <c r="M39" i="1291"/>
  <c r="N39" i="1291"/>
  <c r="O39" i="1291"/>
  <c r="P39" i="1291"/>
  <c r="Q39" i="1291"/>
  <c r="R39" i="1291"/>
  <c r="S39" i="1291"/>
  <c r="T39" i="1291"/>
  <c r="U39" i="1291"/>
  <c r="V39" i="1291"/>
  <c r="W39" i="1291"/>
  <c r="X39" i="1291"/>
  <c r="Y39" i="1291"/>
  <c r="Z39" i="1291"/>
  <c r="AA39" i="1291"/>
  <c r="AB39" i="1291"/>
  <c r="AC39" i="1291"/>
  <c r="AD39" i="1291"/>
  <c r="AE39" i="1291"/>
  <c r="AF39" i="1291"/>
  <c r="AG39" i="1291"/>
  <c r="AH39" i="1291"/>
  <c r="AI39" i="1291"/>
  <c r="AJ39" i="1291"/>
  <c r="AK39" i="1291"/>
  <c r="AL39" i="1291"/>
  <c r="AM39" i="1291"/>
  <c r="AN39" i="1291"/>
  <c r="AO39" i="1291"/>
  <c r="AP39" i="1291"/>
  <c r="AQ39" i="1291"/>
  <c r="AR39" i="1291"/>
  <c r="AS39" i="1291"/>
  <c r="AT39" i="1291"/>
  <c r="AU39" i="1291"/>
  <c r="AV39" i="1291"/>
  <c r="AW39" i="1291"/>
  <c r="AX39" i="1291"/>
  <c r="AY39" i="1291"/>
  <c r="AZ39" i="1291"/>
  <c r="BA39" i="1291"/>
  <c r="BB39" i="1291"/>
  <c r="BC39" i="1291"/>
  <c r="BD39" i="1291"/>
  <c r="BE39" i="1291"/>
  <c r="BF39" i="1291"/>
  <c r="BG39" i="1291"/>
  <c r="BH39" i="1291"/>
  <c r="BI39" i="1291"/>
  <c r="BJ39" i="1291"/>
  <c r="BK39" i="1291"/>
  <c r="BL39" i="1291"/>
  <c r="BM39" i="1291"/>
  <c r="BN39" i="1291"/>
  <c r="BO39" i="1291"/>
  <c r="BP39" i="1291"/>
  <c r="BQ39" i="1291"/>
  <c r="BR39" i="1291"/>
  <c r="BS39" i="1291"/>
  <c r="BT39" i="1291"/>
  <c r="BU39" i="1291"/>
  <c r="BV39" i="1291"/>
  <c r="BW39" i="1291"/>
  <c r="BX39" i="1291"/>
  <c r="BY39" i="1291"/>
  <c r="BZ39" i="1291"/>
  <c r="CA39" i="1291"/>
  <c r="CB39" i="1291"/>
  <c r="CC39" i="1291"/>
  <c r="CD39" i="1291"/>
  <c r="CE39" i="1291"/>
  <c r="CF39" i="1291"/>
  <c r="CG39" i="1291"/>
  <c r="CH39" i="1291"/>
  <c r="CI39" i="1291"/>
  <c r="CJ39" i="1291"/>
  <c r="CK39" i="1291"/>
  <c r="CL39" i="1291"/>
  <c r="CM39" i="1291"/>
  <c r="CN39" i="1291"/>
  <c r="CO39" i="1291"/>
  <c r="CP39" i="1291"/>
  <c r="CQ39" i="1291"/>
  <c r="CR39" i="1291"/>
  <c r="CS39" i="1291"/>
  <c r="CT39" i="1291"/>
  <c r="CU39" i="1291"/>
  <c r="CV39" i="1291"/>
  <c r="CW39" i="1291"/>
  <c r="CX39" i="1291"/>
  <c r="CY39" i="1291"/>
  <c r="CZ39" i="1291"/>
  <c r="DA39" i="1291"/>
  <c r="DB39" i="1291"/>
  <c r="DC39" i="1291"/>
  <c r="C40" i="1291"/>
  <c r="D40" i="1291"/>
  <c r="E40" i="1291"/>
  <c r="F40" i="1291"/>
  <c r="G40" i="1291"/>
  <c r="H40" i="1291"/>
  <c r="I40" i="1291"/>
  <c r="J40" i="1291"/>
  <c r="K40" i="1291"/>
  <c r="L40" i="1291"/>
  <c r="M40" i="1291"/>
  <c r="N40" i="1291"/>
  <c r="O40" i="1291"/>
  <c r="P40" i="1291"/>
  <c r="Q40" i="1291"/>
  <c r="R40" i="1291"/>
  <c r="S40" i="1291"/>
  <c r="T40" i="1291"/>
  <c r="U40" i="1291"/>
  <c r="V40" i="1291"/>
  <c r="W40" i="1291"/>
  <c r="X40" i="1291"/>
  <c r="Y40" i="1291"/>
  <c r="Z40" i="1291"/>
  <c r="AA40" i="1291"/>
  <c r="AB40" i="1291"/>
  <c r="AC40" i="1291"/>
  <c r="AD40" i="1291"/>
  <c r="AE40" i="1291"/>
  <c r="AF40" i="1291"/>
  <c r="AG40" i="1291"/>
  <c r="AH40" i="1291"/>
  <c r="AI40" i="1291"/>
  <c r="AJ40" i="1291"/>
  <c r="AK40" i="1291"/>
  <c r="AL40" i="1291"/>
  <c r="AM40" i="1291"/>
  <c r="AN40" i="1291"/>
  <c r="AO40" i="1291"/>
  <c r="AP40" i="1291"/>
  <c r="AQ40" i="1291"/>
  <c r="AR40" i="1291"/>
  <c r="AS40" i="1291"/>
  <c r="AT40" i="1291"/>
  <c r="AU40" i="1291"/>
  <c r="AV40" i="1291"/>
  <c r="AW40" i="1291"/>
  <c r="AX40" i="1291"/>
  <c r="AY40" i="1291"/>
  <c r="AZ40" i="1291"/>
  <c r="BA40" i="1291"/>
  <c r="BB40" i="1291"/>
  <c r="BC40" i="1291"/>
  <c r="BD40" i="1291"/>
  <c r="BE40" i="1291"/>
  <c r="BF40" i="1291"/>
  <c r="BG40" i="1291"/>
  <c r="BH40" i="1291"/>
  <c r="BI40" i="1291"/>
  <c r="BJ40" i="1291"/>
  <c r="BK40" i="1291"/>
  <c r="BL40" i="1291"/>
  <c r="BM40" i="1291"/>
  <c r="BN40" i="1291"/>
  <c r="BO40" i="1291"/>
  <c r="BP40" i="1291"/>
  <c r="BQ40" i="1291"/>
  <c r="BR40" i="1291"/>
  <c r="BS40" i="1291"/>
  <c r="BT40" i="1291"/>
  <c r="BU40" i="1291"/>
  <c r="BV40" i="1291"/>
  <c r="BW40" i="1291"/>
  <c r="BX40" i="1291"/>
  <c r="BY40" i="1291"/>
  <c r="BZ40" i="1291"/>
  <c r="CA40" i="1291"/>
  <c r="CB40" i="1291"/>
  <c r="CC40" i="1291"/>
  <c r="CD40" i="1291"/>
  <c r="CE40" i="1291"/>
  <c r="CF40" i="1291"/>
  <c r="CG40" i="1291"/>
  <c r="CH40" i="1291"/>
  <c r="CI40" i="1291"/>
  <c r="CJ40" i="1291"/>
  <c r="CK40" i="1291"/>
  <c r="CL40" i="1291"/>
  <c r="CM40" i="1291"/>
  <c r="CN40" i="1291"/>
  <c r="CO40" i="1291"/>
  <c r="CP40" i="1291"/>
  <c r="CQ40" i="1291"/>
  <c r="CR40" i="1291"/>
  <c r="CS40" i="1291"/>
  <c r="CT40" i="1291"/>
  <c r="CU40" i="1291"/>
  <c r="CV40" i="1291"/>
  <c r="CW40" i="1291"/>
  <c r="CX40" i="1291"/>
  <c r="CY40" i="1291"/>
  <c r="CZ40" i="1291"/>
  <c r="DA40" i="1291"/>
  <c r="DB40" i="1291"/>
  <c r="DC40" i="1291"/>
  <c r="C41" i="1291"/>
  <c r="D41" i="1291"/>
  <c r="E41" i="1291"/>
  <c r="F41" i="1291"/>
  <c r="G41" i="1291"/>
  <c r="H41" i="1291"/>
  <c r="I41" i="1291"/>
  <c r="J41" i="1291"/>
  <c r="K41" i="1291"/>
  <c r="L41" i="1291"/>
  <c r="M41" i="1291"/>
  <c r="N41" i="1291"/>
  <c r="O41" i="1291"/>
  <c r="P41" i="1291"/>
  <c r="Q41" i="1291"/>
  <c r="R41" i="1291"/>
  <c r="S41" i="1291"/>
  <c r="T41" i="1291"/>
  <c r="U41" i="1291"/>
  <c r="V41" i="1291"/>
  <c r="W41" i="1291"/>
  <c r="X41" i="1291"/>
  <c r="Y41" i="1291"/>
  <c r="Z41" i="1291"/>
  <c r="AA41" i="1291"/>
  <c r="AB41" i="1291"/>
  <c r="AC41" i="1291"/>
  <c r="AD41" i="1291"/>
  <c r="AE41" i="1291"/>
  <c r="AF41" i="1291"/>
  <c r="AG41" i="1291"/>
  <c r="AH41" i="1291"/>
  <c r="AI41" i="1291"/>
  <c r="AJ41" i="1291"/>
  <c r="AK41" i="1291"/>
  <c r="AL41" i="1291"/>
  <c r="AM41" i="1291"/>
  <c r="AN41" i="1291"/>
  <c r="AO41" i="1291"/>
  <c r="AP41" i="1291"/>
  <c r="AQ41" i="1291"/>
  <c r="AR41" i="1291"/>
  <c r="AS41" i="1291"/>
  <c r="AT41" i="1291"/>
  <c r="AU41" i="1291"/>
  <c r="AV41" i="1291"/>
  <c r="AW41" i="1291"/>
  <c r="AX41" i="1291"/>
  <c r="AY41" i="1291"/>
  <c r="AZ41" i="1291"/>
  <c r="BA41" i="1291"/>
  <c r="BB41" i="1291"/>
  <c r="BC41" i="1291"/>
  <c r="BD41" i="1291"/>
  <c r="BE41" i="1291"/>
  <c r="BF41" i="1291"/>
  <c r="BG41" i="1291"/>
  <c r="BH41" i="1291"/>
  <c r="BI41" i="1291"/>
  <c r="BJ41" i="1291"/>
  <c r="BK41" i="1291"/>
  <c r="BL41" i="1291"/>
  <c r="BM41" i="1291"/>
  <c r="BN41" i="1291"/>
  <c r="BO41" i="1291"/>
  <c r="BP41" i="1291"/>
  <c r="BQ41" i="1291"/>
  <c r="BR41" i="1291"/>
  <c r="BS41" i="1291"/>
  <c r="BT41" i="1291"/>
  <c r="BU41" i="1291"/>
  <c r="BV41" i="1291"/>
  <c r="BW41" i="1291"/>
  <c r="BX41" i="1291"/>
  <c r="BY41" i="1291"/>
  <c r="BZ41" i="1291"/>
  <c r="CA41" i="1291"/>
  <c r="CB41" i="1291"/>
  <c r="CC41" i="1291"/>
  <c r="CD41" i="1291"/>
  <c r="CE41" i="1291"/>
  <c r="CF41" i="1291"/>
  <c r="CG41" i="1291"/>
  <c r="CH41" i="1291"/>
  <c r="CI41" i="1291"/>
  <c r="CJ41" i="1291"/>
  <c r="CK41" i="1291"/>
  <c r="CL41" i="1291"/>
  <c r="CM41" i="1291"/>
  <c r="CN41" i="1291"/>
  <c r="CO41" i="1291"/>
  <c r="CP41" i="1291"/>
  <c r="CQ41" i="1291"/>
  <c r="CR41" i="1291"/>
  <c r="CS41" i="1291"/>
  <c r="CT41" i="1291"/>
  <c r="CU41" i="1291"/>
  <c r="CV41" i="1291"/>
  <c r="CW41" i="1291"/>
  <c r="CX41" i="1291"/>
  <c r="CY41" i="1291"/>
  <c r="CZ41" i="1291"/>
  <c r="DA41" i="1291"/>
  <c r="DB41" i="1291"/>
  <c r="DC41" i="1291"/>
  <c r="C42" i="1291"/>
  <c r="D42" i="1291"/>
  <c r="E42" i="1291"/>
  <c r="F42" i="1291"/>
  <c r="G42" i="1291"/>
  <c r="H42" i="1291"/>
  <c r="I42" i="1291"/>
  <c r="J42" i="1291"/>
  <c r="K42" i="1291"/>
  <c r="L42" i="1291"/>
  <c r="M42" i="1291"/>
  <c r="N42" i="1291"/>
  <c r="O42" i="1291"/>
  <c r="P42" i="1291"/>
  <c r="Q42" i="1291"/>
  <c r="R42" i="1291"/>
  <c r="S42" i="1291"/>
  <c r="T42" i="1291"/>
  <c r="U42" i="1291"/>
  <c r="V42" i="1291"/>
  <c r="W42" i="1291"/>
  <c r="X42" i="1291"/>
  <c r="Y42" i="1291"/>
  <c r="Z42" i="1291"/>
  <c r="AA42" i="1291"/>
  <c r="AB42" i="1291"/>
  <c r="AC42" i="1291"/>
  <c r="AD42" i="1291"/>
  <c r="AE42" i="1291"/>
  <c r="AF42" i="1291"/>
  <c r="AG42" i="1291"/>
  <c r="AH42" i="1291"/>
  <c r="AI42" i="1291"/>
  <c r="AJ42" i="1291"/>
  <c r="AK42" i="1291"/>
  <c r="AL42" i="1291"/>
  <c r="AM42" i="1291"/>
  <c r="AN42" i="1291"/>
  <c r="AO42" i="1291"/>
  <c r="AP42" i="1291"/>
  <c r="AQ42" i="1291"/>
  <c r="AR42" i="1291"/>
  <c r="AS42" i="1291"/>
  <c r="AT42" i="1291"/>
  <c r="AU42" i="1291"/>
  <c r="AV42" i="1291"/>
  <c r="AW42" i="1291"/>
  <c r="AX42" i="1291"/>
  <c r="AY42" i="1291"/>
  <c r="AZ42" i="1291"/>
  <c r="BA42" i="1291"/>
  <c r="BB42" i="1291"/>
  <c r="BC42" i="1291"/>
  <c r="BD42" i="1291"/>
  <c r="BE42" i="1291"/>
  <c r="BF42" i="1291"/>
  <c r="BG42" i="1291"/>
  <c r="BH42" i="1291"/>
  <c r="BI42" i="1291"/>
  <c r="BJ42" i="1291"/>
  <c r="BK42" i="1291"/>
  <c r="BL42" i="1291"/>
  <c r="BM42" i="1291"/>
  <c r="BN42" i="1291"/>
  <c r="BO42" i="1291"/>
  <c r="BP42" i="1291"/>
  <c r="BQ42" i="1291"/>
  <c r="BR42" i="1291"/>
  <c r="BS42" i="1291"/>
  <c r="BT42" i="1291"/>
  <c r="BU42" i="1291"/>
  <c r="BV42" i="1291"/>
  <c r="BW42" i="1291"/>
  <c r="BX42" i="1291"/>
  <c r="BY42" i="1291"/>
  <c r="BZ42" i="1291"/>
  <c r="CA42" i="1291"/>
  <c r="CB42" i="1291"/>
  <c r="CC42" i="1291"/>
  <c r="CD42" i="1291"/>
  <c r="CE42" i="1291"/>
  <c r="CF42" i="1291"/>
  <c r="CG42" i="1291"/>
  <c r="CH42" i="1291"/>
  <c r="CI42" i="1291"/>
  <c r="CJ42" i="1291"/>
  <c r="CK42" i="1291"/>
  <c r="CL42" i="1291"/>
  <c r="CM42" i="1291"/>
  <c r="CN42" i="1291"/>
  <c r="CO42" i="1291"/>
  <c r="CP42" i="1291"/>
  <c r="CQ42" i="1291"/>
  <c r="CR42" i="1291"/>
  <c r="CS42" i="1291"/>
  <c r="CT42" i="1291"/>
  <c r="CU42" i="1291"/>
  <c r="CV42" i="1291"/>
  <c r="CW42" i="1291"/>
  <c r="CX42" i="1291"/>
  <c r="CY42" i="1291"/>
  <c r="CZ42" i="1291"/>
  <c r="DA42" i="1291"/>
  <c r="DB42" i="1291"/>
  <c r="DC42" i="1291"/>
  <c r="C43" i="1291"/>
  <c r="D43" i="1291"/>
  <c r="E43" i="1291"/>
  <c r="F43" i="1291"/>
  <c r="G43" i="1291"/>
  <c r="H43" i="1291"/>
  <c r="I43" i="1291"/>
  <c r="J43" i="1291"/>
  <c r="K43" i="1291"/>
  <c r="L43" i="1291"/>
  <c r="M43" i="1291"/>
  <c r="N43" i="1291"/>
  <c r="O43" i="1291"/>
  <c r="P43" i="1291"/>
  <c r="Q43" i="1291"/>
  <c r="R43" i="1291"/>
  <c r="S43" i="1291"/>
  <c r="T43" i="1291"/>
  <c r="U43" i="1291"/>
  <c r="V43" i="1291"/>
  <c r="W43" i="1291"/>
  <c r="X43" i="1291"/>
  <c r="Y43" i="1291"/>
  <c r="Z43" i="1291"/>
  <c r="AA43" i="1291"/>
  <c r="AB43" i="1291"/>
  <c r="AC43" i="1291"/>
  <c r="AD43" i="1291"/>
  <c r="AE43" i="1291"/>
  <c r="AF43" i="1291"/>
  <c r="AG43" i="1291"/>
  <c r="AH43" i="1291"/>
  <c r="AI43" i="1291"/>
  <c r="AJ43" i="1291"/>
  <c r="AK43" i="1291"/>
  <c r="AL43" i="1291"/>
  <c r="AM43" i="1291"/>
  <c r="AN43" i="1291"/>
  <c r="AO43" i="1291"/>
  <c r="AP43" i="1291"/>
  <c r="AQ43" i="1291"/>
  <c r="AR43" i="1291"/>
  <c r="AS43" i="1291"/>
  <c r="AT43" i="1291"/>
  <c r="AU43" i="1291"/>
  <c r="AV43" i="1291"/>
  <c r="AW43" i="1291"/>
  <c r="AX43" i="1291"/>
  <c r="AY43" i="1291"/>
  <c r="AZ43" i="1291"/>
  <c r="BA43" i="1291"/>
  <c r="BB43" i="1291"/>
  <c r="BC43" i="1291"/>
  <c r="BD43" i="1291"/>
  <c r="BE43" i="1291"/>
  <c r="BF43" i="1291"/>
  <c r="BG43" i="1291"/>
  <c r="BH43" i="1291"/>
  <c r="BI43" i="1291"/>
  <c r="BJ43" i="1291"/>
  <c r="BK43" i="1291"/>
  <c r="BL43" i="1291"/>
  <c r="BM43" i="1291"/>
  <c r="BN43" i="1291"/>
  <c r="BO43" i="1291"/>
  <c r="BP43" i="1291"/>
  <c r="BQ43" i="1291"/>
  <c r="BR43" i="1291"/>
  <c r="BS43" i="1291"/>
  <c r="BT43" i="1291"/>
  <c r="BU43" i="1291"/>
  <c r="BV43" i="1291"/>
  <c r="BW43" i="1291"/>
  <c r="BX43" i="1291"/>
  <c r="BY43" i="1291"/>
  <c r="BZ43" i="1291"/>
  <c r="CA43" i="1291"/>
  <c r="CB43" i="1291"/>
  <c r="CC43" i="1291"/>
  <c r="CD43" i="1291"/>
  <c r="CE43" i="1291"/>
  <c r="CF43" i="1291"/>
  <c r="CG43" i="1291"/>
  <c r="CH43" i="1291"/>
  <c r="CI43" i="1291"/>
  <c r="CJ43" i="1291"/>
  <c r="CK43" i="1291"/>
  <c r="CL43" i="1291"/>
  <c r="CM43" i="1291"/>
  <c r="CN43" i="1291"/>
  <c r="CO43" i="1291"/>
  <c r="CP43" i="1291"/>
  <c r="CQ43" i="1291"/>
  <c r="CR43" i="1291"/>
  <c r="CS43" i="1291"/>
  <c r="CT43" i="1291"/>
  <c r="CU43" i="1291"/>
  <c r="CV43" i="1291"/>
  <c r="CW43" i="1291"/>
  <c r="CX43" i="1291"/>
  <c r="CY43" i="1291"/>
  <c r="CZ43" i="1291"/>
  <c r="DA43" i="1291"/>
  <c r="DB43" i="1291"/>
  <c r="DC43" i="1291"/>
  <c r="C44" i="1291"/>
  <c r="D44" i="1291"/>
  <c r="E44" i="1291"/>
  <c r="F44" i="1291"/>
  <c r="G44" i="1291"/>
  <c r="H44" i="1291"/>
  <c r="I44" i="1291"/>
  <c r="J44" i="1291"/>
  <c r="K44" i="1291"/>
  <c r="L44" i="1291"/>
  <c r="M44" i="1291"/>
  <c r="N44" i="1291"/>
  <c r="O44" i="1291"/>
  <c r="P44" i="1291"/>
  <c r="Q44" i="1291"/>
  <c r="R44" i="1291"/>
  <c r="S44" i="1291"/>
  <c r="T44" i="1291"/>
  <c r="U44" i="1291"/>
  <c r="V44" i="1291"/>
  <c r="W44" i="1291"/>
  <c r="X44" i="1291"/>
  <c r="Y44" i="1291"/>
  <c r="Z44" i="1291"/>
  <c r="AA44" i="1291"/>
  <c r="AB44" i="1291"/>
  <c r="AC44" i="1291"/>
  <c r="AD44" i="1291"/>
  <c r="AE44" i="1291"/>
  <c r="AF44" i="1291"/>
  <c r="AG44" i="1291"/>
  <c r="AH44" i="1291"/>
  <c r="AI44" i="1291"/>
  <c r="AJ44" i="1291"/>
  <c r="AK44" i="1291"/>
  <c r="AL44" i="1291"/>
  <c r="AM44" i="1291"/>
  <c r="AN44" i="1291"/>
  <c r="AO44" i="1291"/>
  <c r="AP44" i="1291"/>
  <c r="AQ44" i="1291"/>
  <c r="AR44" i="1291"/>
  <c r="AS44" i="1291"/>
  <c r="AT44" i="1291"/>
  <c r="AU44" i="1291"/>
  <c r="AV44" i="1291"/>
  <c r="AW44" i="1291"/>
  <c r="AX44" i="1291"/>
  <c r="AY44" i="1291"/>
  <c r="AZ44" i="1291"/>
  <c r="BA44" i="1291"/>
  <c r="BB44" i="1291"/>
  <c r="BC44" i="1291"/>
  <c r="BD44" i="1291"/>
  <c r="BE44" i="1291"/>
  <c r="BF44" i="1291"/>
  <c r="BG44" i="1291"/>
  <c r="BH44" i="1291"/>
  <c r="BI44" i="1291"/>
  <c r="BJ44" i="1291"/>
  <c r="BK44" i="1291"/>
  <c r="BL44" i="1291"/>
  <c r="BM44" i="1291"/>
  <c r="BN44" i="1291"/>
  <c r="BO44" i="1291"/>
  <c r="BP44" i="1291"/>
  <c r="BQ44" i="1291"/>
  <c r="BR44" i="1291"/>
  <c r="BS44" i="1291"/>
  <c r="BT44" i="1291"/>
  <c r="BU44" i="1291"/>
  <c r="BV44" i="1291"/>
  <c r="BW44" i="1291"/>
  <c r="BX44" i="1291"/>
  <c r="BY44" i="1291"/>
  <c r="BZ44" i="1291"/>
  <c r="CA44" i="1291"/>
  <c r="CB44" i="1291"/>
  <c r="CC44" i="1291"/>
  <c r="CD44" i="1291"/>
  <c r="CE44" i="1291"/>
  <c r="CF44" i="1291"/>
  <c r="CG44" i="1291"/>
  <c r="CH44" i="1291"/>
  <c r="CI44" i="1291"/>
  <c r="CJ44" i="1291"/>
  <c r="CK44" i="1291"/>
  <c r="CL44" i="1291"/>
  <c r="CM44" i="1291"/>
  <c r="CN44" i="1291"/>
  <c r="CO44" i="1291"/>
  <c r="CP44" i="1291"/>
  <c r="CQ44" i="1291"/>
  <c r="CR44" i="1291"/>
  <c r="CS44" i="1291"/>
  <c r="CT44" i="1291"/>
  <c r="CU44" i="1291"/>
  <c r="CV44" i="1291"/>
  <c r="CW44" i="1291"/>
  <c r="CX44" i="1291"/>
  <c r="CY44" i="1291"/>
  <c r="CZ44" i="1291"/>
  <c r="DA44" i="1291"/>
  <c r="DB44" i="1291"/>
  <c r="DC44" i="1291"/>
  <c r="C45" i="1291"/>
  <c r="D45" i="1291"/>
  <c r="E45" i="1291"/>
  <c r="F45" i="1291"/>
  <c r="G45" i="1291"/>
  <c r="H45" i="1291"/>
  <c r="I45" i="1291"/>
  <c r="J45" i="1291"/>
  <c r="K45" i="1291"/>
  <c r="L45" i="1291"/>
  <c r="M45" i="1291"/>
  <c r="N45" i="1291"/>
  <c r="O45" i="1291"/>
  <c r="P45" i="1291"/>
  <c r="Q45" i="1291"/>
  <c r="R45" i="1291"/>
  <c r="S45" i="1291"/>
  <c r="T45" i="1291"/>
  <c r="U45" i="1291"/>
  <c r="V45" i="1291"/>
  <c r="W45" i="1291"/>
  <c r="X45" i="1291"/>
  <c r="Y45" i="1291"/>
  <c r="Z45" i="1291"/>
  <c r="AA45" i="1291"/>
  <c r="AB45" i="1291"/>
  <c r="AC45" i="1291"/>
  <c r="AD45" i="1291"/>
  <c r="AE45" i="1291"/>
  <c r="AF45" i="1291"/>
  <c r="AG45" i="1291"/>
  <c r="AH45" i="1291"/>
  <c r="AI45" i="1291"/>
  <c r="AJ45" i="1291"/>
  <c r="AK45" i="1291"/>
  <c r="AL45" i="1291"/>
  <c r="AM45" i="1291"/>
  <c r="AN45" i="1291"/>
  <c r="AO45" i="1291"/>
  <c r="AP45" i="1291"/>
  <c r="AQ45" i="1291"/>
  <c r="AR45" i="1291"/>
  <c r="AS45" i="1291"/>
  <c r="AT45" i="1291"/>
  <c r="AU45" i="1291"/>
  <c r="AV45" i="1291"/>
  <c r="AW45" i="1291"/>
  <c r="AX45" i="1291"/>
  <c r="AY45" i="1291"/>
  <c r="AZ45" i="1291"/>
  <c r="BA45" i="1291"/>
  <c r="BB45" i="1291"/>
  <c r="BC45" i="1291"/>
  <c r="BD45" i="1291"/>
  <c r="BE45" i="1291"/>
  <c r="BF45" i="1291"/>
  <c r="BG45" i="1291"/>
  <c r="BH45" i="1291"/>
  <c r="BI45" i="1291"/>
  <c r="BJ45" i="1291"/>
  <c r="BK45" i="1291"/>
  <c r="BL45" i="1291"/>
  <c r="BM45" i="1291"/>
  <c r="BN45" i="1291"/>
  <c r="BO45" i="1291"/>
  <c r="BP45" i="1291"/>
  <c r="BQ45" i="1291"/>
  <c r="BR45" i="1291"/>
  <c r="BS45" i="1291"/>
  <c r="BT45" i="1291"/>
  <c r="BU45" i="1291"/>
  <c r="BV45" i="1291"/>
  <c r="BW45" i="1291"/>
  <c r="BX45" i="1291"/>
  <c r="BY45" i="1291"/>
  <c r="BZ45" i="1291"/>
  <c r="CA45" i="1291"/>
  <c r="CB45" i="1291"/>
  <c r="CC45" i="1291"/>
  <c r="CD45" i="1291"/>
  <c r="CE45" i="1291"/>
  <c r="CF45" i="1291"/>
  <c r="CG45" i="1291"/>
  <c r="CH45" i="1291"/>
  <c r="CI45" i="1291"/>
  <c r="CJ45" i="1291"/>
  <c r="CK45" i="1291"/>
  <c r="CL45" i="1291"/>
  <c r="CM45" i="1291"/>
  <c r="CN45" i="1291"/>
  <c r="CO45" i="1291"/>
  <c r="CP45" i="1291"/>
  <c r="CQ45" i="1291"/>
  <c r="CR45" i="1291"/>
  <c r="CS45" i="1291"/>
  <c r="CT45" i="1291"/>
  <c r="CU45" i="1291"/>
  <c r="CV45" i="1291"/>
  <c r="CW45" i="1291"/>
  <c r="CX45" i="1291"/>
  <c r="CY45" i="1291"/>
  <c r="CZ45" i="1291"/>
  <c r="DA45" i="1291"/>
  <c r="DB45" i="1291"/>
  <c r="DC45" i="1291"/>
  <c r="C46" i="1291"/>
  <c r="D46" i="1291"/>
  <c r="E46" i="1291"/>
  <c r="F46" i="1291"/>
  <c r="G46" i="1291"/>
  <c r="H46" i="1291"/>
  <c r="I46" i="1291"/>
  <c r="J46" i="1291"/>
  <c r="K46" i="1291"/>
  <c r="L46" i="1291"/>
  <c r="M46" i="1291"/>
  <c r="N46" i="1291"/>
  <c r="O46" i="1291"/>
  <c r="P46" i="1291"/>
  <c r="Q46" i="1291"/>
  <c r="R46" i="1291"/>
  <c r="S46" i="1291"/>
  <c r="T46" i="1291"/>
  <c r="U46" i="1291"/>
  <c r="V46" i="1291"/>
  <c r="W46" i="1291"/>
  <c r="X46" i="1291"/>
  <c r="Y46" i="1291"/>
  <c r="Z46" i="1291"/>
  <c r="AA46" i="1291"/>
  <c r="AB46" i="1291"/>
  <c r="AC46" i="1291"/>
  <c r="AD46" i="1291"/>
  <c r="AE46" i="1291"/>
  <c r="AF46" i="1291"/>
  <c r="AG46" i="1291"/>
  <c r="AH46" i="1291"/>
  <c r="AI46" i="1291"/>
  <c r="AJ46" i="1291"/>
  <c r="AK46" i="1291"/>
  <c r="AL46" i="1291"/>
  <c r="AM46" i="1291"/>
  <c r="AN46" i="1291"/>
  <c r="AO46" i="1291"/>
  <c r="AP46" i="1291"/>
  <c r="AQ46" i="1291"/>
  <c r="AR46" i="1291"/>
  <c r="AS46" i="1291"/>
  <c r="AT46" i="1291"/>
  <c r="AU46" i="1291"/>
  <c r="AV46" i="1291"/>
  <c r="AW46" i="1291"/>
  <c r="AX46" i="1291"/>
  <c r="AY46" i="1291"/>
  <c r="AZ46" i="1291"/>
  <c r="BA46" i="1291"/>
  <c r="BB46" i="1291"/>
  <c r="BC46" i="1291"/>
  <c r="BD46" i="1291"/>
  <c r="BE46" i="1291"/>
  <c r="BF46" i="1291"/>
  <c r="BG46" i="1291"/>
  <c r="BH46" i="1291"/>
  <c r="BI46" i="1291"/>
  <c r="BJ46" i="1291"/>
  <c r="BK46" i="1291"/>
  <c r="BL46" i="1291"/>
  <c r="BM46" i="1291"/>
  <c r="BN46" i="1291"/>
  <c r="BO46" i="1291"/>
  <c r="BP46" i="1291"/>
  <c r="BQ46" i="1291"/>
  <c r="BR46" i="1291"/>
  <c r="BS46" i="1291"/>
  <c r="BT46" i="1291"/>
  <c r="BU46" i="1291"/>
  <c r="BV46" i="1291"/>
  <c r="BW46" i="1291"/>
  <c r="BX46" i="1291"/>
  <c r="BY46" i="1291"/>
  <c r="BZ46" i="1291"/>
  <c r="CA46" i="1291"/>
  <c r="CB46" i="1291"/>
  <c r="CC46" i="1291"/>
  <c r="CD46" i="1291"/>
  <c r="CE46" i="1291"/>
  <c r="CF46" i="1291"/>
  <c r="CG46" i="1291"/>
  <c r="CH46" i="1291"/>
  <c r="CI46" i="1291"/>
  <c r="CJ46" i="1291"/>
  <c r="CK46" i="1291"/>
  <c r="CL46" i="1291"/>
  <c r="CM46" i="1291"/>
  <c r="CN46" i="1291"/>
  <c r="CO46" i="1291"/>
  <c r="CP46" i="1291"/>
  <c r="CQ46" i="1291"/>
  <c r="CR46" i="1291"/>
  <c r="CS46" i="1291"/>
  <c r="CT46" i="1291"/>
  <c r="CU46" i="1291"/>
  <c r="CV46" i="1291"/>
  <c r="CW46" i="1291"/>
  <c r="CX46" i="1291"/>
  <c r="CY46" i="1291"/>
  <c r="CZ46" i="1291"/>
  <c r="DA46" i="1291"/>
  <c r="DB46" i="1291"/>
  <c r="DC46" i="1291"/>
  <c r="C47" i="1291"/>
  <c r="D47" i="1291"/>
  <c r="E47" i="1291"/>
  <c r="F47" i="1291"/>
  <c r="G47" i="1291"/>
  <c r="H47" i="1291"/>
  <c r="I47" i="1291"/>
  <c r="J47" i="1291"/>
  <c r="K47" i="1291"/>
  <c r="L47" i="1291"/>
  <c r="M47" i="1291"/>
  <c r="N47" i="1291"/>
  <c r="O47" i="1291"/>
  <c r="P47" i="1291"/>
  <c r="Q47" i="1291"/>
  <c r="R47" i="1291"/>
  <c r="S47" i="1291"/>
  <c r="T47" i="1291"/>
  <c r="U47" i="1291"/>
  <c r="V47" i="1291"/>
  <c r="W47" i="1291"/>
  <c r="X47" i="1291"/>
  <c r="Y47" i="1291"/>
  <c r="Z47" i="1291"/>
  <c r="AA47" i="1291"/>
  <c r="AB47" i="1291"/>
  <c r="AC47" i="1291"/>
  <c r="AD47" i="1291"/>
  <c r="AE47" i="1291"/>
  <c r="AF47" i="1291"/>
  <c r="AG47" i="1291"/>
  <c r="AH47" i="1291"/>
  <c r="AI47" i="1291"/>
  <c r="AJ47" i="1291"/>
  <c r="AK47" i="1291"/>
  <c r="AL47" i="1291"/>
  <c r="AM47" i="1291"/>
  <c r="AN47" i="1291"/>
  <c r="AO47" i="1291"/>
  <c r="AP47" i="1291"/>
  <c r="AQ47" i="1291"/>
  <c r="AR47" i="1291"/>
  <c r="AS47" i="1291"/>
  <c r="AT47" i="1291"/>
  <c r="AU47" i="1291"/>
  <c r="AV47" i="1291"/>
  <c r="AW47" i="1291"/>
  <c r="AX47" i="1291"/>
  <c r="AY47" i="1291"/>
  <c r="AZ47" i="1291"/>
  <c r="BA47" i="1291"/>
  <c r="BB47" i="1291"/>
  <c r="BC47" i="1291"/>
  <c r="BD47" i="1291"/>
  <c r="BE47" i="1291"/>
  <c r="BF47" i="1291"/>
  <c r="BG47" i="1291"/>
  <c r="BH47" i="1291"/>
  <c r="BI47" i="1291"/>
  <c r="BJ47" i="1291"/>
  <c r="BK47" i="1291"/>
  <c r="BL47" i="1291"/>
  <c r="BM47" i="1291"/>
  <c r="BN47" i="1291"/>
  <c r="BO47" i="1291"/>
  <c r="BP47" i="1291"/>
  <c r="BQ47" i="1291"/>
  <c r="BR47" i="1291"/>
  <c r="BS47" i="1291"/>
  <c r="BT47" i="1291"/>
  <c r="BU47" i="1291"/>
  <c r="BV47" i="1291"/>
  <c r="BW47" i="1291"/>
  <c r="BX47" i="1291"/>
  <c r="BY47" i="1291"/>
  <c r="BZ47" i="1291"/>
  <c r="CA47" i="1291"/>
  <c r="CB47" i="1291"/>
  <c r="CC47" i="1291"/>
  <c r="CD47" i="1291"/>
  <c r="CE47" i="1291"/>
  <c r="CF47" i="1291"/>
  <c r="CG47" i="1291"/>
  <c r="CH47" i="1291"/>
  <c r="CI47" i="1291"/>
  <c r="CJ47" i="1291"/>
  <c r="CK47" i="1291"/>
  <c r="CL47" i="1291"/>
  <c r="CM47" i="1291"/>
  <c r="CN47" i="1291"/>
  <c r="CO47" i="1291"/>
  <c r="CP47" i="1291"/>
  <c r="CQ47" i="1291"/>
  <c r="CR47" i="1291"/>
  <c r="CS47" i="1291"/>
  <c r="CT47" i="1291"/>
  <c r="CU47" i="1291"/>
  <c r="CV47" i="1291"/>
  <c r="CW47" i="1291"/>
  <c r="CX47" i="1291"/>
  <c r="CY47" i="1291"/>
  <c r="CZ47" i="1291"/>
  <c r="DA47" i="1291"/>
  <c r="DB47" i="1291"/>
  <c r="DC47" i="1291"/>
  <c r="C48" i="1291"/>
  <c r="D48" i="1291"/>
  <c r="E48" i="1291"/>
  <c r="F48" i="1291"/>
  <c r="G48" i="1291"/>
  <c r="H48" i="1291"/>
  <c r="I48" i="1291"/>
  <c r="J48" i="1291"/>
  <c r="K48" i="1291"/>
  <c r="L48" i="1291"/>
  <c r="M48" i="1291"/>
  <c r="N48" i="1291"/>
  <c r="O48" i="1291"/>
  <c r="P48" i="1291"/>
  <c r="Q48" i="1291"/>
  <c r="R48" i="1291"/>
  <c r="S48" i="1291"/>
  <c r="T48" i="1291"/>
  <c r="U48" i="1291"/>
  <c r="V48" i="1291"/>
  <c r="W48" i="1291"/>
  <c r="X48" i="1291"/>
  <c r="Y48" i="1291"/>
  <c r="Z48" i="1291"/>
  <c r="AA48" i="1291"/>
  <c r="AB48" i="1291"/>
  <c r="AC48" i="1291"/>
  <c r="AD48" i="1291"/>
  <c r="AE48" i="1291"/>
  <c r="AF48" i="1291"/>
  <c r="AG48" i="1291"/>
  <c r="AH48" i="1291"/>
  <c r="AI48" i="1291"/>
  <c r="AJ48" i="1291"/>
  <c r="AK48" i="1291"/>
  <c r="AL48" i="1291"/>
  <c r="AM48" i="1291"/>
  <c r="AN48" i="1291"/>
  <c r="AO48" i="1291"/>
  <c r="AP48" i="1291"/>
  <c r="AQ48" i="1291"/>
  <c r="AR48" i="1291"/>
  <c r="AS48" i="1291"/>
  <c r="AT48" i="1291"/>
  <c r="AU48" i="1291"/>
  <c r="AV48" i="1291"/>
  <c r="AW48" i="1291"/>
  <c r="AX48" i="1291"/>
  <c r="AY48" i="1291"/>
  <c r="AZ48" i="1291"/>
  <c r="BA48" i="1291"/>
  <c r="BB48" i="1291"/>
  <c r="BC48" i="1291"/>
  <c r="BD48" i="1291"/>
  <c r="BE48" i="1291"/>
  <c r="BF48" i="1291"/>
  <c r="BG48" i="1291"/>
  <c r="BH48" i="1291"/>
  <c r="BI48" i="1291"/>
  <c r="BJ48" i="1291"/>
  <c r="BK48" i="1291"/>
  <c r="BL48" i="1291"/>
  <c r="BM48" i="1291"/>
  <c r="BN48" i="1291"/>
  <c r="BO48" i="1291"/>
  <c r="BP48" i="1291"/>
  <c r="BQ48" i="1291"/>
  <c r="BR48" i="1291"/>
  <c r="BS48" i="1291"/>
  <c r="BT48" i="1291"/>
  <c r="BU48" i="1291"/>
  <c r="BV48" i="1291"/>
  <c r="BW48" i="1291"/>
  <c r="BX48" i="1291"/>
  <c r="BY48" i="1291"/>
  <c r="BZ48" i="1291"/>
  <c r="CA48" i="1291"/>
  <c r="CB48" i="1291"/>
  <c r="CC48" i="1291"/>
  <c r="CD48" i="1291"/>
  <c r="CE48" i="1291"/>
  <c r="CF48" i="1291"/>
  <c r="CG48" i="1291"/>
  <c r="CH48" i="1291"/>
  <c r="CI48" i="1291"/>
  <c r="CJ48" i="1291"/>
  <c r="CK48" i="1291"/>
  <c r="CL48" i="1291"/>
  <c r="CM48" i="1291"/>
  <c r="CN48" i="1291"/>
  <c r="CO48" i="1291"/>
  <c r="CP48" i="1291"/>
  <c r="CQ48" i="1291"/>
  <c r="CR48" i="1291"/>
  <c r="CS48" i="1291"/>
  <c r="CT48" i="1291"/>
  <c r="CU48" i="1291"/>
  <c r="CV48" i="1291"/>
  <c r="CW48" i="1291"/>
  <c r="CX48" i="1291"/>
  <c r="CY48" i="1291"/>
  <c r="CZ48" i="1291"/>
  <c r="DA48" i="1291"/>
  <c r="DB48" i="1291"/>
  <c r="DC48" i="1291"/>
  <c r="C49" i="1291"/>
  <c r="D49" i="1291"/>
  <c r="E49" i="1291"/>
  <c r="F49" i="1291"/>
  <c r="G49" i="1291"/>
  <c r="H49" i="1291"/>
  <c r="I49" i="1291"/>
  <c r="J49" i="1291"/>
  <c r="K49" i="1291"/>
  <c r="L49" i="1291"/>
  <c r="M49" i="1291"/>
  <c r="N49" i="1291"/>
  <c r="O49" i="1291"/>
  <c r="P49" i="1291"/>
  <c r="Q49" i="1291"/>
  <c r="R49" i="1291"/>
  <c r="S49" i="1291"/>
  <c r="T49" i="1291"/>
  <c r="U49" i="1291"/>
  <c r="V49" i="1291"/>
  <c r="W49" i="1291"/>
  <c r="X49" i="1291"/>
  <c r="Y49" i="1291"/>
  <c r="Z49" i="1291"/>
  <c r="AA49" i="1291"/>
  <c r="AB49" i="1291"/>
  <c r="AC49" i="1291"/>
  <c r="AD49" i="1291"/>
  <c r="AE49" i="1291"/>
  <c r="AF49" i="1291"/>
  <c r="AG49" i="1291"/>
  <c r="AH49" i="1291"/>
  <c r="AI49" i="1291"/>
  <c r="AJ49" i="1291"/>
  <c r="AK49" i="1291"/>
  <c r="AL49" i="1291"/>
  <c r="AM49" i="1291"/>
  <c r="AN49" i="1291"/>
  <c r="AO49" i="1291"/>
  <c r="AP49" i="1291"/>
  <c r="AQ49" i="1291"/>
  <c r="AR49" i="1291"/>
  <c r="AS49" i="1291"/>
  <c r="AT49" i="1291"/>
  <c r="AU49" i="1291"/>
  <c r="AV49" i="1291"/>
  <c r="AW49" i="1291"/>
  <c r="AX49" i="1291"/>
  <c r="AY49" i="1291"/>
  <c r="AZ49" i="1291"/>
  <c r="BA49" i="1291"/>
  <c r="BB49" i="1291"/>
  <c r="BC49" i="1291"/>
  <c r="BD49" i="1291"/>
  <c r="BE49" i="1291"/>
  <c r="BF49" i="1291"/>
  <c r="BG49" i="1291"/>
  <c r="BH49" i="1291"/>
  <c r="BI49" i="1291"/>
  <c r="BJ49" i="1291"/>
  <c r="BK49" i="1291"/>
  <c r="BL49" i="1291"/>
  <c r="BM49" i="1291"/>
  <c r="BN49" i="1291"/>
  <c r="BO49" i="1291"/>
  <c r="BP49" i="1291"/>
  <c r="BQ49" i="1291"/>
  <c r="BR49" i="1291"/>
  <c r="BS49" i="1291"/>
  <c r="BT49" i="1291"/>
  <c r="BU49" i="1291"/>
  <c r="BV49" i="1291"/>
  <c r="BW49" i="1291"/>
  <c r="BX49" i="1291"/>
  <c r="BY49" i="1291"/>
  <c r="BZ49" i="1291"/>
  <c r="CA49" i="1291"/>
  <c r="CB49" i="1291"/>
  <c r="CC49" i="1291"/>
  <c r="CD49" i="1291"/>
  <c r="CE49" i="1291"/>
  <c r="CF49" i="1291"/>
  <c r="CG49" i="1291"/>
  <c r="CH49" i="1291"/>
  <c r="CI49" i="1291"/>
  <c r="CJ49" i="1291"/>
  <c r="CK49" i="1291"/>
  <c r="CL49" i="1291"/>
  <c r="CM49" i="1291"/>
  <c r="CN49" i="1291"/>
  <c r="CO49" i="1291"/>
  <c r="CP49" i="1291"/>
  <c r="CQ49" i="1291"/>
  <c r="CR49" i="1291"/>
  <c r="CS49" i="1291"/>
  <c r="CT49" i="1291"/>
  <c r="CU49" i="1291"/>
  <c r="CV49" i="1291"/>
  <c r="CW49" i="1291"/>
  <c r="CX49" i="1291"/>
  <c r="CY49" i="1291"/>
  <c r="CZ49" i="1291"/>
  <c r="DA49" i="1291"/>
  <c r="DB49" i="1291"/>
  <c r="DC49" i="1291"/>
  <c r="C50" i="1291"/>
  <c r="D50" i="1291"/>
  <c r="E50" i="1291"/>
  <c r="F50" i="1291"/>
  <c r="G50" i="1291"/>
  <c r="H50" i="1291"/>
  <c r="I50" i="1291"/>
  <c r="J50" i="1291"/>
  <c r="K50" i="1291"/>
  <c r="L50" i="1291"/>
  <c r="M50" i="1291"/>
  <c r="N50" i="1291"/>
  <c r="O50" i="1291"/>
  <c r="P50" i="1291"/>
  <c r="Q50" i="1291"/>
  <c r="R50" i="1291"/>
  <c r="S50" i="1291"/>
  <c r="T50" i="1291"/>
  <c r="U50" i="1291"/>
  <c r="V50" i="1291"/>
  <c r="W50" i="1291"/>
  <c r="X50" i="1291"/>
  <c r="Y50" i="1291"/>
  <c r="Z50" i="1291"/>
  <c r="AA50" i="1291"/>
  <c r="AB50" i="1291"/>
  <c r="AC50" i="1291"/>
  <c r="AD50" i="1291"/>
  <c r="AE50" i="1291"/>
  <c r="AF50" i="1291"/>
  <c r="AG50" i="1291"/>
  <c r="AH50" i="1291"/>
  <c r="AI50" i="1291"/>
  <c r="AJ50" i="1291"/>
  <c r="AK50" i="1291"/>
  <c r="AL50" i="1291"/>
  <c r="AM50" i="1291"/>
  <c r="AN50" i="1291"/>
  <c r="AO50" i="1291"/>
  <c r="AP50" i="1291"/>
  <c r="AQ50" i="1291"/>
  <c r="AR50" i="1291"/>
  <c r="AS50" i="1291"/>
  <c r="AT50" i="1291"/>
  <c r="AU50" i="1291"/>
  <c r="AV50" i="1291"/>
  <c r="AW50" i="1291"/>
  <c r="AX50" i="1291"/>
  <c r="AY50" i="1291"/>
  <c r="AZ50" i="1291"/>
  <c r="BA50" i="1291"/>
  <c r="BB50" i="1291"/>
  <c r="BC50" i="1291"/>
  <c r="BD50" i="1291"/>
  <c r="BE50" i="1291"/>
  <c r="BF50" i="1291"/>
  <c r="BG50" i="1291"/>
  <c r="BH50" i="1291"/>
  <c r="BI50" i="1291"/>
  <c r="BJ50" i="1291"/>
  <c r="BK50" i="1291"/>
  <c r="BL50" i="1291"/>
  <c r="BM50" i="1291"/>
  <c r="BN50" i="1291"/>
  <c r="BO50" i="1291"/>
  <c r="BP50" i="1291"/>
  <c r="BQ50" i="1291"/>
  <c r="BR50" i="1291"/>
  <c r="BS50" i="1291"/>
  <c r="BT50" i="1291"/>
  <c r="BU50" i="1291"/>
  <c r="BV50" i="1291"/>
  <c r="BW50" i="1291"/>
  <c r="BX50" i="1291"/>
  <c r="BY50" i="1291"/>
  <c r="BZ50" i="1291"/>
  <c r="CA50" i="1291"/>
  <c r="CB50" i="1291"/>
  <c r="CC50" i="1291"/>
  <c r="CD50" i="1291"/>
  <c r="CE50" i="1291"/>
  <c r="CF50" i="1291"/>
  <c r="CG50" i="1291"/>
  <c r="CH50" i="1291"/>
  <c r="CI50" i="1291"/>
  <c r="CJ50" i="1291"/>
  <c r="CK50" i="1291"/>
  <c r="CL50" i="1291"/>
  <c r="CM50" i="1291"/>
  <c r="CN50" i="1291"/>
  <c r="CO50" i="1291"/>
  <c r="CP50" i="1291"/>
  <c r="CQ50" i="1291"/>
  <c r="CR50" i="1291"/>
  <c r="CS50" i="1291"/>
  <c r="CT50" i="1291"/>
  <c r="CU50" i="1291"/>
  <c r="CV50" i="1291"/>
  <c r="CW50" i="1291"/>
  <c r="CX50" i="1291"/>
  <c r="CY50" i="1291"/>
  <c r="CZ50" i="1291"/>
  <c r="DA50" i="1291"/>
  <c r="DB50" i="1291"/>
  <c r="DC50" i="1291"/>
  <c r="C51" i="1291"/>
  <c r="D51" i="1291"/>
  <c r="E51" i="1291"/>
  <c r="F51" i="1291"/>
  <c r="G51" i="1291"/>
  <c r="H51" i="1291"/>
  <c r="I51" i="1291"/>
  <c r="J51" i="1291"/>
  <c r="K51" i="1291"/>
  <c r="L51" i="1291"/>
  <c r="M51" i="1291"/>
  <c r="N51" i="1291"/>
  <c r="O51" i="1291"/>
  <c r="P51" i="1291"/>
  <c r="Q51" i="1291"/>
  <c r="R51" i="1291"/>
  <c r="S51" i="1291"/>
  <c r="T51" i="1291"/>
  <c r="U51" i="1291"/>
  <c r="V51" i="1291"/>
  <c r="W51" i="1291"/>
  <c r="X51" i="1291"/>
  <c r="Y51" i="1291"/>
  <c r="Z51" i="1291"/>
  <c r="AA51" i="1291"/>
  <c r="AB51" i="1291"/>
  <c r="AC51" i="1291"/>
  <c r="AD51" i="1291"/>
  <c r="AE51" i="1291"/>
  <c r="AF51" i="1291"/>
  <c r="AG51" i="1291"/>
  <c r="AH51" i="1291"/>
  <c r="AI51" i="1291"/>
  <c r="AJ51" i="1291"/>
  <c r="AK51" i="1291"/>
  <c r="AL51" i="1291"/>
  <c r="AM51" i="1291"/>
  <c r="AN51" i="1291"/>
  <c r="AO51" i="1291"/>
  <c r="AP51" i="1291"/>
  <c r="AQ51" i="1291"/>
  <c r="AR51" i="1291"/>
  <c r="AS51" i="1291"/>
  <c r="AT51" i="1291"/>
  <c r="AU51" i="1291"/>
  <c r="AV51" i="1291"/>
  <c r="AW51" i="1291"/>
  <c r="AX51" i="1291"/>
  <c r="AY51" i="1291"/>
  <c r="AZ51" i="1291"/>
  <c r="BA51" i="1291"/>
  <c r="BB51" i="1291"/>
  <c r="BC51" i="1291"/>
  <c r="BD51" i="1291"/>
  <c r="BE51" i="1291"/>
  <c r="BF51" i="1291"/>
  <c r="BG51" i="1291"/>
  <c r="BH51" i="1291"/>
  <c r="BI51" i="1291"/>
  <c r="BJ51" i="1291"/>
  <c r="BK51" i="1291"/>
  <c r="BL51" i="1291"/>
  <c r="BM51" i="1291"/>
  <c r="BN51" i="1291"/>
  <c r="BO51" i="1291"/>
  <c r="BP51" i="1291"/>
  <c r="BQ51" i="1291"/>
  <c r="BR51" i="1291"/>
  <c r="BS51" i="1291"/>
  <c r="BT51" i="1291"/>
  <c r="BU51" i="1291"/>
  <c r="BV51" i="1291"/>
  <c r="BW51" i="1291"/>
  <c r="BX51" i="1291"/>
  <c r="BY51" i="1291"/>
  <c r="BZ51" i="1291"/>
  <c r="CA51" i="1291"/>
  <c r="CB51" i="1291"/>
  <c r="CC51" i="1291"/>
  <c r="CD51" i="1291"/>
  <c r="CE51" i="1291"/>
  <c r="CF51" i="1291"/>
  <c r="CG51" i="1291"/>
  <c r="CH51" i="1291"/>
  <c r="CI51" i="1291"/>
  <c r="CJ51" i="1291"/>
  <c r="CK51" i="1291"/>
  <c r="CL51" i="1291"/>
  <c r="CM51" i="1291"/>
  <c r="CN51" i="1291"/>
  <c r="CO51" i="1291"/>
  <c r="CP51" i="1291"/>
  <c r="CQ51" i="1291"/>
  <c r="CR51" i="1291"/>
  <c r="CS51" i="1291"/>
  <c r="CT51" i="1291"/>
  <c r="CU51" i="1291"/>
  <c r="CV51" i="1291"/>
  <c r="CW51" i="1291"/>
  <c r="CX51" i="1291"/>
  <c r="CY51" i="1291"/>
  <c r="CZ51" i="1291"/>
  <c r="DA51" i="1291"/>
  <c r="DB51" i="1291"/>
  <c r="DC51" i="1291"/>
  <c r="C52" i="1291"/>
  <c r="D52" i="1291"/>
  <c r="E52" i="1291"/>
  <c r="F52" i="1291"/>
  <c r="G52" i="1291"/>
  <c r="H52" i="1291"/>
  <c r="I52" i="1291"/>
  <c r="J52" i="1291"/>
  <c r="K52" i="1291"/>
  <c r="L52" i="1291"/>
  <c r="M52" i="1291"/>
  <c r="N52" i="1291"/>
  <c r="O52" i="1291"/>
  <c r="P52" i="1291"/>
  <c r="Q52" i="1291"/>
  <c r="R52" i="1291"/>
  <c r="S52" i="1291"/>
  <c r="T52" i="1291"/>
  <c r="U52" i="1291"/>
  <c r="V52" i="1291"/>
  <c r="W52" i="1291"/>
  <c r="X52" i="1291"/>
  <c r="Y52" i="1291"/>
  <c r="Z52" i="1291"/>
  <c r="AA52" i="1291"/>
  <c r="AB52" i="1291"/>
  <c r="AC52" i="1291"/>
  <c r="AD52" i="1291"/>
  <c r="AE52" i="1291"/>
  <c r="AF52" i="1291"/>
  <c r="AG52" i="1291"/>
  <c r="AH52" i="1291"/>
  <c r="AI52" i="1291"/>
  <c r="AJ52" i="1291"/>
  <c r="AK52" i="1291"/>
  <c r="AL52" i="1291"/>
  <c r="AM52" i="1291"/>
  <c r="AN52" i="1291"/>
  <c r="AO52" i="1291"/>
  <c r="AP52" i="1291"/>
  <c r="AQ52" i="1291"/>
  <c r="AR52" i="1291"/>
  <c r="AS52" i="1291"/>
  <c r="AT52" i="1291"/>
  <c r="AU52" i="1291"/>
  <c r="AV52" i="1291"/>
  <c r="AW52" i="1291"/>
  <c r="AX52" i="1291"/>
  <c r="AY52" i="1291"/>
  <c r="AZ52" i="1291"/>
  <c r="BA52" i="1291"/>
  <c r="BB52" i="1291"/>
  <c r="BC52" i="1291"/>
  <c r="BD52" i="1291"/>
  <c r="BE52" i="1291"/>
  <c r="BF52" i="1291"/>
  <c r="BG52" i="1291"/>
  <c r="BH52" i="1291"/>
  <c r="BI52" i="1291"/>
  <c r="BJ52" i="1291"/>
  <c r="BK52" i="1291"/>
  <c r="BL52" i="1291"/>
  <c r="BM52" i="1291"/>
  <c r="BN52" i="1291"/>
  <c r="BO52" i="1291"/>
  <c r="BP52" i="1291"/>
  <c r="BQ52" i="1291"/>
  <c r="BR52" i="1291"/>
  <c r="BS52" i="1291"/>
  <c r="BT52" i="1291"/>
  <c r="BU52" i="1291"/>
  <c r="BV52" i="1291"/>
  <c r="BW52" i="1291"/>
  <c r="BX52" i="1291"/>
  <c r="BY52" i="1291"/>
  <c r="BZ52" i="1291"/>
  <c r="CA52" i="1291"/>
  <c r="CB52" i="1291"/>
  <c r="CC52" i="1291"/>
  <c r="CD52" i="1291"/>
  <c r="CE52" i="1291"/>
  <c r="CF52" i="1291"/>
  <c r="CG52" i="1291"/>
  <c r="CH52" i="1291"/>
  <c r="CI52" i="1291"/>
  <c r="CJ52" i="1291"/>
  <c r="CK52" i="1291"/>
  <c r="CL52" i="1291"/>
  <c r="CM52" i="1291"/>
  <c r="CN52" i="1291"/>
  <c r="CO52" i="1291"/>
  <c r="CP52" i="1291"/>
  <c r="CQ52" i="1291"/>
  <c r="CR52" i="1291"/>
  <c r="CS52" i="1291"/>
  <c r="CT52" i="1291"/>
  <c r="CU52" i="1291"/>
  <c r="CV52" i="1291"/>
  <c r="CW52" i="1291"/>
  <c r="CX52" i="1291"/>
  <c r="CY52" i="1291"/>
  <c r="CZ52" i="1291"/>
  <c r="DA52" i="1291"/>
  <c r="DB52" i="1291"/>
  <c r="DC52" i="1291"/>
  <c r="C22" i="1291"/>
  <c r="D22" i="1291"/>
  <c r="E22" i="1291"/>
  <c r="F22" i="1291"/>
  <c r="G22" i="1291"/>
  <c r="H22" i="1291"/>
  <c r="I22" i="1291"/>
  <c r="J22" i="1291"/>
  <c r="K22" i="1291"/>
  <c r="L22" i="1291"/>
  <c r="M22" i="1291"/>
  <c r="N22" i="1291"/>
  <c r="O22" i="1291"/>
  <c r="P22" i="1291"/>
  <c r="Q22" i="1291"/>
  <c r="R22" i="1291"/>
  <c r="S22" i="1291"/>
  <c r="T22" i="1291"/>
  <c r="U22" i="1291"/>
  <c r="V22" i="1291"/>
  <c r="W22" i="1291"/>
  <c r="X22" i="1291"/>
  <c r="Y22" i="1291"/>
  <c r="Z22" i="1291"/>
  <c r="AA22" i="1291"/>
  <c r="AB22" i="1291"/>
  <c r="AC22" i="1291"/>
  <c r="AD22" i="1291"/>
  <c r="AE22" i="1291"/>
  <c r="AF22" i="1291"/>
  <c r="AG22" i="1291"/>
  <c r="AH22" i="1291"/>
  <c r="AI22" i="1291"/>
  <c r="AJ22" i="1291"/>
  <c r="AK22" i="1291"/>
  <c r="AL22" i="1291"/>
  <c r="AM22" i="1291"/>
  <c r="AN22" i="1291"/>
  <c r="AO22" i="1291"/>
  <c r="AP22" i="1291"/>
  <c r="AQ22" i="1291"/>
  <c r="AR22" i="1291"/>
  <c r="AS22" i="1291"/>
  <c r="AT22" i="1291"/>
  <c r="AU22" i="1291"/>
  <c r="AV22" i="1291"/>
  <c r="AW22" i="1291"/>
  <c r="AX22" i="1291"/>
  <c r="AY22" i="1291"/>
  <c r="AZ22" i="1291"/>
  <c r="BA22" i="1291"/>
  <c r="BB22" i="1291"/>
  <c r="BC22" i="1291"/>
  <c r="BD22" i="1291"/>
  <c r="BE22" i="1291"/>
  <c r="BF22" i="1291"/>
  <c r="BG22" i="1291"/>
  <c r="BH22" i="1291"/>
  <c r="BI22" i="1291"/>
  <c r="BJ22" i="1291"/>
  <c r="BK22" i="1291"/>
  <c r="BL22" i="1291"/>
  <c r="BM22" i="1291"/>
  <c r="BN22" i="1291"/>
  <c r="BO22" i="1291"/>
  <c r="BP22" i="1291"/>
  <c r="BQ22" i="1291"/>
  <c r="BR22" i="1291"/>
  <c r="BS22" i="1291"/>
  <c r="BT22" i="1291"/>
  <c r="BU22" i="1291"/>
  <c r="BV22" i="1291"/>
  <c r="BW22" i="1291"/>
  <c r="BX22" i="1291"/>
  <c r="BY22" i="1291"/>
  <c r="BZ22" i="1291"/>
  <c r="CA22" i="1291"/>
  <c r="CB22" i="1291"/>
  <c r="CC22" i="1291"/>
  <c r="CD22" i="1291"/>
  <c r="CE22" i="1291"/>
  <c r="CF22" i="1291"/>
  <c r="CG22" i="1291"/>
  <c r="CH22" i="1291"/>
  <c r="CI22" i="1291"/>
  <c r="CJ22" i="1291"/>
  <c r="CK22" i="1291"/>
  <c r="CL22" i="1291"/>
  <c r="CM22" i="1291"/>
  <c r="CN22" i="1291"/>
  <c r="CO22" i="1291"/>
  <c r="CP22" i="1291"/>
  <c r="CQ22" i="1291"/>
  <c r="CR22" i="1291"/>
  <c r="CS22" i="1291"/>
  <c r="CT22" i="1291"/>
  <c r="CU22" i="1291"/>
  <c r="CV22" i="1291"/>
  <c r="CW22" i="1291"/>
  <c r="CX22" i="1291"/>
  <c r="CY22" i="1291"/>
  <c r="CZ22" i="1291"/>
  <c r="DA22" i="1291"/>
  <c r="DB22" i="1291"/>
  <c r="DC22" i="1291"/>
  <c r="C23" i="1291"/>
  <c r="D23" i="1291"/>
  <c r="E23" i="1291"/>
  <c r="F23" i="1291"/>
  <c r="G23" i="1291"/>
  <c r="H23" i="1291"/>
  <c r="I23" i="1291"/>
  <c r="J23" i="1291"/>
  <c r="K23" i="1291"/>
  <c r="L23" i="1291"/>
  <c r="M23" i="1291"/>
  <c r="N23" i="1291"/>
  <c r="O23" i="1291"/>
  <c r="P23" i="1291"/>
  <c r="Q23" i="1291"/>
  <c r="R23" i="1291"/>
  <c r="S23" i="1291"/>
  <c r="T23" i="1291"/>
  <c r="U23" i="1291"/>
  <c r="V23" i="1291"/>
  <c r="W23" i="1291"/>
  <c r="X23" i="1291"/>
  <c r="Y23" i="1291"/>
  <c r="Z23" i="1291"/>
  <c r="AA23" i="1291"/>
  <c r="AB23" i="1291"/>
  <c r="AC23" i="1291"/>
  <c r="AD23" i="1291"/>
  <c r="AE23" i="1291"/>
  <c r="AF23" i="1291"/>
  <c r="AG23" i="1291"/>
  <c r="AH23" i="1291"/>
  <c r="AI23" i="1291"/>
  <c r="AJ23" i="1291"/>
  <c r="AK23" i="1291"/>
  <c r="AL23" i="1291"/>
  <c r="AM23" i="1291"/>
  <c r="AN23" i="1291"/>
  <c r="AO23" i="1291"/>
  <c r="AP23" i="1291"/>
  <c r="AQ23" i="1291"/>
  <c r="AR23" i="1291"/>
  <c r="AS23" i="1291"/>
  <c r="AT23" i="1291"/>
  <c r="AU23" i="1291"/>
  <c r="AV23" i="1291"/>
  <c r="AW23" i="1291"/>
  <c r="AX23" i="1291"/>
  <c r="AY23" i="1291"/>
  <c r="AZ23" i="1291"/>
  <c r="BA23" i="1291"/>
  <c r="BB23" i="1291"/>
  <c r="BC23" i="1291"/>
  <c r="BD23" i="1291"/>
  <c r="BE23" i="1291"/>
  <c r="BF23" i="1291"/>
  <c r="BG23" i="1291"/>
  <c r="BH23" i="1291"/>
  <c r="BI23" i="1291"/>
  <c r="BJ23" i="1291"/>
  <c r="BK23" i="1291"/>
  <c r="BL23" i="1291"/>
  <c r="BM23" i="1291"/>
  <c r="BN23" i="1291"/>
  <c r="BO23" i="1291"/>
  <c r="BP23" i="1291"/>
  <c r="BQ23" i="1291"/>
  <c r="BR23" i="1291"/>
  <c r="BS23" i="1291"/>
  <c r="BT23" i="1291"/>
  <c r="BU23" i="1291"/>
  <c r="BV23" i="1291"/>
  <c r="BW23" i="1291"/>
  <c r="BX23" i="1291"/>
  <c r="BY23" i="1291"/>
  <c r="BZ23" i="1291"/>
  <c r="CA23" i="1291"/>
  <c r="CB23" i="1291"/>
  <c r="CC23" i="1291"/>
  <c r="CD23" i="1291"/>
  <c r="CE23" i="1291"/>
  <c r="CF23" i="1291"/>
  <c r="CG23" i="1291"/>
  <c r="CH23" i="1291"/>
  <c r="CI23" i="1291"/>
  <c r="CJ23" i="1291"/>
  <c r="CK23" i="1291"/>
  <c r="CL23" i="1291"/>
  <c r="CM23" i="1291"/>
  <c r="CN23" i="1291"/>
  <c r="CO23" i="1291"/>
  <c r="CP23" i="1291"/>
  <c r="CQ23" i="1291"/>
  <c r="CR23" i="1291"/>
  <c r="CS23" i="1291"/>
  <c r="CT23" i="1291"/>
  <c r="CU23" i="1291"/>
  <c r="CV23" i="1291"/>
  <c r="CW23" i="1291"/>
  <c r="CX23" i="1291"/>
  <c r="CY23" i="1291"/>
  <c r="CZ23" i="1291"/>
  <c r="DA23" i="1291"/>
  <c r="DB23" i="1291"/>
  <c r="DC23" i="1291"/>
  <c r="C24" i="1291"/>
  <c r="D24" i="1291"/>
  <c r="E24" i="1291"/>
  <c r="F24" i="1291"/>
  <c r="G24" i="1291"/>
  <c r="H24" i="1291"/>
  <c r="I24" i="1291"/>
  <c r="J24" i="1291"/>
  <c r="K24" i="1291"/>
  <c r="L24" i="1291"/>
  <c r="M24" i="1291"/>
  <c r="N24" i="1291"/>
  <c r="O24" i="1291"/>
  <c r="P24" i="1291"/>
  <c r="Q24" i="1291"/>
  <c r="R24" i="1291"/>
  <c r="S24" i="1291"/>
  <c r="T24" i="1291"/>
  <c r="U24" i="1291"/>
  <c r="V24" i="1291"/>
  <c r="W24" i="1291"/>
  <c r="X24" i="1291"/>
  <c r="Y24" i="1291"/>
  <c r="Z24" i="1291"/>
  <c r="AA24" i="1291"/>
  <c r="AB24" i="1291"/>
  <c r="AC24" i="1291"/>
  <c r="AD24" i="1291"/>
  <c r="AE24" i="1291"/>
  <c r="AF24" i="1291"/>
  <c r="AG24" i="1291"/>
  <c r="AH24" i="1291"/>
  <c r="AI24" i="1291"/>
  <c r="AJ24" i="1291"/>
  <c r="AK24" i="1291"/>
  <c r="AL24" i="1291"/>
  <c r="AM24" i="1291"/>
  <c r="AN24" i="1291"/>
  <c r="AO24" i="1291"/>
  <c r="AP24" i="1291"/>
  <c r="AQ24" i="1291"/>
  <c r="AR24" i="1291"/>
  <c r="AS24" i="1291"/>
  <c r="AT24" i="1291"/>
  <c r="AU24" i="1291"/>
  <c r="AV24" i="1291"/>
  <c r="AW24" i="1291"/>
  <c r="AX24" i="1291"/>
  <c r="AY24" i="1291"/>
  <c r="AZ24" i="1291"/>
  <c r="BA24" i="1291"/>
  <c r="BB24" i="1291"/>
  <c r="BC24" i="1291"/>
  <c r="BD24" i="1291"/>
  <c r="BE24" i="1291"/>
  <c r="BF24" i="1291"/>
  <c r="BG24" i="1291"/>
  <c r="BH24" i="1291"/>
  <c r="BI24" i="1291"/>
  <c r="BJ24" i="1291"/>
  <c r="BK24" i="1291"/>
  <c r="BL24" i="1291"/>
  <c r="BM24" i="1291"/>
  <c r="BN24" i="1291"/>
  <c r="BO24" i="1291"/>
  <c r="BP24" i="1291"/>
  <c r="BQ24" i="1291"/>
  <c r="BR24" i="1291"/>
  <c r="BS24" i="1291"/>
  <c r="BT24" i="1291"/>
  <c r="BU24" i="1291"/>
  <c r="BV24" i="1291"/>
  <c r="BW24" i="1291"/>
  <c r="BX24" i="1291"/>
  <c r="BY24" i="1291"/>
  <c r="BZ24" i="1291"/>
  <c r="CA24" i="1291"/>
  <c r="CB24" i="1291"/>
  <c r="CC24" i="1291"/>
  <c r="CD24" i="1291"/>
  <c r="CE24" i="1291"/>
  <c r="CF24" i="1291"/>
  <c r="CG24" i="1291"/>
  <c r="CH24" i="1291"/>
  <c r="CI24" i="1291"/>
  <c r="CJ24" i="1291"/>
  <c r="CK24" i="1291"/>
  <c r="CL24" i="1291"/>
  <c r="CM24" i="1291"/>
  <c r="CN24" i="1291"/>
  <c r="CO24" i="1291"/>
  <c r="CP24" i="1291"/>
  <c r="CQ24" i="1291"/>
  <c r="CR24" i="1291"/>
  <c r="CS24" i="1291"/>
  <c r="CT24" i="1291"/>
  <c r="CU24" i="1291"/>
  <c r="CV24" i="1291"/>
  <c r="CW24" i="1291"/>
  <c r="CX24" i="1291"/>
  <c r="CY24" i="1291"/>
  <c r="CZ24" i="1291"/>
  <c r="DA24" i="1291"/>
  <c r="DB24" i="1291"/>
  <c r="DC24" i="1291"/>
  <c r="C25" i="1291"/>
  <c r="D25" i="1291"/>
  <c r="E25" i="1291"/>
  <c r="F25" i="1291"/>
  <c r="G25" i="1291"/>
  <c r="H25" i="1291"/>
  <c r="I25" i="1291"/>
  <c r="J25" i="1291"/>
  <c r="K25" i="1291"/>
  <c r="L25" i="1291"/>
  <c r="M25" i="1291"/>
  <c r="N25" i="1291"/>
  <c r="O25" i="1291"/>
  <c r="P25" i="1291"/>
  <c r="Q25" i="1291"/>
  <c r="R25" i="1291"/>
  <c r="S25" i="1291"/>
  <c r="T25" i="1291"/>
  <c r="U25" i="1291"/>
  <c r="V25" i="1291"/>
  <c r="W25" i="1291"/>
  <c r="X25" i="1291"/>
  <c r="Y25" i="1291"/>
  <c r="Z25" i="1291"/>
  <c r="AA25" i="1291"/>
  <c r="AB25" i="1291"/>
  <c r="AC25" i="1291"/>
  <c r="AD25" i="1291"/>
  <c r="AE25" i="1291"/>
  <c r="AF25" i="1291"/>
  <c r="AG25" i="1291"/>
  <c r="AH25" i="1291"/>
  <c r="AI25" i="1291"/>
  <c r="AJ25" i="1291"/>
  <c r="AK25" i="1291"/>
  <c r="AL25" i="1291"/>
  <c r="AM25" i="1291"/>
  <c r="AN25" i="1291"/>
  <c r="AO25" i="1291"/>
  <c r="AP25" i="1291"/>
  <c r="AQ25" i="1291"/>
  <c r="AR25" i="1291"/>
  <c r="AS25" i="1291"/>
  <c r="AT25" i="1291"/>
  <c r="AU25" i="1291"/>
  <c r="AV25" i="1291"/>
  <c r="AW25" i="1291"/>
  <c r="AX25" i="1291"/>
  <c r="AY25" i="1291"/>
  <c r="AZ25" i="1291"/>
  <c r="BA25" i="1291"/>
  <c r="BB25" i="1291"/>
  <c r="BC25" i="1291"/>
  <c r="BD25" i="1291"/>
  <c r="BE25" i="1291"/>
  <c r="BF25" i="1291"/>
  <c r="BG25" i="1291"/>
  <c r="BH25" i="1291"/>
  <c r="BI25" i="1291"/>
  <c r="BJ25" i="1291"/>
  <c r="BK25" i="1291"/>
  <c r="BL25" i="1291"/>
  <c r="BM25" i="1291"/>
  <c r="BN25" i="1291"/>
  <c r="BO25" i="1291"/>
  <c r="BP25" i="1291"/>
  <c r="BQ25" i="1291"/>
  <c r="BR25" i="1291"/>
  <c r="BS25" i="1291"/>
  <c r="BT25" i="1291"/>
  <c r="BU25" i="1291"/>
  <c r="BV25" i="1291"/>
  <c r="BW25" i="1291"/>
  <c r="BX25" i="1291"/>
  <c r="BY25" i="1291"/>
  <c r="BZ25" i="1291"/>
  <c r="CA25" i="1291"/>
  <c r="CB25" i="1291"/>
  <c r="CC25" i="1291"/>
  <c r="CD25" i="1291"/>
  <c r="CE25" i="1291"/>
  <c r="CF25" i="1291"/>
  <c r="CG25" i="1291"/>
  <c r="CH25" i="1291"/>
  <c r="CI25" i="1291"/>
  <c r="CJ25" i="1291"/>
  <c r="CK25" i="1291"/>
  <c r="CL25" i="1291"/>
  <c r="CM25" i="1291"/>
  <c r="CN25" i="1291"/>
  <c r="CO25" i="1291"/>
  <c r="CP25" i="1291"/>
  <c r="CQ25" i="1291"/>
  <c r="CR25" i="1291"/>
  <c r="CS25" i="1291"/>
  <c r="CT25" i="1291"/>
  <c r="CU25" i="1291"/>
  <c r="CV25" i="1291"/>
  <c r="CW25" i="1291"/>
  <c r="CX25" i="1291"/>
  <c r="CY25" i="1291"/>
  <c r="CZ25" i="1291"/>
  <c r="DA25" i="1291"/>
  <c r="DB25" i="1291"/>
  <c r="DC25" i="1291"/>
  <c r="C26" i="1291"/>
  <c r="D26" i="1291"/>
  <c r="E26" i="1291"/>
  <c r="F26" i="1291"/>
  <c r="G26" i="1291"/>
  <c r="H26" i="1291"/>
  <c r="I26" i="1291"/>
  <c r="J26" i="1291"/>
  <c r="K26" i="1291"/>
  <c r="L26" i="1291"/>
  <c r="M26" i="1291"/>
  <c r="N26" i="1291"/>
  <c r="O26" i="1291"/>
  <c r="P26" i="1291"/>
  <c r="Q26" i="1291"/>
  <c r="R26" i="1291"/>
  <c r="S26" i="1291"/>
  <c r="T26" i="1291"/>
  <c r="U26" i="1291"/>
  <c r="V26" i="1291"/>
  <c r="W26" i="1291"/>
  <c r="X26" i="1291"/>
  <c r="Y26" i="1291"/>
  <c r="Z26" i="1291"/>
  <c r="AA26" i="1291"/>
  <c r="AB26" i="1291"/>
  <c r="AC26" i="1291"/>
  <c r="AD26" i="1291"/>
  <c r="AE26" i="1291"/>
  <c r="AF26" i="1291"/>
  <c r="AG26" i="1291"/>
  <c r="AH26" i="1291"/>
  <c r="AI26" i="1291"/>
  <c r="AJ26" i="1291"/>
  <c r="AK26" i="1291"/>
  <c r="AL26" i="1291"/>
  <c r="AM26" i="1291"/>
  <c r="AN26" i="1291"/>
  <c r="AO26" i="1291"/>
  <c r="AP26" i="1291"/>
  <c r="AQ26" i="1291"/>
  <c r="AR26" i="1291"/>
  <c r="AS26" i="1291"/>
  <c r="AT26" i="1291"/>
  <c r="AU26" i="1291"/>
  <c r="AV26" i="1291"/>
  <c r="AW26" i="1291"/>
  <c r="AX26" i="1291"/>
  <c r="AY26" i="1291"/>
  <c r="AZ26" i="1291"/>
  <c r="BA26" i="1291"/>
  <c r="BB26" i="1291"/>
  <c r="BC26" i="1291"/>
  <c r="BD26" i="1291"/>
  <c r="BE26" i="1291"/>
  <c r="BF26" i="1291"/>
  <c r="BG26" i="1291"/>
  <c r="BH26" i="1291"/>
  <c r="BI26" i="1291"/>
  <c r="BJ26" i="1291"/>
  <c r="BK26" i="1291"/>
  <c r="BL26" i="1291"/>
  <c r="BM26" i="1291"/>
  <c r="BN26" i="1291"/>
  <c r="BO26" i="1291"/>
  <c r="BP26" i="1291"/>
  <c r="BQ26" i="1291"/>
  <c r="BR26" i="1291"/>
  <c r="BS26" i="1291"/>
  <c r="BT26" i="1291"/>
  <c r="BU26" i="1291"/>
  <c r="BV26" i="1291"/>
  <c r="BW26" i="1291"/>
  <c r="BX26" i="1291"/>
  <c r="BY26" i="1291"/>
  <c r="BZ26" i="1291"/>
  <c r="CA26" i="1291"/>
  <c r="CB26" i="1291"/>
  <c r="CC26" i="1291"/>
  <c r="CD26" i="1291"/>
  <c r="CE26" i="1291"/>
  <c r="CF26" i="1291"/>
  <c r="CG26" i="1291"/>
  <c r="CH26" i="1291"/>
  <c r="CI26" i="1291"/>
  <c r="CJ26" i="1291"/>
  <c r="CK26" i="1291"/>
  <c r="CL26" i="1291"/>
  <c r="CM26" i="1291"/>
  <c r="CN26" i="1291"/>
  <c r="CO26" i="1291"/>
  <c r="CP26" i="1291"/>
  <c r="CQ26" i="1291"/>
  <c r="CR26" i="1291"/>
  <c r="CS26" i="1291"/>
  <c r="CT26" i="1291"/>
  <c r="CU26" i="1291"/>
  <c r="CV26" i="1291"/>
  <c r="CW26" i="1291"/>
  <c r="CX26" i="1291"/>
  <c r="CY26" i="1291"/>
  <c r="CZ26" i="1291"/>
  <c r="DA26" i="1291"/>
  <c r="DB26" i="1291"/>
  <c r="DC26" i="1291"/>
  <c r="C27" i="1291"/>
  <c r="D27" i="1291"/>
  <c r="E27" i="1291"/>
  <c r="F27" i="1291"/>
  <c r="G27" i="1291"/>
  <c r="H27" i="1291"/>
  <c r="I27" i="1291"/>
  <c r="J27" i="1291"/>
  <c r="K27" i="1291"/>
  <c r="L27" i="1291"/>
  <c r="M27" i="1291"/>
  <c r="N27" i="1291"/>
  <c r="O27" i="1291"/>
  <c r="P27" i="1291"/>
  <c r="Q27" i="1291"/>
  <c r="R27" i="1291"/>
  <c r="S27" i="1291"/>
  <c r="T27" i="1291"/>
  <c r="U27" i="1291"/>
  <c r="V27" i="1291"/>
  <c r="W27" i="1291"/>
  <c r="X27" i="1291"/>
  <c r="Y27" i="1291"/>
  <c r="Z27" i="1291"/>
  <c r="AA27" i="1291"/>
  <c r="AB27" i="1291"/>
  <c r="AC27" i="1291"/>
  <c r="AD27" i="1291"/>
  <c r="AE27" i="1291"/>
  <c r="AF27" i="1291"/>
  <c r="AG27" i="1291"/>
  <c r="AH27" i="1291"/>
  <c r="AI27" i="1291"/>
  <c r="AJ27" i="1291"/>
  <c r="AK27" i="1291"/>
  <c r="AL27" i="1291"/>
  <c r="AM27" i="1291"/>
  <c r="AN27" i="1291"/>
  <c r="AO27" i="1291"/>
  <c r="AP27" i="1291"/>
  <c r="AQ27" i="1291"/>
  <c r="AR27" i="1291"/>
  <c r="AS27" i="1291"/>
  <c r="AT27" i="1291"/>
  <c r="AU27" i="1291"/>
  <c r="AV27" i="1291"/>
  <c r="AW27" i="1291"/>
  <c r="AX27" i="1291"/>
  <c r="AY27" i="1291"/>
  <c r="AZ27" i="1291"/>
  <c r="BA27" i="1291"/>
  <c r="BB27" i="1291"/>
  <c r="BC27" i="1291"/>
  <c r="BD27" i="1291"/>
  <c r="BE27" i="1291"/>
  <c r="BF27" i="1291"/>
  <c r="BG27" i="1291"/>
  <c r="BH27" i="1291"/>
  <c r="BI27" i="1291"/>
  <c r="BJ27" i="1291"/>
  <c r="BK27" i="1291"/>
  <c r="BL27" i="1291"/>
  <c r="BM27" i="1291"/>
  <c r="BN27" i="1291"/>
  <c r="BO27" i="1291"/>
  <c r="BP27" i="1291"/>
  <c r="BQ27" i="1291"/>
  <c r="BR27" i="1291"/>
  <c r="BS27" i="1291"/>
  <c r="BT27" i="1291"/>
  <c r="BU27" i="1291"/>
  <c r="BV27" i="1291"/>
  <c r="BW27" i="1291"/>
  <c r="BX27" i="1291"/>
  <c r="BY27" i="1291"/>
  <c r="BZ27" i="1291"/>
  <c r="CA27" i="1291"/>
  <c r="CB27" i="1291"/>
  <c r="CC27" i="1291"/>
  <c r="CD27" i="1291"/>
  <c r="CE27" i="1291"/>
  <c r="CF27" i="1291"/>
  <c r="CG27" i="1291"/>
  <c r="CH27" i="1291"/>
  <c r="CI27" i="1291"/>
  <c r="CJ27" i="1291"/>
  <c r="CK27" i="1291"/>
  <c r="CL27" i="1291"/>
  <c r="CM27" i="1291"/>
  <c r="CN27" i="1291"/>
  <c r="CO27" i="1291"/>
  <c r="CP27" i="1291"/>
  <c r="CQ27" i="1291"/>
  <c r="CR27" i="1291"/>
  <c r="CS27" i="1291"/>
  <c r="CT27" i="1291"/>
  <c r="CU27" i="1291"/>
  <c r="CV27" i="1291"/>
  <c r="CW27" i="1291"/>
  <c r="CX27" i="1291"/>
  <c r="CY27" i="1291"/>
  <c r="CZ27" i="1291"/>
  <c r="DA27" i="1291"/>
  <c r="DB27" i="1291"/>
  <c r="DC27" i="1291"/>
  <c r="C28" i="1291"/>
  <c r="D28" i="1291"/>
  <c r="E28" i="1291"/>
  <c r="F28" i="1291"/>
  <c r="G28" i="1291"/>
  <c r="H28" i="1291"/>
  <c r="I28" i="1291"/>
  <c r="J28" i="1291"/>
  <c r="K28" i="1291"/>
  <c r="L28" i="1291"/>
  <c r="M28" i="1291"/>
  <c r="N28" i="1291"/>
  <c r="O28" i="1291"/>
  <c r="P28" i="1291"/>
  <c r="Q28" i="1291"/>
  <c r="R28" i="1291"/>
  <c r="S28" i="1291"/>
  <c r="T28" i="1291"/>
  <c r="U28" i="1291"/>
  <c r="V28" i="1291"/>
  <c r="W28" i="1291"/>
  <c r="X28" i="1291"/>
  <c r="Y28" i="1291"/>
  <c r="Z28" i="1291"/>
  <c r="AA28" i="1291"/>
  <c r="AB28" i="1291"/>
  <c r="AC28" i="1291"/>
  <c r="AD28" i="1291"/>
  <c r="AE28" i="1291"/>
  <c r="AF28" i="1291"/>
  <c r="AG28" i="1291"/>
  <c r="AH28" i="1291"/>
  <c r="AI28" i="1291"/>
  <c r="AJ28" i="1291"/>
  <c r="AK28" i="1291"/>
  <c r="AL28" i="1291"/>
  <c r="AM28" i="1291"/>
  <c r="AN28" i="1291"/>
  <c r="AO28" i="1291"/>
  <c r="AP28" i="1291"/>
  <c r="AQ28" i="1291"/>
  <c r="AR28" i="1291"/>
  <c r="AS28" i="1291"/>
  <c r="AT28" i="1291"/>
  <c r="AU28" i="1291"/>
  <c r="AV28" i="1291"/>
  <c r="AW28" i="1291"/>
  <c r="AX28" i="1291"/>
  <c r="AY28" i="1291"/>
  <c r="AZ28" i="1291"/>
  <c r="BA28" i="1291"/>
  <c r="BB28" i="1291"/>
  <c r="BC28" i="1291"/>
  <c r="BD28" i="1291"/>
  <c r="BE28" i="1291"/>
  <c r="BF28" i="1291"/>
  <c r="BG28" i="1291"/>
  <c r="BH28" i="1291"/>
  <c r="BI28" i="1291"/>
  <c r="BJ28" i="1291"/>
  <c r="BK28" i="1291"/>
  <c r="BL28" i="1291"/>
  <c r="BM28" i="1291"/>
  <c r="BN28" i="1291"/>
  <c r="BO28" i="1291"/>
  <c r="BP28" i="1291"/>
  <c r="BQ28" i="1291"/>
  <c r="BR28" i="1291"/>
  <c r="BS28" i="1291"/>
  <c r="BT28" i="1291"/>
  <c r="BU28" i="1291"/>
  <c r="BV28" i="1291"/>
  <c r="BW28" i="1291"/>
  <c r="BX28" i="1291"/>
  <c r="BY28" i="1291"/>
  <c r="BZ28" i="1291"/>
  <c r="CA28" i="1291"/>
  <c r="CB28" i="1291"/>
  <c r="CC28" i="1291"/>
  <c r="CD28" i="1291"/>
  <c r="CE28" i="1291"/>
  <c r="CF28" i="1291"/>
  <c r="CG28" i="1291"/>
  <c r="CH28" i="1291"/>
  <c r="CI28" i="1291"/>
  <c r="CJ28" i="1291"/>
  <c r="CK28" i="1291"/>
  <c r="CL28" i="1291"/>
  <c r="CM28" i="1291"/>
  <c r="CN28" i="1291"/>
  <c r="CO28" i="1291"/>
  <c r="CP28" i="1291"/>
  <c r="CQ28" i="1291"/>
  <c r="CR28" i="1291"/>
  <c r="CS28" i="1291"/>
  <c r="CT28" i="1291"/>
  <c r="CU28" i="1291"/>
  <c r="CV28" i="1291"/>
  <c r="CW28" i="1291"/>
  <c r="CX28" i="1291"/>
  <c r="CY28" i="1291"/>
  <c r="CZ28" i="1291"/>
  <c r="DA28" i="1291"/>
  <c r="DB28" i="1291"/>
  <c r="DC28" i="1291"/>
  <c r="C29" i="1291"/>
  <c r="D29" i="1291"/>
  <c r="E29" i="1291"/>
  <c r="F29" i="1291"/>
  <c r="G29" i="1291"/>
  <c r="H29" i="1291"/>
  <c r="I29" i="1291"/>
  <c r="J29" i="1291"/>
  <c r="K29" i="1291"/>
  <c r="L29" i="1291"/>
  <c r="M29" i="1291"/>
  <c r="N29" i="1291"/>
  <c r="O29" i="1291"/>
  <c r="P29" i="1291"/>
  <c r="Q29" i="1291"/>
  <c r="R29" i="1291"/>
  <c r="S29" i="1291"/>
  <c r="T29" i="1291"/>
  <c r="U29" i="1291"/>
  <c r="V29" i="1291"/>
  <c r="W29" i="1291"/>
  <c r="X29" i="1291"/>
  <c r="Y29" i="1291"/>
  <c r="Z29" i="1291"/>
  <c r="AA29" i="1291"/>
  <c r="AB29" i="1291"/>
  <c r="AC29" i="1291"/>
  <c r="AD29" i="1291"/>
  <c r="AE29" i="1291"/>
  <c r="AF29" i="1291"/>
  <c r="AG29" i="1291"/>
  <c r="AH29" i="1291"/>
  <c r="AI29" i="1291"/>
  <c r="AJ29" i="1291"/>
  <c r="AK29" i="1291"/>
  <c r="AL29" i="1291"/>
  <c r="AM29" i="1291"/>
  <c r="AN29" i="1291"/>
  <c r="AO29" i="1291"/>
  <c r="AP29" i="1291"/>
  <c r="AQ29" i="1291"/>
  <c r="AR29" i="1291"/>
  <c r="AS29" i="1291"/>
  <c r="AT29" i="1291"/>
  <c r="AU29" i="1291"/>
  <c r="AV29" i="1291"/>
  <c r="AW29" i="1291"/>
  <c r="AX29" i="1291"/>
  <c r="AY29" i="1291"/>
  <c r="AZ29" i="1291"/>
  <c r="BA29" i="1291"/>
  <c r="BB29" i="1291"/>
  <c r="BC29" i="1291"/>
  <c r="BD29" i="1291"/>
  <c r="BE29" i="1291"/>
  <c r="BF29" i="1291"/>
  <c r="BG29" i="1291"/>
  <c r="BH29" i="1291"/>
  <c r="BI29" i="1291"/>
  <c r="BJ29" i="1291"/>
  <c r="BK29" i="1291"/>
  <c r="BL29" i="1291"/>
  <c r="BM29" i="1291"/>
  <c r="BN29" i="1291"/>
  <c r="BO29" i="1291"/>
  <c r="BP29" i="1291"/>
  <c r="BQ29" i="1291"/>
  <c r="BR29" i="1291"/>
  <c r="BS29" i="1291"/>
  <c r="BT29" i="1291"/>
  <c r="BU29" i="1291"/>
  <c r="BV29" i="1291"/>
  <c r="BW29" i="1291"/>
  <c r="BX29" i="1291"/>
  <c r="BY29" i="1291"/>
  <c r="BZ29" i="1291"/>
  <c r="CA29" i="1291"/>
  <c r="CB29" i="1291"/>
  <c r="CC29" i="1291"/>
  <c r="CD29" i="1291"/>
  <c r="CE29" i="1291"/>
  <c r="CF29" i="1291"/>
  <c r="CG29" i="1291"/>
  <c r="CH29" i="1291"/>
  <c r="CI29" i="1291"/>
  <c r="CJ29" i="1291"/>
  <c r="CK29" i="1291"/>
  <c r="CL29" i="1291"/>
  <c r="CM29" i="1291"/>
  <c r="CN29" i="1291"/>
  <c r="CO29" i="1291"/>
  <c r="CP29" i="1291"/>
  <c r="CQ29" i="1291"/>
  <c r="CR29" i="1291"/>
  <c r="CS29" i="1291"/>
  <c r="CT29" i="1291"/>
  <c r="CU29" i="1291"/>
  <c r="CV29" i="1291"/>
  <c r="CW29" i="1291"/>
  <c r="CX29" i="1291"/>
  <c r="CY29" i="1291"/>
  <c r="CZ29" i="1291"/>
  <c r="DA29" i="1291"/>
  <c r="DB29" i="1291"/>
  <c r="DC29" i="1291"/>
  <c r="C30" i="1291"/>
  <c r="D30" i="1291"/>
  <c r="E30" i="1291"/>
  <c r="F30" i="1291"/>
  <c r="G30" i="1291"/>
  <c r="H30" i="1291"/>
  <c r="I30" i="1291"/>
  <c r="J30" i="1291"/>
  <c r="K30" i="1291"/>
  <c r="L30" i="1291"/>
  <c r="M30" i="1291"/>
  <c r="N30" i="1291"/>
  <c r="O30" i="1291"/>
  <c r="P30" i="1291"/>
  <c r="Q30" i="1291"/>
  <c r="R30" i="1291"/>
  <c r="S30" i="1291"/>
  <c r="T30" i="1291"/>
  <c r="U30" i="1291"/>
  <c r="V30" i="1291"/>
  <c r="W30" i="1291"/>
  <c r="X30" i="1291"/>
  <c r="Y30" i="1291"/>
  <c r="Z30" i="1291"/>
  <c r="AA30" i="1291"/>
  <c r="AB30" i="1291"/>
  <c r="AC30" i="1291"/>
  <c r="AD30" i="1291"/>
  <c r="AE30" i="1291"/>
  <c r="AF30" i="1291"/>
  <c r="AG30" i="1291"/>
  <c r="AH30" i="1291"/>
  <c r="AI30" i="1291"/>
  <c r="AJ30" i="1291"/>
  <c r="AK30" i="1291"/>
  <c r="AL30" i="1291"/>
  <c r="AM30" i="1291"/>
  <c r="AN30" i="1291"/>
  <c r="AO30" i="1291"/>
  <c r="AP30" i="1291"/>
  <c r="AQ30" i="1291"/>
  <c r="AR30" i="1291"/>
  <c r="AS30" i="1291"/>
  <c r="AT30" i="1291"/>
  <c r="AU30" i="1291"/>
  <c r="AV30" i="1291"/>
  <c r="AW30" i="1291"/>
  <c r="AX30" i="1291"/>
  <c r="AY30" i="1291"/>
  <c r="AZ30" i="1291"/>
  <c r="BA30" i="1291"/>
  <c r="BB30" i="1291"/>
  <c r="BC30" i="1291"/>
  <c r="BD30" i="1291"/>
  <c r="BE30" i="1291"/>
  <c r="BF30" i="1291"/>
  <c r="BG30" i="1291"/>
  <c r="BH30" i="1291"/>
  <c r="BI30" i="1291"/>
  <c r="BJ30" i="1291"/>
  <c r="BK30" i="1291"/>
  <c r="BL30" i="1291"/>
  <c r="BM30" i="1291"/>
  <c r="BN30" i="1291"/>
  <c r="BO30" i="1291"/>
  <c r="BP30" i="1291"/>
  <c r="BQ30" i="1291"/>
  <c r="BR30" i="1291"/>
  <c r="BS30" i="1291"/>
  <c r="BT30" i="1291"/>
  <c r="BU30" i="1291"/>
  <c r="BV30" i="1291"/>
  <c r="BW30" i="1291"/>
  <c r="BX30" i="1291"/>
  <c r="BY30" i="1291"/>
  <c r="BZ30" i="1291"/>
  <c r="CA30" i="1291"/>
  <c r="CB30" i="1291"/>
  <c r="CC30" i="1291"/>
  <c r="CD30" i="1291"/>
  <c r="CE30" i="1291"/>
  <c r="CF30" i="1291"/>
  <c r="CG30" i="1291"/>
  <c r="CH30" i="1291"/>
  <c r="CI30" i="1291"/>
  <c r="CJ30" i="1291"/>
  <c r="CK30" i="1291"/>
  <c r="CL30" i="1291"/>
  <c r="CM30" i="1291"/>
  <c r="CN30" i="1291"/>
  <c r="CO30" i="1291"/>
  <c r="CP30" i="1291"/>
  <c r="CQ30" i="1291"/>
  <c r="CR30" i="1291"/>
  <c r="CS30" i="1291"/>
  <c r="CT30" i="1291"/>
  <c r="CU30" i="1291"/>
  <c r="CV30" i="1291"/>
  <c r="CW30" i="1291"/>
  <c r="CX30" i="1291"/>
  <c r="CY30" i="1291"/>
  <c r="CZ30" i="1291"/>
  <c r="DA30" i="1291"/>
  <c r="DB30" i="1291"/>
  <c r="DC30" i="1291"/>
  <c r="C31" i="1291"/>
  <c r="D31" i="1291"/>
  <c r="E31" i="1291"/>
  <c r="F31" i="1291"/>
  <c r="G31" i="1291"/>
  <c r="H31" i="1291"/>
  <c r="I31" i="1291"/>
  <c r="J31" i="1291"/>
  <c r="K31" i="1291"/>
  <c r="L31" i="1291"/>
  <c r="M31" i="1291"/>
  <c r="N31" i="1291"/>
  <c r="O31" i="1291"/>
  <c r="P31" i="1291"/>
  <c r="Q31" i="1291"/>
  <c r="R31" i="1291"/>
  <c r="S31" i="1291"/>
  <c r="T31" i="1291"/>
  <c r="U31" i="1291"/>
  <c r="V31" i="1291"/>
  <c r="W31" i="1291"/>
  <c r="X31" i="1291"/>
  <c r="Y31" i="1291"/>
  <c r="Z31" i="1291"/>
  <c r="AA31" i="1291"/>
  <c r="AB31" i="1291"/>
  <c r="AC31" i="1291"/>
  <c r="AD31" i="1291"/>
  <c r="AE31" i="1291"/>
  <c r="AF31" i="1291"/>
  <c r="AG31" i="1291"/>
  <c r="AH31" i="1291"/>
  <c r="AI31" i="1291"/>
  <c r="AJ31" i="1291"/>
  <c r="AK31" i="1291"/>
  <c r="AL31" i="1291"/>
  <c r="AM31" i="1291"/>
  <c r="AN31" i="1291"/>
  <c r="AO31" i="1291"/>
  <c r="AP31" i="1291"/>
  <c r="AQ31" i="1291"/>
  <c r="AR31" i="1291"/>
  <c r="AS31" i="1291"/>
  <c r="AT31" i="1291"/>
  <c r="AU31" i="1291"/>
  <c r="AV31" i="1291"/>
  <c r="AW31" i="1291"/>
  <c r="AX31" i="1291"/>
  <c r="AY31" i="1291"/>
  <c r="AZ31" i="1291"/>
  <c r="BA31" i="1291"/>
  <c r="BB31" i="1291"/>
  <c r="BC31" i="1291"/>
  <c r="BD31" i="1291"/>
  <c r="BE31" i="1291"/>
  <c r="BF31" i="1291"/>
  <c r="BG31" i="1291"/>
  <c r="BH31" i="1291"/>
  <c r="BI31" i="1291"/>
  <c r="BJ31" i="1291"/>
  <c r="BK31" i="1291"/>
  <c r="BL31" i="1291"/>
  <c r="BM31" i="1291"/>
  <c r="BN31" i="1291"/>
  <c r="BO31" i="1291"/>
  <c r="BP31" i="1291"/>
  <c r="BQ31" i="1291"/>
  <c r="BR31" i="1291"/>
  <c r="BS31" i="1291"/>
  <c r="BT31" i="1291"/>
  <c r="BU31" i="1291"/>
  <c r="BV31" i="1291"/>
  <c r="BW31" i="1291"/>
  <c r="BX31" i="1291"/>
  <c r="BY31" i="1291"/>
  <c r="BZ31" i="1291"/>
  <c r="CA31" i="1291"/>
  <c r="CB31" i="1291"/>
  <c r="CC31" i="1291"/>
  <c r="CD31" i="1291"/>
  <c r="CE31" i="1291"/>
  <c r="CF31" i="1291"/>
  <c r="CG31" i="1291"/>
  <c r="CH31" i="1291"/>
  <c r="CI31" i="1291"/>
  <c r="CJ31" i="1291"/>
  <c r="CK31" i="1291"/>
  <c r="CL31" i="1291"/>
  <c r="CM31" i="1291"/>
  <c r="CN31" i="1291"/>
  <c r="CO31" i="1291"/>
  <c r="CP31" i="1291"/>
  <c r="CQ31" i="1291"/>
  <c r="CR31" i="1291"/>
  <c r="CS31" i="1291"/>
  <c r="CT31" i="1291"/>
  <c r="CU31" i="1291"/>
  <c r="CV31" i="1291"/>
  <c r="CW31" i="1291"/>
  <c r="CX31" i="1291"/>
  <c r="CY31" i="1291"/>
  <c r="CZ31" i="1291"/>
  <c r="DA31" i="1291"/>
  <c r="DB31" i="1291"/>
  <c r="DC31" i="1291"/>
  <c r="C32" i="1291"/>
  <c r="D32" i="1291"/>
  <c r="E32" i="1291"/>
  <c r="F32" i="1291"/>
  <c r="G32" i="1291"/>
  <c r="H32" i="1291"/>
  <c r="I32" i="1291"/>
  <c r="J32" i="1291"/>
  <c r="K32" i="1291"/>
  <c r="L32" i="1291"/>
  <c r="M32" i="1291"/>
  <c r="N32" i="1291"/>
  <c r="O32" i="1291"/>
  <c r="P32" i="1291"/>
  <c r="Q32" i="1291"/>
  <c r="R32" i="1291"/>
  <c r="S32" i="1291"/>
  <c r="T32" i="1291"/>
  <c r="U32" i="1291"/>
  <c r="V32" i="1291"/>
  <c r="W32" i="1291"/>
  <c r="X32" i="1291"/>
  <c r="Y32" i="1291"/>
  <c r="Z32" i="1291"/>
  <c r="AA32" i="1291"/>
  <c r="AB32" i="1291"/>
  <c r="AC32" i="1291"/>
  <c r="AD32" i="1291"/>
  <c r="AE32" i="1291"/>
  <c r="AF32" i="1291"/>
  <c r="AG32" i="1291"/>
  <c r="AH32" i="1291"/>
  <c r="AI32" i="1291"/>
  <c r="AJ32" i="1291"/>
  <c r="AK32" i="1291"/>
  <c r="AL32" i="1291"/>
  <c r="AM32" i="1291"/>
  <c r="AN32" i="1291"/>
  <c r="AO32" i="1291"/>
  <c r="AP32" i="1291"/>
  <c r="AQ32" i="1291"/>
  <c r="AR32" i="1291"/>
  <c r="AS32" i="1291"/>
  <c r="AT32" i="1291"/>
  <c r="AU32" i="1291"/>
  <c r="AV32" i="1291"/>
  <c r="AW32" i="1291"/>
  <c r="AX32" i="1291"/>
  <c r="AY32" i="1291"/>
  <c r="AZ32" i="1291"/>
  <c r="BA32" i="1291"/>
  <c r="BB32" i="1291"/>
  <c r="BC32" i="1291"/>
  <c r="BD32" i="1291"/>
  <c r="BE32" i="1291"/>
  <c r="BF32" i="1291"/>
  <c r="BG32" i="1291"/>
  <c r="BH32" i="1291"/>
  <c r="BI32" i="1291"/>
  <c r="BJ32" i="1291"/>
  <c r="BK32" i="1291"/>
  <c r="BL32" i="1291"/>
  <c r="BM32" i="1291"/>
  <c r="BN32" i="1291"/>
  <c r="BO32" i="1291"/>
  <c r="BP32" i="1291"/>
  <c r="BQ32" i="1291"/>
  <c r="BR32" i="1291"/>
  <c r="BS32" i="1291"/>
  <c r="BT32" i="1291"/>
  <c r="BU32" i="1291"/>
  <c r="BV32" i="1291"/>
  <c r="BW32" i="1291"/>
  <c r="BX32" i="1291"/>
  <c r="BY32" i="1291"/>
  <c r="BZ32" i="1291"/>
  <c r="CA32" i="1291"/>
  <c r="CB32" i="1291"/>
  <c r="CC32" i="1291"/>
  <c r="CD32" i="1291"/>
  <c r="CE32" i="1291"/>
  <c r="CF32" i="1291"/>
  <c r="CG32" i="1291"/>
  <c r="CH32" i="1291"/>
  <c r="CI32" i="1291"/>
  <c r="CJ32" i="1291"/>
  <c r="CK32" i="1291"/>
  <c r="CL32" i="1291"/>
  <c r="CM32" i="1291"/>
  <c r="CN32" i="1291"/>
  <c r="CO32" i="1291"/>
  <c r="CP32" i="1291"/>
  <c r="CQ32" i="1291"/>
  <c r="CR32" i="1291"/>
  <c r="CS32" i="1291"/>
  <c r="CT32" i="1291"/>
  <c r="CU32" i="1291"/>
  <c r="CV32" i="1291"/>
  <c r="CW32" i="1291"/>
  <c r="CX32" i="1291"/>
  <c r="CY32" i="1291"/>
  <c r="CZ32" i="1291"/>
  <c r="DA32" i="1291"/>
  <c r="DB32" i="1291"/>
  <c r="DC32" i="1291"/>
  <c r="C33" i="1291"/>
  <c r="D33" i="1291"/>
  <c r="E33" i="1291"/>
  <c r="F33" i="1291"/>
  <c r="G33" i="1291"/>
  <c r="H33" i="1291"/>
  <c r="I33" i="1291"/>
  <c r="J33" i="1291"/>
  <c r="K33" i="1291"/>
  <c r="L33" i="1291"/>
  <c r="M33" i="1291"/>
  <c r="N33" i="1291"/>
  <c r="O33" i="1291"/>
  <c r="P33" i="1291"/>
  <c r="Q33" i="1291"/>
  <c r="R33" i="1291"/>
  <c r="S33" i="1291"/>
  <c r="T33" i="1291"/>
  <c r="U33" i="1291"/>
  <c r="V33" i="1291"/>
  <c r="W33" i="1291"/>
  <c r="X33" i="1291"/>
  <c r="Y33" i="1291"/>
  <c r="Z33" i="1291"/>
  <c r="AA33" i="1291"/>
  <c r="AB33" i="1291"/>
  <c r="AC33" i="1291"/>
  <c r="AD33" i="1291"/>
  <c r="AE33" i="1291"/>
  <c r="AF33" i="1291"/>
  <c r="AG33" i="1291"/>
  <c r="AH33" i="1291"/>
  <c r="AI33" i="1291"/>
  <c r="AJ33" i="1291"/>
  <c r="AK33" i="1291"/>
  <c r="AL33" i="1291"/>
  <c r="AM33" i="1291"/>
  <c r="AN33" i="1291"/>
  <c r="AO33" i="1291"/>
  <c r="AP33" i="1291"/>
  <c r="AQ33" i="1291"/>
  <c r="AR33" i="1291"/>
  <c r="AS33" i="1291"/>
  <c r="AT33" i="1291"/>
  <c r="AU33" i="1291"/>
  <c r="AV33" i="1291"/>
  <c r="AW33" i="1291"/>
  <c r="AX33" i="1291"/>
  <c r="AY33" i="1291"/>
  <c r="AZ33" i="1291"/>
  <c r="BA33" i="1291"/>
  <c r="BB33" i="1291"/>
  <c r="BC33" i="1291"/>
  <c r="BD33" i="1291"/>
  <c r="BE33" i="1291"/>
  <c r="BF33" i="1291"/>
  <c r="BG33" i="1291"/>
  <c r="BH33" i="1291"/>
  <c r="BI33" i="1291"/>
  <c r="BJ33" i="1291"/>
  <c r="BK33" i="1291"/>
  <c r="BL33" i="1291"/>
  <c r="BM33" i="1291"/>
  <c r="BN33" i="1291"/>
  <c r="BO33" i="1291"/>
  <c r="BP33" i="1291"/>
  <c r="BQ33" i="1291"/>
  <c r="BR33" i="1291"/>
  <c r="BS33" i="1291"/>
  <c r="BT33" i="1291"/>
  <c r="BU33" i="1291"/>
  <c r="BV33" i="1291"/>
  <c r="BW33" i="1291"/>
  <c r="BX33" i="1291"/>
  <c r="BY33" i="1291"/>
  <c r="BZ33" i="1291"/>
  <c r="CA33" i="1291"/>
  <c r="CB33" i="1291"/>
  <c r="CC33" i="1291"/>
  <c r="CD33" i="1291"/>
  <c r="CE33" i="1291"/>
  <c r="CF33" i="1291"/>
  <c r="CG33" i="1291"/>
  <c r="CH33" i="1291"/>
  <c r="CI33" i="1291"/>
  <c r="CJ33" i="1291"/>
  <c r="CK33" i="1291"/>
  <c r="CL33" i="1291"/>
  <c r="CM33" i="1291"/>
  <c r="CN33" i="1291"/>
  <c r="CO33" i="1291"/>
  <c r="CP33" i="1291"/>
  <c r="CQ33" i="1291"/>
  <c r="CR33" i="1291"/>
  <c r="CS33" i="1291"/>
  <c r="CT33" i="1291"/>
  <c r="CU33" i="1291"/>
  <c r="CV33" i="1291"/>
  <c r="CW33" i="1291"/>
  <c r="CX33" i="1291"/>
  <c r="CY33" i="1291"/>
  <c r="CZ33" i="1291"/>
  <c r="DA33" i="1291"/>
  <c r="DB33" i="1291"/>
  <c r="DC33" i="1291"/>
  <c r="C34" i="1291"/>
  <c r="D34" i="1291"/>
  <c r="E34" i="1291"/>
  <c r="F34" i="1291"/>
  <c r="G34" i="1291"/>
  <c r="H34" i="1291"/>
  <c r="I34" i="1291"/>
  <c r="J34" i="1291"/>
  <c r="K34" i="1291"/>
  <c r="L34" i="1291"/>
  <c r="M34" i="1291"/>
  <c r="N34" i="1291"/>
  <c r="O34" i="1291"/>
  <c r="P34" i="1291"/>
  <c r="Q34" i="1291"/>
  <c r="R34" i="1291"/>
  <c r="S34" i="1291"/>
  <c r="T34" i="1291"/>
  <c r="U34" i="1291"/>
  <c r="V34" i="1291"/>
  <c r="W34" i="1291"/>
  <c r="X34" i="1291"/>
  <c r="Y34" i="1291"/>
  <c r="Z34" i="1291"/>
  <c r="AA34" i="1291"/>
  <c r="AB34" i="1291"/>
  <c r="AC34" i="1291"/>
  <c r="AD34" i="1291"/>
  <c r="AE34" i="1291"/>
  <c r="AF34" i="1291"/>
  <c r="AG34" i="1291"/>
  <c r="AH34" i="1291"/>
  <c r="AI34" i="1291"/>
  <c r="AJ34" i="1291"/>
  <c r="AK34" i="1291"/>
  <c r="AL34" i="1291"/>
  <c r="AM34" i="1291"/>
  <c r="AN34" i="1291"/>
  <c r="AO34" i="1291"/>
  <c r="AP34" i="1291"/>
  <c r="AQ34" i="1291"/>
  <c r="AR34" i="1291"/>
  <c r="AS34" i="1291"/>
  <c r="AT34" i="1291"/>
  <c r="AU34" i="1291"/>
  <c r="AV34" i="1291"/>
  <c r="AW34" i="1291"/>
  <c r="AX34" i="1291"/>
  <c r="AY34" i="1291"/>
  <c r="AZ34" i="1291"/>
  <c r="BA34" i="1291"/>
  <c r="BB34" i="1291"/>
  <c r="BC34" i="1291"/>
  <c r="BD34" i="1291"/>
  <c r="BE34" i="1291"/>
  <c r="BF34" i="1291"/>
  <c r="BG34" i="1291"/>
  <c r="BH34" i="1291"/>
  <c r="BI34" i="1291"/>
  <c r="BJ34" i="1291"/>
  <c r="BK34" i="1291"/>
  <c r="BL34" i="1291"/>
  <c r="BM34" i="1291"/>
  <c r="BN34" i="1291"/>
  <c r="BO34" i="1291"/>
  <c r="BP34" i="1291"/>
  <c r="BQ34" i="1291"/>
  <c r="BR34" i="1291"/>
  <c r="BS34" i="1291"/>
  <c r="BT34" i="1291"/>
  <c r="BU34" i="1291"/>
  <c r="BV34" i="1291"/>
  <c r="BW34" i="1291"/>
  <c r="BX34" i="1291"/>
  <c r="BY34" i="1291"/>
  <c r="BZ34" i="1291"/>
  <c r="CA34" i="1291"/>
  <c r="CB34" i="1291"/>
  <c r="CC34" i="1291"/>
  <c r="CD34" i="1291"/>
  <c r="CE34" i="1291"/>
  <c r="CF34" i="1291"/>
  <c r="CG34" i="1291"/>
  <c r="CH34" i="1291"/>
  <c r="CI34" i="1291"/>
  <c r="CJ34" i="1291"/>
  <c r="CK34" i="1291"/>
  <c r="CL34" i="1291"/>
  <c r="CM34" i="1291"/>
  <c r="CN34" i="1291"/>
  <c r="CO34" i="1291"/>
  <c r="CP34" i="1291"/>
  <c r="CQ34" i="1291"/>
  <c r="CR34" i="1291"/>
  <c r="CS34" i="1291"/>
  <c r="CT34" i="1291"/>
  <c r="CU34" i="1291"/>
  <c r="CV34" i="1291"/>
  <c r="CW34" i="1291"/>
  <c r="CX34" i="1291"/>
  <c r="CY34" i="1291"/>
  <c r="CZ34" i="1291"/>
  <c r="DA34" i="1291"/>
  <c r="DB34" i="1291"/>
  <c r="DC34" i="1291"/>
  <c r="C35" i="1291"/>
  <c r="D35" i="1291"/>
  <c r="E35" i="1291"/>
  <c r="F35" i="1291"/>
  <c r="G35" i="1291"/>
  <c r="H35" i="1291"/>
  <c r="I35" i="1291"/>
  <c r="J35" i="1291"/>
  <c r="K35" i="1291"/>
  <c r="L35" i="1291"/>
  <c r="M35" i="1291"/>
  <c r="N35" i="1291"/>
  <c r="O35" i="1291"/>
  <c r="P35" i="1291"/>
  <c r="Q35" i="1291"/>
  <c r="R35" i="1291"/>
  <c r="S35" i="1291"/>
  <c r="T35" i="1291"/>
  <c r="U35" i="1291"/>
  <c r="V35" i="1291"/>
  <c r="W35" i="1291"/>
  <c r="X35" i="1291"/>
  <c r="Y35" i="1291"/>
  <c r="Z35" i="1291"/>
  <c r="AA35" i="1291"/>
  <c r="AB35" i="1291"/>
  <c r="AC35" i="1291"/>
  <c r="AD35" i="1291"/>
  <c r="AE35" i="1291"/>
  <c r="AF35" i="1291"/>
  <c r="AG35" i="1291"/>
  <c r="AH35" i="1291"/>
  <c r="AI35" i="1291"/>
  <c r="AJ35" i="1291"/>
  <c r="AK35" i="1291"/>
  <c r="AL35" i="1291"/>
  <c r="AM35" i="1291"/>
  <c r="AN35" i="1291"/>
  <c r="AO35" i="1291"/>
  <c r="AP35" i="1291"/>
  <c r="AQ35" i="1291"/>
  <c r="AR35" i="1291"/>
  <c r="AS35" i="1291"/>
  <c r="AT35" i="1291"/>
  <c r="AU35" i="1291"/>
  <c r="AV35" i="1291"/>
  <c r="AW35" i="1291"/>
  <c r="AX35" i="1291"/>
  <c r="AY35" i="1291"/>
  <c r="AZ35" i="1291"/>
  <c r="BA35" i="1291"/>
  <c r="BB35" i="1291"/>
  <c r="BC35" i="1291"/>
  <c r="BD35" i="1291"/>
  <c r="BE35" i="1291"/>
  <c r="BF35" i="1291"/>
  <c r="BG35" i="1291"/>
  <c r="BH35" i="1291"/>
  <c r="BI35" i="1291"/>
  <c r="BJ35" i="1291"/>
  <c r="BK35" i="1291"/>
  <c r="BL35" i="1291"/>
  <c r="BM35" i="1291"/>
  <c r="BN35" i="1291"/>
  <c r="BO35" i="1291"/>
  <c r="BP35" i="1291"/>
  <c r="BQ35" i="1291"/>
  <c r="BR35" i="1291"/>
  <c r="BS35" i="1291"/>
  <c r="BT35" i="1291"/>
  <c r="BU35" i="1291"/>
  <c r="BV35" i="1291"/>
  <c r="BW35" i="1291"/>
  <c r="BX35" i="1291"/>
  <c r="BY35" i="1291"/>
  <c r="BZ35" i="1291"/>
  <c r="CA35" i="1291"/>
  <c r="CB35" i="1291"/>
  <c r="CC35" i="1291"/>
  <c r="CD35" i="1291"/>
  <c r="CE35" i="1291"/>
  <c r="CF35" i="1291"/>
  <c r="CG35" i="1291"/>
  <c r="CH35" i="1291"/>
  <c r="CI35" i="1291"/>
  <c r="CJ35" i="1291"/>
  <c r="CK35" i="1291"/>
  <c r="CL35" i="1291"/>
  <c r="CM35" i="1291"/>
  <c r="CN35" i="1291"/>
  <c r="CO35" i="1291"/>
  <c r="CP35" i="1291"/>
  <c r="CQ35" i="1291"/>
  <c r="CR35" i="1291"/>
  <c r="CS35" i="1291"/>
  <c r="CT35" i="1291"/>
  <c r="CU35" i="1291"/>
  <c r="CV35" i="1291"/>
  <c r="CW35" i="1291"/>
  <c r="CX35" i="1291"/>
  <c r="CY35" i="1291"/>
  <c r="CZ35" i="1291"/>
  <c r="DA35" i="1291"/>
  <c r="DB35" i="1291"/>
  <c r="DC35" i="1291"/>
  <c r="C36" i="1291"/>
  <c r="D36" i="1291"/>
  <c r="E36" i="1291"/>
  <c r="F36" i="1291"/>
  <c r="G36" i="1291"/>
  <c r="H36" i="1291"/>
  <c r="I36" i="1291"/>
  <c r="J36" i="1291"/>
  <c r="K36" i="1291"/>
  <c r="L36" i="1291"/>
  <c r="M36" i="1291"/>
  <c r="N36" i="1291"/>
  <c r="O36" i="1291"/>
  <c r="P36" i="1291"/>
  <c r="Q36" i="1291"/>
  <c r="R36" i="1291"/>
  <c r="S36" i="1291"/>
  <c r="T36" i="1291"/>
  <c r="U36" i="1291"/>
  <c r="V36" i="1291"/>
  <c r="W36" i="1291"/>
  <c r="X36" i="1291"/>
  <c r="Y36" i="1291"/>
  <c r="Z36" i="1291"/>
  <c r="AA36" i="1291"/>
  <c r="AB36" i="1291"/>
  <c r="AC36" i="1291"/>
  <c r="AD36" i="1291"/>
  <c r="AE36" i="1291"/>
  <c r="AF36" i="1291"/>
  <c r="AG36" i="1291"/>
  <c r="AH36" i="1291"/>
  <c r="AI36" i="1291"/>
  <c r="AJ36" i="1291"/>
  <c r="AK36" i="1291"/>
  <c r="AL36" i="1291"/>
  <c r="AM36" i="1291"/>
  <c r="AN36" i="1291"/>
  <c r="AO36" i="1291"/>
  <c r="AP36" i="1291"/>
  <c r="AQ36" i="1291"/>
  <c r="AR36" i="1291"/>
  <c r="AS36" i="1291"/>
  <c r="AT36" i="1291"/>
  <c r="AU36" i="1291"/>
  <c r="AV36" i="1291"/>
  <c r="AW36" i="1291"/>
  <c r="AX36" i="1291"/>
  <c r="AY36" i="1291"/>
  <c r="AZ36" i="1291"/>
  <c r="BA36" i="1291"/>
  <c r="BB36" i="1291"/>
  <c r="BC36" i="1291"/>
  <c r="BD36" i="1291"/>
  <c r="BE36" i="1291"/>
  <c r="BF36" i="1291"/>
  <c r="BG36" i="1291"/>
  <c r="BH36" i="1291"/>
  <c r="BI36" i="1291"/>
  <c r="BJ36" i="1291"/>
  <c r="BK36" i="1291"/>
  <c r="BL36" i="1291"/>
  <c r="BM36" i="1291"/>
  <c r="BN36" i="1291"/>
  <c r="BO36" i="1291"/>
  <c r="BP36" i="1291"/>
  <c r="BQ36" i="1291"/>
  <c r="BR36" i="1291"/>
  <c r="BS36" i="1291"/>
  <c r="BT36" i="1291"/>
  <c r="BU36" i="1291"/>
  <c r="BV36" i="1291"/>
  <c r="BW36" i="1291"/>
  <c r="BX36" i="1291"/>
  <c r="BY36" i="1291"/>
  <c r="BZ36" i="1291"/>
  <c r="CA36" i="1291"/>
  <c r="CB36" i="1291"/>
  <c r="CC36" i="1291"/>
  <c r="CD36" i="1291"/>
  <c r="CE36" i="1291"/>
  <c r="CF36" i="1291"/>
  <c r="CG36" i="1291"/>
  <c r="CH36" i="1291"/>
  <c r="CI36" i="1291"/>
  <c r="CJ36" i="1291"/>
  <c r="CK36" i="1291"/>
  <c r="CL36" i="1291"/>
  <c r="CM36" i="1291"/>
  <c r="CN36" i="1291"/>
  <c r="CO36" i="1291"/>
  <c r="CP36" i="1291"/>
  <c r="CQ36" i="1291"/>
  <c r="CR36" i="1291"/>
  <c r="CS36" i="1291"/>
  <c r="CT36" i="1291"/>
  <c r="CU36" i="1291"/>
  <c r="CV36" i="1291"/>
  <c r="CW36" i="1291"/>
  <c r="CX36" i="1291"/>
  <c r="CY36" i="1291"/>
  <c r="CZ36" i="1291"/>
  <c r="DA36" i="1291"/>
  <c r="DB36" i="1291"/>
  <c r="DC36" i="1291"/>
  <c r="C6" i="1291"/>
  <c r="D6" i="1291"/>
  <c r="E6" i="1291"/>
  <c r="F6" i="1291"/>
  <c r="G6" i="1291"/>
  <c r="H6" i="1291"/>
  <c r="I6" i="1291"/>
  <c r="J6" i="1291"/>
  <c r="K6" i="1291"/>
  <c r="L6" i="1291"/>
  <c r="M6" i="1291"/>
  <c r="N6" i="1291"/>
  <c r="O6" i="1291"/>
  <c r="P6" i="1291"/>
  <c r="Q6" i="1291"/>
  <c r="R6" i="1291"/>
  <c r="S6" i="1291"/>
  <c r="T6" i="1291"/>
  <c r="U6" i="1291"/>
  <c r="V6" i="1291"/>
  <c r="W6" i="1291"/>
  <c r="X6" i="1291"/>
  <c r="Y6" i="1291"/>
  <c r="Z6" i="1291"/>
  <c r="AA6" i="1291"/>
  <c r="AB6" i="1291"/>
  <c r="AC6" i="1291"/>
  <c r="AD6" i="1291"/>
  <c r="AE6" i="1291"/>
  <c r="AF6" i="1291"/>
  <c r="AG6" i="1291"/>
  <c r="AH6" i="1291"/>
  <c r="AI6" i="1291"/>
  <c r="AJ6" i="1291"/>
  <c r="AK6" i="1291"/>
  <c r="AL6" i="1291"/>
  <c r="AM6" i="1291"/>
  <c r="AN6" i="1291"/>
  <c r="AO6" i="1291"/>
  <c r="AP6" i="1291"/>
  <c r="AQ6" i="1291"/>
  <c r="AR6" i="1291"/>
  <c r="AS6" i="1291"/>
  <c r="AT6" i="1291"/>
  <c r="AU6" i="1291"/>
  <c r="AV6" i="1291"/>
  <c r="AW6" i="1291"/>
  <c r="AX6" i="1291"/>
  <c r="AY6" i="1291"/>
  <c r="AZ6" i="1291"/>
  <c r="BA6" i="1291"/>
  <c r="BB6" i="1291"/>
  <c r="BC6" i="1291"/>
  <c r="BD6" i="1291"/>
  <c r="BE6" i="1291"/>
  <c r="BF6" i="1291"/>
  <c r="BG6" i="1291"/>
  <c r="BH6" i="1291"/>
  <c r="BI6" i="1291"/>
  <c r="BJ6" i="1291"/>
  <c r="BK6" i="1291"/>
  <c r="BL6" i="1291"/>
  <c r="BM6" i="1291"/>
  <c r="BN6" i="1291"/>
  <c r="BO6" i="1291"/>
  <c r="BP6" i="1291"/>
  <c r="BQ6" i="1291"/>
  <c r="BR6" i="1291"/>
  <c r="BS6" i="1291"/>
  <c r="BT6" i="1291"/>
  <c r="BU6" i="1291"/>
  <c r="BV6" i="1291"/>
  <c r="BW6" i="1291"/>
  <c r="BX6" i="1291"/>
  <c r="BY6" i="1291"/>
  <c r="BZ6" i="1291"/>
  <c r="CA6" i="1291"/>
  <c r="CB6" i="1291"/>
  <c r="CC6" i="1291"/>
  <c r="CD6" i="1291"/>
  <c r="CE6" i="1291"/>
  <c r="CF6" i="1291"/>
  <c r="CG6" i="1291"/>
  <c r="CH6" i="1291"/>
  <c r="CI6" i="1291"/>
  <c r="CJ6" i="1291"/>
  <c r="CK6" i="1291"/>
  <c r="CL6" i="1291"/>
  <c r="CM6" i="1291"/>
  <c r="CN6" i="1291"/>
  <c r="CO6" i="1291"/>
  <c r="CP6" i="1291"/>
  <c r="CQ6" i="1291"/>
  <c r="CR6" i="1291"/>
  <c r="CS6" i="1291"/>
  <c r="CT6" i="1291"/>
  <c r="CU6" i="1291"/>
  <c r="CV6" i="1291"/>
  <c r="CW6" i="1291"/>
  <c r="CX6" i="1291"/>
  <c r="CY6" i="1291"/>
  <c r="CZ6" i="1291"/>
  <c r="DA6" i="1291"/>
  <c r="DB6" i="1291"/>
  <c r="DC6" i="1291"/>
  <c r="C7" i="1291"/>
  <c r="D7" i="1291"/>
  <c r="E7" i="1291"/>
  <c r="F7" i="1291"/>
  <c r="G7" i="1291"/>
  <c r="H7" i="1291"/>
  <c r="I7" i="1291"/>
  <c r="J7" i="1291"/>
  <c r="K7" i="1291"/>
  <c r="L7" i="1291"/>
  <c r="M7" i="1291"/>
  <c r="N7" i="1291"/>
  <c r="O7" i="1291"/>
  <c r="P7" i="1291"/>
  <c r="Q7" i="1291"/>
  <c r="R7" i="1291"/>
  <c r="S7" i="1291"/>
  <c r="T7" i="1291"/>
  <c r="U7" i="1291"/>
  <c r="V7" i="1291"/>
  <c r="W7" i="1291"/>
  <c r="X7" i="1291"/>
  <c r="Y7" i="1291"/>
  <c r="Z7" i="1291"/>
  <c r="AA7" i="1291"/>
  <c r="AB7" i="1291"/>
  <c r="AC7" i="1291"/>
  <c r="AD7" i="1291"/>
  <c r="AE7" i="1291"/>
  <c r="AF7" i="1291"/>
  <c r="AG7" i="1291"/>
  <c r="AH7" i="1291"/>
  <c r="AI7" i="1291"/>
  <c r="AJ7" i="1291"/>
  <c r="AK7" i="1291"/>
  <c r="AL7" i="1291"/>
  <c r="AM7" i="1291"/>
  <c r="AN7" i="1291"/>
  <c r="AO7" i="1291"/>
  <c r="AP7" i="1291"/>
  <c r="AQ7" i="1291"/>
  <c r="AR7" i="1291"/>
  <c r="AS7" i="1291"/>
  <c r="AT7" i="1291"/>
  <c r="AU7" i="1291"/>
  <c r="AV7" i="1291"/>
  <c r="AW7" i="1291"/>
  <c r="AX7" i="1291"/>
  <c r="AY7" i="1291"/>
  <c r="AZ7" i="1291"/>
  <c r="BA7" i="1291"/>
  <c r="BB7" i="1291"/>
  <c r="BC7" i="1291"/>
  <c r="BD7" i="1291"/>
  <c r="BE7" i="1291"/>
  <c r="BF7" i="1291"/>
  <c r="BG7" i="1291"/>
  <c r="BH7" i="1291"/>
  <c r="BI7" i="1291"/>
  <c r="BJ7" i="1291"/>
  <c r="BK7" i="1291"/>
  <c r="BL7" i="1291"/>
  <c r="BM7" i="1291"/>
  <c r="BN7" i="1291"/>
  <c r="BO7" i="1291"/>
  <c r="BP7" i="1291"/>
  <c r="BQ7" i="1291"/>
  <c r="BR7" i="1291"/>
  <c r="BS7" i="1291"/>
  <c r="BT7" i="1291"/>
  <c r="BU7" i="1291"/>
  <c r="BV7" i="1291"/>
  <c r="BW7" i="1291"/>
  <c r="BX7" i="1291"/>
  <c r="BY7" i="1291"/>
  <c r="BZ7" i="1291"/>
  <c r="CA7" i="1291"/>
  <c r="CB7" i="1291"/>
  <c r="CC7" i="1291"/>
  <c r="CD7" i="1291"/>
  <c r="CE7" i="1291"/>
  <c r="CF7" i="1291"/>
  <c r="CG7" i="1291"/>
  <c r="CH7" i="1291"/>
  <c r="CI7" i="1291"/>
  <c r="CJ7" i="1291"/>
  <c r="CK7" i="1291"/>
  <c r="CL7" i="1291"/>
  <c r="CM7" i="1291"/>
  <c r="CN7" i="1291"/>
  <c r="CO7" i="1291"/>
  <c r="CP7" i="1291"/>
  <c r="CQ7" i="1291"/>
  <c r="CR7" i="1291"/>
  <c r="CS7" i="1291"/>
  <c r="CT7" i="1291"/>
  <c r="CU7" i="1291"/>
  <c r="CV7" i="1291"/>
  <c r="CW7" i="1291"/>
  <c r="CX7" i="1291"/>
  <c r="CY7" i="1291"/>
  <c r="CZ7" i="1291"/>
  <c r="DA7" i="1291"/>
  <c r="DB7" i="1291"/>
  <c r="DC7" i="1291"/>
  <c r="C8" i="1291"/>
  <c r="D8" i="1291"/>
  <c r="E8" i="1291"/>
  <c r="F8" i="1291"/>
  <c r="G8" i="1291"/>
  <c r="H8" i="1291"/>
  <c r="I8" i="1291"/>
  <c r="J8" i="1291"/>
  <c r="K8" i="1291"/>
  <c r="L8" i="1291"/>
  <c r="M8" i="1291"/>
  <c r="N8" i="1291"/>
  <c r="O8" i="1291"/>
  <c r="P8" i="1291"/>
  <c r="Q8" i="1291"/>
  <c r="R8" i="1291"/>
  <c r="S8" i="1291"/>
  <c r="T8" i="1291"/>
  <c r="U8" i="1291"/>
  <c r="V8" i="1291"/>
  <c r="W8" i="1291"/>
  <c r="X8" i="1291"/>
  <c r="Y8" i="1291"/>
  <c r="Z8" i="1291"/>
  <c r="AA8" i="1291"/>
  <c r="AB8" i="1291"/>
  <c r="AC8" i="1291"/>
  <c r="AD8" i="1291"/>
  <c r="AE8" i="1291"/>
  <c r="AF8" i="1291"/>
  <c r="AG8" i="1291"/>
  <c r="AH8" i="1291"/>
  <c r="AI8" i="1291"/>
  <c r="AJ8" i="1291"/>
  <c r="AK8" i="1291"/>
  <c r="AL8" i="1291"/>
  <c r="AM8" i="1291"/>
  <c r="AN8" i="1291"/>
  <c r="AO8" i="1291"/>
  <c r="AP8" i="1291"/>
  <c r="AQ8" i="1291"/>
  <c r="AR8" i="1291"/>
  <c r="AS8" i="1291"/>
  <c r="AT8" i="1291"/>
  <c r="AU8" i="1291"/>
  <c r="AV8" i="1291"/>
  <c r="AW8" i="1291"/>
  <c r="AX8" i="1291"/>
  <c r="AY8" i="1291"/>
  <c r="AZ8" i="1291"/>
  <c r="BA8" i="1291"/>
  <c r="BB8" i="1291"/>
  <c r="BC8" i="1291"/>
  <c r="BD8" i="1291"/>
  <c r="BE8" i="1291"/>
  <c r="BF8" i="1291"/>
  <c r="BG8" i="1291"/>
  <c r="BH8" i="1291"/>
  <c r="BI8" i="1291"/>
  <c r="BJ8" i="1291"/>
  <c r="BK8" i="1291"/>
  <c r="BL8" i="1291"/>
  <c r="BM8" i="1291"/>
  <c r="BN8" i="1291"/>
  <c r="BO8" i="1291"/>
  <c r="BP8" i="1291"/>
  <c r="BQ8" i="1291"/>
  <c r="BR8" i="1291"/>
  <c r="BS8" i="1291"/>
  <c r="BT8" i="1291"/>
  <c r="BU8" i="1291"/>
  <c r="BV8" i="1291"/>
  <c r="BW8" i="1291"/>
  <c r="BX8" i="1291"/>
  <c r="BY8" i="1291"/>
  <c r="BZ8" i="1291"/>
  <c r="CA8" i="1291"/>
  <c r="CB8" i="1291"/>
  <c r="CC8" i="1291"/>
  <c r="CD8" i="1291"/>
  <c r="CE8" i="1291"/>
  <c r="CF8" i="1291"/>
  <c r="CG8" i="1291"/>
  <c r="CH8" i="1291"/>
  <c r="CI8" i="1291"/>
  <c r="CJ8" i="1291"/>
  <c r="CK8" i="1291"/>
  <c r="CL8" i="1291"/>
  <c r="CM8" i="1291"/>
  <c r="CN8" i="1291"/>
  <c r="CO8" i="1291"/>
  <c r="CP8" i="1291"/>
  <c r="CQ8" i="1291"/>
  <c r="CR8" i="1291"/>
  <c r="CS8" i="1291"/>
  <c r="CT8" i="1291"/>
  <c r="CU8" i="1291"/>
  <c r="CV8" i="1291"/>
  <c r="CW8" i="1291"/>
  <c r="CX8" i="1291"/>
  <c r="CY8" i="1291"/>
  <c r="CZ8" i="1291"/>
  <c r="DA8" i="1291"/>
  <c r="DB8" i="1291"/>
  <c r="DC8" i="1291"/>
  <c r="C9" i="1291"/>
  <c r="D9" i="1291"/>
  <c r="E9" i="1291"/>
  <c r="F9" i="1291"/>
  <c r="G9" i="1291"/>
  <c r="H9" i="1291"/>
  <c r="I9" i="1291"/>
  <c r="J9" i="1291"/>
  <c r="K9" i="1291"/>
  <c r="L9" i="1291"/>
  <c r="M9" i="1291"/>
  <c r="N9" i="1291"/>
  <c r="O9" i="1291"/>
  <c r="P9" i="1291"/>
  <c r="Q9" i="1291"/>
  <c r="R9" i="1291"/>
  <c r="S9" i="1291"/>
  <c r="T9" i="1291"/>
  <c r="U9" i="1291"/>
  <c r="V9" i="1291"/>
  <c r="W9" i="1291"/>
  <c r="X9" i="1291"/>
  <c r="Y9" i="1291"/>
  <c r="Z9" i="1291"/>
  <c r="AA9" i="1291"/>
  <c r="AB9" i="1291"/>
  <c r="AC9" i="1291"/>
  <c r="AD9" i="1291"/>
  <c r="AE9" i="1291"/>
  <c r="AF9" i="1291"/>
  <c r="AG9" i="1291"/>
  <c r="AH9" i="1291"/>
  <c r="AI9" i="1291"/>
  <c r="AJ9" i="1291"/>
  <c r="AK9" i="1291"/>
  <c r="AL9" i="1291"/>
  <c r="AM9" i="1291"/>
  <c r="AN9" i="1291"/>
  <c r="AO9" i="1291"/>
  <c r="AP9" i="1291"/>
  <c r="AQ9" i="1291"/>
  <c r="AR9" i="1291"/>
  <c r="AS9" i="1291"/>
  <c r="AT9" i="1291"/>
  <c r="AU9" i="1291"/>
  <c r="AV9" i="1291"/>
  <c r="AW9" i="1291"/>
  <c r="AX9" i="1291"/>
  <c r="AY9" i="1291"/>
  <c r="AZ9" i="1291"/>
  <c r="BA9" i="1291"/>
  <c r="BB9" i="1291"/>
  <c r="BC9" i="1291"/>
  <c r="BD9" i="1291"/>
  <c r="BE9" i="1291"/>
  <c r="BF9" i="1291"/>
  <c r="BG9" i="1291"/>
  <c r="BH9" i="1291"/>
  <c r="BI9" i="1291"/>
  <c r="BJ9" i="1291"/>
  <c r="BK9" i="1291"/>
  <c r="BL9" i="1291"/>
  <c r="BM9" i="1291"/>
  <c r="BN9" i="1291"/>
  <c r="BO9" i="1291"/>
  <c r="BP9" i="1291"/>
  <c r="BQ9" i="1291"/>
  <c r="BR9" i="1291"/>
  <c r="BS9" i="1291"/>
  <c r="BT9" i="1291"/>
  <c r="BU9" i="1291"/>
  <c r="BV9" i="1291"/>
  <c r="BW9" i="1291"/>
  <c r="BX9" i="1291"/>
  <c r="BY9" i="1291"/>
  <c r="BZ9" i="1291"/>
  <c r="CA9" i="1291"/>
  <c r="CB9" i="1291"/>
  <c r="CC9" i="1291"/>
  <c r="CD9" i="1291"/>
  <c r="CE9" i="1291"/>
  <c r="CF9" i="1291"/>
  <c r="CG9" i="1291"/>
  <c r="CH9" i="1291"/>
  <c r="CI9" i="1291"/>
  <c r="CJ9" i="1291"/>
  <c r="CK9" i="1291"/>
  <c r="CL9" i="1291"/>
  <c r="CM9" i="1291"/>
  <c r="CN9" i="1291"/>
  <c r="CO9" i="1291"/>
  <c r="CP9" i="1291"/>
  <c r="CQ9" i="1291"/>
  <c r="CR9" i="1291"/>
  <c r="CS9" i="1291"/>
  <c r="CT9" i="1291"/>
  <c r="CU9" i="1291"/>
  <c r="CV9" i="1291"/>
  <c r="CW9" i="1291"/>
  <c r="CX9" i="1291"/>
  <c r="CY9" i="1291"/>
  <c r="CZ9" i="1291"/>
  <c r="DA9" i="1291"/>
  <c r="DB9" i="1291"/>
  <c r="DC9" i="1291"/>
  <c r="C10" i="1291"/>
  <c r="D10" i="1291"/>
  <c r="E10" i="1291"/>
  <c r="F10" i="1291"/>
  <c r="G10" i="1291"/>
  <c r="H10" i="1291"/>
  <c r="I10" i="1291"/>
  <c r="J10" i="1291"/>
  <c r="K10" i="1291"/>
  <c r="L10" i="1291"/>
  <c r="M10" i="1291"/>
  <c r="N10" i="1291"/>
  <c r="O10" i="1291"/>
  <c r="P10" i="1291"/>
  <c r="Q10" i="1291"/>
  <c r="R10" i="1291"/>
  <c r="S10" i="1291"/>
  <c r="T10" i="1291"/>
  <c r="U10" i="1291"/>
  <c r="V10" i="1291"/>
  <c r="W10" i="1291"/>
  <c r="X10" i="1291"/>
  <c r="Y10" i="1291"/>
  <c r="Z10" i="1291"/>
  <c r="AA10" i="1291"/>
  <c r="AB10" i="1291"/>
  <c r="AC10" i="1291"/>
  <c r="AD10" i="1291"/>
  <c r="AE10" i="1291"/>
  <c r="AF10" i="1291"/>
  <c r="AG10" i="1291"/>
  <c r="AH10" i="1291"/>
  <c r="AI10" i="1291"/>
  <c r="AJ10" i="1291"/>
  <c r="AK10" i="1291"/>
  <c r="AL10" i="1291"/>
  <c r="AM10" i="1291"/>
  <c r="AN10" i="1291"/>
  <c r="AO10" i="1291"/>
  <c r="AP10" i="1291"/>
  <c r="AQ10" i="1291"/>
  <c r="AR10" i="1291"/>
  <c r="AS10" i="1291"/>
  <c r="AT10" i="1291"/>
  <c r="AU10" i="1291"/>
  <c r="AV10" i="1291"/>
  <c r="AW10" i="1291"/>
  <c r="AX10" i="1291"/>
  <c r="AY10" i="1291"/>
  <c r="AZ10" i="1291"/>
  <c r="BA10" i="1291"/>
  <c r="BB10" i="1291"/>
  <c r="BC10" i="1291"/>
  <c r="BD10" i="1291"/>
  <c r="BE10" i="1291"/>
  <c r="BF10" i="1291"/>
  <c r="BG10" i="1291"/>
  <c r="BH10" i="1291"/>
  <c r="BI10" i="1291"/>
  <c r="BJ10" i="1291"/>
  <c r="BK10" i="1291"/>
  <c r="BL10" i="1291"/>
  <c r="BM10" i="1291"/>
  <c r="BN10" i="1291"/>
  <c r="BO10" i="1291"/>
  <c r="BP10" i="1291"/>
  <c r="BQ10" i="1291"/>
  <c r="BR10" i="1291"/>
  <c r="BS10" i="1291"/>
  <c r="BT10" i="1291"/>
  <c r="BU10" i="1291"/>
  <c r="BV10" i="1291"/>
  <c r="BW10" i="1291"/>
  <c r="BX10" i="1291"/>
  <c r="BY10" i="1291"/>
  <c r="BZ10" i="1291"/>
  <c r="CA10" i="1291"/>
  <c r="CB10" i="1291"/>
  <c r="CC10" i="1291"/>
  <c r="CD10" i="1291"/>
  <c r="CE10" i="1291"/>
  <c r="CF10" i="1291"/>
  <c r="CG10" i="1291"/>
  <c r="CH10" i="1291"/>
  <c r="CI10" i="1291"/>
  <c r="CJ10" i="1291"/>
  <c r="CK10" i="1291"/>
  <c r="CL10" i="1291"/>
  <c r="CM10" i="1291"/>
  <c r="CN10" i="1291"/>
  <c r="CO10" i="1291"/>
  <c r="CP10" i="1291"/>
  <c r="CQ10" i="1291"/>
  <c r="CR10" i="1291"/>
  <c r="CS10" i="1291"/>
  <c r="CT10" i="1291"/>
  <c r="CU10" i="1291"/>
  <c r="CV10" i="1291"/>
  <c r="CW10" i="1291"/>
  <c r="CX10" i="1291"/>
  <c r="CY10" i="1291"/>
  <c r="CZ10" i="1291"/>
  <c r="DA10" i="1291"/>
  <c r="DB10" i="1291"/>
  <c r="DC10" i="1291"/>
  <c r="C11" i="1291"/>
  <c r="D11" i="1291"/>
  <c r="E11" i="1291"/>
  <c r="F11" i="1291"/>
  <c r="G11" i="1291"/>
  <c r="H11" i="1291"/>
  <c r="I11" i="1291"/>
  <c r="J11" i="1291"/>
  <c r="K11" i="1291"/>
  <c r="L11" i="1291"/>
  <c r="M11" i="1291"/>
  <c r="N11" i="1291"/>
  <c r="O11" i="1291"/>
  <c r="P11" i="1291"/>
  <c r="Q11" i="1291"/>
  <c r="R11" i="1291"/>
  <c r="S11" i="1291"/>
  <c r="T11" i="1291"/>
  <c r="U11" i="1291"/>
  <c r="V11" i="1291"/>
  <c r="W11" i="1291"/>
  <c r="X11" i="1291"/>
  <c r="Y11" i="1291"/>
  <c r="Z11" i="1291"/>
  <c r="AA11" i="1291"/>
  <c r="AB11" i="1291"/>
  <c r="AC11" i="1291"/>
  <c r="AD11" i="1291"/>
  <c r="AE11" i="1291"/>
  <c r="AF11" i="1291"/>
  <c r="AG11" i="1291"/>
  <c r="AH11" i="1291"/>
  <c r="AI11" i="1291"/>
  <c r="AJ11" i="1291"/>
  <c r="AK11" i="1291"/>
  <c r="AL11" i="1291"/>
  <c r="AM11" i="1291"/>
  <c r="AN11" i="1291"/>
  <c r="AO11" i="1291"/>
  <c r="AP11" i="1291"/>
  <c r="AQ11" i="1291"/>
  <c r="AR11" i="1291"/>
  <c r="AS11" i="1291"/>
  <c r="AT11" i="1291"/>
  <c r="AU11" i="1291"/>
  <c r="AV11" i="1291"/>
  <c r="AW11" i="1291"/>
  <c r="AX11" i="1291"/>
  <c r="AY11" i="1291"/>
  <c r="AZ11" i="1291"/>
  <c r="BA11" i="1291"/>
  <c r="BB11" i="1291"/>
  <c r="BC11" i="1291"/>
  <c r="BD11" i="1291"/>
  <c r="BE11" i="1291"/>
  <c r="BF11" i="1291"/>
  <c r="BG11" i="1291"/>
  <c r="BH11" i="1291"/>
  <c r="BI11" i="1291"/>
  <c r="BJ11" i="1291"/>
  <c r="BK11" i="1291"/>
  <c r="BL11" i="1291"/>
  <c r="BM11" i="1291"/>
  <c r="BN11" i="1291"/>
  <c r="BO11" i="1291"/>
  <c r="BP11" i="1291"/>
  <c r="BQ11" i="1291"/>
  <c r="BR11" i="1291"/>
  <c r="BS11" i="1291"/>
  <c r="BT11" i="1291"/>
  <c r="BU11" i="1291"/>
  <c r="BV11" i="1291"/>
  <c r="BW11" i="1291"/>
  <c r="BX11" i="1291"/>
  <c r="BY11" i="1291"/>
  <c r="BZ11" i="1291"/>
  <c r="CA11" i="1291"/>
  <c r="CB11" i="1291"/>
  <c r="CC11" i="1291"/>
  <c r="CD11" i="1291"/>
  <c r="CE11" i="1291"/>
  <c r="CF11" i="1291"/>
  <c r="CG11" i="1291"/>
  <c r="CH11" i="1291"/>
  <c r="CI11" i="1291"/>
  <c r="CJ11" i="1291"/>
  <c r="CK11" i="1291"/>
  <c r="CL11" i="1291"/>
  <c r="CM11" i="1291"/>
  <c r="CN11" i="1291"/>
  <c r="CO11" i="1291"/>
  <c r="CP11" i="1291"/>
  <c r="CQ11" i="1291"/>
  <c r="CR11" i="1291"/>
  <c r="CS11" i="1291"/>
  <c r="CT11" i="1291"/>
  <c r="CU11" i="1291"/>
  <c r="CV11" i="1291"/>
  <c r="CW11" i="1291"/>
  <c r="CX11" i="1291"/>
  <c r="CY11" i="1291"/>
  <c r="CZ11" i="1291"/>
  <c r="DA11" i="1291"/>
  <c r="DB11" i="1291"/>
  <c r="DC11" i="1291"/>
  <c r="C12" i="1291"/>
  <c r="D12" i="1291"/>
  <c r="E12" i="1291"/>
  <c r="F12" i="1291"/>
  <c r="G12" i="1291"/>
  <c r="H12" i="1291"/>
  <c r="I12" i="1291"/>
  <c r="J12" i="1291"/>
  <c r="K12" i="1291"/>
  <c r="L12" i="1291"/>
  <c r="M12" i="1291"/>
  <c r="N12" i="1291"/>
  <c r="O12" i="1291"/>
  <c r="P12" i="1291"/>
  <c r="Q12" i="1291"/>
  <c r="R12" i="1291"/>
  <c r="S12" i="1291"/>
  <c r="T12" i="1291"/>
  <c r="U12" i="1291"/>
  <c r="V12" i="1291"/>
  <c r="W12" i="1291"/>
  <c r="X12" i="1291"/>
  <c r="Y12" i="1291"/>
  <c r="Z12" i="1291"/>
  <c r="AA12" i="1291"/>
  <c r="AB12" i="1291"/>
  <c r="AC12" i="1291"/>
  <c r="AD12" i="1291"/>
  <c r="AE12" i="1291"/>
  <c r="AF12" i="1291"/>
  <c r="AG12" i="1291"/>
  <c r="AH12" i="1291"/>
  <c r="AI12" i="1291"/>
  <c r="AJ12" i="1291"/>
  <c r="AK12" i="1291"/>
  <c r="AL12" i="1291"/>
  <c r="AM12" i="1291"/>
  <c r="AN12" i="1291"/>
  <c r="AO12" i="1291"/>
  <c r="AP12" i="1291"/>
  <c r="AQ12" i="1291"/>
  <c r="AR12" i="1291"/>
  <c r="AS12" i="1291"/>
  <c r="AT12" i="1291"/>
  <c r="AU12" i="1291"/>
  <c r="AV12" i="1291"/>
  <c r="AW12" i="1291"/>
  <c r="AX12" i="1291"/>
  <c r="AY12" i="1291"/>
  <c r="AZ12" i="1291"/>
  <c r="BA12" i="1291"/>
  <c r="BB12" i="1291"/>
  <c r="BC12" i="1291"/>
  <c r="BD12" i="1291"/>
  <c r="BE12" i="1291"/>
  <c r="BF12" i="1291"/>
  <c r="BG12" i="1291"/>
  <c r="BH12" i="1291"/>
  <c r="BI12" i="1291"/>
  <c r="BJ12" i="1291"/>
  <c r="BK12" i="1291"/>
  <c r="BL12" i="1291"/>
  <c r="BM12" i="1291"/>
  <c r="BN12" i="1291"/>
  <c r="BO12" i="1291"/>
  <c r="BP12" i="1291"/>
  <c r="BQ12" i="1291"/>
  <c r="BR12" i="1291"/>
  <c r="BS12" i="1291"/>
  <c r="BT12" i="1291"/>
  <c r="BU12" i="1291"/>
  <c r="BV12" i="1291"/>
  <c r="BW12" i="1291"/>
  <c r="BX12" i="1291"/>
  <c r="BY12" i="1291"/>
  <c r="BZ12" i="1291"/>
  <c r="CA12" i="1291"/>
  <c r="CB12" i="1291"/>
  <c r="CC12" i="1291"/>
  <c r="CD12" i="1291"/>
  <c r="CE12" i="1291"/>
  <c r="CF12" i="1291"/>
  <c r="CG12" i="1291"/>
  <c r="CH12" i="1291"/>
  <c r="CI12" i="1291"/>
  <c r="CJ12" i="1291"/>
  <c r="CK12" i="1291"/>
  <c r="CL12" i="1291"/>
  <c r="CM12" i="1291"/>
  <c r="CN12" i="1291"/>
  <c r="CO12" i="1291"/>
  <c r="CP12" i="1291"/>
  <c r="CQ12" i="1291"/>
  <c r="CR12" i="1291"/>
  <c r="CS12" i="1291"/>
  <c r="CT12" i="1291"/>
  <c r="CU12" i="1291"/>
  <c r="CV12" i="1291"/>
  <c r="CW12" i="1291"/>
  <c r="CX12" i="1291"/>
  <c r="CY12" i="1291"/>
  <c r="CZ12" i="1291"/>
  <c r="DA12" i="1291"/>
  <c r="DB12" i="1291"/>
  <c r="DC12" i="1291"/>
  <c r="C13" i="1291"/>
  <c r="D13" i="1291"/>
  <c r="E13" i="1291"/>
  <c r="F13" i="1291"/>
  <c r="G13" i="1291"/>
  <c r="H13" i="1291"/>
  <c r="I13" i="1291"/>
  <c r="J13" i="1291"/>
  <c r="K13" i="1291"/>
  <c r="L13" i="1291"/>
  <c r="M13" i="1291"/>
  <c r="N13" i="1291"/>
  <c r="O13" i="1291"/>
  <c r="P13" i="1291"/>
  <c r="Q13" i="1291"/>
  <c r="R13" i="1291"/>
  <c r="S13" i="1291"/>
  <c r="T13" i="1291"/>
  <c r="U13" i="1291"/>
  <c r="V13" i="1291"/>
  <c r="W13" i="1291"/>
  <c r="X13" i="1291"/>
  <c r="Y13" i="1291"/>
  <c r="Z13" i="1291"/>
  <c r="AA13" i="1291"/>
  <c r="AB13" i="1291"/>
  <c r="AC13" i="1291"/>
  <c r="AD13" i="1291"/>
  <c r="AE13" i="1291"/>
  <c r="AF13" i="1291"/>
  <c r="AG13" i="1291"/>
  <c r="AH13" i="1291"/>
  <c r="AI13" i="1291"/>
  <c r="AJ13" i="1291"/>
  <c r="AK13" i="1291"/>
  <c r="AL13" i="1291"/>
  <c r="AM13" i="1291"/>
  <c r="AN13" i="1291"/>
  <c r="AO13" i="1291"/>
  <c r="AP13" i="1291"/>
  <c r="AQ13" i="1291"/>
  <c r="AR13" i="1291"/>
  <c r="AS13" i="1291"/>
  <c r="AT13" i="1291"/>
  <c r="AU13" i="1291"/>
  <c r="AV13" i="1291"/>
  <c r="AW13" i="1291"/>
  <c r="AX13" i="1291"/>
  <c r="AY13" i="1291"/>
  <c r="AZ13" i="1291"/>
  <c r="BA13" i="1291"/>
  <c r="BB13" i="1291"/>
  <c r="BC13" i="1291"/>
  <c r="BD13" i="1291"/>
  <c r="BE13" i="1291"/>
  <c r="BF13" i="1291"/>
  <c r="BG13" i="1291"/>
  <c r="BH13" i="1291"/>
  <c r="BI13" i="1291"/>
  <c r="BJ13" i="1291"/>
  <c r="BK13" i="1291"/>
  <c r="BL13" i="1291"/>
  <c r="BM13" i="1291"/>
  <c r="BN13" i="1291"/>
  <c r="BO13" i="1291"/>
  <c r="BP13" i="1291"/>
  <c r="BQ13" i="1291"/>
  <c r="BR13" i="1291"/>
  <c r="BS13" i="1291"/>
  <c r="BT13" i="1291"/>
  <c r="BU13" i="1291"/>
  <c r="BV13" i="1291"/>
  <c r="BW13" i="1291"/>
  <c r="BX13" i="1291"/>
  <c r="BY13" i="1291"/>
  <c r="BZ13" i="1291"/>
  <c r="CA13" i="1291"/>
  <c r="CB13" i="1291"/>
  <c r="CC13" i="1291"/>
  <c r="CD13" i="1291"/>
  <c r="CE13" i="1291"/>
  <c r="CF13" i="1291"/>
  <c r="CG13" i="1291"/>
  <c r="CH13" i="1291"/>
  <c r="CI13" i="1291"/>
  <c r="CJ13" i="1291"/>
  <c r="CK13" i="1291"/>
  <c r="CL13" i="1291"/>
  <c r="CM13" i="1291"/>
  <c r="CN13" i="1291"/>
  <c r="CO13" i="1291"/>
  <c r="CP13" i="1291"/>
  <c r="CQ13" i="1291"/>
  <c r="CR13" i="1291"/>
  <c r="CS13" i="1291"/>
  <c r="CT13" i="1291"/>
  <c r="CU13" i="1291"/>
  <c r="CV13" i="1291"/>
  <c r="CW13" i="1291"/>
  <c r="CX13" i="1291"/>
  <c r="CY13" i="1291"/>
  <c r="CZ13" i="1291"/>
  <c r="DA13" i="1291"/>
  <c r="DB13" i="1291"/>
  <c r="DC13" i="1291"/>
  <c r="C14" i="1291"/>
  <c r="D14" i="1291"/>
  <c r="E14" i="1291"/>
  <c r="F14" i="1291"/>
  <c r="G14" i="1291"/>
  <c r="H14" i="1291"/>
  <c r="I14" i="1291"/>
  <c r="J14" i="1291"/>
  <c r="K14" i="1291"/>
  <c r="L14" i="1291"/>
  <c r="M14" i="1291"/>
  <c r="N14" i="1291"/>
  <c r="O14" i="1291"/>
  <c r="P14" i="1291"/>
  <c r="Q14" i="1291"/>
  <c r="R14" i="1291"/>
  <c r="S14" i="1291"/>
  <c r="T14" i="1291"/>
  <c r="U14" i="1291"/>
  <c r="V14" i="1291"/>
  <c r="W14" i="1291"/>
  <c r="X14" i="1291"/>
  <c r="Y14" i="1291"/>
  <c r="Z14" i="1291"/>
  <c r="AA14" i="1291"/>
  <c r="AB14" i="1291"/>
  <c r="AC14" i="1291"/>
  <c r="AD14" i="1291"/>
  <c r="AE14" i="1291"/>
  <c r="AF14" i="1291"/>
  <c r="AG14" i="1291"/>
  <c r="AH14" i="1291"/>
  <c r="AI14" i="1291"/>
  <c r="AJ14" i="1291"/>
  <c r="AK14" i="1291"/>
  <c r="AL14" i="1291"/>
  <c r="AM14" i="1291"/>
  <c r="AN14" i="1291"/>
  <c r="AO14" i="1291"/>
  <c r="AP14" i="1291"/>
  <c r="AQ14" i="1291"/>
  <c r="AR14" i="1291"/>
  <c r="AS14" i="1291"/>
  <c r="AT14" i="1291"/>
  <c r="AU14" i="1291"/>
  <c r="AV14" i="1291"/>
  <c r="AW14" i="1291"/>
  <c r="AX14" i="1291"/>
  <c r="AY14" i="1291"/>
  <c r="AZ14" i="1291"/>
  <c r="BA14" i="1291"/>
  <c r="BB14" i="1291"/>
  <c r="BC14" i="1291"/>
  <c r="BD14" i="1291"/>
  <c r="BE14" i="1291"/>
  <c r="BF14" i="1291"/>
  <c r="BG14" i="1291"/>
  <c r="BH14" i="1291"/>
  <c r="BI14" i="1291"/>
  <c r="BJ14" i="1291"/>
  <c r="BK14" i="1291"/>
  <c r="BL14" i="1291"/>
  <c r="BM14" i="1291"/>
  <c r="BN14" i="1291"/>
  <c r="BO14" i="1291"/>
  <c r="BP14" i="1291"/>
  <c r="BQ14" i="1291"/>
  <c r="BR14" i="1291"/>
  <c r="BS14" i="1291"/>
  <c r="BT14" i="1291"/>
  <c r="BU14" i="1291"/>
  <c r="BV14" i="1291"/>
  <c r="BW14" i="1291"/>
  <c r="BX14" i="1291"/>
  <c r="BY14" i="1291"/>
  <c r="BZ14" i="1291"/>
  <c r="CA14" i="1291"/>
  <c r="CB14" i="1291"/>
  <c r="CC14" i="1291"/>
  <c r="CD14" i="1291"/>
  <c r="CE14" i="1291"/>
  <c r="CF14" i="1291"/>
  <c r="CG14" i="1291"/>
  <c r="CH14" i="1291"/>
  <c r="CI14" i="1291"/>
  <c r="CJ14" i="1291"/>
  <c r="CK14" i="1291"/>
  <c r="CL14" i="1291"/>
  <c r="CM14" i="1291"/>
  <c r="CN14" i="1291"/>
  <c r="CO14" i="1291"/>
  <c r="CP14" i="1291"/>
  <c r="CQ14" i="1291"/>
  <c r="CR14" i="1291"/>
  <c r="CS14" i="1291"/>
  <c r="CT14" i="1291"/>
  <c r="CU14" i="1291"/>
  <c r="CV14" i="1291"/>
  <c r="CW14" i="1291"/>
  <c r="CX14" i="1291"/>
  <c r="CY14" i="1291"/>
  <c r="CZ14" i="1291"/>
  <c r="DA14" i="1291"/>
  <c r="DB14" i="1291"/>
  <c r="DC14" i="1291"/>
  <c r="C15" i="1291"/>
  <c r="D15" i="1291"/>
  <c r="E15" i="1291"/>
  <c r="F15" i="1291"/>
  <c r="G15" i="1291"/>
  <c r="H15" i="1291"/>
  <c r="I15" i="1291"/>
  <c r="J15" i="1291"/>
  <c r="K15" i="1291"/>
  <c r="L15" i="1291"/>
  <c r="M15" i="1291"/>
  <c r="N15" i="1291"/>
  <c r="O15" i="1291"/>
  <c r="P15" i="1291"/>
  <c r="Q15" i="1291"/>
  <c r="R15" i="1291"/>
  <c r="S15" i="1291"/>
  <c r="T15" i="1291"/>
  <c r="U15" i="1291"/>
  <c r="V15" i="1291"/>
  <c r="W15" i="1291"/>
  <c r="X15" i="1291"/>
  <c r="Y15" i="1291"/>
  <c r="Z15" i="1291"/>
  <c r="AA15" i="1291"/>
  <c r="AB15" i="1291"/>
  <c r="AC15" i="1291"/>
  <c r="AD15" i="1291"/>
  <c r="AE15" i="1291"/>
  <c r="AF15" i="1291"/>
  <c r="AG15" i="1291"/>
  <c r="AH15" i="1291"/>
  <c r="AI15" i="1291"/>
  <c r="AJ15" i="1291"/>
  <c r="AK15" i="1291"/>
  <c r="AL15" i="1291"/>
  <c r="AM15" i="1291"/>
  <c r="AN15" i="1291"/>
  <c r="AO15" i="1291"/>
  <c r="AP15" i="1291"/>
  <c r="AQ15" i="1291"/>
  <c r="AR15" i="1291"/>
  <c r="AS15" i="1291"/>
  <c r="AT15" i="1291"/>
  <c r="AU15" i="1291"/>
  <c r="AV15" i="1291"/>
  <c r="AW15" i="1291"/>
  <c r="AX15" i="1291"/>
  <c r="AY15" i="1291"/>
  <c r="AZ15" i="1291"/>
  <c r="BA15" i="1291"/>
  <c r="BB15" i="1291"/>
  <c r="BC15" i="1291"/>
  <c r="BD15" i="1291"/>
  <c r="BE15" i="1291"/>
  <c r="BF15" i="1291"/>
  <c r="BG15" i="1291"/>
  <c r="BH15" i="1291"/>
  <c r="BI15" i="1291"/>
  <c r="BJ15" i="1291"/>
  <c r="BK15" i="1291"/>
  <c r="BL15" i="1291"/>
  <c r="BM15" i="1291"/>
  <c r="BN15" i="1291"/>
  <c r="BO15" i="1291"/>
  <c r="BP15" i="1291"/>
  <c r="BQ15" i="1291"/>
  <c r="BR15" i="1291"/>
  <c r="BS15" i="1291"/>
  <c r="BT15" i="1291"/>
  <c r="BU15" i="1291"/>
  <c r="BV15" i="1291"/>
  <c r="BW15" i="1291"/>
  <c r="BX15" i="1291"/>
  <c r="BY15" i="1291"/>
  <c r="BZ15" i="1291"/>
  <c r="CA15" i="1291"/>
  <c r="CB15" i="1291"/>
  <c r="CC15" i="1291"/>
  <c r="CD15" i="1291"/>
  <c r="CE15" i="1291"/>
  <c r="CF15" i="1291"/>
  <c r="CG15" i="1291"/>
  <c r="CH15" i="1291"/>
  <c r="CI15" i="1291"/>
  <c r="CJ15" i="1291"/>
  <c r="CK15" i="1291"/>
  <c r="CL15" i="1291"/>
  <c r="CM15" i="1291"/>
  <c r="CN15" i="1291"/>
  <c r="CO15" i="1291"/>
  <c r="CP15" i="1291"/>
  <c r="CQ15" i="1291"/>
  <c r="CR15" i="1291"/>
  <c r="CS15" i="1291"/>
  <c r="CT15" i="1291"/>
  <c r="CU15" i="1291"/>
  <c r="CV15" i="1291"/>
  <c r="CW15" i="1291"/>
  <c r="CX15" i="1291"/>
  <c r="CY15" i="1291"/>
  <c r="CZ15" i="1291"/>
  <c r="DA15" i="1291"/>
  <c r="DB15" i="1291"/>
  <c r="DC15" i="1291"/>
  <c r="C16" i="1291"/>
  <c r="D16" i="1291"/>
  <c r="E16" i="1291"/>
  <c r="F16" i="1291"/>
  <c r="G16" i="1291"/>
  <c r="H16" i="1291"/>
  <c r="I16" i="1291"/>
  <c r="J16" i="1291"/>
  <c r="K16" i="1291"/>
  <c r="L16" i="1291"/>
  <c r="M16" i="1291"/>
  <c r="N16" i="1291"/>
  <c r="O16" i="1291"/>
  <c r="P16" i="1291"/>
  <c r="Q16" i="1291"/>
  <c r="R16" i="1291"/>
  <c r="S16" i="1291"/>
  <c r="T16" i="1291"/>
  <c r="U16" i="1291"/>
  <c r="V16" i="1291"/>
  <c r="W16" i="1291"/>
  <c r="X16" i="1291"/>
  <c r="Y16" i="1291"/>
  <c r="Z16" i="1291"/>
  <c r="AA16" i="1291"/>
  <c r="AB16" i="1291"/>
  <c r="AC16" i="1291"/>
  <c r="AD16" i="1291"/>
  <c r="AE16" i="1291"/>
  <c r="AF16" i="1291"/>
  <c r="AG16" i="1291"/>
  <c r="AH16" i="1291"/>
  <c r="AI16" i="1291"/>
  <c r="AJ16" i="1291"/>
  <c r="AK16" i="1291"/>
  <c r="AL16" i="1291"/>
  <c r="AM16" i="1291"/>
  <c r="AN16" i="1291"/>
  <c r="AO16" i="1291"/>
  <c r="AP16" i="1291"/>
  <c r="AQ16" i="1291"/>
  <c r="AR16" i="1291"/>
  <c r="AS16" i="1291"/>
  <c r="AT16" i="1291"/>
  <c r="AU16" i="1291"/>
  <c r="AV16" i="1291"/>
  <c r="AW16" i="1291"/>
  <c r="AX16" i="1291"/>
  <c r="AY16" i="1291"/>
  <c r="AZ16" i="1291"/>
  <c r="BA16" i="1291"/>
  <c r="BB16" i="1291"/>
  <c r="BC16" i="1291"/>
  <c r="BD16" i="1291"/>
  <c r="BE16" i="1291"/>
  <c r="BF16" i="1291"/>
  <c r="BG16" i="1291"/>
  <c r="BH16" i="1291"/>
  <c r="BI16" i="1291"/>
  <c r="BJ16" i="1291"/>
  <c r="BK16" i="1291"/>
  <c r="BL16" i="1291"/>
  <c r="BM16" i="1291"/>
  <c r="BN16" i="1291"/>
  <c r="BO16" i="1291"/>
  <c r="BP16" i="1291"/>
  <c r="BQ16" i="1291"/>
  <c r="BR16" i="1291"/>
  <c r="BS16" i="1291"/>
  <c r="BT16" i="1291"/>
  <c r="BU16" i="1291"/>
  <c r="BV16" i="1291"/>
  <c r="BW16" i="1291"/>
  <c r="BX16" i="1291"/>
  <c r="BY16" i="1291"/>
  <c r="BZ16" i="1291"/>
  <c r="CA16" i="1291"/>
  <c r="CB16" i="1291"/>
  <c r="CC16" i="1291"/>
  <c r="CD16" i="1291"/>
  <c r="CE16" i="1291"/>
  <c r="CF16" i="1291"/>
  <c r="CG16" i="1291"/>
  <c r="CH16" i="1291"/>
  <c r="CI16" i="1291"/>
  <c r="CJ16" i="1291"/>
  <c r="CK16" i="1291"/>
  <c r="CL16" i="1291"/>
  <c r="CM16" i="1291"/>
  <c r="CN16" i="1291"/>
  <c r="CO16" i="1291"/>
  <c r="CP16" i="1291"/>
  <c r="CQ16" i="1291"/>
  <c r="CR16" i="1291"/>
  <c r="CS16" i="1291"/>
  <c r="CT16" i="1291"/>
  <c r="CU16" i="1291"/>
  <c r="CV16" i="1291"/>
  <c r="CW16" i="1291"/>
  <c r="CX16" i="1291"/>
  <c r="CY16" i="1291"/>
  <c r="CZ16" i="1291"/>
  <c r="DA16" i="1291"/>
  <c r="DB16" i="1291"/>
  <c r="DC16" i="1291"/>
  <c r="C17" i="1291"/>
  <c r="D17" i="1291"/>
  <c r="E17" i="1291"/>
  <c r="F17" i="1291"/>
  <c r="G17" i="1291"/>
  <c r="H17" i="1291"/>
  <c r="I17" i="1291"/>
  <c r="J17" i="1291"/>
  <c r="K17" i="1291"/>
  <c r="L17" i="1291"/>
  <c r="M17" i="1291"/>
  <c r="N17" i="1291"/>
  <c r="O17" i="1291"/>
  <c r="P17" i="1291"/>
  <c r="Q17" i="1291"/>
  <c r="R17" i="1291"/>
  <c r="S17" i="1291"/>
  <c r="T17" i="1291"/>
  <c r="U17" i="1291"/>
  <c r="V17" i="1291"/>
  <c r="W17" i="1291"/>
  <c r="X17" i="1291"/>
  <c r="Y17" i="1291"/>
  <c r="Z17" i="1291"/>
  <c r="AA17" i="1291"/>
  <c r="AB17" i="1291"/>
  <c r="AC17" i="1291"/>
  <c r="AD17" i="1291"/>
  <c r="AE17" i="1291"/>
  <c r="AF17" i="1291"/>
  <c r="AG17" i="1291"/>
  <c r="AH17" i="1291"/>
  <c r="AI17" i="1291"/>
  <c r="AJ17" i="1291"/>
  <c r="AK17" i="1291"/>
  <c r="AL17" i="1291"/>
  <c r="AM17" i="1291"/>
  <c r="AN17" i="1291"/>
  <c r="AO17" i="1291"/>
  <c r="AP17" i="1291"/>
  <c r="AQ17" i="1291"/>
  <c r="AR17" i="1291"/>
  <c r="AS17" i="1291"/>
  <c r="AT17" i="1291"/>
  <c r="AU17" i="1291"/>
  <c r="AV17" i="1291"/>
  <c r="AW17" i="1291"/>
  <c r="AX17" i="1291"/>
  <c r="AY17" i="1291"/>
  <c r="AZ17" i="1291"/>
  <c r="BA17" i="1291"/>
  <c r="BB17" i="1291"/>
  <c r="BC17" i="1291"/>
  <c r="BD17" i="1291"/>
  <c r="BE17" i="1291"/>
  <c r="BF17" i="1291"/>
  <c r="BG17" i="1291"/>
  <c r="BH17" i="1291"/>
  <c r="BI17" i="1291"/>
  <c r="BJ17" i="1291"/>
  <c r="BK17" i="1291"/>
  <c r="BL17" i="1291"/>
  <c r="BM17" i="1291"/>
  <c r="BN17" i="1291"/>
  <c r="BO17" i="1291"/>
  <c r="BP17" i="1291"/>
  <c r="BQ17" i="1291"/>
  <c r="BR17" i="1291"/>
  <c r="BS17" i="1291"/>
  <c r="BT17" i="1291"/>
  <c r="BU17" i="1291"/>
  <c r="BV17" i="1291"/>
  <c r="BW17" i="1291"/>
  <c r="BX17" i="1291"/>
  <c r="BY17" i="1291"/>
  <c r="BZ17" i="1291"/>
  <c r="CA17" i="1291"/>
  <c r="CB17" i="1291"/>
  <c r="CC17" i="1291"/>
  <c r="CD17" i="1291"/>
  <c r="CE17" i="1291"/>
  <c r="CF17" i="1291"/>
  <c r="CG17" i="1291"/>
  <c r="CH17" i="1291"/>
  <c r="CI17" i="1291"/>
  <c r="CJ17" i="1291"/>
  <c r="CK17" i="1291"/>
  <c r="CL17" i="1291"/>
  <c r="CM17" i="1291"/>
  <c r="CN17" i="1291"/>
  <c r="CO17" i="1291"/>
  <c r="CP17" i="1291"/>
  <c r="CQ17" i="1291"/>
  <c r="CR17" i="1291"/>
  <c r="CS17" i="1291"/>
  <c r="CT17" i="1291"/>
  <c r="CU17" i="1291"/>
  <c r="CV17" i="1291"/>
  <c r="CW17" i="1291"/>
  <c r="CX17" i="1291"/>
  <c r="CY17" i="1291"/>
  <c r="CZ17" i="1291"/>
  <c r="DA17" i="1291"/>
  <c r="DB17" i="1291"/>
  <c r="DC17" i="1291"/>
  <c r="C18" i="1291"/>
  <c r="D18" i="1291"/>
  <c r="E18" i="1291"/>
  <c r="F18" i="1291"/>
  <c r="G18" i="1291"/>
  <c r="H18" i="1291"/>
  <c r="I18" i="1291"/>
  <c r="J18" i="1291"/>
  <c r="K18" i="1291"/>
  <c r="L18" i="1291"/>
  <c r="M18" i="1291"/>
  <c r="N18" i="1291"/>
  <c r="O18" i="1291"/>
  <c r="P18" i="1291"/>
  <c r="Q18" i="1291"/>
  <c r="R18" i="1291"/>
  <c r="S18" i="1291"/>
  <c r="T18" i="1291"/>
  <c r="U18" i="1291"/>
  <c r="V18" i="1291"/>
  <c r="W18" i="1291"/>
  <c r="X18" i="1291"/>
  <c r="Y18" i="1291"/>
  <c r="Z18" i="1291"/>
  <c r="AA18" i="1291"/>
  <c r="AB18" i="1291"/>
  <c r="AC18" i="1291"/>
  <c r="AD18" i="1291"/>
  <c r="AE18" i="1291"/>
  <c r="AF18" i="1291"/>
  <c r="AG18" i="1291"/>
  <c r="AH18" i="1291"/>
  <c r="AI18" i="1291"/>
  <c r="AJ18" i="1291"/>
  <c r="AK18" i="1291"/>
  <c r="AL18" i="1291"/>
  <c r="AM18" i="1291"/>
  <c r="AN18" i="1291"/>
  <c r="AO18" i="1291"/>
  <c r="AP18" i="1291"/>
  <c r="AQ18" i="1291"/>
  <c r="AR18" i="1291"/>
  <c r="AS18" i="1291"/>
  <c r="AT18" i="1291"/>
  <c r="AU18" i="1291"/>
  <c r="AV18" i="1291"/>
  <c r="AW18" i="1291"/>
  <c r="AX18" i="1291"/>
  <c r="AY18" i="1291"/>
  <c r="AZ18" i="1291"/>
  <c r="BA18" i="1291"/>
  <c r="BB18" i="1291"/>
  <c r="BC18" i="1291"/>
  <c r="BD18" i="1291"/>
  <c r="BE18" i="1291"/>
  <c r="BF18" i="1291"/>
  <c r="BG18" i="1291"/>
  <c r="BH18" i="1291"/>
  <c r="BI18" i="1291"/>
  <c r="BJ18" i="1291"/>
  <c r="BK18" i="1291"/>
  <c r="BL18" i="1291"/>
  <c r="BM18" i="1291"/>
  <c r="BN18" i="1291"/>
  <c r="BO18" i="1291"/>
  <c r="BP18" i="1291"/>
  <c r="BQ18" i="1291"/>
  <c r="BR18" i="1291"/>
  <c r="BS18" i="1291"/>
  <c r="BT18" i="1291"/>
  <c r="BU18" i="1291"/>
  <c r="BV18" i="1291"/>
  <c r="BW18" i="1291"/>
  <c r="BX18" i="1291"/>
  <c r="BY18" i="1291"/>
  <c r="BZ18" i="1291"/>
  <c r="CA18" i="1291"/>
  <c r="CB18" i="1291"/>
  <c r="CC18" i="1291"/>
  <c r="CD18" i="1291"/>
  <c r="CE18" i="1291"/>
  <c r="CF18" i="1291"/>
  <c r="CG18" i="1291"/>
  <c r="CH18" i="1291"/>
  <c r="CI18" i="1291"/>
  <c r="CJ18" i="1291"/>
  <c r="CK18" i="1291"/>
  <c r="CL18" i="1291"/>
  <c r="CM18" i="1291"/>
  <c r="CN18" i="1291"/>
  <c r="CO18" i="1291"/>
  <c r="CP18" i="1291"/>
  <c r="CQ18" i="1291"/>
  <c r="CR18" i="1291"/>
  <c r="CS18" i="1291"/>
  <c r="CT18" i="1291"/>
  <c r="CU18" i="1291"/>
  <c r="CV18" i="1291"/>
  <c r="CW18" i="1291"/>
  <c r="CX18" i="1291"/>
  <c r="CY18" i="1291"/>
  <c r="CZ18" i="1291"/>
  <c r="DA18" i="1291"/>
  <c r="DB18" i="1291"/>
  <c r="DC18" i="1291"/>
  <c r="C19" i="1291"/>
  <c r="D19" i="1291"/>
  <c r="E19" i="1291"/>
  <c r="F19" i="1291"/>
  <c r="G19" i="1291"/>
  <c r="H19" i="1291"/>
  <c r="I19" i="1291"/>
  <c r="J19" i="1291"/>
  <c r="K19" i="1291"/>
  <c r="L19" i="1291"/>
  <c r="M19" i="1291"/>
  <c r="N19" i="1291"/>
  <c r="O19" i="1291"/>
  <c r="P19" i="1291"/>
  <c r="Q19" i="1291"/>
  <c r="R19" i="1291"/>
  <c r="S19" i="1291"/>
  <c r="T19" i="1291"/>
  <c r="U19" i="1291"/>
  <c r="V19" i="1291"/>
  <c r="W19" i="1291"/>
  <c r="X19" i="1291"/>
  <c r="Y19" i="1291"/>
  <c r="Z19" i="1291"/>
  <c r="AA19" i="1291"/>
  <c r="AB19" i="1291"/>
  <c r="AC19" i="1291"/>
  <c r="AD19" i="1291"/>
  <c r="AE19" i="1291"/>
  <c r="AF19" i="1291"/>
  <c r="AG19" i="1291"/>
  <c r="AH19" i="1291"/>
  <c r="AI19" i="1291"/>
  <c r="AJ19" i="1291"/>
  <c r="AK19" i="1291"/>
  <c r="AL19" i="1291"/>
  <c r="AM19" i="1291"/>
  <c r="AN19" i="1291"/>
  <c r="AO19" i="1291"/>
  <c r="AP19" i="1291"/>
  <c r="AQ19" i="1291"/>
  <c r="AR19" i="1291"/>
  <c r="AS19" i="1291"/>
  <c r="AT19" i="1291"/>
  <c r="AU19" i="1291"/>
  <c r="AV19" i="1291"/>
  <c r="AW19" i="1291"/>
  <c r="AX19" i="1291"/>
  <c r="AY19" i="1291"/>
  <c r="AZ19" i="1291"/>
  <c r="BA19" i="1291"/>
  <c r="BB19" i="1291"/>
  <c r="BC19" i="1291"/>
  <c r="BD19" i="1291"/>
  <c r="BE19" i="1291"/>
  <c r="BF19" i="1291"/>
  <c r="BG19" i="1291"/>
  <c r="BH19" i="1291"/>
  <c r="BI19" i="1291"/>
  <c r="BJ19" i="1291"/>
  <c r="BK19" i="1291"/>
  <c r="BL19" i="1291"/>
  <c r="BM19" i="1291"/>
  <c r="BN19" i="1291"/>
  <c r="BO19" i="1291"/>
  <c r="BP19" i="1291"/>
  <c r="BQ19" i="1291"/>
  <c r="BR19" i="1291"/>
  <c r="BS19" i="1291"/>
  <c r="BT19" i="1291"/>
  <c r="BU19" i="1291"/>
  <c r="BV19" i="1291"/>
  <c r="BW19" i="1291"/>
  <c r="BX19" i="1291"/>
  <c r="BY19" i="1291"/>
  <c r="BZ19" i="1291"/>
  <c r="CA19" i="1291"/>
  <c r="CB19" i="1291"/>
  <c r="CC19" i="1291"/>
  <c r="CD19" i="1291"/>
  <c r="CE19" i="1291"/>
  <c r="CF19" i="1291"/>
  <c r="CG19" i="1291"/>
  <c r="CH19" i="1291"/>
  <c r="CI19" i="1291"/>
  <c r="CJ19" i="1291"/>
  <c r="CK19" i="1291"/>
  <c r="CL19" i="1291"/>
  <c r="CM19" i="1291"/>
  <c r="CN19" i="1291"/>
  <c r="CO19" i="1291"/>
  <c r="CP19" i="1291"/>
  <c r="CQ19" i="1291"/>
  <c r="CR19" i="1291"/>
  <c r="CS19" i="1291"/>
  <c r="CT19" i="1291"/>
  <c r="CU19" i="1291"/>
  <c r="CV19" i="1291"/>
  <c r="CW19" i="1291"/>
  <c r="CX19" i="1291"/>
  <c r="CY19" i="1291"/>
  <c r="CZ19" i="1291"/>
  <c r="DA19" i="1291"/>
  <c r="DB19" i="1291"/>
  <c r="DC19" i="1291"/>
  <c r="C20" i="1291"/>
  <c r="D20" i="1291"/>
  <c r="E20" i="1291"/>
  <c r="F20" i="1291"/>
  <c r="G20" i="1291"/>
  <c r="H20" i="1291"/>
  <c r="I20" i="1291"/>
  <c r="J20" i="1291"/>
  <c r="K20" i="1291"/>
  <c r="L20" i="1291"/>
  <c r="M20" i="1291"/>
  <c r="N20" i="1291"/>
  <c r="O20" i="1291"/>
  <c r="P20" i="1291"/>
  <c r="Q20" i="1291"/>
  <c r="R20" i="1291"/>
  <c r="S20" i="1291"/>
  <c r="T20" i="1291"/>
  <c r="U20" i="1291"/>
  <c r="V20" i="1291"/>
  <c r="W20" i="1291"/>
  <c r="X20" i="1291"/>
  <c r="Y20" i="1291"/>
  <c r="Z20" i="1291"/>
  <c r="AA20" i="1291"/>
  <c r="AB20" i="1291"/>
  <c r="AC20" i="1291"/>
  <c r="AD20" i="1291"/>
  <c r="AE20" i="1291"/>
  <c r="AF20" i="1291"/>
  <c r="AG20" i="1291"/>
  <c r="AH20" i="1291"/>
  <c r="AI20" i="1291"/>
  <c r="AJ20" i="1291"/>
  <c r="AK20" i="1291"/>
  <c r="AL20" i="1291"/>
  <c r="AM20" i="1291"/>
  <c r="AN20" i="1291"/>
  <c r="AO20" i="1291"/>
  <c r="AP20" i="1291"/>
  <c r="AQ20" i="1291"/>
  <c r="AR20" i="1291"/>
  <c r="AS20" i="1291"/>
  <c r="AT20" i="1291"/>
  <c r="AU20" i="1291"/>
  <c r="AV20" i="1291"/>
  <c r="AW20" i="1291"/>
  <c r="AX20" i="1291"/>
  <c r="AY20" i="1291"/>
  <c r="AZ20" i="1291"/>
  <c r="BA20" i="1291"/>
  <c r="BB20" i="1291"/>
  <c r="BC20" i="1291"/>
  <c r="BD20" i="1291"/>
  <c r="BE20" i="1291"/>
  <c r="BF20" i="1291"/>
  <c r="BG20" i="1291"/>
  <c r="BH20" i="1291"/>
  <c r="BI20" i="1291"/>
  <c r="BJ20" i="1291"/>
  <c r="BK20" i="1291"/>
  <c r="BL20" i="1291"/>
  <c r="BM20" i="1291"/>
  <c r="BN20" i="1291"/>
  <c r="BO20" i="1291"/>
  <c r="BP20" i="1291"/>
  <c r="BQ20" i="1291"/>
  <c r="BR20" i="1291"/>
  <c r="BS20" i="1291"/>
  <c r="BT20" i="1291"/>
  <c r="BU20" i="1291"/>
  <c r="BV20" i="1291"/>
  <c r="BW20" i="1291"/>
  <c r="BX20" i="1291"/>
  <c r="BY20" i="1291"/>
  <c r="BZ20" i="1291"/>
  <c r="CA20" i="1291"/>
  <c r="CB20" i="1291"/>
  <c r="CC20" i="1291"/>
  <c r="CD20" i="1291"/>
  <c r="CE20" i="1291"/>
  <c r="CF20" i="1291"/>
  <c r="CG20" i="1291"/>
  <c r="CH20" i="1291"/>
  <c r="CI20" i="1291"/>
  <c r="CJ20" i="1291"/>
  <c r="CK20" i="1291"/>
  <c r="CL20" i="1291"/>
  <c r="CM20" i="1291"/>
  <c r="CN20" i="1291"/>
  <c r="CO20" i="1291"/>
  <c r="CP20" i="1291"/>
  <c r="CQ20" i="1291"/>
  <c r="CR20" i="1291"/>
  <c r="CS20" i="1291"/>
  <c r="CT20" i="1291"/>
  <c r="CU20" i="1291"/>
  <c r="CV20" i="1291"/>
  <c r="CW20" i="1291"/>
  <c r="CX20" i="1291"/>
  <c r="CY20" i="1291"/>
  <c r="CZ20" i="1291"/>
  <c r="DA20" i="1291"/>
  <c r="DB20" i="1291"/>
  <c r="DC20" i="1291"/>
  <c r="DC4" i="1291"/>
  <c r="DC3" i="1291"/>
  <c r="DB4" i="1291"/>
  <c r="DB3" i="1291"/>
  <c r="DA4" i="1291"/>
  <c r="DA3" i="1291"/>
  <c r="CZ4" i="1291"/>
  <c r="CZ3" i="1291"/>
  <c r="CY4" i="1291"/>
  <c r="CY2" i="1291" s="1"/>
  <c r="CY3" i="1291"/>
  <c r="CX4" i="1291"/>
  <c r="CX3" i="1291"/>
  <c r="CW4" i="1291"/>
  <c r="CW3" i="1291"/>
  <c r="CV4" i="1291"/>
  <c r="CV3" i="1291"/>
  <c r="CU4" i="1291"/>
  <c r="CU3" i="1291"/>
  <c r="CT4" i="1291"/>
  <c r="CT2" i="1291" s="1"/>
  <c r="CT3" i="1291"/>
  <c r="CS4" i="1291"/>
  <c r="CS3" i="1291"/>
  <c r="CR4" i="1291"/>
  <c r="CR3" i="1291"/>
  <c r="CQ4" i="1291"/>
  <c r="CQ3" i="1291"/>
  <c r="CP4" i="1291"/>
  <c r="CP3" i="1291"/>
  <c r="CO4" i="1291"/>
  <c r="CO2" i="1291" s="1"/>
  <c r="CO3" i="1291"/>
  <c r="CN4" i="1291"/>
  <c r="CN3" i="1291"/>
  <c r="CM4" i="1291"/>
  <c r="CM3" i="1291"/>
  <c r="CL4" i="1291"/>
  <c r="CL3" i="1291"/>
  <c r="CK4" i="1291"/>
  <c r="CK3" i="1291"/>
  <c r="CJ4" i="1291"/>
  <c r="CJ2" i="1291" s="1"/>
  <c r="CJ3" i="1291"/>
  <c r="CI4" i="1291"/>
  <c r="CI3" i="1291"/>
  <c r="CH4" i="1291"/>
  <c r="CH3" i="1291"/>
  <c r="CG4" i="1291"/>
  <c r="CG3" i="1291"/>
  <c r="CF4" i="1291"/>
  <c r="CF3" i="1291"/>
  <c r="CE4" i="1291"/>
  <c r="CE2" i="1291" s="1"/>
  <c r="CE3" i="1291"/>
  <c r="CD4" i="1291"/>
  <c r="CD3" i="1291"/>
  <c r="CC4" i="1291"/>
  <c r="CC3" i="1291"/>
  <c r="CB4" i="1291"/>
  <c r="CB3" i="1291"/>
  <c r="CA4" i="1291"/>
  <c r="CA3" i="1291"/>
  <c r="BZ4" i="1291"/>
  <c r="BZ2" i="1291" s="1"/>
  <c r="BZ3" i="1291"/>
  <c r="BY4" i="1291"/>
  <c r="BY3" i="1291"/>
  <c r="BX4" i="1291"/>
  <c r="BX3" i="1291"/>
  <c r="BW4" i="1291"/>
  <c r="BW3" i="1291"/>
  <c r="BV4" i="1291"/>
  <c r="BV3" i="1291"/>
  <c r="BU4" i="1291"/>
  <c r="BU2" i="1291" s="1"/>
  <c r="BU3" i="1291"/>
  <c r="BT4" i="1291"/>
  <c r="BT3" i="1291"/>
  <c r="BS4" i="1291"/>
  <c r="BS3" i="1291"/>
  <c r="BR4" i="1291"/>
  <c r="BR3" i="1291"/>
  <c r="BQ4" i="1291"/>
  <c r="BQ3" i="1291"/>
  <c r="BP4" i="1291"/>
  <c r="BP2" i="1291" s="1"/>
  <c r="BP3" i="1291"/>
  <c r="BO4" i="1291"/>
  <c r="BO3" i="1291"/>
  <c r="BN4" i="1291"/>
  <c r="BN3" i="1291"/>
  <c r="BM4" i="1291"/>
  <c r="BM3" i="1291"/>
  <c r="BL4" i="1291"/>
  <c r="BL3" i="1291"/>
  <c r="BK4" i="1291"/>
  <c r="BK2" i="1291" s="1"/>
  <c r="BK3" i="1291"/>
  <c r="BJ4" i="1291"/>
  <c r="BJ3" i="1291"/>
  <c r="BI4" i="1291"/>
  <c r="BI3" i="1291"/>
  <c r="BH4" i="1291"/>
  <c r="BH3" i="1291"/>
  <c r="BG4" i="1291"/>
  <c r="BG3" i="1291"/>
  <c r="BF4" i="1291"/>
  <c r="BF2" i="1291" s="1"/>
  <c r="BF3" i="1291"/>
  <c r="BE4" i="1291"/>
  <c r="BE3" i="1291"/>
  <c r="BD4" i="1291"/>
  <c r="BD3" i="1291"/>
  <c r="BC4" i="1291"/>
  <c r="BC3" i="1291"/>
  <c r="BB4" i="1291"/>
  <c r="BB3" i="1291"/>
  <c r="BA4" i="1291"/>
  <c r="BA2" i="1291" s="1"/>
  <c r="BA3" i="1291"/>
  <c r="AZ4" i="1291"/>
  <c r="AZ3" i="1291"/>
  <c r="AY4" i="1291"/>
  <c r="AY3" i="1291"/>
  <c r="AX4" i="1291"/>
  <c r="AX3" i="1291"/>
  <c r="AW4" i="1291"/>
  <c r="AW3" i="1291"/>
  <c r="AV4" i="1291"/>
  <c r="AV2" i="1291" s="1"/>
  <c r="AV3" i="1291"/>
  <c r="AU4" i="1291"/>
  <c r="AU3" i="1291"/>
  <c r="AT4" i="1291"/>
  <c r="AT3" i="1291"/>
  <c r="AS4" i="1291"/>
  <c r="AS3" i="1291"/>
  <c r="AR4" i="1291"/>
  <c r="AR3" i="1291"/>
  <c r="AQ4" i="1291"/>
  <c r="AQ2" i="1291" s="1"/>
  <c r="AQ3" i="1291"/>
  <c r="AP4" i="1291"/>
  <c r="AP3" i="1291"/>
  <c r="AO4" i="1291"/>
  <c r="AO3" i="1291"/>
  <c r="AN4" i="1291"/>
  <c r="AN3" i="1291"/>
  <c r="AM4" i="1291"/>
  <c r="AM3" i="1291"/>
  <c r="AL4" i="1291"/>
  <c r="AL2" i="1291" s="1"/>
  <c r="AL3" i="1291"/>
  <c r="AK4" i="1291"/>
  <c r="AK3" i="1291"/>
  <c r="AJ4" i="1291"/>
  <c r="AJ3" i="1291"/>
  <c r="AI4" i="1291"/>
  <c r="AI3" i="1291"/>
  <c r="AH4" i="1291"/>
  <c r="AH3" i="1291"/>
  <c r="AG4" i="1291"/>
  <c r="AG2" i="1291" s="1"/>
  <c r="AG3" i="1291"/>
  <c r="AF4" i="1291"/>
  <c r="AF3" i="1291"/>
  <c r="AE4" i="1291"/>
  <c r="AE3" i="1291"/>
  <c r="AD4" i="1291"/>
  <c r="AD3" i="1291"/>
  <c r="AC4" i="1291"/>
  <c r="AC3" i="1291"/>
  <c r="AB4" i="1291"/>
  <c r="AB2" i="1291" s="1"/>
  <c r="AB3" i="1291"/>
  <c r="AA4" i="1291"/>
  <c r="AA3" i="1291"/>
  <c r="Z4" i="1291"/>
  <c r="Z3" i="1291"/>
  <c r="Y4" i="1291"/>
  <c r="Y3" i="1291"/>
  <c r="X4" i="1291"/>
  <c r="X3" i="1291"/>
  <c r="W4" i="1291"/>
  <c r="W2" i="1291" s="1"/>
  <c r="W3" i="1291"/>
  <c r="V4" i="1291"/>
  <c r="V3" i="1291"/>
  <c r="U4" i="1291"/>
  <c r="U3" i="1291"/>
  <c r="T4" i="1291"/>
  <c r="T3" i="1291"/>
  <c r="S4" i="1291"/>
  <c r="S3" i="1291"/>
  <c r="R4" i="1291"/>
  <c r="R2" i="1291" s="1"/>
  <c r="R3" i="1291"/>
  <c r="Q4" i="1291"/>
  <c r="Q3" i="1291"/>
  <c r="P4" i="1291"/>
  <c r="P3" i="1291"/>
  <c r="O4" i="1291"/>
  <c r="O3" i="1291"/>
  <c r="N4" i="1291"/>
  <c r="N3" i="1291"/>
  <c r="M4" i="1291"/>
  <c r="M2" i="1291" s="1"/>
  <c r="M3" i="1291"/>
  <c r="L4" i="1291"/>
  <c r="L3" i="1291"/>
  <c r="K4" i="1291"/>
  <c r="K3" i="1291"/>
  <c r="J4" i="1291"/>
  <c r="J3" i="1291"/>
  <c r="I4" i="1291"/>
  <c r="I3" i="1291"/>
  <c r="H4" i="1291"/>
  <c r="H2" i="1291" s="1"/>
  <c r="H3" i="1291"/>
  <c r="G4" i="1291"/>
  <c r="G3" i="1291"/>
  <c r="F4" i="1291"/>
  <c r="F3" i="1291"/>
  <c r="E4" i="1291"/>
  <c r="E3" i="1291"/>
  <c r="D4" i="1291"/>
  <c r="D3" i="1291"/>
  <c r="C4" i="1291"/>
  <c r="C2" i="1291" s="1"/>
  <c r="C3" i="1291"/>
  <c r="C45" i="1290"/>
  <c r="C46" i="1290"/>
  <c r="C47" i="1290"/>
  <c r="C48" i="1290"/>
  <c r="C49" i="1290"/>
  <c r="C50" i="1290"/>
  <c r="C51" i="1290"/>
  <c r="C52" i="1290"/>
  <c r="C53" i="1290"/>
  <c r="C54" i="1290"/>
  <c r="C55" i="1290"/>
  <c r="C56" i="1290"/>
  <c r="C57" i="1290"/>
  <c r="C58" i="1290"/>
  <c r="C59" i="1290"/>
  <c r="B45" i="1290"/>
  <c r="B46" i="1290"/>
  <c r="B47" i="1290"/>
  <c r="B48" i="1290"/>
  <c r="B49" i="1290"/>
  <c r="B50" i="1290"/>
  <c r="B51" i="1290"/>
  <c r="B52" i="1290"/>
  <c r="B53" i="1290"/>
  <c r="B54" i="1290"/>
  <c r="B55" i="1290"/>
  <c r="B56" i="1290"/>
  <c r="B57" i="1290"/>
  <c r="B58" i="1290"/>
  <c r="B59" i="1290"/>
  <c r="C24" i="1289"/>
  <c r="C25" i="1289"/>
  <c r="C26" i="1289"/>
  <c r="C27" i="1289"/>
  <c r="C28" i="1289"/>
  <c r="C29" i="1289"/>
  <c r="C30" i="1289"/>
  <c r="C31" i="1289"/>
  <c r="C32" i="1289"/>
  <c r="C33" i="1289"/>
  <c r="C34" i="1289"/>
  <c r="C35" i="1289"/>
  <c r="C36" i="1289"/>
  <c r="C37" i="1289"/>
  <c r="C38" i="1289"/>
  <c r="B24" i="1289"/>
  <c r="B25" i="1289"/>
  <c r="B26" i="1289"/>
  <c r="B27" i="1289"/>
  <c r="B28" i="1289"/>
  <c r="B29" i="1289"/>
  <c r="B30" i="1289"/>
  <c r="B31" i="1289"/>
  <c r="B32" i="1289"/>
  <c r="B33" i="1289"/>
  <c r="B34" i="1289"/>
  <c r="B35" i="1289"/>
  <c r="B36" i="1289"/>
  <c r="B37" i="1289"/>
  <c r="B38" i="1289"/>
  <c r="C45" i="1288"/>
  <c r="C46" i="1288"/>
  <c r="C47" i="1288"/>
  <c r="C48" i="1288"/>
  <c r="C49" i="1288"/>
  <c r="C50" i="1288"/>
  <c r="C51" i="1288"/>
  <c r="C52" i="1288"/>
  <c r="C53" i="1288"/>
  <c r="C54" i="1288"/>
  <c r="C55" i="1288"/>
  <c r="C56" i="1288"/>
  <c r="C57" i="1288"/>
  <c r="C58" i="1288"/>
  <c r="C59" i="1288"/>
  <c r="B45" i="1288"/>
  <c r="B46" i="1288"/>
  <c r="B47" i="1288"/>
  <c r="B48" i="1288"/>
  <c r="B49" i="1288"/>
  <c r="B50" i="1288"/>
  <c r="B51" i="1288"/>
  <c r="B52" i="1288"/>
  <c r="B53" i="1288"/>
  <c r="B54" i="1288"/>
  <c r="B55" i="1288"/>
  <c r="B56" i="1288"/>
  <c r="B57" i="1288"/>
  <c r="B58" i="1288"/>
  <c r="B59" i="1288"/>
  <c r="C24" i="1287"/>
  <c r="C25" i="1287"/>
  <c r="C26" i="1287"/>
  <c r="C27" i="1287"/>
  <c r="C28" i="1287"/>
  <c r="C29" i="1287"/>
  <c r="C30" i="1287"/>
  <c r="C31" i="1287"/>
  <c r="C32" i="1287"/>
  <c r="C33" i="1287"/>
  <c r="C34" i="1287"/>
  <c r="C35" i="1287"/>
  <c r="C36" i="1287"/>
  <c r="C37" i="1287"/>
  <c r="C38" i="1287"/>
  <c r="B24" i="1287"/>
  <c r="B25" i="1287"/>
  <c r="B26" i="1287"/>
  <c r="B27" i="1287"/>
  <c r="B28" i="1287"/>
  <c r="B29" i="1287"/>
  <c r="B30" i="1287"/>
  <c r="B31" i="1287"/>
  <c r="B32" i="1287"/>
  <c r="B33" i="1287"/>
  <c r="B34" i="1287"/>
  <c r="B35" i="1287"/>
  <c r="B36" i="1287"/>
  <c r="B37" i="1287"/>
  <c r="B38" i="1287"/>
  <c r="E26" i="1290"/>
  <c r="F26" i="1290" s="1"/>
  <c r="E25" i="1290"/>
  <c r="E23" i="1290"/>
  <c r="E5" i="1290"/>
  <c r="F5" i="1290" s="1"/>
  <c r="E4" i="1290"/>
  <c r="E2" i="1290"/>
  <c r="E5" i="1289"/>
  <c r="F5" i="1289" s="1"/>
  <c r="E4" i="1289"/>
  <c r="E2" i="1289"/>
  <c r="E5" i="1288"/>
  <c r="E4" i="1288"/>
  <c r="E2" i="1288"/>
  <c r="E5" i="1287"/>
  <c r="F5" i="1287" s="1"/>
  <c r="E4" i="1287"/>
  <c r="E2" i="1287"/>
  <c r="AA12" i="4"/>
  <c r="B4" i="1244"/>
  <c r="C4" i="1244"/>
  <c r="A6" i="1244"/>
  <c r="B6" i="1244"/>
  <c r="C6" i="1244"/>
  <c r="A7" i="1244"/>
  <c r="B7" i="1244"/>
  <c r="C7" i="1244"/>
  <c r="A8" i="1244"/>
  <c r="B8" i="1244"/>
  <c r="C8" i="1244"/>
  <c r="A9" i="1244"/>
  <c r="B9" i="1244"/>
  <c r="C9" i="1244"/>
  <c r="A10" i="1244"/>
  <c r="B10" i="1244"/>
  <c r="C10" i="1244"/>
  <c r="A11" i="1244"/>
  <c r="B11" i="1244"/>
  <c r="C11" i="1244"/>
  <c r="A12" i="1244"/>
  <c r="B12" i="1244"/>
  <c r="C12" i="1244"/>
  <c r="A13" i="1244"/>
  <c r="B13" i="1244"/>
  <c r="C13" i="1244"/>
  <c r="A14" i="1244"/>
  <c r="B14" i="1244"/>
  <c r="C14" i="1244"/>
  <c r="A15" i="1244"/>
  <c r="B15" i="1244"/>
  <c r="C15" i="1244"/>
  <c r="A16" i="1244"/>
  <c r="B16" i="1244"/>
  <c r="C16" i="1244"/>
  <c r="A17" i="1244"/>
  <c r="B17" i="1244"/>
  <c r="C17" i="1244"/>
  <c r="A18" i="1244"/>
  <c r="B18" i="1244"/>
  <c r="C18" i="1244"/>
  <c r="A19" i="1244"/>
  <c r="B19" i="1244"/>
  <c r="C19" i="1244"/>
  <c r="A20" i="1244"/>
  <c r="B20" i="1244"/>
  <c r="C20" i="1244"/>
  <c r="A21" i="1244"/>
  <c r="A22" i="1244"/>
  <c r="B22" i="1244"/>
  <c r="C22" i="1244"/>
  <c r="A23" i="1244"/>
  <c r="B23" i="1244"/>
  <c r="C23" i="1244"/>
  <c r="A24" i="1244"/>
  <c r="B24" i="1244"/>
  <c r="C24" i="1244"/>
  <c r="A25" i="1244"/>
  <c r="B25" i="1244"/>
  <c r="C25" i="1244"/>
  <c r="A26" i="1244"/>
  <c r="B26" i="1244"/>
  <c r="C26" i="1244"/>
  <c r="A27" i="1244"/>
  <c r="B27" i="1244"/>
  <c r="C27" i="1244"/>
  <c r="C4" i="1218"/>
  <c r="C2" i="1218" s="1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W50" i="4"/>
  <c r="V50" i="4"/>
  <c r="U50" i="4"/>
  <c r="T50" i="4"/>
  <c r="S50" i="4"/>
  <c r="R50" i="4"/>
  <c r="Q50" i="4"/>
  <c r="P50" i="4"/>
  <c r="O50" i="4"/>
  <c r="N50" i="4"/>
  <c r="M50" i="4"/>
  <c r="L50" i="4"/>
  <c r="L46" i="4" s="1"/>
  <c r="K50" i="4"/>
  <c r="J50" i="4"/>
  <c r="I50" i="4"/>
  <c r="H50" i="4"/>
  <c r="G50" i="4"/>
  <c r="F50" i="4"/>
  <c r="E50" i="4"/>
  <c r="D50" i="4"/>
  <c r="C50" i="4"/>
  <c r="B50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W46" i="4"/>
  <c r="V46" i="4"/>
  <c r="U46" i="4"/>
  <c r="T46" i="4"/>
  <c r="S46" i="4"/>
  <c r="R46" i="4"/>
  <c r="Q46" i="4"/>
  <c r="P46" i="4"/>
  <c r="O46" i="4"/>
  <c r="N46" i="4"/>
  <c r="M46" i="4"/>
  <c r="K46" i="4"/>
  <c r="J46" i="4"/>
  <c r="I46" i="4"/>
  <c r="H46" i="4"/>
  <c r="G46" i="4"/>
  <c r="F46" i="4"/>
  <c r="E46" i="4"/>
  <c r="D46" i="4"/>
  <c r="C46" i="4"/>
  <c r="B46" i="4"/>
  <c r="Z35" i="4"/>
  <c r="AE34" i="4"/>
  <c r="AA34" i="4"/>
  <c r="Z34" i="4"/>
  <c r="AE33" i="4"/>
  <c r="AA33" i="4"/>
  <c r="Z33" i="4"/>
  <c r="AE32" i="4"/>
  <c r="AA32" i="4"/>
  <c r="Z32" i="4"/>
  <c r="AE31" i="4"/>
  <c r="AA31" i="4"/>
  <c r="Z31" i="4"/>
  <c r="AE30" i="4"/>
  <c r="AA30" i="4"/>
  <c r="Z30" i="4"/>
  <c r="AE29" i="4"/>
  <c r="AA29" i="4"/>
  <c r="Z29" i="4"/>
  <c r="Z27" i="4"/>
  <c r="AE25" i="4"/>
  <c r="AA25" i="4"/>
  <c r="Z25" i="4"/>
  <c r="AE24" i="4"/>
  <c r="AA24" i="4"/>
  <c r="Z24" i="4"/>
  <c r="AE23" i="4"/>
  <c r="AA23" i="4"/>
  <c r="Z23" i="4"/>
  <c r="AE20" i="4"/>
  <c r="AA20" i="4"/>
  <c r="Z20" i="4"/>
  <c r="AE19" i="4"/>
  <c r="AA19" i="4"/>
  <c r="Z19" i="4"/>
  <c r="AE18" i="4"/>
  <c r="AA18" i="4"/>
  <c r="Z18" i="4"/>
  <c r="AE17" i="4"/>
  <c r="AA17" i="4"/>
  <c r="Z17" i="4"/>
  <c r="AE15" i="4"/>
  <c r="AA15" i="4"/>
  <c r="Z15" i="4"/>
  <c r="AE14" i="4"/>
  <c r="AA14" i="4"/>
  <c r="Z14" i="4"/>
  <c r="AE13" i="4"/>
  <c r="AA13" i="4"/>
  <c r="Z13" i="4"/>
  <c r="AE12" i="4"/>
  <c r="Z12" i="4"/>
  <c r="AE10" i="4"/>
  <c r="AA10" i="4"/>
  <c r="Z10" i="4"/>
  <c r="AE9" i="4"/>
  <c r="AA9" i="4"/>
  <c r="Z9" i="4"/>
  <c r="AE8" i="4"/>
  <c r="AA8" i="4"/>
  <c r="Z8" i="4"/>
  <c r="AE7" i="4"/>
  <c r="AA7" i="4"/>
  <c r="Z7" i="4"/>
  <c r="W4" i="4"/>
  <c r="V4" i="4"/>
  <c r="U4" i="4"/>
  <c r="U67" i="4" s="1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D4" i="4"/>
  <c r="C4" i="4"/>
  <c r="B4" i="4"/>
  <c r="W3" i="4"/>
  <c r="W67" i="4" s="1"/>
  <c r="V3" i="4"/>
  <c r="V67" i="4" s="1"/>
  <c r="T3" i="4"/>
  <c r="T67" i="4" s="1"/>
  <c r="S3" i="4"/>
  <c r="S67" i="4" s="1"/>
  <c r="R3" i="4"/>
  <c r="R67" i="4" s="1"/>
  <c r="Q3" i="4"/>
  <c r="Q67" i="4" s="1"/>
  <c r="P3" i="4"/>
  <c r="P67" i="4" s="1"/>
  <c r="O3" i="4"/>
  <c r="O67" i="4" s="1"/>
  <c r="N3" i="4"/>
  <c r="N67" i="4" s="1"/>
  <c r="M3" i="4"/>
  <c r="M67" i="4" s="1"/>
  <c r="L3" i="4"/>
  <c r="L67" i="4" s="1"/>
  <c r="K3" i="4"/>
  <c r="K67" i="4" s="1"/>
  <c r="J3" i="4"/>
  <c r="J67" i="4" s="1"/>
  <c r="I3" i="4"/>
  <c r="I67" i="4" s="1"/>
  <c r="H3" i="4"/>
  <c r="H67" i="4" s="1"/>
  <c r="G3" i="4"/>
  <c r="G67" i="4" s="1"/>
  <c r="F3" i="4"/>
  <c r="F67" i="4" s="1"/>
  <c r="E3" i="4"/>
  <c r="E67" i="4" s="1"/>
  <c r="D3" i="4"/>
  <c r="D67" i="4" s="1"/>
  <c r="C3" i="4"/>
  <c r="C67" i="4" s="1"/>
  <c r="B3" i="4"/>
  <c r="B67" i="4" s="1"/>
  <c r="Y2" i="4"/>
  <c r="C19" i="10" a="1"/>
  <c r="C15" i="10" a="1"/>
  <c r="C11" i="10" a="1"/>
  <c r="C7" i="10" a="1"/>
  <c r="C3" i="10" a="1"/>
  <c r="C38" i="1119" a="1"/>
  <c r="B38" i="1119" a="1"/>
  <c r="C37" i="1119" a="1"/>
  <c r="B37" i="1119" a="1"/>
  <c r="C36" i="1119" a="1"/>
  <c r="B36" i="1119" a="1"/>
  <c r="C35" i="1119" a="1"/>
  <c r="B35" i="1119" a="1"/>
  <c r="C34" i="1119" a="1"/>
  <c r="B34" i="1119" a="1"/>
  <c r="C33" i="1119" a="1"/>
  <c r="B33" i="1119" a="1"/>
  <c r="C32" i="1119" a="1"/>
  <c r="B32" i="1119" a="1"/>
  <c r="C31" i="1119" a="1"/>
  <c r="B31" i="1119" a="1"/>
  <c r="C30" i="1119" a="1"/>
  <c r="B30" i="1119" a="1"/>
  <c r="C29" i="1119" a="1"/>
  <c r="B29" i="1119" a="1"/>
  <c r="C28" i="1119" a="1"/>
  <c r="B28" i="1119" a="1"/>
  <c r="C27" i="1119" a="1"/>
  <c r="B27" i="1119" a="1"/>
  <c r="C26" i="1119" a="1"/>
  <c r="B26" i="1119" a="1"/>
  <c r="C25" i="1119" a="1"/>
  <c r="B25" i="1119" a="1"/>
  <c r="C24" i="1119" a="1"/>
  <c r="B24" i="1119" a="1"/>
  <c r="H25" i="1177"/>
  <c r="H24" i="1177"/>
  <c r="H23" i="1177"/>
  <c r="H22" i="1177"/>
  <c r="H16" i="1177"/>
  <c r="H15" i="1177"/>
  <c r="H14" i="1177"/>
  <c r="H13" i="1177"/>
  <c r="H7" i="1177"/>
  <c r="H6" i="1177"/>
  <c r="H5" i="1177"/>
  <c r="H4" i="1177"/>
  <c r="J16" i="1177"/>
  <c r="I16" i="1177"/>
  <c r="J15" i="1177"/>
  <c r="I15" i="1177"/>
  <c r="J14" i="1177"/>
  <c r="I14" i="1177"/>
  <c r="J13" i="1177"/>
  <c r="I13" i="1177"/>
  <c r="G20" i="1177"/>
  <c r="F20" i="1177"/>
  <c r="G19" i="1177"/>
  <c r="F19" i="1177"/>
  <c r="G18" i="1177"/>
  <c r="F18" i="1177"/>
  <c r="G17" i="1177"/>
  <c r="F17" i="1177"/>
  <c r="J20" i="1177"/>
  <c r="I20" i="1177"/>
  <c r="J19" i="1177"/>
  <c r="I19" i="1177"/>
  <c r="J18" i="1177"/>
  <c r="I18" i="1177"/>
  <c r="J17" i="1177"/>
  <c r="I17" i="1177"/>
  <c r="G16" i="1177"/>
  <c r="F16" i="1177"/>
  <c r="G15" i="1177"/>
  <c r="F15" i="1177"/>
  <c r="G14" i="1177"/>
  <c r="F14" i="1177"/>
  <c r="G13" i="1177"/>
  <c r="F13" i="1177"/>
  <c r="J7" i="1177"/>
  <c r="I7" i="1177"/>
  <c r="J6" i="1177"/>
  <c r="I6" i="1177"/>
  <c r="J5" i="1177"/>
  <c r="I5" i="1177"/>
  <c r="J4" i="1177"/>
  <c r="I4" i="1177"/>
  <c r="G11" i="1177"/>
  <c r="F11" i="1177"/>
  <c r="G10" i="1177"/>
  <c r="F10" i="1177"/>
  <c r="G9" i="1177"/>
  <c r="F9" i="1177"/>
  <c r="G8" i="1177"/>
  <c r="F8" i="1177"/>
  <c r="J11" i="1177"/>
  <c r="I11" i="1177"/>
  <c r="J10" i="1177"/>
  <c r="I10" i="1177"/>
  <c r="J9" i="1177"/>
  <c r="I9" i="1177"/>
  <c r="J8" i="1177"/>
  <c r="I8" i="1177"/>
  <c r="G7" i="1177"/>
  <c r="F7" i="1177"/>
  <c r="G6" i="1177"/>
  <c r="F6" i="1177"/>
  <c r="G5" i="1177"/>
  <c r="F5" i="1177"/>
  <c r="G4" i="1177"/>
  <c r="F4" i="1177"/>
  <c r="J25" i="1177"/>
  <c r="I25" i="1177"/>
  <c r="J24" i="1177"/>
  <c r="I24" i="1177"/>
  <c r="J23" i="1177"/>
  <c r="I23" i="1177"/>
  <c r="J22" i="1177"/>
  <c r="I22" i="1177"/>
  <c r="G29" i="1177"/>
  <c r="F29" i="1177"/>
  <c r="G28" i="1177"/>
  <c r="F28" i="1177"/>
  <c r="G27" i="1177"/>
  <c r="F27" i="1177"/>
  <c r="G26" i="1177"/>
  <c r="F26" i="1177"/>
  <c r="J29" i="1177"/>
  <c r="I29" i="1177"/>
  <c r="J28" i="1177"/>
  <c r="I28" i="1177"/>
  <c r="J27" i="1177"/>
  <c r="I27" i="1177"/>
  <c r="J26" i="1177"/>
  <c r="I26" i="1177"/>
  <c r="G25" i="1177"/>
  <c r="F25" i="1177"/>
  <c r="G24" i="1177"/>
  <c r="F24" i="1177"/>
  <c r="G23" i="1177"/>
  <c r="F23" i="1177"/>
  <c r="G22" i="1177"/>
  <c r="F22" i="1177"/>
  <c r="J74" i="1177"/>
  <c r="I74" i="1177"/>
  <c r="G74" i="1177"/>
  <c r="F74" i="1177"/>
  <c r="J73" i="1177"/>
  <c r="I73" i="1177"/>
  <c r="G73" i="1177"/>
  <c r="F73" i="1177"/>
  <c r="J72" i="1177"/>
  <c r="I72" i="1177"/>
  <c r="G72" i="1177"/>
  <c r="F72" i="1177"/>
  <c r="J71" i="1177"/>
  <c r="I71" i="1177"/>
  <c r="G71" i="1177"/>
  <c r="F71" i="1177"/>
  <c r="J70" i="1177"/>
  <c r="I70" i="1177"/>
  <c r="G70" i="1177"/>
  <c r="F70" i="1177"/>
  <c r="J69" i="1177"/>
  <c r="I69" i="1177"/>
  <c r="G69" i="1177"/>
  <c r="F69" i="1177"/>
  <c r="J68" i="1177"/>
  <c r="I68" i="1177"/>
  <c r="G68" i="1177"/>
  <c r="F68" i="1177"/>
  <c r="J67" i="1177"/>
  <c r="I67" i="1177"/>
  <c r="G67" i="1177"/>
  <c r="F67" i="1177"/>
  <c r="J65" i="1177"/>
  <c r="I65" i="1177"/>
  <c r="G65" i="1177"/>
  <c r="F65" i="1177"/>
  <c r="J64" i="1177"/>
  <c r="I64" i="1177"/>
  <c r="G64" i="1177"/>
  <c r="F64" i="1177"/>
  <c r="J63" i="1177"/>
  <c r="I63" i="1177"/>
  <c r="G63" i="1177"/>
  <c r="F63" i="1177"/>
  <c r="J62" i="1177"/>
  <c r="I62" i="1177"/>
  <c r="G62" i="1177"/>
  <c r="F62" i="1177"/>
  <c r="J61" i="1177"/>
  <c r="I61" i="1177"/>
  <c r="G61" i="1177"/>
  <c r="F61" i="1177"/>
  <c r="J60" i="1177"/>
  <c r="I60" i="1177"/>
  <c r="G60" i="1177"/>
  <c r="F60" i="1177"/>
  <c r="J59" i="1177"/>
  <c r="I59" i="1177"/>
  <c r="G59" i="1177"/>
  <c r="F59" i="1177"/>
  <c r="J58" i="1177"/>
  <c r="I58" i="1177"/>
  <c r="G58" i="1177"/>
  <c r="F58" i="1177"/>
  <c r="J56" i="1177"/>
  <c r="I56" i="1177"/>
  <c r="G56" i="1177"/>
  <c r="F56" i="1177"/>
  <c r="J55" i="1177"/>
  <c r="I55" i="1177"/>
  <c r="G55" i="1177"/>
  <c r="F55" i="1177"/>
  <c r="J54" i="1177"/>
  <c r="I54" i="1177"/>
  <c r="G54" i="1177"/>
  <c r="F54" i="1177"/>
  <c r="J53" i="1177"/>
  <c r="I53" i="1177"/>
  <c r="G53" i="1177"/>
  <c r="F53" i="1177"/>
  <c r="J52" i="1177"/>
  <c r="I52" i="1177"/>
  <c r="G52" i="1177"/>
  <c r="F52" i="1177"/>
  <c r="J51" i="1177"/>
  <c r="I51" i="1177"/>
  <c r="G51" i="1177"/>
  <c r="F51" i="1177"/>
  <c r="J50" i="1177"/>
  <c r="I50" i="1177"/>
  <c r="G50" i="1177"/>
  <c r="F50" i="1177"/>
  <c r="J49" i="1177"/>
  <c r="I49" i="1177"/>
  <c r="G49" i="1177"/>
  <c r="F49" i="1177"/>
  <c r="J47" i="1177"/>
  <c r="I47" i="1177"/>
  <c r="G47" i="1177"/>
  <c r="F47" i="1177"/>
  <c r="J46" i="1177"/>
  <c r="I46" i="1177"/>
  <c r="G46" i="1177"/>
  <c r="F46" i="1177"/>
  <c r="J45" i="1177"/>
  <c r="I45" i="1177"/>
  <c r="G45" i="1177"/>
  <c r="F45" i="1177"/>
  <c r="J44" i="1177"/>
  <c r="I44" i="1177"/>
  <c r="G44" i="1177"/>
  <c r="F44" i="1177"/>
  <c r="J43" i="1177"/>
  <c r="I43" i="1177"/>
  <c r="G43" i="1177"/>
  <c r="F43" i="1177"/>
  <c r="J42" i="1177"/>
  <c r="I42" i="1177"/>
  <c r="G42" i="1177"/>
  <c r="F42" i="1177"/>
  <c r="J41" i="1177"/>
  <c r="I41" i="1177"/>
  <c r="G41" i="1177"/>
  <c r="F41" i="1177"/>
  <c r="J40" i="1177"/>
  <c r="I40" i="1177"/>
  <c r="G40" i="1177"/>
  <c r="F40" i="1177"/>
  <c r="J38" i="1177"/>
  <c r="I38" i="1177"/>
  <c r="G38" i="1177"/>
  <c r="F38" i="1177"/>
  <c r="J37" i="1177"/>
  <c r="I37" i="1177"/>
  <c r="G37" i="1177"/>
  <c r="F37" i="1177"/>
  <c r="J36" i="1177"/>
  <c r="I36" i="1177"/>
  <c r="G36" i="1177"/>
  <c r="F36" i="1177"/>
  <c r="J35" i="1177"/>
  <c r="I35" i="1177"/>
  <c r="G35" i="1177"/>
  <c r="F35" i="1177"/>
  <c r="J34" i="1177"/>
  <c r="I34" i="1177"/>
  <c r="G34" i="1177"/>
  <c r="F34" i="1177"/>
  <c r="J33" i="1177"/>
  <c r="I33" i="1177"/>
  <c r="G33" i="1177"/>
  <c r="F33" i="1177"/>
  <c r="J32" i="1177"/>
  <c r="I32" i="1177"/>
  <c r="G32" i="1177"/>
  <c r="F32" i="1177"/>
  <c r="J31" i="1177"/>
  <c r="I31" i="1177"/>
  <c r="G31" i="1177"/>
  <c r="F31" i="1177"/>
  <c r="C60" i="1290" l="1"/>
  <c r="AB45" i="1290"/>
  <c r="CA45" i="1290"/>
  <c r="CC45" i="1290"/>
  <c r="DE45" i="1290"/>
  <c r="DD45" i="1290"/>
  <c r="DC45" i="1290"/>
  <c r="DB45" i="1290"/>
  <c r="DA45" i="1290"/>
  <c r="CZ45" i="1290"/>
  <c r="CY45" i="1290"/>
  <c r="CX45" i="1290"/>
  <c r="CW45" i="1290"/>
  <c r="CV45" i="1290"/>
  <c r="CU45" i="1290"/>
  <c r="CT45" i="1290"/>
  <c r="CS45" i="1290"/>
  <c r="CR45" i="1290"/>
  <c r="CQ45" i="1290"/>
  <c r="CP45" i="1290"/>
  <c r="CO45" i="1290"/>
  <c r="CN45" i="1290"/>
  <c r="CM45" i="1290"/>
  <c r="CL45" i="1290"/>
  <c r="CK45" i="1290"/>
  <c r="CJ45" i="1290"/>
  <c r="CI45" i="1290"/>
  <c r="CH45" i="1290"/>
  <c r="CG45" i="1290"/>
  <c r="CF45" i="1290"/>
  <c r="CE45" i="1290"/>
  <c r="CD45" i="1290"/>
  <c r="CB45" i="1290"/>
  <c r="BZ45" i="1290"/>
  <c r="BY45" i="1290"/>
  <c r="BX45" i="1290"/>
  <c r="BW45" i="1290"/>
  <c r="BV45" i="1290"/>
  <c r="BU45" i="1290"/>
  <c r="BT45" i="1290"/>
  <c r="BS45" i="1290"/>
  <c r="BR45" i="1290"/>
  <c r="BQ45" i="1290"/>
  <c r="BP45" i="1290"/>
  <c r="BO45" i="1290"/>
  <c r="BN45" i="1290"/>
  <c r="BM45" i="1290"/>
  <c r="BL45" i="1290"/>
  <c r="BK45" i="1290"/>
  <c r="BJ45" i="1290"/>
  <c r="BI45" i="1290"/>
  <c r="BH45" i="1290"/>
  <c r="BG45" i="1290"/>
  <c r="BF45" i="1290"/>
  <c r="BE45" i="1290"/>
  <c r="BD45" i="1290"/>
  <c r="BC45" i="1290"/>
  <c r="BB45" i="1290"/>
  <c r="BA45" i="1290"/>
  <c r="AZ45" i="1290"/>
  <c r="AY45" i="1290"/>
  <c r="AX45" i="1290"/>
  <c r="AW45" i="1290"/>
  <c r="AV45" i="1290"/>
  <c r="AU45" i="1290"/>
  <c r="AT45" i="1290"/>
  <c r="AS45" i="1290"/>
  <c r="AR45" i="1290"/>
  <c r="AQ45" i="1290"/>
  <c r="AP45" i="1290"/>
  <c r="AO45" i="1290"/>
  <c r="AN45" i="1290"/>
  <c r="AM45" i="1290"/>
  <c r="AL45" i="1290"/>
  <c r="AK45" i="1290"/>
  <c r="AJ45" i="1290"/>
  <c r="AI45" i="1290"/>
  <c r="AH45" i="1290"/>
  <c r="AG45" i="1290"/>
  <c r="AF45" i="1290"/>
  <c r="AE45" i="1290"/>
  <c r="AD45" i="1290"/>
  <c r="AC45" i="1290"/>
  <c r="E45" i="1290"/>
  <c r="F45" i="1290"/>
  <c r="G45" i="1290"/>
  <c r="H45" i="1290"/>
  <c r="I45" i="1290"/>
  <c r="J45" i="1290"/>
  <c r="K45" i="1290"/>
  <c r="L45" i="1290"/>
  <c r="M45" i="1290"/>
  <c r="N45" i="1290"/>
  <c r="O45" i="1290"/>
  <c r="P45" i="1290"/>
  <c r="Q45" i="1290"/>
  <c r="R45" i="1290"/>
  <c r="S45" i="1290"/>
  <c r="T45" i="1290"/>
  <c r="U45" i="1290"/>
  <c r="V45" i="1290"/>
  <c r="W45" i="1290"/>
  <c r="X45" i="1290"/>
  <c r="Y45" i="1290"/>
  <c r="Z45" i="1290"/>
  <c r="AA45" i="1290"/>
  <c r="DD46" i="1290"/>
  <c r="DB46" i="1290"/>
  <c r="AA46" i="1290"/>
  <c r="AC46" i="1290"/>
  <c r="CZ46" i="1290"/>
  <c r="CY46" i="1290"/>
  <c r="CX46" i="1290"/>
  <c r="CW46" i="1290"/>
  <c r="CV46" i="1290"/>
  <c r="CU46" i="1290"/>
  <c r="CT46" i="1290"/>
  <c r="CS46" i="1290"/>
  <c r="CR46" i="1290"/>
  <c r="CQ46" i="1290"/>
  <c r="CP46" i="1290"/>
  <c r="CO46" i="1290"/>
  <c r="CN46" i="1290"/>
  <c r="CM46" i="1290"/>
  <c r="CL46" i="1290"/>
  <c r="CK46" i="1290"/>
  <c r="CJ46" i="1290"/>
  <c r="CI46" i="1290"/>
  <c r="CH46" i="1290"/>
  <c r="CG46" i="1290"/>
  <c r="CF46" i="1290"/>
  <c r="CE46" i="1290"/>
  <c r="CD46" i="1290"/>
  <c r="CC46" i="1290"/>
  <c r="CB46" i="1290"/>
  <c r="CA46" i="1290"/>
  <c r="BZ46" i="1290"/>
  <c r="BY46" i="1290"/>
  <c r="BX46" i="1290"/>
  <c r="BW46" i="1290"/>
  <c r="BV46" i="1290"/>
  <c r="BU46" i="1290"/>
  <c r="BT46" i="1290"/>
  <c r="BS46" i="1290"/>
  <c r="BR46" i="1290"/>
  <c r="BQ46" i="1290"/>
  <c r="BP46" i="1290"/>
  <c r="BO46" i="1290"/>
  <c r="BN46" i="1290"/>
  <c r="BM46" i="1290"/>
  <c r="BL46" i="1290"/>
  <c r="BK46" i="1290"/>
  <c r="BJ46" i="1290"/>
  <c r="BI46" i="1290"/>
  <c r="BH46" i="1290"/>
  <c r="BG46" i="1290"/>
  <c r="BF46" i="1290"/>
  <c r="BB46" i="1290"/>
  <c r="BE46" i="1290"/>
  <c r="BD46" i="1290"/>
  <c r="DE46" i="1290"/>
  <c r="BC46" i="1290"/>
  <c r="BA46" i="1290"/>
  <c r="AZ46" i="1290"/>
  <c r="AY46" i="1290"/>
  <c r="AX46" i="1290"/>
  <c r="AW46" i="1290"/>
  <c r="AV46" i="1290"/>
  <c r="AU46" i="1290"/>
  <c r="AT46" i="1290"/>
  <c r="AS46" i="1290"/>
  <c r="AR46" i="1290"/>
  <c r="AQ46" i="1290"/>
  <c r="AP46" i="1290"/>
  <c r="AO46" i="1290"/>
  <c r="AN46" i="1290"/>
  <c r="AM46" i="1290"/>
  <c r="AL46" i="1290"/>
  <c r="AK46" i="1290"/>
  <c r="AJ46" i="1290"/>
  <c r="AI46" i="1290"/>
  <c r="AH46" i="1290"/>
  <c r="AG46" i="1290"/>
  <c r="AF46" i="1290"/>
  <c r="AE46" i="1290"/>
  <c r="AD46" i="1290"/>
  <c r="DA46" i="1290"/>
  <c r="AB46" i="1290"/>
  <c r="E46" i="1290"/>
  <c r="F46" i="1290"/>
  <c r="G46" i="1290"/>
  <c r="H46" i="1290"/>
  <c r="I46" i="1290"/>
  <c r="J46" i="1290"/>
  <c r="K46" i="1290"/>
  <c r="L46" i="1290"/>
  <c r="M46" i="1290"/>
  <c r="N46" i="1290"/>
  <c r="O46" i="1290"/>
  <c r="P46" i="1290"/>
  <c r="Q46" i="1290"/>
  <c r="R46" i="1290"/>
  <c r="S46" i="1290"/>
  <c r="T46" i="1290"/>
  <c r="U46" i="1290"/>
  <c r="V46" i="1290"/>
  <c r="W46" i="1290"/>
  <c r="X46" i="1290"/>
  <c r="Y46" i="1290"/>
  <c r="Z46" i="1290"/>
  <c r="DC46" i="1290"/>
  <c r="BB47" i="1290"/>
  <c r="AU47" i="1290"/>
  <c r="BL47" i="1290"/>
  <c r="BK47" i="1290"/>
  <c r="BJ47" i="1290"/>
  <c r="BI47" i="1290"/>
  <c r="BH47" i="1290"/>
  <c r="BG47" i="1290"/>
  <c r="BE47" i="1290"/>
  <c r="BD47" i="1290"/>
  <c r="AY47" i="1290"/>
  <c r="AV47" i="1290"/>
  <c r="AR47" i="1290"/>
  <c r="AQ47" i="1290"/>
  <c r="AO47" i="1290"/>
  <c r="AM47" i="1290"/>
  <c r="AK47" i="1290"/>
  <c r="AJ47" i="1290"/>
  <c r="AH47" i="1290"/>
  <c r="Y47" i="1290"/>
  <c r="S47" i="1290"/>
  <c r="J47" i="1290"/>
  <c r="I47" i="1290"/>
  <c r="H47" i="1290"/>
  <c r="G47" i="1290"/>
  <c r="F47" i="1290"/>
  <c r="V47" i="1290"/>
  <c r="AS47" i="1290"/>
  <c r="AN47" i="1290"/>
  <c r="X47" i="1290"/>
  <c r="AG47" i="1290"/>
  <c r="BF47" i="1290"/>
  <c r="AL47" i="1290"/>
  <c r="AE47" i="1290"/>
  <c r="AD47" i="1290"/>
  <c r="AC47" i="1290"/>
  <c r="Z47" i="1290"/>
  <c r="W47" i="1290"/>
  <c r="K47" i="1290"/>
  <c r="L47" i="1290"/>
  <c r="N47" i="1290"/>
  <c r="P47" i="1290"/>
  <c r="U47" i="1290"/>
  <c r="AB47" i="1290"/>
  <c r="AF47" i="1290"/>
  <c r="AI47" i="1290"/>
  <c r="AP47" i="1290"/>
  <c r="AT47" i="1290"/>
  <c r="AW47" i="1290"/>
  <c r="AX47" i="1290"/>
  <c r="AZ47" i="1290"/>
  <c r="E47" i="1290"/>
  <c r="BA47" i="1290"/>
  <c r="BC47" i="1290"/>
  <c r="T47" i="1290"/>
  <c r="R47" i="1290"/>
  <c r="Q47" i="1290"/>
  <c r="O47" i="1290"/>
  <c r="M47" i="1290"/>
  <c r="AA47" i="1290"/>
  <c r="DE47" i="1290"/>
  <c r="DD47" i="1290"/>
  <c r="DC47" i="1290"/>
  <c r="DB47" i="1290"/>
  <c r="DA47" i="1290"/>
  <c r="CZ47" i="1290"/>
  <c r="CY47" i="1290"/>
  <c r="CX47" i="1290"/>
  <c r="CW47" i="1290"/>
  <c r="CV47" i="1290"/>
  <c r="CU47" i="1290"/>
  <c r="CT47" i="1290"/>
  <c r="CS47" i="1290"/>
  <c r="CR47" i="1290"/>
  <c r="CQ47" i="1290"/>
  <c r="CP47" i="1290"/>
  <c r="CO47" i="1290"/>
  <c r="CN47" i="1290"/>
  <c r="CM47" i="1290"/>
  <c r="CL47" i="1290"/>
  <c r="CK47" i="1290"/>
  <c r="CJ47" i="1290"/>
  <c r="CI47" i="1290"/>
  <c r="CH47" i="1290"/>
  <c r="CG47" i="1290"/>
  <c r="CF47" i="1290"/>
  <c r="CE47" i="1290"/>
  <c r="CD47" i="1290"/>
  <c r="CC47" i="1290"/>
  <c r="CB47" i="1290"/>
  <c r="CA47" i="1290"/>
  <c r="BZ47" i="1290"/>
  <c r="BY47" i="1290"/>
  <c r="BX47" i="1290"/>
  <c r="BW47" i="1290"/>
  <c r="BV47" i="1290"/>
  <c r="BU47" i="1290"/>
  <c r="BT47" i="1290"/>
  <c r="BS47" i="1290"/>
  <c r="BR47" i="1290"/>
  <c r="BQ47" i="1290"/>
  <c r="BP47" i="1290"/>
  <c r="BO47" i="1290"/>
  <c r="BN47" i="1290"/>
  <c r="BM47" i="1290"/>
  <c r="DC48" i="1290"/>
  <c r="DA48" i="1290"/>
  <c r="CX48" i="1290"/>
  <c r="CV48" i="1290"/>
  <c r="CZ48" i="1290"/>
  <c r="DB48" i="1290"/>
  <c r="DD48" i="1290"/>
  <c r="DE48" i="1290"/>
  <c r="CU48" i="1290"/>
  <c r="CT48" i="1290"/>
  <c r="CS48" i="1290"/>
  <c r="CR48" i="1290"/>
  <c r="CQ48" i="1290"/>
  <c r="CP48" i="1290"/>
  <c r="CO48" i="1290"/>
  <c r="CN48" i="1290"/>
  <c r="CM48" i="1290"/>
  <c r="CL48" i="1290"/>
  <c r="CK48" i="1290"/>
  <c r="CJ48" i="1290"/>
  <c r="CI48" i="1290"/>
  <c r="CH48" i="1290"/>
  <c r="CG48" i="1290"/>
  <c r="CF48" i="1290"/>
  <c r="CE48" i="1290"/>
  <c r="CD48" i="1290"/>
  <c r="CC48" i="1290"/>
  <c r="CB48" i="1290"/>
  <c r="CA48" i="1290"/>
  <c r="BZ48" i="1290"/>
  <c r="BY48" i="1290"/>
  <c r="BX48" i="1290"/>
  <c r="BW48" i="1290"/>
  <c r="BV48" i="1290"/>
  <c r="BU48" i="1290"/>
  <c r="BT48" i="1290"/>
  <c r="BS48" i="1290"/>
  <c r="BR48" i="1290"/>
  <c r="BQ48" i="1290"/>
  <c r="BP48" i="1290"/>
  <c r="BO48" i="1290"/>
  <c r="BN48" i="1290"/>
  <c r="BM48" i="1290"/>
  <c r="BL48" i="1290"/>
  <c r="BK48" i="1290"/>
  <c r="BJ48" i="1290"/>
  <c r="BI48" i="1290"/>
  <c r="BH48" i="1290"/>
  <c r="BG48" i="1290"/>
  <c r="BF48" i="1290"/>
  <c r="BE48" i="1290"/>
  <c r="BD48" i="1290"/>
  <c r="BC48" i="1290"/>
  <c r="BB48" i="1290"/>
  <c r="BA48" i="1290"/>
  <c r="AZ48" i="1290"/>
  <c r="AY48" i="1290"/>
  <c r="AX48" i="1290"/>
  <c r="AW48" i="1290"/>
  <c r="AV48" i="1290"/>
  <c r="AU48" i="1290"/>
  <c r="AT48" i="1290"/>
  <c r="AS48" i="1290"/>
  <c r="AR48" i="1290"/>
  <c r="AQ48" i="1290"/>
  <c r="AP48" i="1290"/>
  <c r="AO48" i="1290"/>
  <c r="AN48" i="1290"/>
  <c r="AM48" i="1290"/>
  <c r="AL48" i="1290"/>
  <c r="AK48" i="1290"/>
  <c r="AJ48" i="1290"/>
  <c r="E48" i="1290"/>
  <c r="F48" i="1290"/>
  <c r="G48" i="1290"/>
  <c r="H48" i="1290"/>
  <c r="I48" i="1290"/>
  <c r="J48" i="1290"/>
  <c r="K48" i="1290"/>
  <c r="L48" i="1290"/>
  <c r="M48" i="1290"/>
  <c r="N48" i="1290"/>
  <c r="O48" i="1290"/>
  <c r="P48" i="1290"/>
  <c r="Q48" i="1290"/>
  <c r="AI48" i="1290"/>
  <c r="AH48" i="1290"/>
  <c r="AG48" i="1290"/>
  <c r="AF48" i="1290"/>
  <c r="AE48" i="1290"/>
  <c r="AD48" i="1290"/>
  <c r="AC48" i="1290"/>
  <c r="AB48" i="1290"/>
  <c r="AA48" i="1290"/>
  <c r="Z48" i="1290"/>
  <c r="Y48" i="1290"/>
  <c r="X48" i="1290"/>
  <c r="W48" i="1290"/>
  <c r="V48" i="1290"/>
  <c r="U48" i="1290"/>
  <c r="T48" i="1290"/>
  <c r="S48" i="1290"/>
  <c r="R48" i="1290"/>
  <c r="CY48" i="1290"/>
  <c r="CW48" i="1290"/>
  <c r="K49" i="1290"/>
  <c r="I49" i="1290"/>
  <c r="E49" i="1290"/>
  <c r="CO49" i="1290"/>
  <c r="M49" i="1290"/>
  <c r="F49" i="1290"/>
  <c r="N49" i="1290"/>
  <c r="O49" i="1290"/>
  <c r="Q49" i="1290"/>
  <c r="R49" i="1290"/>
  <c r="X49" i="1290"/>
  <c r="Z49" i="1290"/>
  <c r="AB49" i="1290"/>
  <c r="AH49" i="1290"/>
  <c r="AJ49" i="1290"/>
  <c r="AL49" i="1290"/>
  <c r="AM49" i="1290"/>
  <c r="AQ49" i="1290"/>
  <c r="AS49" i="1290"/>
  <c r="AT49" i="1290"/>
  <c r="AV49" i="1290"/>
  <c r="AX49" i="1290"/>
  <c r="AY49" i="1290"/>
  <c r="AZ49" i="1290"/>
  <c r="J49" i="1290"/>
  <c r="L49" i="1290"/>
  <c r="P49" i="1290"/>
  <c r="S49" i="1290"/>
  <c r="T49" i="1290"/>
  <c r="U49" i="1290"/>
  <c r="V49" i="1290"/>
  <c r="W49" i="1290"/>
  <c r="Y49" i="1290"/>
  <c r="AA49" i="1290"/>
  <c r="AC49" i="1290"/>
  <c r="AE49" i="1290"/>
  <c r="AF49" i="1290"/>
  <c r="AG49" i="1290"/>
  <c r="AI49" i="1290"/>
  <c r="AK49" i="1290"/>
  <c r="AN49" i="1290"/>
  <c r="AO49" i="1290"/>
  <c r="AP49" i="1290"/>
  <c r="AR49" i="1290"/>
  <c r="AW49" i="1290"/>
  <c r="BA49" i="1290"/>
  <c r="BD49" i="1290"/>
  <c r="BF49" i="1290"/>
  <c r="BI49" i="1290"/>
  <c r="BJ49" i="1290"/>
  <c r="BN49" i="1290"/>
  <c r="BP49" i="1290"/>
  <c r="BU49" i="1290"/>
  <c r="BV49" i="1290"/>
  <c r="BX49" i="1290"/>
  <c r="BY49" i="1290"/>
  <c r="CD49" i="1290"/>
  <c r="CE49" i="1290"/>
  <c r="CF49" i="1290"/>
  <c r="CG49" i="1290"/>
  <c r="CH49" i="1290"/>
  <c r="CI49" i="1290"/>
  <c r="CJ49" i="1290"/>
  <c r="CK49" i="1290"/>
  <c r="CM49" i="1290"/>
  <c r="CN49" i="1290"/>
  <c r="CP49" i="1290"/>
  <c r="CS49" i="1290"/>
  <c r="CW49" i="1290"/>
  <c r="CZ49" i="1290"/>
  <c r="CV49" i="1290"/>
  <c r="CU49" i="1290"/>
  <c r="CT49" i="1290"/>
  <c r="CR49" i="1290"/>
  <c r="CB49" i="1290"/>
  <c r="BW49" i="1290"/>
  <c r="BT49" i="1290"/>
  <c r="BS49" i="1290"/>
  <c r="BQ49" i="1290"/>
  <c r="BO49" i="1290"/>
  <c r="BM49" i="1290"/>
  <c r="BL49" i="1290"/>
  <c r="BH49" i="1290"/>
  <c r="BG49" i="1290"/>
  <c r="BE49" i="1290"/>
  <c r="BC49" i="1290"/>
  <c r="BB49" i="1290"/>
  <c r="DC49" i="1290"/>
  <c r="DB49" i="1290"/>
  <c r="CC49" i="1290"/>
  <c r="BZ49" i="1290"/>
  <c r="BR49" i="1290"/>
  <c r="BK49" i="1290"/>
  <c r="AU49" i="1290"/>
  <c r="DD49" i="1290"/>
  <c r="CY49" i="1290"/>
  <c r="CX49" i="1290"/>
  <c r="CL49" i="1290"/>
  <c r="G49" i="1290"/>
  <c r="DA49" i="1290"/>
  <c r="DE49" i="1290"/>
  <c r="AD49" i="1290"/>
  <c r="CQ49" i="1290"/>
  <c r="CA49" i="1290"/>
  <c r="H49" i="1290"/>
  <c r="AI50" i="1290"/>
  <c r="CQ50" i="1290"/>
  <c r="CZ50" i="1290"/>
  <c r="AO50" i="1290"/>
  <c r="AP50" i="1290"/>
  <c r="AU50" i="1290"/>
  <c r="BD50" i="1290"/>
  <c r="BG50" i="1290"/>
  <c r="BJ50" i="1290"/>
  <c r="BS50" i="1290"/>
  <c r="BU50" i="1290"/>
  <c r="BV50" i="1290"/>
  <c r="BY50" i="1290"/>
  <c r="BZ50" i="1290"/>
  <c r="CA50" i="1290"/>
  <c r="CJ50" i="1290"/>
  <c r="DD50" i="1290"/>
  <c r="DE50" i="1290"/>
  <c r="CX50" i="1290"/>
  <c r="CW50" i="1290"/>
  <c r="CU50" i="1290"/>
  <c r="CT50" i="1290"/>
  <c r="CS50" i="1290"/>
  <c r="CN50" i="1290"/>
  <c r="M50" i="1290"/>
  <c r="P50" i="1290"/>
  <c r="R50" i="1290"/>
  <c r="W50" i="1290"/>
  <c r="X50" i="1290"/>
  <c r="AF50" i="1290"/>
  <c r="AJ50" i="1290"/>
  <c r="AK50" i="1290"/>
  <c r="AL50" i="1290"/>
  <c r="AM50" i="1290"/>
  <c r="AS50" i="1290"/>
  <c r="AT50" i="1290"/>
  <c r="BF50" i="1290"/>
  <c r="BM50" i="1290"/>
  <c r="CF50" i="1290"/>
  <c r="CL50" i="1290"/>
  <c r="CE50" i="1290"/>
  <c r="CD50" i="1290"/>
  <c r="Z50" i="1290"/>
  <c r="CC50" i="1290"/>
  <c r="T50" i="1290"/>
  <c r="I50" i="1290"/>
  <c r="J50" i="1290"/>
  <c r="L50" i="1290"/>
  <c r="AN50" i="1290"/>
  <c r="BH50" i="1290"/>
  <c r="BI50" i="1290"/>
  <c r="BN50" i="1290"/>
  <c r="BP50" i="1290"/>
  <c r="CO50" i="1290"/>
  <c r="CP50" i="1290"/>
  <c r="CR50" i="1290"/>
  <c r="CV50" i="1290"/>
  <c r="DA50" i="1290"/>
  <c r="DB50" i="1290"/>
  <c r="DC50" i="1290"/>
  <c r="BR50" i="1290"/>
  <c r="BQ50" i="1290"/>
  <c r="BL50" i="1290"/>
  <c r="BC50" i="1290"/>
  <c r="BB50" i="1290"/>
  <c r="BA50" i="1290"/>
  <c r="AZ50" i="1290"/>
  <c r="AR50" i="1290"/>
  <c r="AE50" i="1290"/>
  <c r="AD50" i="1290"/>
  <c r="AC50" i="1290"/>
  <c r="AB50" i="1290"/>
  <c r="AA50" i="1290"/>
  <c r="Y50" i="1290"/>
  <c r="U50" i="1290"/>
  <c r="Q50" i="1290"/>
  <c r="O50" i="1290"/>
  <c r="N50" i="1290"/>
  <c r="K50" i="1290"/>
  <c r="F50" i="1290"/>
  <c r="E50" i="1290"/>
  <c r="AV50" i="1290"/>
  <c r="AY50" i="1290"/>
  <c r="BE50" i="1290"/>
  <c r="BT50" i="1290"/>
  <c r="V50" i="1290"/>
  <c r="BX50" i="1290"/>
  <c r="CB50" i="1290"/>
  <c r="CG50" i="1290"/>
  <c r="CH50" i="1290"/>
  <c r="CI50" i="1290"/>
  <c r="G50" i="1290"/>
  <c r="H50" i="1290"/>
  <c r="S50" i="1290"/>
  <c r="AG50" i="1290"/>
  <c r="AH50" i="1290"/>
  <c r="AQ50" i="1290"/>
  <c r="AW50" i="1290"/>
  <c r="AX50" i="1290"/>
  <c r="BK50" i="1290"/>
  <c r="BO50" i="1290"/>
  <c r="BW50" i="1290"/>
  <c r="CK50" i="1290"/>
  <c r="CM50" i="1290"/>
  <c r="CY50" i="1290"/>
  <c r="CR51" i="1290"/>
  <c r="BI51" i="1290"/>
  <c r="AD51" i="1290"/>
  <c r="AC51" i="1290"/>
  <c r="AB51" i="1290"/>
  <c r="AA51" i="1290"/>
  <c r="Z51" i="1290"/>
  <c r="X51" i="1290"/>
  <c r="H51" i="1290"/>
  <c r="AK51" i="1290"/>
  <c r="AM51" i="1290"/>
  <c r="AN51" i="1290"/>
  <c r="AR51" i="1290"/>
  <c r="AP51" i="1290"/>
  <c r="AL51" i="1290"/>
  <c r="AH51" i="1290"/>
  <c r="AE51" i="1290"/>
  <c r="Y51" i="1290"/>
  <c r="W51" i="1290"/>
  <c r="U51" i="1290"/>
  <c r="BS51" i="1290"/>
  <c r="BR51" i="1290"/>
  <c r="BQ51" i="1290"/>
  <c r="BP51" i="1290"/>
  <c r="G51" i="1290"/>
  <c r="BO51" i="1290"/>
  <c r="BN51" i="1290"/>
  <c r="BM51" i="1290"/>
  <c r="BL51" i="1290"/>
  <c r="BK51" i="1290"/>
  <c r="BT51" i="1290"/>
  <c r="BU51" i="1290"/>
  <c r="BV51" i="1290"/>
  <c r="BW51" i="1290"/>
  <c r="BX51" i="1290"/>
  <c r="BY51" i="1290"/>
  <c r="BZ51" i="1290"/>
  <c r="CA51" i="1290"/>
  <c r="CB51" i="1290"/>
  <c r="CC51" i="1290"/>
  <c r="CD51" i="1290"/>
  <c r="CE51" i="1290"/>
  <c r="CF51" i="1290"/>
  <c r="CG51" i="1290"/>
  <c r="CH51" i="1290"/>
  <c r="CI51" i="1290"/>
  <c r="CJ51" i="1290"/>
  <c r="CK51" i="1290"/>
  <c r="CL51" i="1290"/>
  <c r="CM51" i="1290"/>
  <c r="CN51" i="1290"/>
  <c r="CO51" i="1290"/>
  <c r="CQ51" i="1290"/>
  <c r="BJ51" i="1290"/>
  <c r="R51" i="1290"/>
  <c r="CS51" i="1290"/>
  <c r="CT51" i="1290"/>
  <c r="CU51" i="1290"/>
  <c r="CV51" i="1290"/>
  <c r="CW51" i="1290"/>
  <c r="CX51" i="1290"/>
  <c r="CY51" i="1290"/>
  <c r="CZ51" i="1290"/>
  <c r="DA51" i="1290"/>
  <c r="DB51" i="1290"/>
  <c r="DC51" i="1290"/>
  <c r="DD51" i="1290"/>
  <c r="DE51" i="1290"/>
  <c r="P51" i="1290"/>
  <c r="CP51" i="1290"/>
  <c r="E51" i="1290"/>
  <c r="F51" i="1290"/>
  <c r="K51" i="1290"/>
  <c r="L51" i="1290"/>
  <c r="M51" i="1290"/>
  <c r="T51" i="1290"/>
  <c r="Q51" i="1290"/>
  <c r="S51" i="1290"/>
  <c r="O51" i="1290"/>
  <c r="N51" i="1290"/>
  <c r="I51" i="1290"/>
  <c r="J51" i="1290"/>
  <c r="V51" i="1290"/>
  <c r="AF51" i="1290"/>
  <c r="AG51" i="1290"/>
  <c r="AJ51" i="1290"/>
  <c r="AO51" i="1290"/>
  <c r="AQ51" i="1290"/>
  <c r="AS51" i="1290"/>
  <c r="AT51" i="1290"/>
  <c r="AU51" i="1290"/>
  <c r="AV51" i="1290"/>
  <c r="AW51" i="1290"/>
  <c r="AX51" i="1290"/>
  <c r="AY51" i="1290"/>
  <c r="AZ51" i="1290"/>
  <c r="BA51" i="1290"/>
  <c r="BB51" i="1290"/>
  <c r="BC51" i="1290"/>
  <c r="BD51" i="1290"/>
  <c r="BE51" i="1290"/>
  <c r="BF51" i="1290"/>
  <c r="BG51" i="1290"/>
  <c r="BH51" i="1290"/>
  <c r="AI51" i="1290"/>
  <c r="AP52" i="1290"/>
  <c r="CD52" i="1290"/>
  <c r="AR52" i="1290"/>
  <c r="AS52" i="1290"/>
  <c r="AT52" i="1290"/>
  <c r="AU52" i="1290"/>
  <c r="AV52" i="1290"/>
  <c r="AW52" i="1290"/>
  <c r="AX52" i="1290"/>
  <c r="AY52" i="1290"/>
  <c r="AZ52" i="1290"/>
  <c r="BA52" i="1290"/>
  <c r="BB52" i="1290"/>
  <c r="BC52" i="1290"/>
  <c r="BD52" i="1290"/>
  <c r="BE52" i="1290"/>
  <c r="BF52" i="1290"/>
  <c r="BG52" i="1290"/>
  <c r="BH52" i="1290"/>
  <c r="BI52" i="1290"/>
  <c r="BJ52" i="1290"/>
  <c r="BK52" i="1290"/>
  <c r="BL52" i="1290"/>
  <c r="BM52" i="1290"/>
  <c r="BN52" i="1290"/>
  <c r="BO52" i="1290"/>
  <c r="BP52" i="1290"/>
  <c r="AO52" i="1290"/>
  <c r="AN52" i="1290"/>
  <c r="AM52" i="1290"/>
  <c r="AL52" i="1290"/>
  <c r="AK52" i="1290"/>
  <c r="AJ52" i="1290"/>
  <c r="AI52" i="1290"/>
  <c r="AH52" i="1290"/>
  <c r="AG52" i="1290"/>
  <c r="AF52" i="1290"/>
  <c r="AE52" i="1290"/>
  <c r="AD52" i="1290"/>
  <c r="AC52" i="1290"/>
  <c r="AB52" i="1290"/>
  <c r="AA52" i="1290"/>
  <c r="Z52" i="1290"/>
  <c r="Y52" i="1290"/>
  <c r="X52" i="1290"/>
  <c r="W52" i="1290"/>
  <c r="V52" i="1290"/>
  <c r="U52" i="1290"/>
  <c r="T52" i="1290"/>
  <c r="S52" i="1290"/>
  <c r="R52" i="1290"/>
  <c r="Q52" i="1290"/>
  <c r="P52" i="1290"/>
  <c r="O52" i="1290"/>
  <c r="N52" i="1290"/>
  <c r="M52" i="1290"/>
  <c r="L52" i="1290"/>
  <c r="K52" i="1290"/>
  <c r="J52" i="1290"/>
  <c r="I52" i="1290"/>
  <c r="H52" i="1290"/>
  <c r="G52" i="1290"/>
  <c r="F52" i="1290"/>
  <c r="E52" i="1290"/>
  <c r="CB52" i="1290"/>
  <c r="CI52" i="1290"/>
  <c r="CC52" i="1290"/>
  <c r="BZ52" i="1290"/>
  <c r="BX52" i="1290"/>
  <c r="BV52" i="1290"/>
  <c r="BS52" i="1290"/>
  <c r="BQ52" i="1290"/>
  <c r="BR52" i="1290"/>
  <c r="BT52" i="1290"/>
  <c r="BU52" i="1290"/>
  <c r="BW52" i="1290"/>
  <c r="BY52" i="1290"/>
  <c r="CA52" i="1290"/>
  <c r="DE52" i="1290"/>
  <c r="DD52" i="1290"/>
  <c r="DC52" i="1290"/>
  <c r="DB52" i="1290"/>
  <c r="DA52" i="1290"/>
  <c r="CZ52" i="1290"/>
  <c r="CY52" i="1290"/>
  <c r="CX52" i="1290"/>
  <c r="CW52" i="1290"/>
  <c r="CV52" i="1290"/>
  <c r="CU52" i="1290"/>
  <c r="CT52" i="1290"/>
  <c r="CS52" i="1290"/>
  <c r="CR52" i="1290"/>
  <c r="CQ52" i="1290"/>
  <c r="CP52" i="1290"/>
  <c r="CO52" i="1290"/>
  <c r="CN52" i="1290"/>
  <c r="CM52" i="1290"/>
  <c r="CL52" i="1290"/>
  <c r="CK52" i="1290"/>
  <c r="CJ52" i="1290"/>
  <c r="CH52" i="1290"/>
  <c r="CG52" i="1290"/>
  <c r="CF52" i="1290"/>
  <c r="CE52" i="1290"/>
  <c r="AQ52" i="1290"/>
  <c r="AD53" i="1290"/>
  <c r="DE53" i="1290"/>
  <c r="F53" i="1290"/>
  <c r="G53" i="1290"/>
  <c r="H53" i="1290"/>
  <c r="I53" i="1290"/>
  <c r="J53" i="1290"/>
  <c r="K53" i="1290"/>
  <c r="L53" i="1290"/>
  <c r="M53" i="1290"/>
  <c r="N53" i="1290"/>
  <c r="O53" i="1290"/>
  <c r="P53" i="1290"/>
  <c r="Q53" i="1290"/>
  <c r="R53" i="1290"/>
  <c r="S53" i="1290"/>
  <c r="T53" i="1290"/>
  <c r="U53" i="1290"/>
  <c r="V53" i="1290"/>
  <c r="W53" i="1290"/>
  <c r="X53" i="1290"/>
  <c r="Y53" i="1290"/>
  <c r="Z53" i="1290"/>
  <c r="AA53" i="1290"/>
  <c r="AB53" i="1290"/>
  <c r="AC53" i="1290"/>
  <c r="AE53" i="1290"/>
  <c r="AF53" i="1290"/>
  <c r="AG53" i="1290"/>
  <c r="AH53" i="1290"/>
  <c r="AI53" i="1290"/>
  <c r="AJ53" i="1290"/>
  <c r="AK53" i="1290"/>
  <c r="AL53" i="1290"/>
  <c r="AM53" i="1290"/>
  <c r="AN53" i="1290"/>
  <c r="AO53" i="1290"/>
  <c r="AP53" i="1290"/>
  <c r="AQ53" i="1290"/>
  <c r="AR53" i="1290"/>
  <c r="AS53" i="1290"/>
  <c r="AT53" i="1290"/>
  <c r="AU53" i="1290"/>
  <c r="AV53" i="1290"/>
  <c r="AW53" i="1290"/>
  <c r="AX53" i="1290"/>
  <c r="AY53" i="1290"/>
  <c r="AZ53" i="1290"/>
  <c r="BA53" i="1290"/>
  <c r="BB53" i="1290"/>
  <c r="BC53" i="1290"/>
  <c r="BD53" i="1290"/>
  <c r="BE53" i="1290"/>
  <c r="BF53" i="1290"/>
  <c r="BG53" i="1290"/>
  <c r="BH53" i="1290"/>
  <c r="BI53" i="1290"/>
  <c r="BJ53" i="1290"/>
  <c r="BK53" i="1290"/>
  <c r="BL53" i="1290"/>
  <c r="BM53" i="1290"/>
  <c r="BN53" i="1290"/>
  <c r="BO53" i="1290"/>
  <c r="BP53" i="1290"/>
  <c r="BQ53" i="1290"/>
  <c r="BR53" i="1290"/>
  <c r="BS53" i="1290"/>
  <c r="BT53" i="1290"/>
  <c r="BU53" i="1290"/>
  <c r="BV53" i="1290"/>
  <c r="BW53" i="1290"/>
  <c r="BX53" i="1290"/>
  <c r="BY53" i="1290"/>
  <c r="BZ53" i="1290"/>
  <c r="CA53" i="1290"/>
  <c r="CB53" i="1290"/>
  <c r="CC53" i="1290"/>
  <c r="CD53" i="1290"/>
  <c r="CE53" i="1290"/>
  <c r="CF53" i="1290"/>
  <c r="CG53" i="1290"/>
  <c r="CH53" i="1290"/>
  <c r="CI53" i="1290"/>
  <c r="CJ53" i="1290"/>
  <c r="CK53" i="1290"/>
  <c r="CL53" i="1290"/>
  <c r="CM53" i="1290"/>
  <c r="CN53" i="1290"/>
  <c r="CO53" i="1290"/>
  <c r="CP53" i="1290"/>
  <c r="CQ53" i="1290"/>
  <c r="CR53" i="1290"/>
  <c r="CS53" i="1290"/>
  <c r="CT53" i="1290"/>
  <c r="CU53" i="1290"/>
  <c r="CV53" i="1290"/>
  <c r="CW53" i="1290"/>
  <c r="CX53" i="1290"/>
  <c r="CY53" i="1290"/>
  <c r="CZ53" i="1290"/>
  <c r="DA53" i="1290"/>
  <c r="DB53" i="1290"/>
  <c r="DC53" i="1290"/>
  <c r="DD53" i="1290"/>
  <c r="E53" i="1290"/>
  <c r="BF54" i="1290"/>
  <c r="F54" i="1290"/>
  <c r="G54" i="1290"/>
  <c r="H54" i="1290"/>
  <c r="I54" i="1290"/>
  <c r="J54" i="1290"/>
  <c r="K54" i="1290"/>
  <c r="L54" i="1290"/>
  <c r="M54" i="1290"/>
  <c r="N54" i="1290"/>
  <c r="O54" i="1290"/>
  <c r="P54" i="1290"/>
  <c r="Q54" i="1290"/>
  <c r="R54" i="1290"/>
  <c r="S54" i="1290"/>
  <c r="T54" i="1290"/>
  <c r="U54" i="1290"/>
  <c r="V54" i="1290"/>
  <c r="W54" i="1290"/>
  <c r="X54" i="1290"/>
  <c r="Y54" i="1290"/>
  <c r="Z54" i="1290"/>
  <c r="AA54" i="1290"/>
  <c r="AB54" i="1290"/>
  <c r="AC54" i="1290"/>
  <c r="AD54" i="1290"/>
  <c r="AE54" i="1290"/>
  <c r="AF54" i="1290"/>
  <c r="AG54" i="1290"/>
  <c r="AH54" i="1290"/>
  <c r="AI54" i="1290"/>
  <c r="AJ54" i="1290"/>
  <c r="AK54" i="1290"/>
  <c r="AL54" i="1290"/>
  <c r="AM54" i="1290"/>
  <c r="AN54" i="1290"/>
  <c r="AO54" i="1290"/>
  <c r="AP54" i="1290"/>
  <c r="AQ54" i="1290"/>
  <c r="AR54" i="1290"/>
  <c r="AS54" i="1290"/>
  <c r="AT54" i="1290"/>
  <c r="AU54" i="1290"/>
  <c r="AV54" i="1290"/>
  <c r="AW54" i="1290"/>
  <c r="AX54" i="1290"/>
  <c r="AY54" i="1290"/>
  <c r="AZ54" i="1290"/>
  <c r="BA54" i="1290"/>
  <c r="BB54" i="1290"/>
  <c r="BC54" i="1290"/>
  <c r="BD54" i="1290"/>
  <c r="BE54" i="1290"/>
  <c r="E54" i="1290"/>
  <c r="BG54" i="1290"/>
  <c r="BH54" i="1290"/>
  <c r="BI54" i="1290"/>
  <c r="BJ54" i="1290"/>
  <c r="BK54" i="1290"/>
  <c r="BL54" i="1290"/>
  <c r="BM54" i="1290"/>
  <c r="BN54" i="1290"/>
  <c r="BO54" i="1290"/>
  <c r="BP54" i="1290"/>
  <c r="BQ54" i="1290"/>
  <c r="BR54" i="1290"/>
  <c r="BS54" i="1290"/>
  <c r="BT54" i="1290"/>
  <c r="BU54" i="1290"/>
  <c r="BV54" i="1290"/>
  <c r="BW54" i="1290"/>
  <c r="BX54" i="1290"/>
  <c r="BY54" i="1290"/>
  <c r="BZ54" i="1290"/>
  <c r="CA54" i="1290"/>
  <c r="CB54" i="1290"/>
  <c r="CC54" i="1290"/>
  <c r="CD54" i="1290"/>
  <c r="CE54" i="1290"/>
  <c r="CF54" i="1290"/>
  <c r="CG54" i="1290"/>
  <c r="CH54" i="1290"/>
  <c r="CI54" i="1290"/>
  <c r="CJ54" i="1290"/>
  <c r="CK54" i="1290"/>
  <c r="CL54" i="1290"/>
  <c r="CM54" i="1290"/>
  <c r="CN54" i="1290"/>
  <c r="CO54" i="1290"/>
  <c r="CP54" i="1290"/>
  <c r="CQ54" i="1290"/>
  <c r="CR54" i="1290"/>
  <c r="CS54" i="1290"/>
  <c r="CT54" i="1290"/>
  <c r="CU54" i="1290"/>
  <c r="CV54" i="1290"/>
  <c r="CW54" i="1290"/>
  <c r="CX54" i="1290"/>
  <c r="CY54" i="1290"/>
  <c r="CZ54" i="1290"/>
  <c r="DA54" i="1290"/>
  <c r="DB54" i="1290"/>
  <c r="DC54" i="1290"/>
  <c r="DD54" i="1290"/>
  <c r="DE54" i="1290"/>
  <c r="E55" i="1290"/>
  <c r="F55" i="1290"/>
  <c r="G55" i="1290"/>
  <c r="H55" i="1290"/>
  <c r="I55" i="1290"/>
  <c r="J55" i="1290"/>
  <c r="K55" i="1290"/>
  <c r="L55" i="1290"/>
  <c r="M55" i="1290"/>
  <c r="N55" i="1290"/>
  <c r="O55" i="1290"/>
  <c r="P55" i="1290"/>
  <c r="Q55" i="1290"/>
  <c r="R55" i="1290"/>
  <c r="S55" i="1290"/>
  <c r="T55" i="1290"/>
  <c r="U55" i="1290"/>
  <c r="V55" i="1290"/>
  <c r="W55" i="1290"/>
  <c r="X55" i="1290"/>
  <c r="Y55" i="1290"/>
  <c r="Z55" i="1290"/>
  <c r="AA55" i="1290"/>
  <c r="AB55" i="1290"/>
  <c r="AC55" i="1290"/>
  <c r="AD55" i="1290"/>
  <c r="AE55" i="1290"/>
  <c r="AF55" i="1290"/>
  <c r="AG55" i="1290"/>
  <c r="AH55" i="1290"/>
  <c r="AI55" i="1290"/>
  <c r="AJ55" i="1290"/>
  <c r="AK55" i="1290"/>
  <c r="AL55" i="1290"/>
  <c r="AM55" i="1290"/>
  <c r="AN55" i="1290"/>
  <c r="AO55" i="1290"/>
  <c r="AP55" i="1290"/>
  <c r="AQ55" i="1290"/>
  <c r="AR55" i="1290"/>
  <c r="AS55" i="1290"/>
  <c r="AT55" i="1290"/>
  <c r="AU55" i="1290"/>
  <c r="AV55" i="1290"/>
  <c r="AW55" i="1290"/>
  <c r="AX55" i="1290"/>
  <c r="AY55" i="1290"/>
  <c r="AZ55" i="1290"/>
  <c r="BA55" i="1290"/>
  <c r="BB55" i="1290"/>
  <c r="BC55" i="1290"/>
  <c r="BD55" i="1290"/>
  <c r="BE55" i="1290"/>
  <c r="BF55" i="1290"/>
  <c r="BG55" i="1290"/>
  <c r="BH55" i="1290"/>
  <c r="BI55" i="1290"/>
  <c r="BJ55" i="1290"/>
  <c r="BK55" i="1290"/>
  <c r="BL55" i="1290"/>
  <c r="BM55" i="1290"/>
  <c r="BN55" i="1290"/>
  <c r="BO55" i="1290"/>
  <c r="BP55" i="1290"/>
  <c r="BQ55" i="1290"/>
  <c r="BR55" i="1290"/>
  <c r="BS55" i="1290"/>
  <c r="BT55" i="1290"/>
  <c r="BU55" i="1290"/>
  <c r="BV55" i="1290"/>
  <c r="BW55" i="1290"/>
  <c r="BX55" i="1290"/>
  <c r="BY55" i="1290"/>
  <c r="BZ55" i="1290"/>
  <c r="CA55" i="1290"/>
  <c r="CB55" i="1290"/>
  <c r="CC55" i="1290"/>
  <c r="CD55" i="1290"/>
  <c r="CE55" i="1290"/>
  <c r="CF55" i="1290"/>
  <c r="CG55" i="1290"/>
  <c r="CH55" i="1290"/>
  <c r="CI55" i="1290"/>
  <c r="CJ55" i="1290"/>
  <c r="CK55" i="1290"/>
  <c r="CL55" i="1290"/>
  <c r="CM55" i="1290"/>
  <c r="CN55" i="1290"/>
  <c r="CO55" i="1290"/>
  <c r="CP55" i="1290"/>
  <c r="CQ55" i="1290"/>
  <c r="CR55" i="1290"/>
  <c r="CS55" i="1290"/>
  <c r="CT55" i="1290"/>
  <c r="CU55" i="1290"/>
  <c r="CV55" i="1290"/>
  <c r="CW55" i="1290"/>
  <c r="CX55" i="1290"/>
  <c r="CY55" i="1290"/>
  <c r="CZ55" i="1290"/>
  <c r="DA55" i="1290"/>
  <c r="DB55" i="1290"/>
  <c r="DC55" i="1290"/>
  <c r="DD55" i="1290"/>
  <c r="DE55" i="1290"/>
  <c r="CI56" i="1290"/>
  <c r="AL56" i="1290"/>
  <c r="G56" i="1290"/>
  <c r="H56" i="1290"/>
  <c r="I56" i="1290"/>
  <c r="J56" i="1290"/>
  <c r="K56" i="1290"/>
  <c r="L56" i="1290"/>
  <c r="M56" i="1290"/>
  <c r="N56" i="1290"/>
  <c r="O56" i="1290"/>
  <c r="P56" i="1290"/>
  <c r="Q56" i="1290"/>
  <c r="R56" i="1290"/>
  <c r="S56" i="1290"/>
  <c r="T56" i="1290"/>
  <c r="U56" i="1290"/>
  <c r="V56" i="1290"/>
  <c r="W56" i="1290"/>
  <c r="X56" i="1290"/>
  <c r="Y56" i="1290"/>
  <c r="Z56" i="1290"/>
  <c r="AA56" i="1290"/>
  <c r="AB56" i="1290"/>
  <c r="AC56" i="1290"/>
  <c r="AD56" i="1290"/>
  <c r="AE56" i="1290"/>
  <c r="AF56" i="1290"/>
  <c r="AG56" i="1290"/>
  <c r="AH56" i="1290"/>
  <c r="AI56" i="1290"/>
  <c r="AJ56" i="1290"/>
  <c r="AO56" i="1290"/>
  <c r="AP56" i="1290"/>
  <c r="AT56" i="1290"/>
  <c r="AU56" i="1290"/>
  <c r="AW56" i="1290"/>
  <c r="BA56" i="1290"/>
  <c r="BC56" i="1290"/>
  <c r="BE56" i="1290"/>
  <c r="BH56" i="1290"/>
  <c r="BJ56" i="1290"/>
  <c r="BL56" i="1290"/>
  <c r="BN56" i="1290"/>
  <c r="BP56" i="1290"/>
  <c r="BT56" i="1290"/>
  <c r="BU56" i="1290"/>
  <c r="BW56" i="1290"/>
  <c r="BX56" i="1290"/>
  <c r="BY56" i="1290"/>
  <c r="CD56" i="1290"/>
  <c r="CE56" i="1290"/>
  <c r="CH56" i="1290"/>
  <c r="E56" i="1290"/>
  <c r="CK56" i="1290"/>
  <c r="CL56" i="1290"/>
  <c r="CM56" i="1290"/>
  <c r="CN56" i="1290"/>
  <c r="CP56" i="1290"/>
  <c r="CQ56" i="1290"/>
  <c r="CR56" i="1290"/>
  <c r="CS56" i="1290"/>
  <c r="CT56" i="1290"/>
  <c r="CU56" i="1290"/>
  <c r="CV56" i="1290"/>
  <c r="CW56" i="1290"/>
  <c r="CX56" i="1290"/>
  <c r="CY56" i="1290"/>
  <c r="CZ56" i="1290"/>
  <c r="DA56" i="1290"/>
  <c r="DB56" i="1290"/>
  <c r="DC56" i="1290"/>
  <c r="DD56" i="1290"/>
  <c r="DE56" i="1290"/>
  <c r="AK56" i="1290"/>
  <c r="AM56" i="1290"/>
  <c r="AN56" i="1290"/>
  <c r="AQ56" i="1290"/>
  <c r="AR56" i="1290"/>
  <c r="AV56" i="1290"/>
  <c r="AY56" i="1290"/>
  <c r="AZ56" i="1290"/>
  <c r="BB56" i="1290"/>
  <c r="BK56" i="1290"/>
  <c r="BM56" i="1290"/>
  <c r="BQ56" i="1290"/>
  <c r="CB56" i="1290"/>
  <c r="CO56" i="1290"/>
  <c r="CJ56" i="1290"/>
  <c r="F56" i="1290"/>
  <c r="CF56" i="1290"/>
  <c r="CC56" i="1290"/>
  <c r="CA56" i="1290"/>
  <c r="BZ56" i="1290"/>
  <c r="BV56" i="1290"/>
  <c r="BS56" i="1290"/>
  <c r="BR56" i="1290"/>
  <c r="BO56" i="1290"/>
  <c r="BI56" i="1290"/>
  <c r="BG56" i="1290"/>
  <c r="BF56" i="1290"/>
  <c r="BD56" i="1290"/>
  <c r="AX56" i="1290"/>
  <c r="AS56" i="1290"/>
  <c r="CG56" i="1290"/>
  <c r="T57" i="1290"/>
  <c r="AK57" i="1290"/>
  <c r="AL57" i="1290"/>
  <c r="AM57" i="1290"/>
  <c r="AN57" i="1290"/>
  <c r="AO57" i="1290"/>
  <c r="AP57" i="1290"/>
  <c r="AQ57" i="1290"/>
  <c r="AR57" i="1290"/>
  <c r="AS57" i="1290"/>
  <c r="AT57" i="1290"/>
  <c r="AU57" i="1290"/>
  <c r="AV57" i="1290"/>
  <c r="AW57" i="1290"/>
  <c r="AX57" i="1290"/>
  <c r="AY57" i="1290"/>
  <c r="AZ57" i="1290"/>
  <c r="BA57" i="1290"/>
  <c r="BB57" i="1290"/>
  <c r="BC57" i="1290"/>
  <c r="BD57" i="1290"/>
  <c r="BE57" i="1290"/>
  <c r="BF57" i="1290"/>
  <c r="BG57" i="1290"/>
  <c r="BH57" i="1290"/>
  <c r="BI57" i="1290"/>
  <c r="BJ57" i="1290"/>
  <c r="BK57" i="1290"/>
  <c r="BL57" i="1290"/>
  <c r="BM57" i="1290"/>
  <c r="BN57" i="1290"/>
  <c r="BO57" i="1290"/>
  <c r="BP57" i="1290"/>
  <c r="BQ57" i="1290"/>
  <c r="BR57" i="1290"/>
  <c r="BS57" i="1290"/>
  <c r="BT57" i="1290"/>
  <c r="BU57" i="1290"/>
  <c r="BV57" i="1290"/>
  <c r="BW57" i="1290"/>
  <c r="BX57" i="1290"/>
  <c r="BY57" i="1290"/>
  <c r="BZ57" i="1290"/>
  <c r="CA57" i="1290"/>
  <c r="CB57" i="1290"/>
  <c r="CC57" i="1290"/>
  <c r="CD57" i="1290"/>
  <c r="CE57" i="1290"/>
  <c r="CF57" i="1290"/>
  <c r="CG57" i="1290"/>
  <c r="CH57" i="1290"/>
  <c r="CI57" i="1290"/>
  <c r="CJ57" i="1290"/>
  <c r="CK57" i="1290"/>
  <c r="CL57" i="1290"/>
  <c r="CM57" i="1290"/>
  <c r="CN57" i="1290"/>
  <c r="CO57" i="1290"/>
  <c r="CP57" i="1290"/>
  <c r="CQ57" i="1290"/>
  <c r="CR57" i="1290"/>
  <c r="CS57" i="1290"/>
  <c r="CT57" i="1290"/>
  <c r="CU57" i="1290"/>
  <c r="CV57" i="1290"/>
  <c r="CW57" i="1290"/>
  <c r="CX57" i="1290"/>
  <c r="CY57" i="1290"/>
  <c r="CZ57" i="1290"/>
  <c r="DA57" i="1290"/>
  <c r="DB57" i="1290"/>
  <c r="DC57" i="1290"/>
  <c r="DD57" i="1290"/>
  <c r="DE57" i="1290"/>
  <c r="E57" i="1290"/>
  <c r="F57" i="1290"/>
  <c r="G57" i="1290"/>
  <c r="H57" i="1290"/>
  <c r="I57" i="1290"/>
  <c r="J57" i="1290"/>
  <c r="K57" i="1290"/>
  <c r="L57" i="1290"/>
  <c r="M57" i="1290"/>
  <c r="N57" i="1290"/>
  <c r="O57" i="1290"/>
  <c r="P57" i="1290"/>
  <c r="Q57" i="1290"/>
  <c r="AJ57" i="1290"/>
  <c r="R57" i="1290"/>
  <c r="S57" i="1290"/>
  <c r="AI57" i="1290"/>
  <c r="AH57" i="1290"/>
  <c r="AG57" i="1290"/>
  <c r="AF57" i="1290"/>
  <c r="AE57" i="1290"/>
  <c r="AD57" i="1290"/>
  <c r="AC57" i="1290"/>
  <c r="AB57" i="1290"/>
  <c r="AA57" i="1290"/>
  <c r="Z57" i="1290"/>
  <c r="Y57" i="1290"/>
  <c r="X57" i="1290"/>
  <c r="W57" i="1290"/>
  <c r="V57" i="1290"/>
  <c r="U57" i="1290"/>
  <c r="BR58" i="1290"/>
  <c r="Q58" i="1290"/>
  <c r="S58" i="1290"/>
  <c r="U58" i="1290"/>
  <c r="V58" i="1290"/>
  <c r="W58" i="1290"/>
  <c r="X58" i="1290"/>
  <c r="Y58" i="1290"/>
  <c r="Z58" i="1290"/>
  <c r="AA58" i="1290"/>
  <c r="AB58" i="1290"/>
  <c r="AC58" i="1290"/>
  <c r="AD58" i="1290"/>
  <c r="AE58" i="1290"/>
  <c r="AF58" i="1290"/>
  <c r="AG58" i="1290"/>
  <c r="AH58" i="1290"/>
  <c r="AI58" i="1290"/>
  <c r="AJ58" i="1290"/>
  <c r="AK58" i="1290"/>
  <c r="AL58" i="1290"/>
  <c r="AM58" i="1290"/>
  <c r="AN58" i="1290"/>
  <c r="AO58" i="1290"/>
  <c r="AP58" i="1290"/>
  <c r="AQ58" i="1290"/>
  <c r="AR58" i="1290"/>
  <c r="AS58" i="1290"/>
  <c r="AT58" i="1290"/>
  <c r="AU58" i="1290"/>
  <c r="AV58" i="1290"/>
  <c r="AW58" i="1290"/>
  <c r="AX58" i="1290"/>
  <c r="AY58" i="1290"/>
  <c r="AZ58" i="1290"/>
  <c r="BA58" i="1290"/>
  <c r="BB58" i="1290"/>
  <c r="BC58" i="1290"/>
  <c r="BD58" i="1290"/>
  <c r="BE58" i="1290"/>
  <c r="BF58" i="1290"/>
  <c r="BG58" i="1290"/>
  <c r="BH58" i="1290"/>
  <c r="BI58" i="1290"/>
  <c r="BJ58" i="1290"/>
  <c r="BK58" i="1290"/>
  <c r="BL58" i="1290"/>
  <c r="BM58" i="1290"/>
  <c r="BN58" i="1290"/>
  <c r="BO58" i="1290"/>
  <c r="BP58" i="1290"/>
  <c r="BQ58" i="1290"/>
  <c r="R58" i="1290"/>
  <c r="BS58" i="1290"/>
  <c r="BT58" i="1290"/>
  <c r="BU58" i="1290"/>
  <c r="BV58" i="1290"/>
  <c r="BW58" i="1290"/>
  <c r="BX58" i="1290"/>
  <c r="BY58" i="1290"/>
  <c r="BZ58" i="1290"/>
  <c r="CA58" i="1290"/>
  <c r="CB58" i="1290"/>
  <c r="CC58" i="1290"/>
  <c r="CD58" i="1290"/>
  <c r="CE58" i="1290"/>
  <c r="CF58" i="1290"/>
  <c r="CG58" i="1290"/>
  <c r="CH58" i="1290"/>
  <c r="CI58" i="1290"/>
  <c r="CJ58" i="1290"/>
  <c r="CK58" i="1290"/>
  <c r="CL58" i="1290"/>
  <c r="CM58" i="1290"/>
  <c r="CN58" i="1290"/>
  <c r="CO58" i="1290"/>
  <c r="CP58" i="1290"/>
  <c r="CQ58" i="1290"/>
  <c r="CR58" i="1290"/>
  <c r="CS58" i="1290"/>
  <c r="CT58" i="1290"/>
  <c r="CU58" i="1290"/>
  <c r="CV58" i="1290"/>
  <c r="CW58" i="1290"/>
  <c r="CX58" i="1290"/>
  <c r="CY58" i="1290"/>
  <c r="CZ58" i="1290"/>
  <c r="DA58" i="1290"/>
  <c r="DB58" i="1290"/>
  <c r="DC58" i="1290"/>
  <c r="DD58" i="1290"/>
  <c r="DE58" i="1290"/>
  <c r="E58" i="1290"/>
  <c r="F58" i="1290"/>
  <c r="G58" i="1290"/>
  <c r="H58" i="1290"/>
  <c r="I58" i="1290"/>
  <c r="J58" i="1290"/>
  <c r="K58" i="1290"/>
  <c r="L58" i="1290"/>
  <c r="M58" i="1290"/>
  <c r="N58" i="1290"/>
  <c r="O58" i="1290"/>
  <c r="P58" i="1290"/>
  <c r="T58" i="1290"/>
  <c r="R59" i="1290"/>
  <c r="DE59" i="1290"/>
  <c r="T59" i="1290"/>
  <c r="U59" i="1290"/>
  <c r="V59" i="1290"/>
  <c r="W59" i="1290"/>
  <c r="X59" i="1290"/>
  <c r="Y59" i="1290"/>
  <c r="Z59" i="1290"/>
  <c r="AA59" i="1290"/>
  <c r="AB59" i="1290"/>
  <c r="AC59" i="1290"/>
  <c r="AD59" i="1290"/>
  <c r="AE59" i="1290"/>
  <c r="AF59" i="1290"/>
  <c r="AG59" i="1290"/>
  <c r="AH59" i="1290"/>
  <c r="AI59" i="1290"/>
  <c r="AJ59" i="1290"/>
  <c r="AK59" i="1290"/>
  <c r="AL59" i="1290"/>
  <c r="AM59" i="1290"/>
  <c r="AN59" i="1290"/>
  <c r="AO59" i="1290"/>
  <c r="AP59" i="1290"/>
  <c r="AQ59" i="1290"/>
  <c r="AR59" i="1290"/>
  <c r="AS59" i="1290"/>
  <c r="AT59" i="1290"/>
  <c r="AU59" i="1290"/>
  <c r="AV59" i="1290"/>
  <c r="AW59" i="1290"/>
  <c r="AX59" i="1290"/>
  <c r="AY59" i="1290"/>
  <c r="AZ59" i="1290"/>
  <c r="BA59" i="1290"/>
  <c r="BB59" i="1290"/>
  <c r="BC59" i="1290"/>
  <c r="BD59" i="1290"/>
  <c r="BE59" i="1290"/>
  <c r="BF59" i="1290"/>
  <c r="BG59" i="1290"/>
  <c r="BH59" i="1290"/>
  <c r="BI59" i="1290"/>
  <c r="BJ59" i="1290"/>
  <c r="BK59" i="1290"/>
  <c r="BL59" i="1290"/>
  <c r="BM59" i="1290"/>
  <c r="BN59" i="1290"/>
  <c r="BO59" i="1290"/>
  <c r="BP59" i="1290"/>
  <c r="BQ59" i="1290"/>
  <c r="BR59" i="1290"/>
  <c r="BS59" i="1290"/>
  <c r="BT59" i="1290"/>
  <c r="BU59" i="1290"/>
  <c r="BV59" i="1290"/>
  <c r="BW59" i="1290"/>
  <c r="BX59" i="1290"/>
  <c r="BY59" i="1290"/>
  <c r="BZ59" i="1290"/>
  <c r="CA59" i="1290"/>
  <c r="CB59" i="1290"/>
  <c r="CC59" i="1290"/>
  <c r="CD59" i="1290"/>
  <c r="CE59" i="1290"/>
  <c r="CF59" i="1290"/>
  <c r="CG59" i="1290"/>
  <c r="CH59" i="1290"/>
  <c r="CI59" i="1290"/>
  <c r="CJ59" i="1290"/>
  <c r="CK59" i="1290"/>
  <c r="CL59" i="1290"/>
  <c r="CM59" i="1290"/>
  <c r="CN59" i="1290"/>
  <c r="CO59" i="1290"/>
  <c r="Q59" i="1290"/>
  <c r="P59" i="1290"/>
  <c r="O59" i="1290"/>
  <c r="N59" i="1290"/>
  <c r="M59" i="1290"/>
  <c r="L59" i="1290"/>
  <c r="K59" i="1290"/>
  <c r="J59" i="1290"/>
  <c r="I59" i="1290"/>
  <c r="H59" i="1290"/>
  <c r="G59" i="1290"/>
  <c r="F59" i="1290"/>
  <c r="E59" i="1290"/>
  <c r="CP59" i="1290"/>
  <c r="CQ59" i="1290"/>
  <c r="CR59" i="1290"/>
  <c r="CS59" i="1290"/>
  <c r="CT59" i="1290"/>
  <c r="CU59" i="1290"/>
  <c r="CV59" i="1290"/>
  <c r="CW59" i="1290"/>
  <c r="CX59" i="1290"/>
  <c r="CY59" i="1290"/>
  <c r="CZ59" i="1290"/>
  <c r="DA59" i="1290"/>
  <c r="DB59" i="1290"/>
  <c r="DC59" i="1290"/>
  <c r="DD59" i="1290"/>
  <c r="S59" i="1290"/>
  <c r="C39" i="1289"/>
  <c r="DC24" i="1289"/>
  <c r="DB24" i="1289"/>
  <c r="DD24" i="1289"/>
  <c r="E24" i="1289"/>
  <c r="F24" i="1289"/>
  <c r="G24" i="1289"/>
  <c r="H24" i="1289"/>
  <c r="I24" i="1289"/>
  <c r="J24" i="1289"/>
  <c r="K24" i="1289"/>
  <c r="L24" i="1289"/>
  <c r="M24" i="1289"/>
  <c r="N24" i="1289"/>
  <c r="O24" i="1289"/>
  <c r="P24" i="1289"/>
  <c r="Q24" i="1289"/>
  <c r="R24" i="1289"/>
  <c r="S24" i="1289"/>
  <c r="T24" i="1289"/>
  <c r="U24" i="1289"/>
  <c r="V24" i="1289"/>
  <c r="W24" i="1289"/>
  <c r="X24" i="1289"/>
  <c r="Y24" i="1289"/>
  <c r="Z24" i="1289"/>
  <c r="AA24" i="1289"/>
  <c r="AB24" i="1289"/>
  <c r="AC24" i="1289"/>
  <c r="AD24" i="1289"/>
  <c r="AE24" i="1289"/>
  <c r="AF24" i="1289"/>
  <c r="AG24" i="1289"/>
  <c r="AH24" i="1289"/>
  <c r="AI24" i="1289"/>
  <c r="AJ24" i="1289"/>
  <c r="AK24" i="1289"/>
  <c r="AL24" i="1289"/>
  <c r="AM24" i="1289"/>
  <c r="AN24" i="1289"/>
  <c r="AO24" i="1289"/>
  <c r="AP24" i="1289"/>
  <c r="AQ24" i="1289"/>
  <c r="AR24" i="1289"/>
  <c r="AS24" i="1289"/>
  <c r="AT24" i="1289"/>
  <c r="AU24" i="1289"/>
  <c r="AV24" i="1289"/>
  <c r="AW24" i="1289"/>
  <c r="AX24" i="1289"/>
  <c r="AY24" i="1289"/>
  <c r="AZ24" i="1289"/>
  <c r="BA24" i="1289"/>
  <c r="BB24" i="1289"/>
  <c r="BC24" i="1289"/>
  <c r="BD24" i="1289"/>
  <c r="BE24" i="1289"/>
  <c r="BF24" i="1289"/>
  <c r="BG24" i="1289"/>
  <c r="BH24" i="1289"/>
  <c r="BI24" i="1289"/>
  <c r="BJ24" i="1289"/>
  <c r="BK24" i="1289"/>
  <c r="BL24" i="1289"/>
  <c r="BM24" i="1289"/>
  <c r="BN24" i="1289"/>
  <c r="BO24" i="1289"/>
  <c r="BP24" i="1289"/>
  <c r="BQ24" i="1289"/>
  <c r="BR24" i="1289"/>
  <c r="BS24" i="1289"/>
  <c r="BT24" i="1289"/>
  <c r="BU24" i="1289"/>
  <c r="BV24" i="1289"/>
  <c r="BW24" i="1289"/>
  <c r="BX24" i="1289"/>
  <c r="BY24" i="1289"/>
  <c r="BZ24" i="1289"/>
  <c r="CA24" i="1289"/>
  <c r="CB24" i="1289"/>
  <c r="CC24" i="1289"/>
  <c r="CD24" i="1289"/>
  <c r="CE24" i="1289"/>
  <c r="CF24" i="1289"/>
  <c r="CG24" i="1289"/>
  <c r="CH24" i="1289"/>
  <c r="CI24" i="1289"/>
  <c r="CJ24" i="1289"/>
  <c r="CK24" i="1289"/>
  <c r="CL24" i="1289"/>
  <c r="CM24" i="1289"/>
  <c r="CN24" i="1289"/>
  <c r="CO24" i="1289"/>
  <c r="CP24" i="1289"/>
  <c r="CQ24" i="1289"/>
  <c r="CR24" i="1289"/>
  <c r="CS24" i="1289"/>
  <c r="CT24" i="1289"/>
  <c r="CU24" i="1289"/>
  <c r="CV24" i="1289"/>
  <c r="CW24" i="1289"/>
  <c r="CX24" i="1289"/>
  <c r="CY24" i="1289"/>
  <c r="CZ24" i="1289"/>
  <c r="DA24" i="1289"/>
  <c r="DE24" i="1289"/>
  <c r="DC25" i="1289"/>
  <c r="DB25" i="1289"/>
  <c r="DE25" i="1289"/>
  <c r="E25" i="1289"/>
  <c r="F25" i="1289"/>
  <c r="G25" i="1289"/>
  <c r="H25" i="1289"/>
  <c r="I25" i="1289"/>
  <c r="J25" i="1289"/>
  <c r="K25" i="1289"/>
  <c r="L25" i="1289"/>
  <c r="M25" i="1289"/>
  <c r="N25" i="1289"/>
  <c r="O25" i="1289"/>
  <c r="P25" i="1289"/>
  <c r="Q25" i="1289"/>
  <c r="R25" i="1289"/>
  <c r="S25" i="1289"/>
  <c r="T25" i="1289"/>
  <c r="U25" i="1289"/>
  <c r="V25" i="1289"/>
  <c r="W25" i="1289"/>
  <c r="X25" i="1289"/>
  <c r="Y25" i="1289"/>
  <c r="Z25" i="1289"/>
  <c r="AA25" i="1289"/>
  <c r="AB25" i="1289"/>
  <c r="AC25" i="1289"/>
  <c r="AD25" i="1289"/>
  <c r="AE25" i="1289"/>
  <c r="AF25" i="1289"/>
  <c r="AG25" i="1289"/>
  <c r="AH25" i="1289"/>
  <c r="AI25" i="1289"/>
  <c r="AJ25" i="1289"/>
  <c r="AK25" i="1289"/>
  <c r="AL25" i="1289"/>
  <c r="AM25" i="1289"/>
  <c r="AN25" i="1289"/>
  <c r="AO25" i="1289"/>
  <c r="AP25" i="1289"/>
  <c r="AQ25" i="1289"/>
  <c r="AR25" i="1289"/>
  <c r="AS25" i="1289"/>
  <c r="AT25" i="1289"/>
  <c r="AU25" i="1289"/>
  <c r="AV25" i="1289"/>
  <c r="AW25" i="1289"/>
  <c r="AX25" i="1289"/>
  <c r="AY25" i="1289"/>
  <c r="AZ25" i="1289"/>
  <c r="BA25" i="1289"/>
  <c r="BB25" i="1289"/>
  <c r="BC25" i="1289"/>
  <c r="BD25" i="1289"/>
  <c r="BE25" i="1289"/>
  <c r="BF25" i="1289"/>
  <c r="BG25" i="1289"/>
  <c r="BH25" i="1289"/>
  <c r="BI25" i="1289"/>
  <c r="BJ25" i="1289"/>
  <c r="BK25" i="1289"/>
  <c r="BL25" i="1289"/>
  <c r="BM25" i="1289"/>
  <c r="BN25" i="1289"/>
  <c r="BO25" i="1289"/>
  <c r="BP25" i="1289"/>
  <c r="BQ25" i="1289"/>
  <c r="BR25" i="1289"/>
  <c r="BS25" i="1289"/>
  <c r="BT25" i="1289"/>
  <c r="BU25" i="1289"/>
  <c r="BV25" i="1289"/>
  <c r="BW25" i="1289"/>
  <c r="BX25" i="1289"/>
  <c r="BY25" i="1289"/>
  <c r="BZ25" i="1289"/>
  <c r="CA25" i="1289"/>
  <c r="CB25" i="1289"/>
  <c r="CC25" i="1289"/>
  <c r="CD25" i="1289"/>
  <c r="CE25" i="1289"/>
  <c r="CF25" i="1289"/>
  <c r="CG25" i="1289"/>
  <c r="CH25" i="1289"/>
  <c r="CI25" i="1289"/>
  <c r="CJ25" i="1289"/>
  <c r="CK25" i="1289"/>
  <c r="CL25" i="1289"/>
  <c r="CM25" i="1289"/>
  <c r="CN25" i="1289"/>
  <c r="CO25" i="1289"/>
  <c r="CP25" i="1289"/>
  <c r="CQ25" i="1289"/>
  <c r="CR25" i="1289"/>
  <c r="CS25" i="1289"/>
  <c r="CT25" i="1289"/>
  <c r="CU25" i="1289"/>
  <c r="CV25" i="1289"/>
  <c r="CW25" i="1289"/>
  <c r="CX25" i="1289"/>
  <c r="CY25" i="1289"/>
  <c r="CZ25" i="1289"/>
  <c r="DA25" i="1289"/>
  <c r="DD25" i="1289"/>
  <c r="X26" i="1289"/>
  <c r="U26" i="1289"/>
  <c r="Y26" i="1289"/>
  <c r="E26" i="1289"/>
  <c r="F26" i="1289"/>
  <c r="G26" i="1289"/>
  <c r="H26" i="1289"/>
  <c r="I26" i="1289"/>
  <c r="J26" i="1289"/>
  <c r="K26" i="1289"/>
  <c r="L26" i="1289"/>
  <c r="M26" i="1289"/>
  <c r="N26" i="1289"/>
  <c r="O26" i="1289"/>
  <c r="P26" i="1289"/>
  <c r="Q26" i="1289"/>
  <c r="R26" i="1289"/>
  <c r="S26" i="1289"/>
  <c r="T26" i="1289"/>
  <c r="AA26" i="1289"/>
  <c r="AB26" i="1289"/>
  <c r="AC26" i="1289"/>
  <c r="AD26" i="1289"/>
  <c r="AE26" i="1289"/>
  <c r="AF26" i="1289"/>
  <c r="AG26" i="1289"/>
  <c r="AH26" i="1289"/>
  <c r="AI26" i="1289"/>
  <c r="AJ26" i="1289"/>
  <c r="AK26" i="1289"/>
  <c r="AL26" i="1289"/>
  <c r="AM26" i="1289"/>
  <c r="AN26" i="1289"/>
  <c r="AO26" i="1289"/>
  <c r="AP26" i="1289"/>
  <c r="AQ26" i="1289"/>
  <c r="AR26" i="1289"/>
  <c r="AS26" i="1289"/>
  <c r="AT26" i="1289"/>
  <c r="AU26" i="1289"/>
  <c r="AV26" i="1289"/>
  <c r="AW26" i="1289"/>
  <c r="AX26" i="1289"/>
  <c r="AY26" i="1289"/>
  <c r="AZ26" i="1289"/>
  <c r="BA26" i="1289"/>
  <c r="BB26" i="1289"/>
  <c r="BC26" i="1289"/>
  <c r="BD26" i="1289"/>
  <c r="BE26" i="1289"/>
  <c r="BF26" i="1289"/>
  <c r="BG26" i="1289"/>
  <c r="BH26" i="1289"/>
  <c r="BI26" i="1289"/>
  <c r="BJ26" i="1289"/>
  <c r="BK26" i="1289"/>
  <c r="BL26" i="1289"/>
  <c r="BM26" i="1289"/>
  <c r="BN26" i="1289"/>
  <c r="BO26" i="1289"/>
  <c r="BP26" i="1289"/>
  <c r="BQ26" i="1289"/>
  <c r="BR26" i="1289"/>
  <c r="BS26" i="1289"/>
  <c r="BT26" i="1289"/>
  <c r="BU26" i="1289"/>
  <c r="BV26" i="1289"/>
  <c r="BW26" i="1289"/>
  <c r="BX26" i="1289"/>
  <c r="BY26" i="1289"/>
  <c r="BZ26" i="1289"/>
  <c r="CA26" i="1289"/>
  <c r="CB26" i="1289"/>
  <c r="CC26" i="1289"/>
  <c r="CD26" i="1289"/>
  <c r="CE26" i="1289"/>
  <c r="CF26" i="1289"/>
  <c r="CG26" i="1289"/>
  <c r="CH26" i="1289"/>
  <c r="CI26" i="1289"/>
  <c r="CJ26" i="1289"/>
  <c r="CK26" i="1289"/>
  <c r="CL26" i="1289"/>
  <c r="CM26" i="1289"/>
  <c r="CN26" i="1289"/>
  <c r="CO26" i="1289"/>
  <c r="CP26" i="1289"/>
  <c r="CQ26" i="1289"/>
  <c r="CR26" i="1289"/>
  <c r="CS26" i="1289"/>
  <c r="CT26" i="1289"/>
  <c r="CU26" i="1289"/>
  <c r="CV26" i="1289"/>
  <c r="CW26" i="1289"/>
  <c r="CX26" i="1289"/>
  <c r="CY26" i="1289"/>
  <c r="CZ26" i="1289"/>
  <c r="DA26" i="1289"/>
  <c r="DB26" i="1289"/>
  <c r="DC26" i="1289"/>
  <c r="DD26" i="1289"/>
  <c r="DE26" i="1289"/>
  <c r="Z26" i="1289"/>
  <c r="V26" i="1289"/>
  <c r="W26" i="1289"/>
  <c r="H27" i="1289"/>
  <c r="G27" i="1289"/>
  <c r="J27" i="1289"/>
  <c r="K27" i="1289"/>
  <c r="L27" i="1289"/>
  <c r="M27" i="1289"/>
  <c r="N27" i="1289"/>
  <c r="O27" i="1289"/>
  <c r="P27" i="1289"/>
  <c r="Q27" i="1289"/>
  <c r="R27" i="1289"/>
  <c r="S27" i="1289"/>
  <c r="T27" i="1289"/>
  <c r="U27" i="1289"/>
  <c r="V27" i="1289"/>
  <c r="W27" i="1289"/>
  <c r="X27" i="1289"/>
  <c r="Y27" i="1289"/>
  <c r="Z27" i="1289"/>
  <c r="AA27" i="1289"/>
  <c r="AB27" i="1289"/>
  <c r="AC27" i="1289"/>
  <c r="AD27" i="1289"/>
  <c r="AE27" i="1289"/>
  <c r="AF27" i="1289"/>
  <c r="AG27" i="1289"/>
  <c r="AH27" i="1289"/>
  <c r="AI27" i="1289"/>
  <c r="AJ27" i="1289"/>
  <c r="AK27" i="1289"/>
  <c r="AL27" i="1289"/>
  <c r="AM27" i="1289"/>
  <c r="AN27" i="1289"/>
  <c r="AO27" i="1289"/>
  <c r="AP27" i="1289"/>
  <c r="AQ27" i="1289"/>
  <c r="AR27" i="1289"/>
  <c r="AS27" i="1289"/>
  <c r="AT27" i="1289"/>
  <c r="AU27" i="1289"/>
  <c r="AV27" i="1289"/>
  <c r="AW27" i="1289"/>
  <c r="AX27" i="1289"/>
  <c r="AY27" i="1289"/>
  <c r="AZ27" i="1289"/>
  <c r="BA27" i="1289"/>
  <c r="BB27" i="1289"/>
  <c r="BC27" i="1289"/>
  <c r="BD27" i="1289"/>
  <c r="BE27" i="1289"/>
  <c r="BF27" i="1289"/>
  <c r="BG27" i="1289"/>
  <c r="BH27" i="1289"/>
  <c r="BI27" i="1289"/>
  <c r="BJ27" i="1289"/>
  <c r="BK27" i="1289"/>
  <c r="BL27" i="1289"/>
  <c r="BM27" i="1289"/>
  <c r="BN27" i="1289"/>
  <c r="BO27" i="1289"/>
  <c r="BP27" i="1289"/>
  <c r="BQ27" i="1289"/>
  <c r="BR27" i="1289"/>
  <c r="BS27" i="1289"/>
  <c r="BT27" i="1289"/>
  <c r="BU27" i="1289"/>
  <c r="BV27" i="1289"/>
  <c r="BW27" i="1289"/>
  <c r="BX27" i="1289"/>
  <c r="BY27" i="1289"/>
  <c r="BZ27" i="1289"/>
  <c r="CA27" i="1289"/>
  <c r="CB27" i="1289"/>
  <c r="CC27" i="1289"/>
  <c r="CD27" i="1289"/>
  <c r="CE27" i="1289"/>
  <c r="CF27" i="1289"/>
  <c r="CG27" i="1289"/>
  <c r="CH27" i="1289"/>
  <c r="CI27" i="1289"/>
  <c r="CJ27" i="1289"/>
  <c r="CK27" i="1289"/>
  <c r="CL27" i="1289"/>
  <c r="CM27" i="1289"/>
  <c r="CN27" i="1289"/>
  <c r="CO27" i="1289"/>
  <c r="CP27" i="1289"/>
  <c r="CQ27" i="1289"/>
  <c r="CR27" i="1289"/>
  <c r="CS27" i="1289"/>
  <c r="CT27" i="1289"/>
  <c r="CU27" i="1289"/>
  <c r="CV27" i="1289"/>
  <c r="CW27" i="1289"/>
  <c r="CX27" i="1289"/>
  <c r="CY27" i="1289"/>
  <c r="CZ27" i="1289"/>
  <c r="DA27" i="1289"/>
  <c r="DB27" i="1289"/>
  <c r="DC27" i="1289"/>
  <c r="DD27" i="1289"/>
  <c r="DE27" i="1289"/>
  <c r="F27" i="1289"/>
  <c r="I27" i="1289"/>
  <c r="E27" i="1289"/>
  <c r="BI28" i="1289"/>
  <c r="G28" i="1289"/>
  <c r="J28" i="1289"/>
  <c r="K28" i="1289"/>
  <c r="L28" i="1289"/>
  <c r="M28" i="1289"/>
  <c r="N28" i="1289"/>
  <c r="O28" i="1289"/>
  <c r="P28" i="1289"/>
  <c r="Q28" i="1289"/>
  <c r="R28" i="1289"/>
  <c r="S28" i="1289"/>
  <c r="T28" i="1289"/>
  <c r="U28" i="1289"/>
  <c r="V28" i="1289"/>
  <c r="W28" i="1289"/>
  <c r="X28" i="1289"/>
  <c r="Y28" i="1289"/>
  <c r="Z28" i="1289"/>
  <c r="AA28" i="1289"/>
  <c r="AB28" i="1289"/>
  <c r="AC28" i="1289"/>
  <c r="AD28" i="1289"/>
  <c r="AE28" i="1289"/>
  <c r="AF28" i="1289"/>
  <c r="AG28" i="1289"/>
  <c r="AH28" i="1289"/>
  <c r="AI28" i="1289"/>
  <c r="AJ28" i="1289"/>
  <c r="AK28" i="1289"/>
  <c r="AL28" i="1289"/>
  <c r="AM28" i="1289"/>
  <c r="AN28" i="1289"/>
  <c r="AO28" i="1289"/>
  <c r="AP28" i="1289"/>
  <c r="AQ28" i="1289"/>
  <c r="AR28" i="1289"/>
  <c r="AS28" i="1289"/>
  <c r="AT28" i="1289"/>
  <c r="AU28" i="1289"/>
  <c r="AV28" i="1289"/>
  <c r="AW28" i="1289"/>
  <c r="AX28" i="1289"/>
  <c r="AY28" i="1289"/>
  <c r="AZ28" i="1289"/>
  <c r="BA28" i="1289"/>
  <c r="BB28" i="1289"/>
  <c r="BC28" i="1289"/>
  <c r="BD28" i="1289"/>
  <c r="BE28" i="1289"/>
  <c r="BF28" i="1289"/>
  <c r="BG28" i="1289"/>
  <c r="BH28" i="1289"/>
  <c r="E28" i="1289"/>
  <c r="BJ28" i="1289"/>
  <c r="BK28" i="1289"/>
  <c r="BL28" i="1289"/>
  <c r="BM28" i="1289"/>
  <c r="BN28" i="1289"/>
  <c r="BO28" i="1289"/>
  <c r="BP28" i="1289"/>
  <c r="BQ28" i="1289"/>
  <c r="BR28" i="1289"/>
  <c r="BS28" i="1289"/>
  <c r="BT28" i="1289"/>
  <c r="BU28" i="1289"/>
  <c r="BV28" i="1289"/>
  <c r="BW28" i="1289"/>
  <c r="BX28" i="1289"/>
  <c r="BY28" i="1289"/>
  <c r="BZ28" i="1289"/>
  <c r="CA28" i="1289"/>
  <c r="CB28" i="1289"/>
  <c r="CC28" i="1289"/>
  <c r="CD28" i="1289"/>
  <c r="CE28" i="1289"/>
  <c r="CF28" i="1289"/>
  <c r="CG28" i="1289"/>
  <c r="CH28" i="1289"/>
  <c r="CI28" i="1289"/>
  <c r="CJ28" i="1289"/>
  <c r="CK28" i="1289"/>
  <c r="CL28" i="1289"/>
  <c r="CM28" i="1289"/>
  <c r="CN28" i="1289"/>
  <c r="CO28" i="1289"/>
  <c r="CP28" i="1289"/>
  <c r="CQ28" i="1289"/>
  <c r="CR28" i="1289"/>
  <c r="CS28" i="1289"/>
  <c r="CT28" i="1289"/>
  <c r="CU28" i="1289"/>
  <c r="CV28" i="1289"/>
  <c r="CW28" i="1289"/>
  <c r="CX28" i="1289"/>
  <c r="CY28" i="1289"/>
  <c r="CZ28" i="1289"/>
  <c r="DA28" i="1289"/>
  <c r="DB28" i="1289"/>
  <c r="DC28" i="1289"/>
  <c r="DD28" i="1289"/>
  <c r="DE28" i="1289"/>
  <c r="I28" i="1289"/>
  <c r="F28" i="1289"/>
  <c r="H28" i="1289"/>
  <c r="F29" i="1289"/>
  <c r="E29" i="1289"/>
  <c r="J29" i="1289"/>
  <c r="K29" i="1289"/>
  <c r="L29" i="1289"/>
  <c r="M29" i="1289"/>
  <c r="N29" i="1289"/>
  <c r="O29" i="1289"/>
  <c r="P29" i="1289"/>
  <c r="Q29" i="1289"/>
  <c r="R29" i="1289"/>
  <c r="S29" i="1289"/>
  <c r="T29" i="1289"/>
  <c r="U29" i="1289"/>
  <c r="V29" i="1289"/>
  <c r="W29" i="1289"/>
  <c r="X29" i="1289"/>
  <c r="Y29" i="1289"/>
  <c r="Z29" i="1289"/>
  <c r="AA29" i="1289"/>
  <c r="AB29" i="1289"/>
  <c r="AC29" i="1289"/>
  <c r="AD29" i="1289"/>
  <c r="AE29" i="1289"/>
  <c r="AF29" i="1289"/>
  <c r="AG29" i="1289"/>
  <c r="AH29" i="1289"/>
  <c r="AI29" i="1289"/>
  <c r="AJ29" i="1289"/>
  <c r="AK29" i="1289"/>
  <c r="AL29" i="1289"/>
  <c r="AM29" i="1289"/>
  <c r="AN29" i="1289"/>
  <c r="AO29" i="1289"/>
  <c r="AP29" i="1289"/>
  <c r="AQ29" i="1289"/>
  <c r="AR29" i="1289"/>
  <c r="AS29" i="1289"/>
  <c r="AT29" i="1289"/>
  <c r="AU29" i="1289"/>
  <c r="AV29" i="1289"/>
  <c r="AW29" i="1289"/>
  <c r="AX29" i="1289"/>
  <c r="AY29" i="1289"/>
  <c r="AZ29" i="1289"/>
  <c r="BA29" i="1289"/>
  <c r="BB29" i="1289"/>
  <c r="BC29" i="1289"/>
  <c r="BD29" i="1289"/>
  <c r="BE29" i="1289"/>
  <c r="BF29" i="1289"/>
  <c r="BG29" i="1289"/>
  <c r="BH29" i="1289"/>
  <c r="BI29" i="1289"/>
  <c r="BJ29" i="1289"/>
  <c r="BK29" i="1289"/>
  <c r="BL29" i="1289"/>
  <c r="BM29" i="1289"/>
  <c r="BN29" i="1289"/>
  <c r="BO29" i="1289"/>
  <c r="BP29" i="1289"/>
  <c r="BQ29" i="1289"/>
  <c r="BR29" i="1289"/>
  <c r="BS29" i="1289"/>
  <c r="BT29" i="1289"/>
  <c r="BU29" i="1289"/>
  <c r="BV29" i="1289"/>
  <c r="BW29" i="1289"/>
  <c r="BX29" i="1289"/>
  <c r="BY29" i="1289"/>
  <c r="BZ29" i="1289"/>
  <c r="CA29" i="1289"/>
  <c r="CB29" i="1289"/>
  <c r="CC29" i="1289"/>
  <c r="CD29" i="1289"/>
  <c r="CE29" i="1289"/>
  <c r="CF29" i="1289"/>
  <c r="CG29" i="1289"/>
  <c r="CH29" i="1289"/>
  <c r="CI29" i="1289"/>
  <c r="CJ29" i="1289"/>
  <c r="CK29" i="1289"/>
  <c r="CL29" i="1289"/>
  <c r="CM29" i="1289"/>
  <c r="CN29" i="1289"/>
  <c r="CO29" i="1289"/>
  <c r="CP29" i="1289"/>
  <c r="CQ29" i="1289"/>
  <c r="CR29" i="1289"/>
  <c r="CS29" i="1289"/>
  <c r="CT29" i="1289"/>
  <c r="CU29" i="1289"/>
  <c r="CV29" i="1289"/>
  <c r="CW29" i="1289"/>
  <c r="CX29" i="1289"/>
  <c r="CY29" i="1289"/>
  <c r="CZ29" i="1289"/>
  <c r="DA29" i="1289"/>
  <c r="DB29" i="1289"/>
  <c r="DC29" i="1289"/>
  <c r="DD29" i="1289"/>
  <c r="DE29" i="1289"/>
  <c r="I29" i="1289"/>
  <c r="G29" i="1289"/>
  <c r="H29" i="1289"/>
  <c r="BY30" i="1289"/>
  <c r="Y30" i="1289"/>
  <c r="BW30" i="1289"/>
  <c r="E30" i="1289"/>
  <c r="F30" i="1289"/>
  <c r="G30" i="1289"/>
  <c r="H30" i="1289"/>
  <c r="I30" i="1289"/>
  <c r="J30" i="1289"/>
  <c r="K30" i="1289"/>
  <c r="L30" i="1289"/>
  <c r="M30" i="1289"/>
  <c r="N30" i="1289"/>
  <c r="O30" i="1289"/>
  <c r="P30" i="1289"/>
  <c r="Q30" i="1289"/>
  <c r="R30" i="1289"/>
  <c r="S30" i="1289"/>
  <c r="T30" i="1289"/>
  <c r="AA30" i="1289"/>
  <c r="AB30" i="1289"/>
  <c r="AC30" i="1289"/>
  <c r="AD30" i="1289"/>
  <c r="AE30" i="1289"/>
  <c r="AF30" i="1289"/>
  <c r="AG30" i="1289"/>
  <c r="AH30" i="1289"/>
  <c r="AI30" i="1289"/>
  <c r="AJ30" i="1289"/>
  <c r="AK30" i="1289"/>
  <c r="AL30" i="1289"/>
  <c r="AM30" i="1289"/>
  <c r="AN30" i="1289"/>
  <c r="AO30" i="1289"/>
  <c r="AP30" i="1289"/>
  <c r="AQ30" i="1289"/>
  <c r="AR30" i="1289"/>
  <c r="AS30" i="1289"/>
  <c r="AT30" i="1289"/>
  <c r="AU30" i="1289"/>
  <c r="AV30" i="1289"/>
  <c r="AW30" i="1289"/>
  <c r="AX30" i="1289"/>
  <c r="AY30" i="1289"/>
  <c r="AZ30" i="1289"/>
  <c r="BA30" i="1289"/>
  <c r="BB30" i="1289"/>
  <c r="BC30" i="1289"/>
  <c r="BD30" i="1289"/>
  <c r="BE30" i="1289"/>
  <c r="BF30" i="1289"/>
  <c r="BG30" i="1289"/>
  <c r="BH30" i="1289"/>
  <c r="BI30" i="1289"/>
  <c r="BJ30" i="1289"/>
  <c r="BK30" i="1289"/>
  <c r="BL30" i="1289"/>
  <c r="BM30" i="1289"/>
  <c r="BN30" i="1289"/>
  <c r="BO30" i="1289"/>
  <c r="BP30" i="1289"/>
  <c r="BQ30" i="1289"/>
  <c r="BR30" i="1289"/>
  <c r="BS30" i="1289"/>
  <c r="BT30" i="1289"/>
  <c r="BU30" i="1289"/>
  <c r="BV30" i="1289"/>
  <c r="V30" i="1289"/>
  <c r="BX30" i="1289"/>
  <c r="U30" i="1289"/>
  <c r="BZ30" i="1289"/>
  <c r="CA30" i="1289"/>
  <c r="CB30" i="1289"/>
  <c r="CC30" i="1289"/>
  <c r="CD30" i="1289"/>
  <c r="CE30" i="1289"/>
  <c r="CF30" i="1289"/>
  <c r="CG30" i="1289"/>
  <c r="CH30" i="1289"/>
  <c r="CI30" i="1289"/>
  <c r="CJ30" i="1289"/>
  <c r="CK30" i="1289"/>
  <c r="CL30" i="1289"/>
  <c r="CM30" i="1289"/>
  <c r="CN30" i="1289"/>
  <c r="CO30" i="1289"/>
  <c r="CP30" i="1289"/>
  <c r="CQ30" i="1289"/>
  <c r="CR30" i="1289"/>
  <c r="CS30" i="1289"/>
  <c r="CT30" i="1289"/>
  <c r="CU30" i="1289"/>
  <c r="CV30" i="1289"/>
  <c r="CW30" i="1289"/>
  <c r="CX30" i="1289"/>
  <c r="CY30" i="1289"/>
  <c r="CZ30" i="1289"/>
  <c r="DA30" i="1289"/>
  <c r="DB30" i="1289"/>
  <c r="DC30" i="1289"/>
  <c r="DD30" i="1289"/>
  <c r="DE30" i="1289"/>
  <c r="Z30" i="1289"/>
  <c r="W30" i="1289"/>
  <c r="X30" i="1289"/>
  <c r="Y31" i="1289"/>
  <c r="Z31" i="1289"/>
  <c r="U31" i="1289"/>
  <c r="T31" i="1289"/>
  <c r="S31" i="1289"/>
  <c r="R31" i="1289"/>
  <c r="Q31" i="1289"/>
  <c r="P31" i="1289"/>
  <c r="O31" i="1289"/>
  <c r="N31" i="1289"/>
  <c r="M31" i="1289"/>
  <c r="L31" i="1289"/>
  <c r="K31" i="1289"/>
  <c r="J31" i="1289"/>
  <c r="I31" i="1289"/>
  <c r="H31" i="1289"/>
  <c r="G31" i="1289"/>
  <c r="F31" i="1289"/>
  <c r="E31" i="1289"/>
  <c r="AA31" i="1289"/>
  <c r="AB31" i="1289"/>
  <c r="AC31" i="1289"/>
  <c r="AD31" i="1289"/>
  <c r="AE31" i="1289"/>
  <c r="AF31" i="1289"/>
  <c r="AG31" i="1289"/>
  <c r="AH31" i="1289"/>
  <c r="AI31" i="1289"/>
  <c r="AJ31" i="1289"/>
  <c r="AK31" i="1289"/>
  <c r="AL31" i="1289"/>
  <c r="AM31" i="1289"/>
  <c r="AN31" i="1289"/>
  <c r="AO31" i="1289"/>
  <c r="AP31" i="1289"/>
  <c r="AQ31" i="1289"/>
  <c r="AR31" i="1289"/>
  <c r="AS31" i="1289"/>
  <c r="AT31" i="1289"/>
  <c r="AU31" i="1289"/>
  <c r="AV31" i="1289"/>
  <c r="AW31" i="1289"/>
  <c r="AX31" i="1289"/>
  <c r="AY31" i="1289"/>
  <c r="AZ31" i="1289"/>
  <c r="BA31" i="1289"/>
  <c r="BB31" i="1289"/>
  <c r="BC31" i="1289"/>
  <c r="BD31" i="1289"/>
  <c r="BE31" i="1289"/>
  <c r="BF31" i="1289"/>
  <c r="BG31" i="1289"/>
  <c r="BH31" i="1289"/>
  <c r="BI31" i="1289"/>
  <c r="BJ31" i="1289"/>
  <c r="BK31" i="1289"/>
  <c r="BL31" i="1289"/>
  <c r="BM31" i="1289"/>
  <c r="BN31" i="1289"/>
  <c r="BO31" i="1289"/>
  <c r="BP31" i="1289"/>
  <c r="BQ31" i="1289"/>
  <c r="BR31" i="1289"/>
  <c r="BS31" i="1289"/>
  <c r="BT31" i="1289"/>
  <c r="BU31" i="1289"/>
  <c r="BV31" i="1289"/>
  <c r="BW31" i="1289"/>
  <c r="BX31" i="1289"/>
  <c r="BY31" i="1289"/>
  <c r="BZ31" i="1289"/>
  <c r="CA31" i="1289"/>
  <c r="CB31" i="1289"/>
  <c r="CC31" i="1289"/>
  <c r="CD31" i="1289"/>
  <c r="CE31" i="1289"/>
  <c r="CF31" i="1289"/>
  <c r="CG31" i="1289"/>
  <c r="CH31" i="1289"/>
  <c r="CI31" i="1289"/>
  <c r="CJ31" i="1289"/>
  <c r="CK31" i="1289"/>
  <c r="CL31" i="1289"/>
  <c r="CM31" i="1289"/>
  <c r="CN31" i="1289"/>
  <c r="CO31" i="1289"/>
  <c r="CP31" i="1289"/>
  <c r="CQ31" i="1289"/>
  <c r="CR31" i="1289"/>
  <c r="CS31" i="1289"/>
  <c r="CT31" i="1289"/>
  <c r="CU31" i="1289"/>
  <c r="CV31" i="1289"/>
  <c r="CW31" i="1289"/>
  <c r="CX31" i="1289"/>
  <c r="CY31" i="1289"/>
  <c r="CZ31" i="1289"/>
  <c r="DA31" i="1289"/>
  <c r="DB31" i="1289"/>
  <c r="DC31" i="1289"/>
  <c r="DD31" i="1289"/>
  <c r="DE31" i="1289"/>
  <c r="V31" i="1289"/>
  <c r="X31" i="1289"/>
  <c r="W31" i="1289"/>
  <c r="W32" i="1289"/>
  <c r="X32" i="1289"/>
  <c r="Y32" i="1289"/>
  <c r="E32" i="1289"/>
  <c r="F32" i="1289"/>
  <c r="G32" i="1289"/>
  <c r="H32" i="1289"/>
  <c r="I32" i="1289"/>
  <c r="J32" i="1289"/>
  <c r="K32" i="1289"/>
  <c r="L32" i="1289"/>
  <c r="M32" i="1289"/>
  <c r="N32" i="1289"/>
  <c r="O32" i="1289"/>
  <c r="P32" i="1289"/>
  <c r="Q32" i="1289"/>
  <c r="R32" i="1289"/>
  <c r="S32" i="1289"/>
  <c r="T32" i="1289"/>
  <c r="AA32" i="1289"/>
  <c r="AB32" i="1289"/>
  <c r="AC32" i="1289"/>
  <c r="AD32" i="1289"/>
  <c r="AE32" i="1289"/>
  <c r="AF32" i="1289"/>
  <c r="AG32" i="1289"/>
  <c r="AH32" i="1289"/>
  <c r="AI32" i="1289"/>
  <c r="AJ32" i="1289"/>
  <c r="AK32" i="1289"/>
  <c r="AL32" i="1289"/>
  <c r="AM32" i="1289"/>
  <c r="AN32" i="1289"/>
  <c r="AO32" i="1289"/>
  <c r="AP32" i="1289"/>
  <c r="AQ32" i="1289"/>
  <c r="AR32" i="1289"/>
  <c r="AS32" i="1289"/>
  <c r="AT32" i="1289"/>
  <c r="AU32" i="1289"/>
  <c r="AV32" i="1289"/>
  <c r="AW32" i="1289"/>
  <c r="AX32" i="1289"/>
  <c r="AY32" i="1289"/>
  <c r="AZ32" i="1289"/>
  <c r="BA32" i="1289"/>
  <c r="BB32" i="1289"/>
  <c r="BC32" i="1289"/>
  <c r="BD32" i="1289"/>
  <c r="BE32" i="1289"/>
  <c r="BF32" i="1289"/>
  <c r="BG32" i="1289"/>
  <c r="BH32" i="1289"/>
  <c r="BI32" i="1289"/>
  <c r="BJ32" i="1289"/>
  <c r="BK32" i="1289"/>
  <c r="BL32" i="1289"/>
  <c r="BM32" i="1289"/>
  <c r="BN32" i="1289"/>
  <c r="BO32" i="1289"/>
  <c r="BP32" i="1289"/>
  <c r="BQ32" i="1289"/>
  <c r="BR32" i="1289"/>
  <c r="BS32" i="1289"/>
  <c r="BT32" i="1289"/>
  <c r="BU32" i="1289"/>
  <c r="BV32" i="1289"/>
  <c r="BW32" i="1289"/>
  <c r="BX32" i="1289"/>
  <c r="BY32" i="1289"/>
  <c r="BZ32" i="1289"/>
  <c r="CA32" i="1289"/>
  <c r="CB32" i="1289"/>
  <c r="CC32" i="1289"/>
  <c r="CD32" i="1289"/>
  <c r="CE32" i="1289"/>
  <c r="CF32" i="1289"/>
  <c r="CG32" i="1289"/>
  <c r="CH32" i="1289"/>
  <c r="CI32" i="1289"/>
  <c r="CJ32" i="1289"/>
  <c r="CK32" i="1289"/>
  <c r="CL32" i="1289"/>
  <c r="CM32" i="1289"/>
  <c r="CN32" i="1289"/>
  <c r="CO32" i="1289"/>
  <c r="CP32" i="1289"/>
  <c r="CQ32" i="1289"/>
  <c r="CR32" i="1289"/>
  <c r="CS32" i="1289"/>
  <c r="CT32" i="1289"/>
  <c r="CU32" i="1289"/>
  <c r="CV32" i="1289"/>
  <c r="CW32" i="1289"/>
  <c r="CX32" i="1289"/>
  <c r="CY32" i="1289"/>
  <c r="CZ32" i="1289"/>
  <c r="DA32" i="1289"/>
  <c r="DB32" i="1289"/>
  <c r="DC32" i="1289"/>
  <c r="DD32" i="1289"/>
  <c r="DE32" i="1289"/>
  <c r="Z32" i="1289"/>
  <c r="V32" i="1289"/>
  <c r="U32" i="1289"/>
  <c r="H33" i="1289"/>
  <c r="G33" i="1289"/>
  <c r="J33" i="1289"/>
  <c r="K33" i="1289"/>
  <c r="L33" i="1289"/>
  <c r="M33" i="1289"/>
  <c r="N33" i="1289"/>
  <c r="O33" i="1289"/>
  <c r="P33" i="1289"/>
  <c r="Q33" i="1289"/>
  <c r="R33" i="1289"/>
  <c r="S33" i="1289"/>
  <c r="T33" i="1289"/>
  <c r="U33" i="1289"/>
  <c r="V33" i="1289"/>
  <c r="W33" i="1289"/>
  <c r="X33" i="1289"/>
  <c r="Y33" i="1289"/>
  <c r="Z33" i="1289"/>
  <c r="AA33" i="1289"/>
  <c r="AB33" i="1289"/>
  <c r="AC33" i="1289"/>
  <c r="AD33" i="1289"/>
  <c r="AE33" i="1289"/>
  <c r="AF33" i="1289"/>
  <c r="AG33" i="1289"/>
  <c r="AH33" i="1289"/>
  <c r="AI33" i="1289"/>
  <c r="AJ33" i="1289"/>
  <c r="AK33" i="1289"/>
  <c r="AL33" i="1289"/>
  <c r="AM33" i="1289"/>
  <c r="AN33" i="1289"/>
  <c r="AO33" i="1289"/>
  <c r="AP33" i="1289"/>
  <c r="AQ33" i="1289"/>
  <c r="AR33" i="1289"/>
  <c r="AS33" i="1289"/>
  <c r="AT33" i="1289"/>
  <c r="AU33" i="1289"/>
  <c r="AV33" i="1289"/>
  <c r="AW33" i="1289"/>
  <c r="AX33" i="1289"/>
  <c r="AY33" i="1289"/>
  <c r="AZ33" i="1289"/>
  <c r="BA33" i="1289"/>
  <c r="BB33" i="1289"/>
  <c r="BC33" i="1289"/>
  <c r="BD33" i="1289"/>
  <c r="BE33" i="1289"/>
  <c r="BF33" i="1289"/>
  <c r="BG33" i="1289"/>
  <c r="BH33" i="1289"/>
  <c r="BI33" i="1289"/>
  <c r="BJ33" i="1289"/>
  <c r="BK33" i="1289"/>
  <c r="BL33" i="1289"/>
  <c r="BM33" i="1289"/>
  <c r="BN33" i="1289"/>
  <c r="BO33" i="1289"/>
  <c r="BP33" i="1289"/>
  <c r="BQ33" i="1289"/>
  <c r="BR33" i="1289"/>
  <c r="BS33" i="1289"/>
  <c r="BT33" i="1289"/>
  <c r="BU33" i="1289"/>
  <c r="BV33" i="1289"/>
  <c r="BW33" i="1289"/>
  <c r="BX33" i="1289"/>
  <c r="BY33" i="1289"/>
  <c r="BZ33" i="1289"/>
  <c r="CA33" i="1289"/>
  <c r="CB33" i="1289"/>
  <c r="CC33" i="1289"/>
  <c r="CD33" i="1289"/>
  <c r="CE33" i="1289"/>
  <c r="CF33" i="1289"/>
  <c r="CG33" i="1289"/>
  <c r="CH33" i="1289"/>
  <c r="CI33" i="1289"/>
  <c r="CJ33" i="1289"/>
  <c r="CK33" i="1289"/>
  <c r="CL33" i="1289"/>
  <c r="CM33" i="1289"/>
  <c r="CN33" i="1289"/>
  <c r="CO33" i="1289"/>
  <c r="CP33" i="1289"/>
  <c r="CQ33" i="1289"/>
  <c r="CR33" i="1289"/>
  <c r="CS33" i="1289"/>
  <c r="CT33" i="1289"/>
  <c r="CU33" i="1289"/>
  <c r="CV33" i="1289"/>
  <c r="CW33" i="1289"/>
  <c r="CX33" i="1289"/>
  <c r="CY33" i="1289"/>
  <c r="CZ33" i="1289"/>
  <c r="DA33" i="1289"/>
  <c r="DB33" i="1289"/>
  <c r="DC33" i="1289"/>
  <c r="DD33" i="1289"/>
  <c r="DE33" i="1289"/>
  <c r="F33" i="1289"/>
  <c r="I33" i="1289"/>
  <c r="E33" i="1289"/>
  <c r="BI34" i="1289"/>
  <c r="G34" i="1289"/>
  <c r="J34" i="1289"/>
  <c r="K34" i="1289"/>
  <c r="L34" i="1289"/>
  <c r="M34" i="1289"/>
  <c r="N34" i="1289"/>
  <c r="O34" i="1289"/>
  <c r="P34" i="1289"/>
  <c r="Q34" i="1289"/>
  <c r="R34" i="1289"/>
  <c r="S34" i="1289"/>
  <c r="T34" i="1289"/>
  <c r="U34" i="1289"/>
  <c r="V34" i="1289"/>
  <c r="W34" i="1289"/>
  <c r="X34" i="1289"/>
  <c r="Y34" i="1289"/>
  <c r="Z34" i="1289"/>
  <c r="AA34" i="1289"/>
  <c r="AB34" i="1289"/>
  <c r="AC34" i="1289"/>
  <c r="AD34" i="1289"/>
  <c r="AE34" i="1289"/>
  <c r="AF34" i="1289"/>
  <c r="AG34" i="1289"/>
  <c r="AH34" i="1289"/>
  <c r="AI34" i="1289"/>
  <c r="AJ34" i="1289"/>
  <c r="AK34" i="1289"/>
  <c r="AL34" i="1289"/>
  <c r="AM34" i="1289"/>
  <c r="AN34" i="1289"/>
  <c r="AO34" i="1289"/>
  <c r="AP34" i="1289"/>
  <c r="AQ34" i="1289"/>
  <c r="AR34" i="1289"/>
  <c r="AS34" i="1289"/>
  <c r="AT34" i="1289"/>
  <c r="AU34" i="1289"/>
  <c r="AV34" i="1289"/>
  <c r="AW34" i="1289"/>
  <c r="AX34" i="1289"/>
  <c r="AY34" i="1289"/>
  <c r="AZ34" i="1289"/>
  <c r="BA34" i="1289"/>
  <c r="BB34" i="1289"/>
  <c r="BC34" i="1289"/>
  <c r="BD34" i="1289"/>
  <c r="BE34" i="1289"/>
  <c r="BF34" i="1289"/>
  <c r="BG34" i="1289"/>
  <c r="BH34" i="1289"/>
  <c r="E34" i="1289"/>
  <c r="BJ34" i="1289"/>
  <c r="BK34" i="1289"/>
  <c r="BL34" i="1289"/>
  <c r="BM34" i="1289"/>
  <c r="BN34" i="1289"/>
  <c r="BO34" i="1289"/>
  <c r="BP34" i="1289"/>
  <c r="BQ34" i="1289"/>
  <c r="BR34" i="1289"/>
  <c r="BS34" i="1289"/>
  <c r="BT34" i="1289"/>
  <c r="BU34" i="1289"/>
  <c r="BV34" i="1289"/>
  <c r="BW34" i="1289"/>
  <c r="BX34" i="1289"/>
  <c r="BY34" i="1289"/>
  <c r="BZ34" i="1289"/>
  <c r="CA34" i="1289"/>
  <c r="CB34" i="1289"/>
  <c r="CC34" i="1289"/>
  <c r="CD34" i="1289"/>
  <c r="CE34" i="1289"/>
  <c r="CF34" i="1289"/>
  <c r="CG34" i="1289"/>
  <c r="CH34" i="1289"/>
  <c r="CI34" i="1289"/>
  <c r="CJ34" i="1289"/>
  <c r="CK34" i="1289"/>
  <c r="CL34" i="1289"/>
  <c r="CM34" i="1289"/>
  <c r="CN34" i="1289"/>
  <c r="CO34" i="1289"/>
  <c r="CP34" i="1289"/>
  <c r="CQ34" i="1289"/>
  <c r="CR34" i="1289"/>
  <c r="CS34" i="1289"/>
  <c r="CT34" i="1289"/>
  <c r="CU34" i="1289"/>
  <c r="CV34" i="1289"/>
  <c r="CW34" i="1289"/>
  <c r="CX34" i="1289"/>
  <c r="CY34" i="1289"/>
  <c r="CZ34" i="1289"/>
  <c r="DA34" i="1289"/>
  <c r="DB34" i="1289"/>
  <c r="DC34" i="1289"/>
  <c r="DD34" i="1289"/>
  <c r="DE34" i="1289"/>
  <c r="I34" i="1289"/>
  <c r="F34" i="1289"/>
  <c r="H34" i="1289"/>
  <c r="F35" i="1289"/>
  <c r="E35" i="1289"/>
  <c r="J35" i="1289"/>
  <c r="K35" i="1289"/>
  <c r="L35" i="1289"/>
  <c r="M35" i="1289"/>
  <c r="N35" i="1289"/>
  <c r="O35" i="1289"/>
  <c r="P35" i="1289"/>
  <c r="Q35" i="1289"/>
  <c r="R35" i="1289"/>
  <c r="S35" i="1289"/>
  <c r="T35" i="1289"/>
  <c r="U35" i="1289"/>
  <c r="V35" i="1289"/>
  <c r="W35" i="1289"/>
  <c r="X35" i="1289"/>
  <c r="Y35" i="1289"/>
  <c r="Z35" i="1289"/>
  <c r="AA35" i="1289"/>
  <c r="AB35" i="1289"/>
  <c r="AC35" i="1289"/>
  <c r="AD35" i="1289"/>
  <c r="AE35" i="1289"/>
  <c r="AF35" i="1289"/>
  <c r="AG35" i="1289"/>
  <c r="AH35" i="1289"/>
  <c r="AI35" i="1289"/>
  <c r="AJ35" i="1289"/>
  <c r="AK35" i="1289"/>
  <c r="AL35" i="1289"/>
  <c r="AM35" i="1289"/>
  <c r="AN35" i="1289"/>
  <c r="AO35" i="1289"/>
  <c r="AP35" i="1289"/>
  <c r="AQ35" i="1289"/>
  <c r="AR35" i="1289"/>
  <c r="AS35" i="1289"/>
  <c r="AT35" i="1289"/>
  <c r="AU35" i="1289"/>
  <c r="AV35" i="1289"/>
  <c r="AW35" i="1289"/>
  <c r="AX35" i="1289"/>
  <c r="AY35" i="1289"/>
  <c r="AZ35" i="1289"/>
  <c r="BA35" i="1289"/>
  <c r="BB35" i="1289"/>
  <c r="BC35" i="1289"/>
  <c r="BD35" i="1289"/>
  <c r="BE35" i="1289"/>
  <c r="BF35" i="1289"/>
  <c r="BG35" i="1289"/>
  <c r="BH35" i="1289"/>
  <c r="BI35" i="1289"/>
  <c r="BJ35" i="1289"/>
  <c r="BK35" i="1289"/>
  <c r="BL35" i="1289"/>
  <c r="BM35" i="1289"/>
  <c r="BN35" i="1289"/>
  <c r="BO35" i="1289"/>
  <c r="BP35" i="1289"/>
  <c r="BQ35" i="1289"/>
  <c r="BR35" i="1289"/>
  <c r="BS35" i="1289"/>
  <c r="BT35" i="1289"/>
  <c r="BU35" i="1289"/>
  <c r="BV35" i="1289"/>
  <c r="BW35" i="1289"/>
  <c r="BX35" i="1289"/>
  <c r="BY35" i="1289"/>
  <c r="BZ35" i="1289"/>
  <c r="CA35" i="1289"/>
  <c r="CB35" i="1289"/>
  <c r="CC35" i="1289"/>
  <c r="CD35" i="1289"/>
  <c r="CE35" i="1289"/>
  <c r="CF35" i="1289"/>
  <c r="CG35" i="1289"/>
  <c r="CH35" i="1289"/>
  <c r="CI35" i="1289"/>
  <c r="CJ35" i="1289"/>
  <c r="CK35" i="1289"/>
  <c r="CL35" i="1289"/>
  <c r="CM35" i="1289"/>
  <c r="CN35" i="1289"/>
  <c r="CO35" i="1289"/>
  <c r="CP35" i="1289"/>
  <c r="CQ35" i="1289"/>
  <c r="CR35" i="1289"/>
  <c r="CS35" i="1289"/>
  <c r="CT35" i="1289"/>
  <c r="CU35" i="1289"/>
  <c r="CV35" i="1289"/>
  <c r="CW35" i="1289"/>
  <c r="CX35" i="1289"/>
  <c r="CY35" i="1289"/>
  <c r="CZ35" i="1289"/>
  <c r="DA35" i="1289"/>
  <c r="DB35" i="1289"/>
  <c r="DC35" i="1289"/>
  <c r="DD35" i="1289"/>
  <c r="DE35" i="1289"/>
  <c r="I35" i="1289"/>
  <c r="G35" i="1289"/>
  <c r="H35" i="1289"/>
  <c r="M36" i="1289"/>
  <c r="V36" i="1289"/>
  <c r="N36" i="1289"/>
  <c r="E36" i="1289"/>
  <c r="F36" i="1289"/>
  <c r="G36" i="1289"/>
  <c r="H36" i="1289"/>
  <c r="I36" i="1289"/>
  <c r="J36" i="1289"/>
  <c r="K36" i="1289"/>
  <c r="L36" i="1289"/>
  <c r="P36" i="1289"/>
  <c r="Q36" i="1289"/>
  <c r="R36" i="1289"/>
  <c r="S36" i="1289"/>
  <c r="U36" i="1289"/>
  <c r="AB36" i="1289"/>
  <c r="AE36" i="1289"/>
  <c r="AF36" i="1289"/>
  <c r="AG36" i="1289"/>
  <c r="AH36" i="1289"/>
  <c r="AI36" i="1289"/>
  <c r="AJ36" i="1289"/>
  <c r="AK36" i="1289"/>
  <c r="AL36" i="1289"/>
  <c r="AM36" i="1289"/>
  <c r="AN36" i="1289"/>
  <c r="AO36" i="1289"/>
  <c r="AP36" i="1289"/>
  <c r="AQ36" i="1289"/>
  <c r="AS36" i="1289"/>
  <c r="AU36" i="1289"/>
  <c r="AW36" i="1289"/>
  <c r="AY36" i="1289"/>
  <c r="AZ36" i="1289"/>
  <c r="BD36" i="1289"/>
  <c r="BH36" i="1289"/>
  <c r="BI36" i="1289"/>
  <c r="BJ36" i="1289"/>
  <c r="BK36" i="1289"/>
  <c r="BN36" i="1289"/>
  <c r="BO36" i="1289"/>
  <c r="BQ36" i="1289"/>
  <c r="BR36" i="1289"/>
  <c r="BS36" i="1289"/>
  <c r="BT36" i="1289"/>
  <c r="BV36" i="1289"/>
  <c r="BW36" i="1289"/>
  <c r="BX36" i="1289"/>
  <c r="BY36" i="1289"/>
  <c r="BZ36" i="1289"/>
  <c r="CA36" i="1289"/>
  <c r="CC36" i="1289"/>
  <c r="CD36" i="1289"/>
  <c r="CE36" i="1289"/>
  <c r="CF36" i="1289"/>
  <c r="CG36" i="1289"/>
  <c r="CJ36" i="1289"/>
  <c r="CK36" i="1289"/>
  <c r="CM36" i="1289"/>
  <c r="CO36" i="1289"/>
  <c r="DB36" i="1289"/>
  <c r="DE36" i="1289"/>
  <c r="DD36" i="1289"/>
  <c r="DC36" i="1289"/>
  <c r="DA36" i="1289"/>
  <c r="CZ36" i="1289"/>
  <c r="CY36" i="1289"/>
  <c r="CX36" i="1289"/>
  <c r="CW36" i="1289"/>
  <c r="CV36" i="1289"/>
  <c r="CU36" i="1289"/>
  <c r="CT36" i="1289"/>
  <c r="CS36" i="1289"/>
  <c r="CR36" i="1289"/>
  <c r="O36" i="1289"/>
  <c r="CQ36" i="1289"/>
  <c r="CP36" i="1289"/>
  <c r="CN36" i="1289"/>
  <c r="CL36" i="1289"/>
  <c r="CI36" i="1289"/>
  <c r="CH36" i="1289"/>
  <c r="CB36" i="1289"/>
  <c r="BU36" i="1289"/>
  <c r="BP36" i="1289"/>
  <c r="BM36" i="1289"/>
  <c r="BL36" i="1289"/>
  <c r="BG36" i="1289"/>
  <c r="BF36" i="1289"/>
  <c r="BE36" i="1289"/>
  <c r="BC36" i="1289"/>
  <c r="BB36" i="1289"/>
  <c r="BA36" i="1289"/>
  <c r="AX36" i="1289"/>
  <c r="AV36" i="1289"/>
  <c r="AT36" i="1289"/>
  <c r="AR36" i="1289"/>
  <c r="AD36" i="1289"/>
  <c r="AC36" i="1289"/>
  <c r="AA36" i="1289"/>
  <c r="Z36" i="1289"/>
  <c r="Y36" i="1289"/>
  <c r="X36" i="1289"/>
  <c r="W36" i="1289"/>
  <c r="T36" i="1289"/>
  <c r="BT37" i="1289"/>
  <c r="CO37" i="1289"/>
  <c r="BV37" i="1289"/>
  <c r="BX37" i="1289"/>
  <c r="CB37" i="1289"/>
  <c r="CG37" i="1289"/>
  <c r="CI37" i="1289"/>
  <c r="CK37" i="1289"/>
  <c r="CP37" i="1289"/>
  <c r="CQ37" i="1289"/>
  <c r="CR37" i="1289"/>
  <c r="CS37" i="1289"/>
  <c r="CU37" i="1289"/>
  <c r="CV37" i="1289"/>
  <c r="CW37" i="1289"/>
  <c r="CX37" i="1289"/>
  <c r="CY37" i="1289"/>
  <c r="CZ37" i="1289"/>
  <c r="DA37" i="1289"/>
  <c r="DB37" i="1289"/>
  <c r="DC37" i="1289"/>
  <c r="DD37" i="1289"/>
  <c r="DE37" i="1289"/>
  <c r="CT37" i="1289"/>
  <c r="BS37" i="1289"/>
  <c r="BQ37" i="1289"/>
  <c r="BP37" i="1289"/>
  <c r="BN37" i="1289"/>
  <c r="BM37" i="1289"/>
  <c r="BL37" i="1289"/>
  <c r="BJ37" i="1289"/>
  <c r="BI37" i="1289"/>
  <c r="BH37" i="1289"/>
  <c r="BF37" i="1289"/>
  <c r="BE37" i="1289"/>
  <c r="BD37" i="1289"/>
  <c r="BB37" i="1289"/>
  <c r="BA37" i="1289"/>
  <c r="AZ37" i="1289"/>
  <c r="AX37" i="1289"/>
  <c r="AW37" i="1289"/>
  <c r="AV37" i="1289"/>
  <c r="AU37" i="1289"/>
  <c r="AS37" i="1289"/>
  <c r="AQ37" i="1289"/>
  <c r="AO37" i="1289"/>
  <c r="AM37" i="1289"/>
  <c r="AK37" i="1289"/>
  <c r="AJ37" i="1289"/>
  <c r="AH37" i="1289"/>
  <c r="AF37" i="1289"/>
  <c r="AE37" i="1289"/>
  <c r="AD37" i="1289"/>
  <c r="AC37" i="1289"/>
  <c r="AB37" i="1289"/>
  <c r="AA37" i="1289"/>
  <c r="Y37" i="1289"/>
  <c r="U37" i="1289"/>
  <c r="S37" i="1289"/>
  <c r="R37" i="1289"/>
  <c r="P37" i="1289"/>
  <c r="O37" i="1289"/>
  <c r="N37" i="1289"/>
  <c r="J37" i="1289"/>
  <c r="I37" i="1289"/>
  <c r="H37" i="1289"/>
  <c r="G37" i="1289"/>
  <c r="E37" i="1289"/>
  <c r="F37" i="1289"/>
  <c r="K37" i="1289"/>
  <c r="L37" i="1289"/>
  <c r="M37" i="1289"/>
  <c r="Q37" i="1289"/>
  <c r="T37" i="1289"/>
  <c r="V37" i="1289"/>
  <c r="W37" i="1289"/>
  <c r="X37" i="1289"/>
  <c r="Z37" i="1289"/>
  <c r="AG37" i="1289"/>
  <c r="AI37" i="1289"/>
  <c r="AL37" i="1289"/>
  <c r="AN37" i="1289"/>
  <c r="AP37" i="1289"/>
  <c r="AR37" i="1289"/>
  <c r="AT37" i="1289"/>
  <c r="AY37" i="1289"/>
  <c r="BC37" i="1289"/>
  <c r="BG37" i="1289"/>
  <c r="BK37" i="1289"/>
  <c r="BO37" i="1289"/>
  <c r="BR37" i="1289"/>
  <c r="BW37" i="1289"/>
  <c r="BY37" i="1289"/>
  <c r="BZ37" i="1289"/>
  <c r="CA37" i="1289"/>
  <c r="CC37" i="1289"/>
  <c r="CD37" i="1289"/>
  <c r="CE37" i="1289"/>
  <c r="CF37" i="1289"/>
  <c r="CH37" i="1289"/>
  <c r="CJ37" i="1289"/>
  <c r="CL37" i="1289"/>
  <c r="CM37" i="1289"/>
  <c r="CN37" i="1289"/>
  <c r="BU37" i="1289"/>
  <c r="AJ38" i="1289"/>
  <c r="DE38" i="1289"/>
  <c r="CL38" i="1289"/>
  <c r="CM38" i="1289"/>
  <c r="CN38" i="1289"/>
  <c r="CO38" i="1289"/>
  <c r="CP38" i="1289"/>
  <c r="CQ38" i="1289"/>
  <c r="CR38" i="1289"/>
  <c r="CS38" i="1289"/>
  <c r="CT38" i="1289"/>
  <c r="CU38" i="1289"/>
  <c r="CV38" i="1289"/>
  <c r="CW38" i="1289"/>
  <c r="CX38" i="1289"/>
  <c r="CY38" i="1289"/>
  <c r="CZ38" i="1289"/>
  <c r="DA38" i="1289"/>
  <c r="DB38" i="1289"/>
  <c r="I38" i="1289"/>
  <c r="CJ38" i="1289"/>
  <c r="CI38" i="1289"/>
  <c r="CH38" i="1289"/>
  <c r="CG38" i="1289"/>
  <c r="CF38" i="1289"/>
  <c r="CE38" i="1289"/>
  <c r="CD38" i="1289"/>
  <c r="CC38" i="1289"/>
  <c r="CB38" i="1289"/>
  <c r="CA38" i="1289"/>
  <c r="BZ38" i="1289"/>
  <c r="BY38" i="1289"/>
  <c r="BX38" i="1289"/>
  <c r="BW38" i="1289"/>
  <c r="BV38" i="1289"/>
  <c r="BU38" i="1289"/>
  <c r="BT38" i="1289"/>
  <c r="BS38" i="1289"/>
  <c r="BR38" i="1289"/>
  <c r="BQ38" i="1289"/>
  <c r="BP38" i="1289"/>
  <c r="BO38" i="1289"/>
  <c r="BN38" i="1289"/>
  <c r="BM38" i="1289"/>
  <c r="BL38" i="1289"/>
  <c r="BK38" i="1289"/>
  <c r="BJ38" i="1289"/>
  <c r="BI38" i="1289"/>
  <c r="BH38" i="1289"/>
  <c r="BG38" i="1289"/>
  <c r="BF38" i="1289"/>
  <c r="BE38" i="1289"/>
  <c r="BD38" i="1289"/>
  <c r="BC38" i="1289"/>
  <c r="BB38" i="1289"/>
  <c r="BA38" i="1289"/>
  <c r="AZ38" i="1289"/>
  <c r="AY38" i="1289"/>
  <c r="AX38" i="1289"/>
  <c r="AW38" i="1289"/>
  <c r="AV38" i="1289"/>
  <c r="AU38" i="1289"/>
  <c r="AT38" i="1289"/>
  <c r="AS38" i="1289"/>
  <c r="AR38" i="1289"/>
  <c r="AQ38" i="1289"/>
  <c r="AP38" i="1289"/>
  <c r="AO38" i="1289"/>
  <c r="AN38" i="1289"/>
  <c r="AM38" i="1289"/>
  <c r="AL38" i="1289"/>
  <c r="AK38" i="1289"/>
  <c r="AI38" i="1289"/>
  <c r="AH38" i="1289"/>
  <c r="AG38" i="1289"/>
  <c r="AF38" i="1289"/>
  <c r="AE38" i="1289"/>
  <c r="AD38" i="1289"/>
  <c r="AC38" i="1289"/>
  <c r="AB38" i="1289"/>
  <c r="AA38" i="1289"/>
  <c r="Z38" i="1289"/>
  <c r="Y38" i="1289"/>
  <c r="X38" i="1289"/>
  <c r="W38" i="1289"/>
  <c r="V38" i="1289"/>
  <c r="U38" i="1289"/>
  <c r="T38" i="1289"/>
  <c r="S38" i="1289"/>
  <c r="R38" i="1289"/>
  <c r="Q38" i="1289"/>
  <c r="P38" i="1289"/>
  <c r="O38" i="1289"/>
  <c r="N38" i="1289"/>
  <c r="M38" i="1289"/>
  <c r="L38" i="1289"/>
  <c r="K38" i="1289"/>
  <c r="J38" i="1289"/>
  <c r="H38" i="1289"/>
  <c r="G38" i="1289"/>
  <c r="F38" i="1289"/>
  <c r="E38" i="1289"/>
  <c r="DC38" i="1289"/>
  <c r="DD38" i="1289"/>
  <c r="CK38" i="1289"/>
  <c r="C60" i="1288"/>
  <c r="DC45" i="1288"/>
  <c r="DB45" i="1288"/>
  <c r="DD45" i="1288"/>
  <c r="E45" i="1288"/>
  <c r="F45" i="1288"/>
  <c r="G45" i="1288"/>
  <c r="H45" i="1288"/>
  <c r="I45" i="1288"/>
  <c r="J45" i="1288"/>
  <c r="K45" i="1288"/>
  <c r="L45" i="1288"/>
  <c r="M45" i="1288"/>
  <c r="N45" i="1288"/>
  <c r="O45" i="1288"/>
  <c r="P45" i="1288"/>
  <c r="Q45" i="1288"/>
  <c r="R45" i="1288"/>
  <c r="S45" i="1288"/>
  <c r="T45" i="1288"/>
  <c r="U45" i="1288"/>
  <c r="V45" i="1288"/>
  <c r="W45" i="1288"/>
  <c r="X45" i="1288"/>
  <c r="Y45" i="1288"/>
  <c r="Z45" i="1288"/>
  <c r="AA45" i="1288"/>
  <c r="AB45" i="1288"/>
  <c r="AC45" i="1288"/>
  <c r="AD45" i="1288"/>
  <c r="AE45" i="1288"/>
  <c r="AF45" i="1288"/>
  <c r="AG45" i="1288"/>
  <c r="AH45" i="1288"/>
  <c r="AI45" i="1288"/>
  <c r="AJ45" i="1288"/>
  <c r="AK45" i="1288"/>
  <c r="AL45" i="1288"/>
  <c r="AM45" i="1288"/>
  <c r="AN45" i="1288"/>
  <c r="AO45" i="1288"/>
  <c r="AP45" i="1288"/>
  <c r="AQ45" i="1288"/>
  <c r="AR45" i="1288"/>
  <c r="AS45" i="1288"/>
  <c r="AT45" i="1288"/>
  <c r="AU45" i="1288"/>
  <c r="AV45" i="1288"/>
  <c r="AW45" i="1288"/>
  <c r="AX45" i="1288"/>
  <c r="AY45" i="1288"/>
  <c r="AZ45" i="1288"/>
  <c r="BA45" i="1288"/>
  <c r="BB45" i="1288"/>
  <c r="BC45" i="1288"/>
  <c r="BD45" i="1288"/>
  <c r="BE45" i="1288"/>
  <c r="BF45" i="1288"/>
  <c r="BG45" i="1288"/>
  <c r="BH45" i="1288"/>
  <c r="BI45" i="1288"/>
  <c r="BJ45" i="1288"/>
  <c r="BK45" i="1288"/>
  <c r="BL45" i="1288"/>
  <c r="BM45" i="1288"/>
  <c r="BN45" i="1288"/>
  <c r="BO45" i="1288"/>
  <c r="BP45" i="1288"/>
  <c r="BQ45" i="1288"/>
  <c r="BR45" i="1288"/>
  <c r="BS45" i="1288"/>
  <c r="BT45" i="1288"/>
  <c r="BU45" i="1288"/>
  <c r="BV45" i="1288"/>
  <c r="BW45" i="1288"/>
  <c r="BX45" i="1288"/>
  <c r="BY45" i="1288"/>
  <c r="BZ45" i="1288"/>
  <c r="CA45" i="1288"/>
  <c r="CB45" i="1288"/>
  <c r="CC45" i="1288"/>
  <c r="CD45" i="1288"/>
  <c r="CE45" i="1288"/>
  <c r="CF45" i="1288"/>
  <c r="CG45" i="1288"/>
  <c r="CH45" i="1288"/>
  <c r="CI45" i="1288"/>
  <c r="CJ45" i="1288"/>
  <c r="CK45" i="1288"/>
  <c r="CL45" i="1288"/>
  <c r="CM45" i="1288"/>
  <c r="CN45" i="1288"/>
  <c r="CO45" i="1288"/>
  <c r="CP45" i="1288"/>
  <c r="CQ45" i="1288"/>
  <c r="CR45" i="1288"/>
  <c r="CS45" i="1288"/>
  <c r="CT45" i="1288"/>
  <c r="CU45" i="1288"/>
  <c r="CV45" i="1288"/>
  <c r="CW45" i="1288"/>
  <c r="CX45" i="1288"/>
  <c r="CY45" i="1288"/>
  <c r="CZ45" i="1288"/>
  <c r="DA45" i="1288"/>
  <c r="DE45" i="1288"/>
  <c r="DC46" i="1288"/>
  <c r="DB46" i="1288"/>
  <c r="BA46" i="1288"/>
  <c r="E46" i="1288"/>
  <c r="F46" i="1288"/>
  <c r="G46" i="1288"/>
  <c r="H46" i="1288"/>
  <c r="I46" i="1288"/>
  <c r="J46" i="1288"/>
  <c r="K46" i="1288"/>
  <c r="L46" i="1288"/>
  <c r="M46" i="1288"/>
  <c r="N46" i="1288"/>
  <c r="O46" i="1288"/>
  <c r="P46" i="1288"/>
  <c r="Q46" i="1288"/>
  <c r="R46" i="1288"/>
  <c r="S46" i="1288"/>
  <c r="T46" i="1288"/>
  <c r="U46" i="1288"/>
  <c r="V46" i="1288"/>
  <c r="W46" i="1288"/>
  <c r="X46" i="1288"/>
  <c r="Y46" i="1288"/>
  <c r="Z46" i="1288"/>
  <c r="AA46" i="1288"/>
  <c r="AB46" i="1288"/>
  <c r="AC46" i="1288"/>
  <c r="AD46" i="1288"/>
  <c r="AE46" i="1288"/>
  <c r="AF46" i="1288"/>
  <c r="AG46" i="1288"/>
  <c r="AH46" i="1288"/>
  <c r="AI46" i="1288"/>
  <c r="AJ46" i="1288"/>
  <c r="AK46" i="1288"/>
  <c r="AL46" i="1288"/>
  <c r="AM46" i="1288"/>
  <c r="AN46" i="1288"/>
  <c r="AO46" i="1288"/>
  <c r="AP46" i="1288"/>
  <c r="AQ46" i="1288"/>
  <c r="AR46" i="1288"/>
  <c r="AS46" i="1288"/>
  <c r="AT46" i="1288"/>
  <c r="AU46" i="1288"/>
  <c r="AV46" i="1288"/>
  <c r="AW46" i="1288"/>
  <c r="AX46" i="1288"/>
  <c r="AY46" i="1288"/>
  <c r="AZ46" i="1288"/>
  <c r="DE46" i="1288"/>
  <c r="BB46" i="1288"/>
  <c r="DD46" i="1288"/>
  <c r="BD46" i="1288"/>
  <c r="BE46" i="1288"/>
  <c r="BF46" i="1288"/>
  <c r="BG46" i="1288"/>
  <c r="BH46" i="1288"/>
  <c r="BI46" i="1288"/>
  <c r="BJ46" i="1288"/>
  <c r="BK46" i="1288"/>
  <c r="BL46" i="1288"/>
  <c r="BM46" i="1288"/>
  <c r="BN46" i="1288"/>
  <c r="BO46" i="1288"/>
  <c r="BP46" i="1288"/>
  <c r="BQ46" i="1288"/>
  <c r="BR46" i="1288"/>
  <c r="BS46" i="1288"/>
  <c r="BT46" i="1288"/>
  <c r="BU46" i="1288"/>
  <c r="BV46" i="1288"/>
  <c r="BW46" i="1288"/>
  <c r="BX46" i="1288"/>
  <c r="BY46" i="1288"/>
  <c r="BZ46" i="1288"/>
  <c r="CA46" i="1288"/>
  <c r="CB46" i="1288"/>
  <c r="CC46" i="1288"/>
  <c r="CD46" i="1288"/>
  <c r="CE46" i="1288"/>
  <c r="CF46" i="1288"/>
  <c r="CG46" i="1288"/>
  <c r="CH46" i="1288"/>
  <c r="CI46" i="1288"/>
  <c r="CJ46" i="1288"/>
  <c r="CK46" i="1288"/>
  <c r="CL46" i="1288"/>
  <c r="CM46" i="1288"/>
  <c r="CN46" i="1288"/>
  <c r="CO46" i="1288"/>
  <c r="CP46" i="1288"/>
  <c r="CQ46" i="1288"/>
  <c r="CR46" i="1288"/>
  <c r="CS46" i="1288"/>
  <c r="CT46" i="1288"/>
  <c r="CU46" i="1288"/>
  <c r="CV46" i="1288"/>
  <c r="CW46" i="1288"/>
  <c r="CX46" i="1288"/>
  <c r="CY46" i="1288"/>
  <c r="CZ46" i="1288"/>
  <c r="DA46" i="1288"/>
  <c r="BC46" i="1288"/>
  <c r="DE47" i="1288"/>
  <c r="K47" i="1288"/>
  <c r="DD47" i="1288"/>
  <c r="E47" i="1288"/>
  <c r="F47" i="1288"/>
  <c r="G47" i="1288"/>
  <c r="H47" i="1288"/>
  <c r="I47" i="1288"/>
  <c r="J47" i="1288"/>
  <c r="M47" i="1288"/>
  <c r="O47" i="1288"/>
  <c r="Q47" i="1288"/>
  <c r="R47" i="1288"/>
  <c r="T47" i="1288"/>
  <c r="U47" i="1288"/>
  <c r="V47" i="1288"/>
  <c r="W47" i="1288"/>
  <c r="X47" i="1288"/>
  <c r="AA47" i="1288"/>
  <c r="AC47" i="1288"/>
  <c r="AE47" i="1288"/>
  <c r="AG47" i="1288"/>
  <c r="AH47" i="1288"/>
  <c r="AK47" i="1288"/>
  <c r="AM47" i="1288"/>
  <c r="AN47" i="1288"/>
  <c r="AO47" i="1288"/>
  <c r="AP47" i="1288"/>
  <c r="AQ47" i="1288"/>
  <c r="AR47" i="1288"/>
  <c r="AS47" i="1288"/>
  <c r="AT47" i="1288"/>
  <c r="AW47" i="1288"/>
  <c r="AX47" i="1288"/>
  <c r="AY47" i="1288"/>
  <c r="AZ47" i="1288"/>
  <c r="BA47" i="1288"/>
  <c r="BC47" i="1288"/>
  <c r="BE47" i="1288"/>
  <c r="BF47" i="1288"/>
  <c r="BG47" i="1288"/>
  <c r="BI47" i="1288"/>
  <c r="BJ47" i="1288"/>
  <c r="BL47" i="1288"/>
  <c r="BM47" i="1288"/>
  <c r="BP47" i="1288"/>
  <c r="BQ47" i="1288"/>
  <c r="BR47" i="1288"/>
  <c r="BT47" i="1288"/>
  <c r="BV47" i="1288"/>
  <c r="BX47" i="1288"/>
  <c r="BZ47" i="1288"/>
  <c r="CI47" i="1288"/>
  <c r="CJ47" i="1288"/>
  <c r="CK47" i="1288"/>
  <c r="CL47" i="1288"/>
  <c r="CM47" i="1288"/>
  <c r="CN47" i="1288"/>
  <c r="CO47" i="1288"/>
  <c r="CP47" i="1288"/>
  <c r="CV47" i="1288"/>
  <c r="CX47" i="1288"/>
  <c r="CZ47" i="1288"/>
  <c r="DA47" i="1288"/>
  <c r="DB47" i="1288"/>
  <c r="CY47" i="1288"/>
  <c r="CW47" i="1288"/>
  <c r="CU47" i="1288"/>
  <c r="CT47" i="1288"/>
  <c r="CS47" i="1288"/>
  <c r="CR47" i="1288"/>
  <c r="CQ47" i="1288"/>
  <c r="CH47" i="1288"/>
  <c r="CG47" i="1288"/>
  <c r="CF47" i="1288"/>
  <c r="CE47" i="1288"/>
  <c r="CD47" i="1288"/>
  <c r="CC47" i="1288"/>
  <c r="CB47" i="1288"/>
  <c r="CA47" i="1288"/>
  <c r="BY47" i="1288"/>
  <c r="BW47" i="1288"/>
  <c r="BU47" i="1288"/>
  <c r="BS47" i="1288"/>
  <c r="BO47" i="1288"/>
  <c r="BN47" i="1288"/>
  <c r="BK47" i="1288"/>
  <c r="BH47" i="1288"/>
  <c r="BD47" i="1288"/>
  <c r="BB47" i="1288"/>
  <c r="AV47" i="1288"/>
  <c r="AU47" i="1288"/>
  <c r="AL47" i="1288"/>
  <c r="AJ47" i="1288"/>
  <c r="AI47" i="1288"/>
  <c r="AF47" i="1288"/>
  <c r="AD47" i="1288"/>
  <c r="AB47" i="1288"/>
  <c r="Z47" i="1288"/>
  <c r="Y47" i="1288"/>
  <c r="S47" i="1288"/>
  <c r="P47" i="1288"/>
  <c r="N47" i="1288"/>
  <c r="L47" i="1288"/>
  <c r="DC47" i="1288"/>
  <c r="G48" i="1288"/>
  <c r="AS48" i="1288"/>
  <c r="AV48" i="1288"/>
  <c r="AW48" i="1288"/>
  <c r="AX48" i="1288"/>
  <c r="AY48" i="1288"/>
  <c r="AZ48" i="1288"/>
  <c r="BA48" i="1288"/>
  <c r="BB48" i="1288"/>
  <c r="BC48" i="1288"/>
  <c r="BD48" i="1288"/>
  <c r="BE48" i="1288"/>
  <c r="BF48" i="1288"/>
  <c r="BG48" i="1288"/>
  <c r="BH48" i="1288"/>
  <c r="BI48" i="1288"/>
  <c r="BJ48" i="1288"/>
  <c r="BK48" i="1288"/>
  <c r="BL48" i="1288"/>
  <c r="BM48" i="1288"/>
  <c r="BN48" i="1288"/>
  <c r="BO48" i="1288"/>
  <c r="BP48" i="1288"/>
  <c r="BQ48" i="1288"/>
  <c r="BR48" i="1288"/>
  <c r="BS48" i="1288"/>
  <c r="BT48" i="1288"/>
  <c r="BU48" i="1288"/>
  <c r="BV48" i="1288"/>
  <c r="BW48" i="1288"/>
  <c r="BX48" i="1288"/>
  <c r="BY48" i="1288"/>
  <c r="BZ48" i="1288"/>
  <c r="CA48" i="1288"/>
  <c r="CB48" i="1288"/>
  <c r="CC48" i="1288"/>
  <c r="CD48" i="1288"/>
  <c r="CK48" i="1288"/>
  <c r="CL48" i="1288"/>
  <c r="CM48" i="1288"/>
  <c r="CN48" i="1288"/>
  <c r="CO48" i="1288"/>
  <c r="CP48" i="1288"/>
  <c r="CQ48" i="1288"/>
  <c r="CR48" i="1288"/>
  <c r="CS48" i="1288"/>
  <c r="CT48" i="1288"/>
  <c r="CU48" i="1288"/>
  <c r="CV48" i="1288"/>
  <c r="CW48" i="1288"/>
  <c r="CX48" i="1288"/>
  <c r="CY48" i="1288"/>
  <c r="CZ48" i="1288"/>
  <c r="DA48" i="1288"/>
  <c r="DB48" i="1288"/>
  <c r="DC48" i="1288"/>
  <c r="DD48" i="1288"/>
  <c r="DE48" i="1288"/>
  <c r="E48" i="1288"/>
  <c r="F48" i="1288"/>
  <c r="H48" i="1288"/>
  <c r="I48" i="1288"/>
  <c r="J48" i="1288"/>
  <c r="K48" i="1288"/>
  <c r="L48" i="1288"/>
  <c r="M48" i="1288"/>
  <c r="N48" i="1288"/>
  <c r="O48" i="1288"/>
  <c r="P48" i="1288"/>
  <c r="Q48" i="1288"/>
  <c r="R48" i="1288"/>
  <c r="S48" i="1288"/>
  <c r="T48" i="1288"/>
  <c r="U48" i="1288"/>
  <c r="V48" i="1288"/>
  <c r="W48" i="1288"/>
  <c r="X48" i="1288"/>
  <c r="Y48" i="1288"/>
  <c r="Z48" i="1288"/>
  <c r="AA48" i="1288"/>
  <c r="AB48" i="1288"/>
  <c r="AC48" i="1288"/>
  <c r="AD48" i="1288"/>
  <c r="AE48" i="1288"/>
  <c r="AF48" i="1288"/>
  <c r="AG48" i="1288"/>
  <c r="AH48" i="1288"/>
  <c r="AI48" i="1288"/>
  <c r="AJ48" i="1288"/>
  <c r="AK48" i="1288"/>
  <c r="AL48" i="1288"/>
  <c r="AM48" i="1288"/>
  <c r="AN48" i="1288"/>
  <c r="AO48" i="1288"/>
  <c r="AP48" i="1288"/>
  <c r="AQ48" i="1288"/>
  <c r="AR48" i="1288"/>
  <c r="CI48" i="1288"/>
  <c r="CE48" i="1288"/>
  <c r="CF48" i="1288"/>
  <c r="CG48" i="1288"/>
  <c r="CH48" i="1288"/>
  <c r="AU48" i="1288"/>
  <c r="CJ48" i="1288"/>
  <c r="AT48" i="1288"/>
  <c r="AU49" i="1288"/>
  <c r="CZ49" i="1288"/>
  <c r="BB49" i="1288"/>
  <c r="BC49" i="1288"/>
  <c r="BD49" i="1288"/>
  <c r="BE49" i="1288"/>
  <c r="BF49" i="1288"/>
  <c r="BG49" i="1288"/>
  <c r="BH49" i="1288"/>
  <c r="BI49" i="1288"/>
  <c r="BJ49" i="1288"/>
  <c r="BK49" i="1288"/>
  <c r="BL49" i="1288"/>
  <c r="BM49" i="1288"/>
  <c r="BN49" i="1288"/>
  <c r="BO49" i="1288"/>
  <c r="BP49" i="1288"/>
  <c r="BQ49" i="1288"/>
  <c r="BR49" i="1288"/>
  <c r="BS49" i="1288"/>
  <c r="BT49" i="1288"/>
  <c r="BU49" i="1288"/>
  <c r="BV49" i="1288"/>
  <c r="BW49" i="1288"/>
  <c r="BX49" i="1288"/>
  <c r="BY49" i="1288"/>
  <c r="BZ49" i="1288"/>
  <c r="CA49" i="1288"/>
  <c r="CB49" i="1288"/>
  <c r="CC49" i="1288"/>
  <c r="CD49" i="1288"/>
  <c r="CE49" i="1288"/>
  <c r="CF49" i="1288"/>
  <c r="CG49" i="1288"/>
  <c r="CH49" i="1288"/>
  <c r="CI49" i="1288"/>
  <c r="CJ49" i="1288"/>
  <c r="CK49" i="1288"/>
  <c r="CL49" i="1288"/>
  <c r="CM49" i="1288"/>
  <c r="CN49" i="1288"/>
  <c r="CO49" i="1288"/>
  <c r="CP49" i="1288"/>
  <c r="CQ49" i="1288"/>
  <c r="CR49" i="1288"/>
  <c r="CS49" i="1288"/>
  <c r="CT49" i="1288"/>
  <c r="CU49" i="1288"/>
  <c r="CV49" i="1288"/>
  <c r="CW49" i="1288"/>
  <c r="CX49" i="1288"/>
  <c r="CY49" i="1288"/>
  <c r="AY49" i="1288"/>
  <c r="AX49" i="1288"/>
  <c r="AW49" i="1288"/>
  <c r="DC49" i="1288"/>
  <c r="DD49" i="1288"/>
  <c r="DE49" i="1288"/>
  <c r="AV49" i="1288"/>
  <c r="AZ49" i="1288"/>
  <c r="DB49" i="1288"/>
  <c r="AT49" i="1288"/>
  <c r="AS49" i="1288"/>
  <c r="AR49" i="1288"/>
  <c r="AQ49" i="1288"/>
  <c r="AP49" i="1288"/>
  <c r="E49" i="1288"/>
  <c r="F49" i="1288"/>
  <c r="G49" i="1288"/>
  <c r="H49" i="1288"/>
  <c r="I49" i="1288"/>
  <c r="J49" i="1288"/>
  <c r="K49" i="1288"/>
  <c r="L49" i="1288"/>
  <c r="M49" i="1288"/>
  <c r="N49" i="1288"/>
  <c r="O49" i="1288"/>
  <c r="P49" i="1288"/>
  <c r="Q49" i="1288"/>
  <c r="R49" i="1288"/>
  <c r="S49" i="1288"/>
  <c r="T49" i="1288"/>
  <c r="U49" i="1288"/>
  <c r="V49" i="1288"/>
  <c r="W49" i="1288"/>
  <c r="X49" i="1288"/>
  <c r="Y49" i="1288"/>
  <c r="Z49" i="1288"/>
  <c r="AA49" i="1288"/>
  <c r="AB49" i="1288"/>
  <c r="AC49" i="1288"/>
  <c r="AD49" i="1288"/>
  <c r="AE49" i="1288"/>
  <c r="AF49" i="1288"/>
  <c r="AG49" i="1288"/>
  <c r="AH49" i="1288"/>
  <c r="AI49" i="1288"/>
  <c r="AJ49" i="1288"/>
  <c r="AK49" i="1288"/>
  <c r="AL49" i="1288"/>
  <c r="AM49" i="1288"/>
  <c r="AN49" i="1288"/>
  <c r="AO49" i="1288"/>
  <c r="BA49" i="1288"/>
  <c r="DA49" i="1288"/>
  <c r="AP50" i="1288"/>
  <c r="AS50" i="1288"/>
  <c r="AT50" i="1288"/>
  <c r="AU50" i="1288"/>
  <c r="AV50" i="1288"/>
  <c r="AW50" i="1288"/>
  <c r="AX50" i="1288"/>
  <c r="AZ50" i="1288"/>
  <c r="BA50" i="1288"/>
  <c r="BB50" i="1288"/>
  <c r="BC50" i="1288"/>
  <c r="BD50" i="1288"/>
  <c r="BE50" i="1288"/>
  <c r="BF50" i="1288"/>
  <c r="BG50" i="1288"/>
  <c r="BH50" i="1288"/>
  <c r="BI50" i="1288"/>
  <c r="BJ50" i="1288"/>
  <c r="BK50" i="1288"/>
  <c r="BL50" i="1288"/>
  <c r="BM50" i="1288"/>
  <c r="BN50" i="1288"/>
  <c r="BO50" i="1288"/>
  <c r="BP50" i="1288"/>
  <c r="BQ50" i="1288"/>
  <c r="BR50" i="1288"/>
  <c r="BS50" i="1288"/>
  <c r="BT50" i="1288"/>
  <c r="BU50" i="1288"/>
  <c r="BV50" i="1288"/>
  <c r="BW50" i="1288"/>
  <c r="BX50" i="1288"/>
  <c r="BY50" i="1288"/>
  <c r="BZ50" i="1288"/>
  <c r="CA50" i="1288"/>
  <c r="CB50" i="1288"/>
  <c r="CC50" i="1288"/>
  <c r="CD50" i="1288"/>
  <c r="CE50" i="1288"/>
  <c r="CF50" i="1288"/>
  <c r="CG50" i="1288"/>
  <c r="CH50" i="1288"/>
  <c r="CI50" i="1288"/>
  <c r="CJ50" i="1288"/>
  <c r="CK50" i="1288"/>
  <c r="CL50" i="1288"/>
  <c r="CM50" i="1288"/>
  <c r="CN50" i="1288"/>
  <c r="CO50" i="1288"/>
  <c r="CP50" i="1288"/>
  <c r="CQ50" i="1288"/>
  <c r="CR50" i="1288"/>
  <c r="CS50" i="1288"/>
  <c r="CT50" i="1288"/>
  <c r="CU50" i="1288"/>
  <c r="CV50" i="1288"/>
  <c r="CW50" i="1288"/>
  <c r="CX50" i="1288"/>
  <c r="CY50" i="1288"/>
  <c r="CZ50" i="1288"/>
  <c r="DA50" i="1288"/>
  <c r="DB50" i="1288"/>
  <c r="DC50" i="1288"/>
  <c r="DD50" i="1288"/>
  <c r="DE50" i="1288"/>
  <c r="AO50" i="1288"/>
  <c r="AN50" i="1288"/>
  <c r="AM50" i="1288"/>
  <c r="AL50" i="1288"/>
  <c r="AK50" i="1288"/>
  <c r="AJ50" i="1288"/>
  <c r="AI50" i="1288"/>
  <c r="AH50" i="1288"/>
  <c r="AG50" i="1288"/>
  <c r="AF50" i="1288"/>
  <c r="AE50" i="1288"/>
  <c r="AD50" i="1288"/>
  <c r="AC50" i="1288"/>
  <c r="AB50" i="1288"/>
  <c r="AA50" i="1288"/>
  <c r="Z50" i="1288"/>
  <c r="Y50" i="1288"/>
  <c r="X50" i="1288"/>
  <c r="W50" i="1288"/>
  <c r="V50" i="1288"/>
  <c r="U50" i="1288"/>
  <c r="T50" i="1288"/>
  <c r="S50" i="1288"/>
  <c r="R50" i="1288"/>
  <c r="Q50" i="1288"/>
  <c r="P50" i="1288"/>
  <c r="O50" i="1288"/>
  <c r="N50" i="1288"/>
  <c r="M50" i="1288"/>
  <c r="L50" i="1288"/>
  <c r="K50" i="1288"/>
  <c r="J50" i="1288"/>
  <c r="I50" i="1288"/>
  <c r="H50" i="1288"/>
  <c r="G50" i="1288"/>
  <c r="F50" i="1288"/>
  <c r="E50" i="1288"/>
  <c r="AY50" i="1288"/>
  <c r="AQ50" i="1288"/>
  <c r="AR50" i="1288"/>
  <c r="AH51" i="1288"/>
  <c r="AO51" i="1288"/>
  <c r="AP51" i="1288"/>
  <c r="E51" i="1288"/>
  <c r="F51" i="1288"/>
  <c r="G51" i="1288"/>
  <c r="H51" i="1288"/>
  <c r="I51" i="1288"/>
  <c r="J51" i="1288"/>
  <c r="K51" i="1288"/>
  <c r="L51" i="1288"/>
  <c r="M51" i="1288"/>
  <c r="N51" i="1288"/>
  <c r="O51" i="1288"/>
  <c r="P51" i="1288"/>
  <c r="Q51" i="1288"/>
  <c r="R51" i="1288"/>
  <c r="S51" i="1288"/>
  <c r="T51" i="1288"/>
  <c r="U51" i="1288"/>
  <c r="V51" i="1288"/>
  <c r="W51" i="1288"/>
  <c r="X51" i="1288"/>
  <c r="Y51" i="1288"/>
  <c r="Z51" i="1288"/>
  <c r="AA51" i="1288"/>
  <c r="AB51" i="1288"/>
  <c r="AC51" i="1288"/>
  <c r="AD51" i="1288"/>
  <c r="AE51" i="1288"/>
  <c r="AG51" i="1288"/>
  <c r="AI51" i="1288"/>
  <c r="AJ51" i="1288"/>
  <c r="AK51" i="1288"/>
  <c r="AL51" i="1288"/>
  <c r="AM51" i="1288"/>
  <c r="AN51" i="1288"/>
  <c r="DE51" i="1288"/>
  <c r="DD51" i="1288"/>
  <c r="DC51" i="1288"/>
  <c r="DB51" i="1288"/>
  <c r="DA51" i="1288"/>
  <c r="CZ51" i="1288"/>
  <c r="CY51" i="1288"/>
  <c r="CX51" i="1288"/>
  <c r="CW51" i="1288"/>
  <c r="CV51" i="1288"/>
  <c r="CU51" i="1288"/>
  <c r="CT51" i="1288"/>
  <c r="CS51" i="1288"/>
  <c r="CR51" i="1288"/>
  <c r="CQ51" i="1288"/>
  <c r="CP51" i="1288"/>
  <c r="CO51" i="1288"/>
  <c r="CN51" i="1288"/>
  <c r="CM51" i="1288"/>
  <c r="CL51" i="1288"/>
  <c r="CK51" i="1288"/>
  <c r="CJ51" i="1288"/>
  <c r="CI51" i="1288"/>
  <c r="CH51" i="1288"/>
  <c r="CG51" i="1288"/>
  <c r="CF51" i="1288"/>
  <c r="CE51" i="1288"/>
  <c r="CD51" i="1288"/>
  <c r="CC51" i="1288"/>
  <c r="CB51" i="1288"/>
  <c r="CA51" i="1288"/>
  <c r="BZ51" i="1288"/>
  <c r="BY51" i="1288"/>
  <c r="BX51" i="1288"/>
  <c r="BW51" i="1288"/>
  <c r="BV51" i="1288"/>
  <c r="BU51" i="1288"/>
  <c r="BT51" i="1288"/>
  <c r="BS51" i="1288"/>
  <c r="BR51" i="1288"/>
  <c r="BQ51" i="1288"/>
  <c r="BP51" i="1288"/>
  <c r="BO51" i="1288"/>
  <c r="BN51" i="1288"/>
  <c r="BM51" i="1288"/>
  <c r="BL51" i="1288"/>
  <c r="BK51" i="1288"/>
  <c r="BJ51" i="1288"/>
  <c r="BI51" i="1288"/>
  <c r="BH51" i="1288"/>
  <c r="BG51" i="1288"/>
  <c r="BF51" i="1288"/>
  <c r="BE51" i="1288"/>
  <c r="BD51" i="1288"/>
  <c r="BC51" i="1288"/>
  <c r="BB51" i="1288"/>
  <c r="BA51" i="1288"/>
  <c r="AZ51" i="1288"/>
  <c r="AY51" i="1288"/>
  <c r="AX51" i="1288"/>
  <c r="AW51" i="1288"/>
  <c r="AV51" i="1288"/>
  <c r="AU51" i="1288"/>
  <c r="AT51" i="1288"/>
  <c r="AS51" i="1288"/>
  <c r="AR51" i="1288"/>
  <c r="AQ51" i="1288"/>
  <c r="AF51" i="1288"/>
  <c r="AN52" i="1288"/>
  <c r="AO52" i="1288"/>
  <c r="AQ52" i="1288"/>
  <c r="AR52" i="1288"/>
  <c r="AS52" i="1288"/>
  <c r="AT52" i="1288"/>
  <c r="AU52" i="1288"/>
  <c r="AV52" i="1288"/>
  <c r="AW52" i="1288"/>
  <c r="AX52" i="1288"/>
  <c r="AY52" i="1288"/>
  <c r="AZ52" i="1288"/>
  <c r="BA52" i="1288"/>
  <c r="BB52" i="1288"/>
  <c r="BC52" i="1288"/>
  <c r="BD52" i="1288"/>
  <c r="BE52" i="1288"/>
  <c r="BF52" i="1288"/>
  <c r="BG52" i="1288"/>
  <c r="BH52" i="1288"/>
  <c r="BI52" i="1288"/>
  <c r="BJ52" i="1288"/>
  <c r="BK52" i="1288"/>
  <c r="BL52" i="1288"/>
  <c r="BM52" i="1288"/>
  <c r="BN52" i="1288"/>
  <c r="BO52" i="1288"/>
  <c r="BP52" i="1288"/>
  <c r="BQ52" i="1288"/>
  <c r="BR52" i="1288"/>
  <c r="BS52" i="1288"/>
  <c r="BT52" i="1288"/>
  <c r="BU52" i="1288"/>
  <c r="BV52" i="1288"/>
  <c r="BW52" i="1288"/>
  <c r="BX52" i="1288"/>
  <c r="BY52" i="1288"/>
  <c r="BZ52" i="1288"/>
  <c r="CA52" i="1288"/>
  <c r="CB52" i="1288"/>
  <c r="CC52" i="1288"/>
  <c r="CD52" i="1288"/>
  <c r="CE52" i="1288"/>
  <c r="CF52" i="1288"/>
  <c r="AM52" i="1288"/>
  <c r="E52" i="1288"/>
  <c r="F52" i="1288"/>
  <c r="G52" i="1288"/>
  <c r="H52" i="1288"/>
  <c r="I52" i="1288"/>
  <c r="J52" i="1288"/>
  <c r="CG52" i="1288"/>
  <c r="K52" i="1288"/>
  <c r="CH52" i="1288"/>
  <c r="L52" i="1288"/>
  <c r="M52" i="1288"/>
  <c r="N52" i="1288"/>
  <c r="O52" i="1288"/>
  <c r="P52" i="1288"/>
  <c r="Q52" i="1288"/>
  <c r="R52" i="1288"/>
  <c r="S52" i="1288"/>
  <c r="T52" i="1288"/>
  <c r="U52" i="1288"/>
  <c r="V52" i="1288"/>
  <c r="W52" i="1288"/>
  <c r="X52" i="1288"/>
  <c r="Y52" i="1288"/>
  <c r="Z52" i="1288"/>
  <c r="AA52" i="1288"/>
  <c r="AB52" i="1288"/>
  <c r="AC52" i="1288"/>
  <c r="AD52" i="1288"/>
  <c r="AE52" i="1288"/>
  <c r="AF52" i="1288"/>
  <c r="AG52" i="1288"/>
  <c r="AH52" i="1288"/>
  <c r="AI52" i="1288"/>
  <c r="AJ52" i="1288"/>
  <c r="AK52" i="1288"/>
  <c r="AL52" i="1288"/>
  <c r="CI52" i="1288"/>
  <c r="CJ52" i="1288"/>
  <c r="CK52" i="1288"/>
  <c r="CL52" i="1288"/>
  <c r="CM52" i="1288"/>
  <c r="CN52" i="1288"/>
  <c r="CO52" i="1288"/>
  <c r="CP52" i="1288"/>
  <c r="CQ52" i="1288"/>
  <c r="CR52" i="1288"/>
  <c r="CS52" i="1288"/>
  <c r="CT52" i="1288"/>
  <c r="CU52" i="1288"/>
  <c r="CV52" i="1288"/>
  <c r="CW52" i="1288"/>
  <c r="CX52" i="1288"/>
  <c r="CY52" i="1288"/>
  <c r="CZ52" i="1288"/>
  <c r="DA52" i="1288"/>
  <c r="DB52" i="1288"/>
  <c r="DC52" i="1288"/>
  <c r="DD52" i="1288"/>
  <c r="DE52" i="1288"/>
  <c r="AP52" i="1288"/>
  <c r="F53" i="1288"/>
  <c r="AP53" i="1288"/>
  <c r="H53" i="1288"/>
  <c r="I53" i="1288"/>
  <c r="J53" i="1288"/>
  <c r="K53" i="1288"/>
  <c r="L53" i="1288"/>
  <c r="M53" i="1288"/>
  <c r="N53" i="1288"/>
  <c r="O53" i="1288"/>
  <c r="P53" i="1288"/>
  <c r="Q53" i="1288"/>
  <c r="R53" i="1288"/>
  <c r="S53" i="1288"/>
  <c r="T53" i="1288"/>
  <c r="U53" i="1288"/>
  <c r="V53" i="1288"/>
  <c r="W53" i="1288"/>
  <c r="X53" i="1288"/>
  <c r="Y53" i="1288"/>
  <c r="Z53" i="1288"/>
  <c r="AA53" i="1288"/>
  <c r="AB53" i="1288"/>
  <c r="AC53" i="1288"/>
  <c r="AD53" i="1288"/>
  <c r="AE53" i="1288"/>
  <c r="AF53" i="1288"/>
  <c r="AG53" i="1288"/>
  <c r="AH53" i="1288"/>
  <c r="AI53" i="1288"/>
  <c r="AJ53" i="1288"/>
  <c r="AK53" i="1288"/>
  <c r="AL53" i="1288"/>
  <c r="AM53" i="1288"/>
  <c r="E53" i="1288"/>
  <c r="AQ53" i="1288"/>
  <c r="AR53" i="1288"/>
  <c r="AS53" i="1288"/>
  <c r="AT53" i="1288"/>
  <c r="AU53" i="1288"/>
  <c r="AV53" i="1288"/>
  <c r="AW53" i="1288"/>
  <c r="AX53" i="1288"/>
  <c r="AY53" i="1288"/>
  <c r="AZ53" i="1288"/>
  <c r="BA53" i="1288"/>
  <c r="BB53" i="1288"/>
  <c r="BC53" i="1288"/>
  <c r="BD53" i="1288"/>
  <c r="BE53" i="1288"/>
  <c r="BF53" i="1288"/>
  <c r="BG53" i="1288"/>
  <c r="BH53" i="1288"/>
  <c r="BI53" i="1288"/>
  <c r="BJ53" i="1288"/>
  <c r="BK53" i="1288"/>
  <c r="BL53" i="1288"/>
  <c r="BM53" i="1288"/>
  <c r="BN53" i="1288"/>
  <c r="BO53" i="1288"/>
  <c r="BP53" i="1288"/>
  <c r="BQ53" i="1288"/>
  <c r="BR53" i="1288"/>
  <c r="BS53" i="1288"/>
  <c r="BT53" i="1288"/>
  <c r="BU53" i="1288"/>
  <c r="BV53" i="1288"/>
  <c r="BW53" i="1288"/>
  <c r="BX53" i="1288"/>
  <c r="BY53" i="1288"/>
  <c r="BZ53" i="1288"/>
  <c r="CA53" i="1288"/>
  <c r="CB53" i="1288"/>
  <c r="CC53" i="1288"/>
  <c r="CD53" i="1288"/>
  <c r="CE53" i="1288"/>
  <c r="CF53" i="1288"/>
  <c r="CG53" i="1288"/>
  <c r="CH53" i="1288"/>
  <c r="CI53" i="1288"/>
  <c r="CJ53" i="1288"/>
  <c r="CK53" i="1288"/>
  <c r="CL53" i="1288"/>
  <c r="CM53" i="1288"/>
  <c r="CN53" i="1288"/>
  <c r="CO53" i="1288"/>
  <c r="CP53" i="1288"/>
  <c r="CQ53" i="1288"/>
  <c r="CR53" i="1288"/>
  <c r="CS53" i="1288"/>
  <c r="CT53" i="1288"/>
  <c r="CU53" i="1288"/>
  <c r="CV53" i="1288"/>
  <c r="CW53" i="1288"/>
  <c r="CX53" i="1288"/>
  <c r="CY53" i="1288"/>
  <c r="CZ53" i="1288"/>
  <c r="DA53" i="1288"/>
  <c r="DB53" i="1288"/>
  <c r="DC53" i="1288"/>
  <c r="DD53" i="1288"/>
  <c r="DE53" i="1288"/>
  <c r="AN53" i="1288"/>
  <c r="G53" i="1288"/>
  <c r="AO53" i="1288"/>
  <c r="F54" i="1288"/>
  <c r="E54" i="1288"/>
  <c r="J54" i="1288"/>
  <c r="K54" i="1288"/>
  <c r="L54" i="1288"/>
  <c r="M54" i="1288"/>
  <c r="N54" i="1288"/>
  <c r="O54" i="1288"/>
  <c r="P54" i="1288"/>
  <c r="Q54" i="1288"/>
  <c r="R54" i="1288"/>
  <c r="S54" i="1288"/>
  <c r="T54" i="1288"/>
  <c r="U54" i="1288"/>
  <c r="V54" i="1288"/>
  <c r="W54" i="1288"/>
  <c r="X54" i="1288"/>
  <c r="Y54" i="1288"/>
  <c r="Z54" i="1288"/>
  <c r="AA54" i="1288"/>
  <c r="AB54" i="1288"/>
  <c r="AC54" i="1288"/>
  <c r="AD54" i="1288"/>
  <c r="AE54" i="1288"/>
  <c r="AF54" i="1288"/>
  <c r="AG54" i="1288"/>
  <c r="AH54" i="1288"/>
  <c r="AI54" i="1288"/>
  <c r="AJ54" i="1288"/>
  <c r="AK54" i="1288"/>
  <c r="AL54" i="1288"/>
  <c r="AM54" i="1288"/>
  <c r="AN54" i="1288"/>
  <c r="AO54" i="1288"/>
  <c r="AP54" i="1288"/>
  <c r="AQ54" i="1288"/>
  <c r="AR54" i="1288"/>
  <c r="AS54" i="1288"/>
  <c r="AT54" i="1288"/>
  <c r="AU54" i="1288"/>
  <c r="AV54" i="1288"/>
  <c r="AW54" i="1288"/>
  <c r="AX54" i="1288"/>
  <c r="AY54" i="1288"/>
  <c r="AZ54" i="1288"/>
  <c r="BA54" i="1288"/>
  <c r="BB54" i="1288"/>
  <c r="BC54" i="1288"/>
  <c r="BD54" i="1288"/>
  <c r="BE54" i="1288"/>
  <c r="BF54" i="1288"/>
  <c r="BG54" i="1288"/>
  <c r="BH54" i="1288"/>
  <c r="BI54" i="1288"/>
  <c r="BJ54" i="1288"/>
  <c r="BK54" i="1288"/>
  <c r="BL54" i="1288"/>
  <c r="BM54" i="1288"/>
  <c r="BN54" i="1288"/>
  <c r="BO54" i="1288"/>
  <c r="BP54" i="1288"/>
  <c r="BQ54" i="1288"/>
  <c r="BR54" i="1288"/>
  <c r="BS54" i="1288"/>
  <c r="BT54" i="1288"/>
  <c r="BU54" i="1288"/>
  <c r="BV54" i="1288"/>
  <c r="BW54" i="1288"/>
  <c r="BX54" i="1288"/>
  <c r="BY54" i="1288"/>
  <c r="BZ54" i="1288"/>
  <c r="CA54" i="1288"/>
  <c r="CB54" i="1288"/>
  <c r="CC54" i="1288"/>
  <c r="CD54" i="1288"/>
  <c r="CE54" i="1288"/>
  <c r="CF54" i="1288"/>
  <c r="CG54" i="1288"/>
  <c r="CH54" i="1288"/>
  <c r="CI54" i="1288"/>
  <c r="CJ54" i="1288"/>
  <c r="CK54" i="1288"/>
  <c r="CL54" i="1288"/>
  <c r="CM54" i="1288"/>
  <c r="CN54" i="1288"/>
  <c r="CO54" i="1288"/>
  <c r="CP54" i="1288"/>
  <c r="CQ54" i="1288"/>
  <c r="CR54" i="1288"/>
  <c r="CS54" i="1288"/>
  <c r="CT54" i="1288"/>
  <c r="CU54" i="1288"/>
  <c r="CV54" i="1288"/>
  <c r="CW54" i="1288"/>
  <c r="CX54" i="1288"/>
  <c r="CY54" i="1288"/>
  <c r="CZ54" i="1288"/>
  <c r="DA54" i="1288"/>
  <c r="DB54" i="1288"/>
  <c r="DC54" i="1288"/>
  <c r="DD54" i="1288"/>
  <c r="DE54" i="1288"/>
  <c r="I54" i="1288"/>
  <c r="G54" i="1288"/>
  <c r="H54" i="1288"/>
  <c r="BZ55" i="1288"/>
  <c r="CD55" i="1288"/>
  <c r="CA55" i="1288"/>
  <c r="E55" i="1288"/>
  <c r="F55" i="1288"/>
  <c r="G55" i="1288"/>
  <c r="H55" i="1288"/>
  <c r="I55" i="1288"/>
  <c r="J55" i="1288"/>
  <c r="K55" i="1288"/>
  <c r="L55" i="1288"/>
  <c r="M55" i="1288"/>
  <c r="N55" i="1288"/>
  <c r="O55" i="1288"/>
  <c r="P55" i="1288"/>
  <c r="Q55" i="1288"/>
  <c r="R55" i="1288"/>
  <c r="S55" i="1288"/>
  <c r="T55" i="1288"/>
  <c r="U55" i="1288"/>
  <c r="V55" i="1288"/>
  <c r="W55" i="1288"/>
  <c r="X55" i="1288"/>
  <c r="Y55" i="1288"/>
  <c r="Z55" i="1288"/>
  <c r="AA55" i="1288"/>
  <c r="AB55" i="1288"/>
  <c r="AC55" i="1288"/>
  <c r="AD55" i="1288"/>
  <c r="AE55" i="1288"/>
  <c r="AF55" i="1288"/>
  <c r="AG55" i="1288"/>
  <c r="AH55" i="1288"/>
  <c r="AI55" i="1288"/>
  <c r="AJ55" i="1288"/>
  <c r="AK55" i="1288"/>
  <c r="AL55" i="1288"/>
  <c r="AM55" i="1288"/>
  <c r="AN55" i="1288"/>
  <c r="AO55" i="1288"/>
  <c r="AP55" i="1288"/>
  <c r="AQ55" i="1288"/>
  <c r="AR55" i="1288"/>
  <c r="AS55" i="1288"/>
  <c r="AT55" i="1288"/>
  <c r="AU55" i="1288"/>
  <c r="AV55" i="1288"/>
  <c r="AW55" i="1288"/>
  <c r="AX55" i="1288"/>
  <c r="AY55" i="1288"/>
  <c r="AZ55" i="1288"/>
  <c r="BA55" i="1288"/>
  <c r="BB55" i="1288"/>
  <c r="BC55" i="1288"/>
  <c r="BD55" i="1288"/>
  <c r="BE55" i="1288"/>
  <c r="BF55" i="1288"/>
  <c r="BG55" i="1288"/>
  <c r="BH55" i="1288"/>
  <c r="BI55" i="1288"/>
  <c r="BJ55" i="1288"/>
  <c r="BK55" i="1288"/>
  <c r="BL55" i="1288"/>
  <c r="BM55" i="1288"/>
  <c r="BN55" i="1288"/>
  <c r="BO55" i="1288"/>
  <c r="BP55" i="1288"/>
  <c r="BQ55" i="1288"/>
  <c r="BR55" i="1288"/>
  <c r="BS55" i="1288"/>
  <c r="BT55" i="1288"/>
  <c r="BU55" i="1288"/>
  <c r="BV55" i="1288"/>
  <c r="BW55" i="1288"/>
  <c r="BX55" i="1288"/>
  <c r="CE55" i="1288"/>
  <c r="CF55" i="1288"/>
  <c r="CG55" i="1288"/>
  <c r="CH55" i="1288"/>
  <c r="CN55" i="1288"/>
  <c r="CR55" i="1288"/>
  <c r="DB55" i="1288"/>
  <c r="DC55" i="1288"/>
  <c r="DE55" i="1288"/>
  <c r="CY55" i="1288"/>
  <c r="CS55" i="1288"/>
  <c r="CO55" i="1288"/>
  <c r="CM55" i="1288"/>
  <c r="CL55" i="1288"/>
  <c r="CK55" i="1288"/>
  <c r="CJ55" i="1288"/>
  <c r="BY55" i="1288"/>
  <c r="DD55" i="1288"/>
  <c r="CZ55" i="1288"/>
  <c r="CW55" i="1288"/>
  <c r="CT55" i="1288"/>
  <c r="CP55" i="1288"/>
  <c r="DA55" i="1288"/>
  <c r="CB55" i="1288"/>
  <c r="CX55" i="1288"/>
  <c r="CV55" i="1288"/>
  <c r="CU55" i="1288"/>
  <c r="CQ55" i="1288"/>
  <c r="CI55" i="1288"/>
  <c r="CC55" i="1288"/>
  <c r="AJ56" i="1288"/>
  <c r="AO56" i="1288"/>
  <c r="CF56" i="1288"/>
  <c r="CG56" i="1288"/>
  <c r="CH56" i="1288"/>
  <c r="CI56" i="1288"/>
  <c r="CP56" i="1288"/>
  <c r="CU56" i="1288"/>
  <c r="CX56" i="1288"/>
  <c r="CZ56" i="1288"/>
  <c r="DA56" i="1288"/>
  <c r="AQ56" i="1288"/>
  <c r="AR56" i="1288"/>
  <c r="AS56" i="1288"/>
  <c r="BJ56" i="1288"/>
  <c r="BN56" i="1288"/>
  <c r="BS56" i="1288"/>
  <c r="BW56" i="1288"/>
  <c r="CK56" i="1288"/>
  <c r="CL56" i="1288"/>
  <c r="CM56" i="1288"/>
  <c r="CN56" i="1288"/>
  <c r="CO56" i="1288"/>
  <c r="CQ56" i="1288"/>
  <c r="CR56" i="1288"/>
  <c r="CT56" i="1288"/>
  <c r="CY56" i="1288"/>
  <c r="DB56" i="1288"/>
  <c r="DD56" i="1288"/>
  <c r="DE56" i="1288"/>
  <c r="AF56" i="1288"/>
  <c r="AD56" i="1288"/>
  <c r="U56" i="1288"/>
  <c r="T56" i="1288"/>
  <c r="N56" i="1288"/>
  <c r="M56" i="1288"/>
  <c r="K56" i="1288"/>
  <c r="J56" i="1288"/>
  <c r="G56" i="1288"/>
  <c r="E56" i="1288"/>
  <c r="L56" i="1288"/>
  <c r="O56" i="1288"/>
  <c r="R56" i="1288"/>
  <c r="W56" i="1288"/>
  <c r="X56" i="1288"/>
  <c r="Y56" i="1288"/>
  <c r="AA56" i="1288"/>
  <c r="CA56" i="1288"/>
  <c r="BO56" i="1288"/>
  <c r="BM56" i="1288"/>
  <c r="BG56" i="1288"/>
  <c r="BF56" i="1288"/>
  <c r="BB56" i="1288"/>
  <c r="AZ56" i="1288"/>
  <c r="AX56" i="1288"/>
  <c r="AV56" i="1288"/>
  <c r="AM56" i="1288"/>
  <c r="AL56" i="1288"/>
  <c r="AE56" i="1288"/>
  <c r="AB56" i="1288"/>
  <c r="S56" i="1288"/>
  <c r="H56" i="1288"/>
  <c r="AC56" i="1288"/>
  <c r="AK56" i="1288"/>
  <c r="AN56" i="1288"/>
  <c r="BA56" i="1288"/>
  <c r="F56" i="1288"/>
  <c r="BH56" i="1288"/>
  <c r="BI56" i="1288"/>
  <c r="DC56" i="1288"/>
  <c r="CW56" i="1288"/>
  <c r="CV56" i="1288"/>
  <c r="CS56" i="1288"/>
  <c r="CJ56" i="1288"/>
  <c r="CD56" i="1288"/>
  <c r="BZ56" i="1288"/>
  <c r="BU56" i="1288"/>
  <c r="BT56" i="1288"/>
  <c r="BQ56" i="1288"/>
  <c r="BP56" i="1288"/>
  <c r="BE56" i="1288"/>
  <c r="BD56" i="1288"/>
  <c r="BC56" i="1288"/>
  <c r="AY56" i="1288"/>
  <c r="AW56" i="1288"/>
  <c r="AU56" i="1288"/>
  <c r="AT56" i="1288"/>
  <c r="AI56" i="1288"/>
  <c r="CE56" i="1288"/>
  <c r="AH56" i="1288"/>
  <c r="Z56" i="1288"/>
  <c r="V56" i="1288"/>
  <c r="Q56" i="1288"/>
  <c r="P56" i="1288"/>
  <c r="I56" i="1288"/>
  <c r="BL56" i="1288"/>
  <c r="BR56" i="1288"/>
  <c r="BV56" i="1288"/>
  <c r="BX56" i="1288"/>
  <c r="BY56" i="1288"/>
  <c r="CB56" i="1288"/>
  <c r="CC56" i="1288"/>
  <c r="AP56" i="1288"/>
  <c r="AG56" i="1288"/>
  <c r="BK56" i="1288"/>
  <c r="DE57" i="1288"/>
  <c r="F57" i="1288"/>
  <c r="I57" i="1288"/>
  <c r="J57" i="1288"/>
  <c r="K57" i="1288"/>
  <c r="L57" i="1288"/>
  <c r="O57" i="1288"/>
  <c r="Q57" i="1288"/>
  <c r="T57" i="1288"/>
  <c r="V57" i="1288"/>
  <c r="W57" i="1288"/>
  <c r="X57" i="1288"/>
  <c r="Z57" i="1288"/>
  <c r="AA57" i="1288"/>
  <c r="AC57" i="1288"/>
  <c r="AE57" i="1288"/>
  <c r="AH57" i="1288"/>
  <c r="AJ57" i="1288"/>
  <c r="AL57" i="1288"/>
  <c r="AO57" i="1288"/>
  <c r="M57" i="1288"/>
  <c r="R57" i="1288"/>
  <c r="S57" i="1288"/>
  <c r="U57" i="1288"/>
  <c r="Y57" i="1288"/>
  <c r="AD57" i="1288"/>
  <c r="AG57" i="1288"/>
  <c r="AI57" i="1288"/>
  <c r="AK57" i="1288"/>
  <c r="AM57" i="1288"/>
  <c r="AU57" i="1288"/>
  <c r="BC57" i="1288"/>
  <c r="BD57" i="1288"/>
  <c r="BF57" i="1288"/>
  <c r="BI57" i="1288"/>
  <c r="BL57" i="1288"/>
  <c r="BO57" i="1288"/>
  <c r="BQ57" i="1288"/>
  <c r="BS57" i="1288"/>
  <c r="BT57" i="1288"/>
  <c r="BU57" i="1288"/>
  <c r="BX57" i="1288"/>
  <c r="CG57" i="1288"/>
  <c r="CK57" i="1288"/>
  <c r="CL57" i="1288"/>
  <c r="CO57" i="1288"/>
  <c r="CQ57" i="1288"/>
  <c r="CT57" i="1288"/>
  <c r="CW57" i="1288"/>
  <c r="CY57" i="1288"/>
  <c r="DA57" i="1288"/>
  <c r="DC57" i="1288"/>
  <c r="AP57" i="1288"/>
  <c r="AS57" i="1288"/>
  <c r="AT57" i="1288"/>
  <c r="AV57" i="1288"/>
  <c r="BB57" i="1288"/>
  <c r="BE57" i="1288"/>
  <c r="BG57" i="1288"/>
  <c r="BK57" i="1288"/>
  <c r="BM57" i="1288"/>
  <c r="BP57" i="1288"/>
  <c r="BV57" i="1288"/>
  <c r="BZ57" i="1288"/>
  <c r="CB57" i="1288"/>
  <c r="CC57" i="1288"/>
  <c r="CH57" i="1288"/>
  <c r="CJ57" i="1288"/>
  <c r="CM57" i="1288"/>
  <c r="AZ57" i="1288"/>
  <c r="CN57" i="1288"/>
  <c r="CS57" i="1288"/>
  <c r="CV57" i="1288"/>
  <c r="E57" i="1288"/>
  <c r="G57" i="1288"/>
  <c r="H57" i="1288"/>
  <c r="N57" i="1288"/>
  <c r="P57" i="1288"/>
  <c r="AB57" i="1288"/>
  <c r="AF57" i="1288"/>
  <c r="AN57" i="1288"/>
  <c r="AQ57" i="1288"/>
  <c r="AR57" i="1288"/>
  <c r="AW57" i="1288"/>
  <c r="AX57" i="1288"/>
  <c r="AY57" i="1288"/>
  <c r="BA57" i="1288"/>
  <c r="BH57" i="1288"/>
  <c r="BJ57" i="1288"/>
  <c r="BN57" i="1288"/>
  <c r="BR57" i="1288"/>
  <c r="BW57" i="1288"/>
  <c r="BY57" i="1288"/>
  <c r="CA57" i="1288"/>
  <c r="CD57" i="1288"/>
  <c r="CE57" i="1288"/>
  <c r="CF57" i="1288"/>
  <c r="CI57" i="1288"/>
  <c r="CP57" i="1288"/>
  <c r="CR57" i="1288"/>
  <c r="CU57" i="1288"/>
  <c r="DD57" i="1288"/>
  <c r="CX57" i="1288"/>
  <c r="CZ57" i="1288"/>
  <c r="DB57" i="1288"/>
  <c r="Y58" i="1288"/>
  <c r="BR58" i="1288"/>
  <c r="V58" i="1288"/>
  <c r="U58" i="1288"/>
  <c r="T58" i="1288"/>
  <c r="P58" i="1288"/>
  <c r="M58" i="1288"/>
  <c r="L58" i="1288"/>
  <c r="J58" i="1288"/>
  <c r="I58" i="1288"/>
  <c r="H58" i="1288"/>
  <c r="F58" i="1288"/>
  <c r="BP58" i="1288"/>
  <c r="Z58" i="1288"/>
  <c r="AA58" i="1288"/>
  <c r="AC58" i="1288"/>
  <c r="AE58" i="1288"/>
  <c r="AG58" i="1288"/>
  <c r="AH58" i="1288"/>
  <c r="AJ58" i="1288"/>
  <c r="AK58" i="1288"/>
  <c r="AL58" i="1288"/>
  <c r="AM58" i="1288"/>
  <c r="AN58" i="1288"/>
  <c r="AO58" i="1288"/>
  <c r="AP58" i="1288"/>
  <c r="AR58" i="1288"/>
  <c r="AS58" i="1288"/>
  <c r="AT58" i="1288"/>
  <c r="AU58" i="1288"/>
  <c r="AV58" i="1288"/>
  <c r="AW58" i="1288"/>
  <c r="AX58" i="1288"/>
  <c r="AY58" i="1288"/>
  <c r="AZ58" i="1288"/>
  <c r="BA58" i="1288"/>
  <c r="BB58" i="1288"/>
  <c r="AQ58" i="1288"/>
  <c r="AI58" i="1288"/>
  <c r="AF58" i="1288"/>
  <c r="AD58" i="1288"/>
  <c r="AB58" i="1288"/>
  <c r="W58" i="1288"/>
  <c r="S58" i="1288"/>
  <c r="R58" i="1288"/>
  <c r="Q58" i="1288"/>
  <c r="O58" i="1288"/>
  <c r="N58" i="1288"/>
  <c r="K58" i="1288"/>
  <c r="G58" i="1288"/>
  <c r="E58" i="1288"/>
  <c r="BC58" i="1288"/>
  <c r="BD58" i="1288"/>
  <c r="BE58" i="1288"/>
  <c r="BF58" i="1288"/>
  <c r="BG58" i="1288"/>
  <c r="BH58" i="1288"/>
  <c r="BI58" i="1288"/>
  <c r="BJ58" i="1288"/>
  <c r="BK58" i="1288"/>
  <c r="BL58" i="1288"/>
  <c r="BM58" i="1288"/>
  <c r="BN58" i="1288"/>
  <c r="DE58" i="1288"/>
  <c r="DD58" i="1288"/>
  <c r="DC58" i="1288"/>
  <c r="DB58" i="1288"/>
  <c r="DA58" i="1288"/>
  <c r="CZ58" i="1288"/>
  <c r="CY58" i="1288"/>
  <c r="CX58" i="1288"/>
  <c r="CW58" i="1288"/>
  <c r="CV58" i="1288"/>
  <c r="CU58" i="1288"/>
  <c r="CT58" i="1288"/>
  <c r="CS58" i="1288"/>
  <c r="CR58" i="1288"/>
  <c r="CQ58" i="1288"/>
  <c r="CP58" i="1288"/>
  <c r="CO58" i="1288"/>
  <c r="CN58" i="1288"/>
  <c r="CM58" i="1288"/>
  <c r="CL58" i="1288"/>
  <c r="CK58" i="1288"/>
  <c r="CJ58" i="1288"/>
  <c r="CI58" i="1288"/>
  <c r="CH58" i="1288"/>
  <c r="CG58" i="1288"/>
  <c r="CF58" i="1288"/>
  <c r="CE58" i="1288"/>
  <c r="CD58" i="1288"/>
  <c r="CC58" i="1288"/>
  <c r="CB58" i="1288"/>
  <c r="CA58" i="1288"/>
  <c r="BZ58" i="1288"/>
  <c r="BY58" i="1288"/>
  <c r="BX58" i="1288"/>
  <c r="BW58" i="1288"/>
  <c r="BV58" i="1288"/>
  <c r="BU58" i="1288"/>
  <c r="BT58" i="1288"/>
  <c r="BO58" i="1288"/>
  <c r="BS58" i="1288"/>
  <c r="BQ58" i="1288"/>
  <c r="X58" i="1288"/>
  <c r="R59" i="1288"/>
  <c r="DE59" i="1288"/>
  <c r="DA59" i="1288"/>
  <c r="CZ59" i="1288"/>
  <c r="CY59" i="1288"/>
  <c r="CX59" i="1288"/>
  <c r="CW59" i="1288"/>
  <c r="CV59" i="1288"/>
  <c r="CU59" i="1288"/>
  <c r="CT59" i="1288"/>
  <c r="CS59" i="1288"/>
  <c r="CR59" i="1288"/>
  <c r="CQ59" i="1288"/>
  <c r="CP59" i="1288"/>
  <c r="CO59" i="1288"/>
  <c r="CN59" i="1288"/>
  <c r="CM59" i="1288"/>
  <c r="CL59" i="1288"/>
  <c r="CK59" i="1288"/>
  <c r="CJ59" i="1288"/>
  <c r="CI59" i="1288"/>
  <c r="CH59" i="1288"/>
  <c r="CG59" i="1288"/>
  <c r="CF59" i="1288"/>
  <c r="CE59" i="1288"/>
  <c r="CD59" i="1288"/>
  <c r="CC59" i="1288"/>
  <c r="CB59" i="1288"/>
  <c r="CA59" i="1288"/>
  <c r="BZ59" i="1288"/>
  <c r="BY59" i="1288"/>
  <c r="BX59" i="1288"/>
  <c r="BW59" i="1288"/>
  <c r="BV59" i="1288"/>
  <c r="BU59" i="1288"/>
  <c r="BT59" i="1288"/>
  <c r="BS59" i="1288"/>
  <c r="BR59" i="1288"/>
  <c r="BQ59" i="1288"/>
  <c r="BP59" i="1288"/>
  <c r="BO59" i="1288"/>
  <c r="BN59" i="1288"/>
  <c r="BM59" i="1288"/>
  <c r="BL59" i="1288"/>
  <c r="BK59" i="1288"/>
  <c r="BJ59" i="1288"/>
  <c r="BI59" i="1288"/>
  <c r="BH59" i="1288"/>
  <c r="BG59" i="1288"/>
  <c r="BF59" i="1288"/>
  <c r="BE59" i="1288"/>
  <c r="BD59" i="1288"/>
  <c r="BC59" i="1288"/>
  <c r="BB59" i="1288"/>
  <c r="BA59" i="1288"/>
  <c r="AZ59" i="1288"/>
  <c r="AY59" i="1288"/>
  <c r="AX59" i="1288"/>
  <c r="AW59" i="1288"/>
  <c r="AV59" i="1288"/>
  <c r="AU59" i="1288"/>
  <c r="AT59" i="1288"/>
  <c r="AS59" i="1288"/>
  <c r="AR59" i="1288"/>
  <c r="AQ59" i="1288"/>
  <c r="AP59" i="1288"/>
  <c r="AO59" i="1288"/>
  <c r="AN59" i="1288"/>
  <c r="AM59" i="1288"/>
  <c r="AL59" i="1288"/>
  <c r="AK59" i="1288"/>
  <c r="AJ59" i="1288"/>
  <c r="AI59" i="1288"/>
  <c r="AH59" i="1288"/>
  <c r="AG59" i="1288"/>
  <c r="AF59" i="1288"/>
  <c r="AE59" i="1288"/>
  <c r="AD59" i="1288"/>
  <c r="AC59" i="1288"/>
  <c r="AB59" i="1288"/>
  <c r="AA59" i="1288"/>
  <c r="Z59" i="1288"/>
  <c r="Y59" i="1288"/>
  <c r="X59" i="1288"/>
  <c r="W59" i="1288"/>
  <c r="V59" i="1288"/>
  <c r="U59" i="1288"/>
  <c r="T59" i="1288"/>
  <c r="S59" i="1288"/>
  <c r="Q59" i="1288"/>
  <c r="P59" i="1288"/>
  <c r="O59" i="1288"/>
  <c r="N59" i="1288"/>
  <c r="M59" i="1288"/>
  <c r="L59" i="1288"/>
  <c r="K59" i="1288"/>
  <c r="J59" i="1288"/>
  <c r="I59" i="1288"/>
  <c r="H59" i="1288"/>
  <c r="G59" i="1288"/>
  <c r="F59" i="1288"/>
  <c r="E59" i="1288"/>
  <c r="DC59" i="1288"/>
  <c r="DD59" i="1288"/>
  <c r="DB59" i="1288"/>
  <c r="D58" i="1288"/>
  <c r="C39" i="1287"/>
  <c r="DC24" i="1287"/>
  <c r="DB24" i="1287"/>
  <c r="DD24" i="1287"/>
  <c r="E24" i="1287"/>
  <c r="F24" i="1287"/>
  <c r="G24" i="1287"/>
  <c r="H24" i="1287"/>
  <c r="I24" i="1287"/>
  <c r="J24" i="1287"/>
  <c r="K24" i="1287"/>
  <c r="L24" i="1287"/>
  <c r="M24" i="1287"/>
  <c r="N24" i="1287"/>
  <c r="O24" i="1287"/>
  <c r="P24" i="1287"/>
  <c r="Q24" i="1287"/>
  <c r="R24" i="1287"/>
  <c r="S24" i="1287"/>
  <c r="T24" i="1287"/>
  <c r="U24" i="1287"/>
  <c r="V24" i="1287"/>
  <c r="W24" i="1287"/>
  <c r="X24" i="1287"/>
  <c r="Y24" i="1287"/>
  <c r="Z24" i="1287"/>
  <c r="AA24" i="1287"/>
  <c r="AB24" i="1287"/>
  <c r="AC24" i="1287"/>
  <c r="AD24" i="1287"/>
  <c r="AE24" i="1287"/>
  <c r="AF24" i="1287"/>
  <c r="AG24" i="1287"/>
  <c r="AH24" i="1287"/>
  <c r="AI24" i="1287"/>
  <c r="AJ24" i="1287"/>
  <c r="AK24" i="1287"/>
  <c r="AL24" i="1287"/>
  <c r="AM24" i="1287"/>
  <c r="AN24" i="1287"/>
  <c r="AO24" i="1287"/>
  <c r="AP24" i="1287"/>
  <c r="AQ24" i="1287"/>
  <c r="AR24" i="1287"/>
  <c r="AS24" i="1287"/>
  <c r="AT24" i="1287"/>
  <c r="AU24" i="1287"/>
  <c r="AV24" i="1287"/>
  <c r="AW24" i="1287"/>
  <c r="AX24" i="1287"/>
  <c r="AY24" i="1287"/>
  <c r="AZ24" i="1287"/>
  <c r="BA24" i="1287"/>
  <c r="BB24" i="1287"/>
  <c r="BC24" i="1287"/>
  <c r="BD24" i="1287"/>
  <c r="BE24" i="1287"/>
  <c r="BF24" i="1287"/>
  <c r="BG24" i="1287"/>
  <c r="BH24" i="1287"/>
  <c r="BI24" i="1287"/>
  <c r="BJ24" i="1287"/>
  <c r="BK24" i="1287"/>
  <c r="BL24" i="1287"/>
  <c r="BM24" i="1287"/>
  <c r="BN24" i="1287"/>
  <c r="BO24" i="1287"/>
  <c r="BP24" i="1287"/>
  <c r="BQ24" i="1287"/>
  <c r="BR24" i="1287"/>
  <c r="BS24" i="1287"/>
  <c r="BT24" i="1287"/>
  <c r="BU24" i="1287"/>
  <c r="BV24" i="1287"/>
  <c r="BW24" i="1287"/>
  <c r="BX24" i="1287"/>
  <c r="BY24" i="1287"/>
  <c r="BZ24" i="1287"/>
  <c r="CA24" i="1287"/>
  <c r="CB24" i="1287"/>
  <c r="CC24" i="1287"/>
  <c r="CD24" i="1287"/>
  <c r="CE24" i="1287"/>
  <c r="CF24" i="1287"/>
  <c r="CG24" i="1287"/>
  <c r="CH24" i="1287"/>
  <c r="CI24" i="1287"/>
  <c r="CJ24" i="1287"/>
  <c r="CK24" i="1287"/>
  <c r="CL24" i="1287"/>
  <c r="CM24" i="1287"/>
  <c r="CN24" i="1287"/>
  <c r="CO24" i="1287"/>
  <c r="CP24" i="1287"/>
  <c r="CQ24" i="1287"/>
  <c r="CR24" i="1287"/>
  <c r="CS24" i="1287"/>
  <c r="CT24" i="1287"/>
  <c r="CU24" i="1287"/>
  <c r="CV24" i="1287"/>
  <c r="CW24" i="1287"/>
  <c r="CX24" i="1287"/>
  <c r="CY24" i="1287"/>
  <c r="CZ24" i="1287"/>
  <c r="DA24" i="1287"/>
  <c r="DE24" i="1287"/>
  <c r="DC25" i="1287"/>
  <c r="DE25" i="1287"/>
  <c r="DB25" i="1287"/>
  <c r="E25" i="1287"/>
  <c r="F25" i="1287"/>
  <c r="G25" i="1287"/>
  <c r="H25" i="1287"/>
  <c r="I25" i="1287"/>
  <c r="J25" i="1287"/>
  <c r="K25" i="1287"/>
  <c r="L25" i="1287"/>
  <c r="M25" i="1287"/>
  <c r="N25" i="1287"/>
  <c r="O25" i="1287"/>
  <c r="P25" i="1287"/>
  <c r="Q25" i="1287"/>
  <c r="R25" i="1287"/>
  <c r="S25" i="1287"/>
  <c r="T25" i="1287"/>
  <c r="U25" i="1287"/>
  <c r="V25" i="1287"/>
  <c r="W25" i="1287"/>
  <c r="X25" i="1287"/>
  <c r="Y25" i="1287"/>
  <c r="Z25" i="1287"/>
  <c r="AA25" i="1287"/>
  <c r="AB25" i="1287"/>
  <c r="AC25" i="1287"/>
  <c r="AD25" i="1287"/>
  <c r="AE25" i="1287"/>
  <c r="AF25" i="1287"/>
  <c r="AG25" i="1287"/>
  <c r="AH25" i="1287"/>
  <c r="AI25" i="1287"/>
  <c r="AJ25" i="1287"/>
  <c r="AK25" i="1287"/>
  <c r="AL25" i="1287"/>
  <c r="AM25" i="1287"/>
  <c r="AN25" i="1287"/>
  <c r="AO25" i="1287"/>
  <c r="AP25" i="1287"/>
  <c r="AQ25" i="1287"/>
  <c r="AR25" i="1287"/>
  <c r="AS25" i="1287"/>
  <c r="AT25" i="1287"/>
  <c r="AU25" i="1287"/>
  <c r="AV25" i="1287"/>
  <c r="AW25" i="1287"/>
  <c r="AX25" i="1287"/>
  <c r="AY25" i="1287"/>
  <c r="AZ25" i="1287"/>
  <c r="BA25" i="1287"/>
  <c r="BB25" i="1287"/>
  <c r="BC25" i="1287"/>
  <c r="BD25" i="1287"/>
  <c r="BE25" i="1287"/>
  <c r="BF25" i="1287"/>
  <c r="BG25" i="1287"/>
  <c r="BH25" i="1287"/>
  <c r="BI25" i="1287"/>
  <c r="BJ25" i="1287"/>
  <c r="BK25" i="1287"/>
  <c r="BL25" i="1287"/>
  <c r="BM25" i="1287"/>
  <c r="BN25" i="1287"/>
  <c r="BO25" i="1287"/>
  <c r="BP25" i="1287"/>
  <c r="BQ25" i="1287"/>
  <c r="BR25" i="1287"/>
  <c r="BS25" i="1287"/>
  <c r="BT25" i="1287"/>
  <c r="BU25" i="1287"/>
  <c r="BV25" i="1287"/>
  <c r="BW25" i="1287"/>
  <c r="BX25" i="1287"/>
  <c r="BY25" i="1287"/>
  <c r="BZ25" i="1287"/>
  <c r="CA25" i="1287"/>
  <c r="CB25" i="1287"/>
  <c r="CC25" i="1287"/>
  <c r="CD25" i="1287"/>
  <c r="CE25" i="1287"/>
  <c r="CF25" i="1287"/>
  <c r="CG25" i="1287"/>
  <c r="CH25" i="1287"/>
  <c r="CI25" i="1287"/>
  <c r="CJ25" i="1287"/>
  <c r="CK25" i="1287"/>
  <c r="CL25" i="1287"/>
  <c r="CM25" i="1287"/>
  <c r="CN25" i="1287"/>
  <c r="CO25" i="1287"/>
  <c r="CP25" i="1287"/>
  <c r="CQ25" i="1287"/>
  <c r="CR25" i="1287"/>
  <c r="CS25" i="1287"/>
  <c r="CT25" i="1287"/>
  <c r="CU25" i="1287"/>
  <c r="CV25" i="1287"/>
  <c r="CW25" i="1287"/>
  <c r="CX25" i="1287"/>
  <c r="CY25" i="1287"/>
  <c r="CZ25" i="1287"/>
  <c r="DA25" i="1287"/>
  <c r="DD25" i="1287"/>
  <c r="CD26" i="1287"/>
  <c r="CA26" i="1287"/>
  <c r="CE26" i="1287"/>
  <c r="E26" i="1287"/>
  <c r="F26" i="1287"/>
  <c r="G26" i="1287"/>
  <c r="H26" i="1287"/>
  <c r="I26" i="1287"/>
  <c r="J26" i="1287"/>
  <c r="K26" i="1287"/>
  <c r="L26" i="1287"/>
  <c r="M26" i="1287"/>
  <c r="N26" i="1287"/>
  <c r="O26" i="1287"/>
  <c r="P26" i="1287"/>
  <c r="Q26" i="1287"/>
  <c r="R26" i="1287"/>
  <c r="S26" i="1287"/>
  <c r="T26" i="1287"/>
  <c r="U26" i="1287"/>
  <c r="V26" i="1287"/>
  <c r="W26" i="1287"/>
  <c r="X26" i="1287"/>
  <c r="Y26" i="1287"/>
  <c r="Z26" i="1287"/>
  <c r="AA26" i="1287"/>
  <c r="AB26" i="1287"/>
  <c r="AC26" i="1287"/>
  <c r="AD26" i="1287"/>
  <c r="AE26" i="1287"/>
  <c r="AF26" i="1287"/>
  <c r="AG26" i="1287"/>
  <c r="AH26" i="1287"/>
  <c r="AI26" i="1287"/>
  <c r="AJ26" i="1287"/>
  <c r="AK26" i="1287"/>
  <c r="AL26" i="1287"/>
  <c r="AM26" i="1287"/>
  <c r="AN26" i="1287"/>
  <c r="AO26" i="1287"/>
  <c r="AP26" i="1287"/>
  <c r="AQ26" i="1287"/>
  <c r="AR26" i="1287"/>
  <c r="AS26" i="1287"/>
  <c r="AT26" i="1287"/>
  <c r="AU26" i="1287"/>
  <c r="AV26" i="1287"/>
  <c r="AW26" i="1287"/>
  <c r="AX26" i="1287"/>
  <c r="AY26" i="1287"/>
  <c r="AZ26" i="1287"/>
  <c r="BA26" i="1287"/>
  <c r="BB26" i="1287"/>
  <c r="BC26" i="1287"/>
  <c r="BD26" i="1287"/>
  <c r="BE26" i="1287"/>
  <c r="BF26" i="1287"/>
  <c r="BG26" i="1287"/>
  <c r="BH26" i="1287"/>
  <c r="BI26" i="1287"/>
  <c r="BJ26" i="1287"/>
  <c r="BK26" i="1287"/>
  <c r="BL26" i="1287"/>
  <c r="BM26" i="1287"/>
  <c r="BN26" i="1287"/>
  <c r="BO26" i="1287"/>
  <c r="BP26" i="1287"/>
  <c r="BQ26" i="1287"/>
  <c r="BR26" i="1287"/>
  <c r="BS26" i="1287"/>
  <c r="BT26" i="1287"/>
  <c r="BU26" i="1287"/>
  <c r="BV26" i="1287"/>
  <c r="BW26" i="1287"/>
  <c r="BX26" i="1287"/>
  <c r="BY26" i="1287"/>
  <c r="BZ26" i="1287"/>
  <c r="CG26" i="1287"/>
  <c r="CH26" i="1287"/>
  <c r="CI26" i="1287"/>
  <c r="CJ26" i="1287"/>
  <c r="CK26" i="1287"/>
  <c r="CL26" i="1287"/>
  <c r="CM26" i="1287"/>
  <c r="CN26" i="1287"/>
  <c r="CO26" i="1287"/>
  <c r="CP26" i="1287"/>
  <c r="CQ26" i="1287"/>
  <c r="CR26" i="1287"/>
  <c r="CS26" i="1287"/>
  <c r="CT26" i="1287"/>
  <c r="CU26" i="1287"/>
  <c r="CV26" i="1287"/>
  <c r="CW26" i="1287"/>
  <c r="CX26" i="1287"/>
  <c r="CY26" i="1287"/>
  <c r="CZ26" i="1287"/>
  <c r="DA26" i="1287"/>
  <c r="DB26" i="1287"/>
  <c r="DC26" i="1287"/>
  <c r="DD26" i="1287"/>
  <c r="DE26" i="1287"/>
  <c r="CB26" i="1287"/>
  <c r="CF26" i="1287"/>
  <c r="CC26" i="1287"/>
  <c r="F27" i="1287"/>
  <c r="E27" i="1287"/>
  <c r="J27" i="1287"/>
  <c r="K27" i="1287"/>
  <c r="L27" i="1287"/>
  <c r="M27" i="1287"/>
  <c r="N27" i="1287"/>
  <c r="O27" i="1287"/>
  <c r="P27" i="1287"/>
  <c r="Q27" i="1287"/>
  <c r="R27" i="1287"/>
  <c r="S27" i="1287"/>
  <c r="T27" i="1287"/>
  <c r="U27" i="1287"/>
  <c r="V27" i="1287"/>
  <c r="W27" i="1287"/>
  <c r="X27" i="1287"/>
  <c r="Y27" i="1287"/>
  <c r="Z27" i="1287"/>
  <c r="AA27" i="1287"/>
  <c r="AB27" i="1287"/>
  <c r="AC27" i="1287"/>
  <c r="AD27" i="1287"/>
  <c r="AE27" i="1287"/>
  <c r="AF27" i="1287"/>
  <c r="AG27" i="1287"/>
  <c r="AH27" i="1287"/>
  <c r="AI27" i="1287"/>
  <c r="AJ27" i="1287"/>
  <c r="AK27" i="1287"/>
  <c r="AL27" i="1287"/>
  <c r="AM27" i="1287"/>
  <c r="AN27" i="1287"/>
  <c r="AO27" i="1287"/>
  <c r="AP27" i="1287"/>
  <c r="AQ27" i="1287"/>
  <c r="AR27" i="1287"/>
  <c r="AS27" i="1287"/>
  <c r="AT27" i="1287"/>
  <c r="AU27" i="1287"/>
  <c r="AV27" i="1287"/>
  <c r="AW27" i="1287"/>
  <c r="AX27" i="1287"/>
  <c r="AY27" i="1287"/>
  <c r="AZ27" i="1287"/>
  <c r="BA27" i="1287"/>
  <c r="BB27" i="1287"/>
  <c r="BC27" i="1287"/>
  <c r="BD27" i="1287"/>
  <c r="BE27" i="1287"/>
  <c r="BF27" i="1287"/>
  <c r="BG27" i="1287"/>
  <c r="BH27" i="1287"/>
  <c r="BI27" i="1287"/>
  <c r="BJ27" i="1287"/>
  <c r="BK27" i="1287"/>
  <c r="BL27" i="1287"/>
  <c r="BM27" i="1287"/>
  <c r="BN27" i="1287"/>
  <c r="BO27" i="1287"/>
  <c r="BP27" i="1287"/>
  <c r="BQ27" i="1287"/>
  <c r="BR27" i="1287"/>
  <c r="BS27" i="1287"/>
  <c r="BT27" i="1287"/>
  <c r="BU27" i="1287"/>
  <c r="BV27" i="1287"/>
  <c r="BW27" i="1287"/>
  <c r="BX27" i="1287"/>
  <c r="BY27" i="1287"/>
  <c r="BZ27" i="1287"/>
  <c r="CA27" i="1287"/>
  <c r="CB27" i="1287"/>
  <c r="CC27" i="1287"/>
  <c r="CD27" i="1287"/>
  <c r="CE27" i="1287"/>
  <c r="CF27" i="1287"/>
  <c r="CG27" i="1287"/>
  <c r="CH27" i="1287"/>
  <c r="CI27" i="1287"/>
  <c r="CJ27" i="1287"/>
  <c r="CK27" i="1287"/>
  <c r="CL27" i="1287"/>
  <c r="CM27" i="1287"/>
  <c r="CN27" i="1287"/>
  <c r="CO27" i="1287"/>
  <c r="CP27" i="1287"/>
  <c r="CQ27" i="1287"/>
  <c r="CR27" i="1287"/>
  <c r="CS27" i="1287"/>
  <c r="CT27" i="1287"/>
  <c r="CU27" i="1287"/>
  <c r="CV27" i="1287"/>
  <c r="CW27" i="1287"/>
  <c r="CX27" i="1287"/>
  <c r="CY27" i="1287"/>
  <c r="CZ27" i="1287"/>
  <c r="DA27" i="1287"/>
  <c r="DB27" i="1287"/>
  <c r="DC27" i="1287"/>
  <c r="DD27" i="1287"/>
  <c r="DE27" i="1287"/>
  <c r="I27" i="1287"/>
  <c r="G27" i="1287"/>
  <c r="H27" i="1287"/>
  <c r="AD28" i="1287"/>
  <c r="CC28" i="1287"/>
  <c r="CE28" i="1287"/>
  <c r="CF28" i="1287"/>
  <c r="E28" i="1287"/>
  <c r="F28" i="1287"/>
  <c r="G28" i="1287"/>
  <c r="H28" i="1287"/>
  <c r="I28" i="1287"/>
  <c r="J28" i="1287"/>
  <c r="K28" i="1287"/>
  <c r="L28" i="1287"/>
  <c r="M28" i="1287"/>
  <c r="N28" i="1287"/>
  <c r="O28" i="1287"/>
  <c r="P28" i="1287"/>
  <c r="Q28" i="1287"/>
  <c r="R28" i="1287"/>
  <c r="S28" i="1287"/>
  <c r="T28" i="1287"/>
  <c r="U28" i="1287"/>
  <c r="V28" i="1287"/>
  <c r="W28" i="1287"/>
  <c r="X28" i="1287"/>
  <c r="Y28" i="1287"/>
  <c r="Z28" i="1287"/>
  <c r="AA28" i="1287"/>
  <c r="AC28" i="1287"/>
  <c r="AE28" i="1287"/>
  <c r="AF28" i="1287"/>
  <c r="AG28" i="1287"/>
  <c r="AH28" i="1287"/>
  <c r="AI28" i="1287"/>
  <c r="AJ28" i="1287"/>
  <c r="AK28" i="1287"/>
  <c r="AL28" i="1287"/>
  <c r="AM28" i="1287"/>
  <c r="AN28" i="1287"/>
  <c r="AO28" i="1287"/>
  <c r="AP28" i="1287"/>
  <c r="AQ28" i="1287"/>
  <c r="AR28" i="1287"/>
  <c r="AS28" i="1287"/>
  <c r="AT28" i="1287"/>
  <c r="AU28" i="1287"/>
  <c r="AV28" i="1287"/>
  <c r="AW28" i="1287"/>
  <c r="AX28" i="1287"/>
  <c r="AY28" i="1287"/>
  <c r="AZ28" i="1287"/>
  <c r="BA28" i="1287"/>
  <c r="BB28" i="1287"/>
  <c r="BC28" i="1287"/>
  <c r="AB28" i="1287"/>
  <c r="BD28" i="1287"/>
  <c r="BE28" i="1287"/>
  <c r="BF28" i="1287"/>
  <c r="BG28" i="1287"/>
  <c r="BH28" i="1287"/>
  <c r="BI28" i="1287"/>
  <c r="BJ28" i="1287"/>
  <c r="BK28" i="1287"/>
  <c r="BL28" i="1287"/>
  <c r="BM28" i="1287"/>
  <c r="BN28" i="1287"/>
  <c r="BO28" i="1287"/>
  <c r="BP28" i="1287"/>
  <c r="BQ28" i="1287"/>
  <c r="BR28" i="1287"/>
  <c r="BS28" i="1287"/>
  <c r="BT28" i="1287"/>
  <c r="BU28" i="1287"/>
  <c r="BV28" i="1287"/>
  <c r="BW28" i="1287"/>
  <c r="BX28" i="1287"/>
  <c r="BY28" i="1287"/>
  <c r="BZ28" i="1287"/>
  <c r="CG28" i="1287"/>
  <c r="CH28" i="1287"/>
  <c r="CI28" i="1287"/>
  <c r="CJ28" i="1287"/>
  <c r="CK28" i="1287"/>
  <c r="CL28" i="1287"/>
  <c r="CM28" i="1287"/>
  <c r="CN28" i="1287"/>
  <c r="CO28" i="1287"/>
  <c r="CP28" i="1287"/>
  <c r="CQ28" i="1287"/>
  <c r="CR28" i="1287"/>
  <c r="CS28" i="1287"/>
  <c r="CT28" i="1287"/>
  <c r="CU28" i="1287"/>
  <c r="CV28" i="1287"/>
  <c r="CW28" i="1287"/>
  <c r="CX28" i="1287"/>
  <c r="CY28" i="1287"/>
  <c r="CZ28" i="1287"/>
  <c r="DA28" i="1287"/>
  <c r="DB28" i="1287"/>
  <c r="DC28" i="1287"/>
  <c r="DD28" i="1287"/>
  <c r="DE28" i="1287"/>
  <c r="CB28" i="1287"/>
  <c r="CA28" i="1287"/>
  <c r="CD28" i="1287"/>
  <c r="AC29" i="1287"/>
  <c r="CA29" i="1287"/>
  <c r="CD29" i="1287"/>
  <c r="CB29" i="1287"/>
  <c r="E29" i="1287"/>
  <c r="F29" i="1287"/>
  <c r="G29" i="1287"/>
  <c r="H29" i="1287"/>
  <c r="I29" i="1287"/>
  <c r="J29" i="1287"/>
  <c r="K29" i="1287"/>
  <c r="L29" i="1287"/>
  <c r="M29" i="1287"/>
  <c r="N29" i="1287"/>
  <c r="O29" i="1287"/>
  <c r="P29" i="1287"/>
  <c r="Q29" i="1287"/>
  <c r="R29" i="1287"/>
  <c r="S29" i="1287"/>
  <c r="T29" i="1287"/>
  <c r="U29" i="1287"/>
  <c r="V29" i="1287"/>
  <c r="W29" i="1287"/>
  <c r="X29" i="1287"/>
  <c r="Y29" i="1287"/>
  <c r="Z29" i="1287"/>
  <c r="AB29" i="1287"/>
  <c r="AD29" i="1287"/>
  <c r="AE29" i="1287"/>
  <c r="AF29" i="1287"/>
  <c r="AG29" i="1287"/>
  <c r="AH29" i="1287"/>
  <c r="AI29" i="1287"/>
  <c r="AJ29" i="1287"/>
  <c r="AK29" i="1287"/>
  <c r="AL29" i="1287"/>
  <c r="AM29" i="1287"/>
  <c r="AN29" i="1287"/>
  <c r="AO29" i="1287"/>
  <c r="AP29" i="1287"/>
  <c r="AQ29" i="1287"/>
  <c r="AR29" i="1287"/>
  <c r="AS29" i="1287"/>
  <c r="AT29" i="1287"/>
  <c r="AU29" i="1287"/>
  <c r="AV29" i="1287"/>
  <c r="AW29" i="1287"/>
  <c r="AX29" i="1287"/>
  <c r="AY29" i="1287"/>
  <c r="AZ29" i="1287"/>
  <c r="BA29" i="1287"/>
  <c r="BB29" i="1287"/>
  <c r="BC29" i="1287"/>
  <c r="BD29" i="1287"/>
  <c r="AA29" i="1287"/>
  <c r="BE29" i="1287"/>
  <c r="BF29" i="1287"/>
  <c r="BG29" i="1287"/>
  <c r="BH29" i="1287"/>
  <c r="BI29" i="1287"/>
  <c r="BJ29" i="1287"/>
  <c r="BK29" i="1287"/>
  <c r="BL29" i="1287"/>
  <c r="BM29" i="1287"/>
  <c r="BN29" i="1287"/>
  <c r="BO29" i="1287"/>
  <c r="BP29" i="1287"/>
  <c r="BQ29" i="1287"/>
  <c r="BR29" i="1287"/>
  <c r="BS29" i="1287"/>
  <c r="BT29" i="1287"/>
  <c r="BU29" i="1287"/>
  <c r="BV29" i="1287"/>
  <c r="BW29" i="1287"/>
  <c r="BX29" i="1287"/>
  <c r="BY29" i="1287"/>
  <c r="BZ29" i="1287"/>
  <c r="DE29" i="1287"/>
  <c r="DD29" i="1287"/>
  <c r="DC29" i="1287"/>
  <c r="DB29" i="1287"/>
  <c r="DA29" i="1287"/>
  <c r="CZ29" i="1287"/>
  <c r="CY29" i="1287"/>
  <c r="CX29" i="1287"/>
  <c r="CW29" i="1287"/>
  <c r="CV29" i="1287"/>
  <c r="CU29" i="1287"/>
  <c r="CT29" i="1287"/>
  <c r="CS29" i="1287"/>
  <c r="CR29" i="1287"/>
  <c r="CQ29" i="1287"/>
  <c r="CP29" i="1287"/>
  <c r="CO29" i="1287"/>
  <c r="CN29" i="1287"/>
  <c r="CM29" i="1287"/>
  <c r="CL29" i="1287"/>
  <c r="CK29" i="1287"/>
  <c r="CJ29" i="1287"/>
  <c r="CI29" i="1287"/>
  <c r="CH29" i="1287"/>
  <c r="CG29" i="1287"/>
  <c r="CF29" i="1287"/>
  <c r="CE29" i="1287"/>
  <c r="CC29" i="1287"/>
  <c r="CB30" i="1287"/>
  <c r="AB30" i="1287"/>
  <c r="CA30" i="1287"/>
  <c r="E30" i="1287"/>
  <c r="F30" i="1287"/>
  <c r="G30" i="1287"/>
  <c r="H30" i="1287"/>
  <c r="I30" i="1287"/>
  <c r="J30" i="1287"/>
  <c r="K30" i="1287"/>
  <c r="L30" i="1287"/>
  <c r="M30" i="1287"/>
  <c r="N30" i="1287"/>
  <c r="O30" i="1287"/>
  <c r="P30" i="1287"/>
  <c r="Q30" i="1287"/>
  <c r="R30" i="1287"/>
  <c r="S30" i="1287"/>
  <c r="T30" i="1287"/>
  <c r="U30" i="1287"/>
  <c r="V30" i="1287"/>
  <c r="W30" i="1287"/>
  <c r="X30" i="1287"/>
  <c r="Y30" i="1287"/>
  <c r="Z30" i="1287"/>
  <c r="CD30" i="1287"/>
  <c r="CC30" i="1287"/>
  <c r="AD30" i="1287"/>
  <c r="AE30" i="1287"/>
  <c r="AF30" i="1287"/>
  <c r="AG30" i="1287"/>
  <c r="AH30" i="1287"/>
  <c r="AI30" i="1287"/>
  <c r="AJ30" i="1287"/>
  <c r="AK30" i="1287"/>
  <c r="AL30" i="1287"/>
  <c r="AM30" i="1287"/>
  <c r="AN30" i="1287"/>
  <c r="AO30" i="1287"/>
  <c r="AP30" i="1287"/>
  <c r="AQ30" i="1287"/>
  <c r="AR30" i="1287"/>
  <c r="AS30" i="1287"/>
  <c r="AT30" i="1287"/>
  <c r="AU30" i="1287"/>
  <c r="AV30" i="1287"/>
  <c r="AW30" i="1287"/>
  <c r="AX30" i="1287"/>
  <c r="AY30" i="1287"/>
  <c r="AZ30" i="1287"/>
  <c r="BA30" i="1287"/>
  <c r="BB30" i="1287"/>
  <c r="CE30" i="1287"/>
  <c r="BC30" i="1287"/>
  <c r="CF30" i="1287"/>
  <c r="BD30" i="1287"/>
  <c r="BE30" i="1287"/>
  <c r="BF30" i="1287"/>
  <c r="BG30" i="1287"/>
  <c r="BH30" i="1287"/>
  <c r="BI30" i="1287"/>
  <c r="BJ30" i="1287"/>
  <c r="BK30" i="1287"/>
  <c r="BL30" i="1287"/>
  <c r="BM30" i="1287"/>
  <c r="BN30" i="1287"/>
  <c r="BO30" i="1287"/>
  <c r="BP30" i="1287"/>
  <c r="BQ30" i="1287"/>
  <c r="BR30" i="1287"/>
  <c r="BS30" i="1287"/>
  <c r="BT30" i="1287"/>
  <c r="BU30" i="1287"/>
  <c r="BV30" i="1287"/>
  <c r="BW30" i="1287"/>
  <c r="BX30" i="1287"/>
  <c r="BY30" i="1287"/>
  <c r="CG30" i="1287"/>
  <c r="CH30" i="1287"/>
  <c r="CI30" i="1287"/>
  <c r="CJ30" i="1287"/>
  <c r="CK30" i="1287"/>
  <c r="CL30" i="1287"/>
  <c r="CM30" i="1287"/>
  <c r="CN30" i="1287"/>
  <c r="CO30" i="1287"/>
  <c r="CP30" i="1287"/>
  <c r="CQ30" i="1287"/>
  <c r="CR30" i="1287"/>
  <c r="CS30" i="1287"/>
  <c r="CT30" i="1287"/>
  <c r="CU30" i="1287"/>
  <c r="CV30" i="1287"/>
  <c r="CW30" i="1287"/>
  <c r="CX30" i="1287"/>
  <c r="CY30" i="1287"/>
  <c r="CZ30" i="1287"/>
  <c r="DA30" i="1287"/>
  <c r="DB30" i="1287"/>
  <c r="DC30" i="1287"/>
  <c r="DD30" i="1287"/>
  <c r="DE30" i="1287"/>
  <c r="AA30" i="1287"/>
  <c r="AC30" i="1287"/>
  <c r="BZ30" i="1287"/>
  <c r="CB31" i="1287"/>
  <c r="AD31" i="1287"/>
  <c r="CA31" i="1287"/>
  <c r="E31" i="1287"/>
  <c r="F31" i="1287"/>
  <c r="G31" i="1287"/>
  <c r="H31" i="1287"/>
  <c r="I31" i="1287"/>
  <c r="J31" i="1287"/>
  <c r="K31" i="1287"/>
  <c r="L31" i="1287"/>
  <c r="M31" i="1287"/>
  <c r="N31" i="1287"/>
  <c r="O31" i="1287"/>
  <c r="P31" i="1287"/>
  <c r="Q31" i="1287"/>
  <c r="R31" i="1287"/>
  <c r="S31" i="1287"/>
  <c r="T31" i="1287"/>
  <c r="U31" i="1287"/>
  <c r="V31" i="1287"/>
  <c r="W31" i="1287"/>
  <c r="X31" i="1287"/>
  <c r="Y31" i="1287"/>
  <c r="Z31" i="1287"/>
  <c r="AA31" i="1287"/>
  <c r="CD31" i="1287"/>
  <c r="CC31" i="1287"/>
  <c r="AE31" i="1287"/>
  <c r="AF31" i="1287"/>
  <c r="AG31" i="1287"/>
  <c r="AH31" i="1287"/>
  <c r="AI31" i="1287"/>
  <c r="AJ31" i="1287"/>
  <c r="AK31" i="1287"/>
  <c r="AL31" i="1287"/>
  <c r="AM31" i="1287"/>
  <c r="AN31" i="1287"/>
  <c r="AO31" i="1287"/>
  <c r="AP31" i="1287"/>
  <c r="AQ31" i="1287"/>
  <c r="AR31" i="1287"/>
  <c r="AS31" i="1287"/>
  <c r="AT31" i="1287"/>
  <c r="AU31" i="1287"/>
  <c r="AV31" i="1287"/>
  <c r="AW31" i="1287"/>
  <c r="AX31" i="1287"/>
  <c r="AY31" i="1287"/>
  <c r="AZ31" i="1287"/>
  <c r="BA31" i="1287"/>
  <c r="CE31" i="1287"/>
  <c r="BB31" i="1287"/>
  <c r="CF31" i="1287"/>
  <c r="BC31" i="1287"/>
  <c r="BD31" i="1287"/>
  <c r="BE31" i="1287"/>
  <c r="BF31" i="1287"/>
  <c r="BG31" i="1287"/>
  <c r="BH31" i="1287"/>
  <c r="BI31" i="1287"/>
  <c r="BJ31" i="1287"/>
  <c r="BK31" i="1287"/>
  <c r="BL31" i="1287"/>
  <c r="BM31" i="1287"/>
  <c r="BN31" i="1287"/>
  <c r="BO31" i="1287"/>
  <c r="BP31" i="1287"/>
  <c r="BQ31" i="1287"/>
  <c r="BR31" i="1287"/>
  <c r="BS31" i="1287"/>
  <c r="BT31" i="1287"/>
  <c r="BU31" i="1287"/>
  <c r="BV31" i="1287"/>
  <c r="BW31" i="1287"/>
  <c r="BX31" i="1287"/>
  <c r="BY31" i="1287"/>
  <c r="CG31" i="1287"/>
  <c r="CH31" i="1287"/>
  <c r="CI31" i="1287"/>
  <c r="CJ31" i="1287"/>
  <c r="CK31" i="1287"/>
  <c r="CL31" i="1287"/>
  <c r="CM31" i="1287"/>
  <c r="CN31" i="1287"/>
  <c r="CO31" i="1287"/>
  <c r="CP31" i="1287"/>
  <c r="CQ31" i="1287"/>
  <c r="CR31" i="1287"/>
  <c r="CS31" i="1287"/>
  <c r="CT31" i="1287"/>
  <c r="CU31" i="1287"/>
  <c r="CV31" i="1287"/>
  <c r="CW31" i="1287"/>
  <c r="CX31" i="1287"/>
  <c r="CY31" i="1287"/>
  <c r="CZ31" i="1287"/>
  <c r="DA31" i="1287"/>
  <c r="DB31" i="1287"/>
  <c r="DC31" i="1287"/>
  <c r="DD31" i="1287"/>
  <c r="DE31" i="1287"/>
  <c r="AB31" i="1287"/>
  <c r="BZ31" i="1287"/>
  <c r="AC31" i="1287"/>
  <c r="F32" i="1287"/>
  <c r="E32" i="1287"/>
  <c r="J32" i="1287"/>
  <c r="K32" i="1287"/>
  <c r="L32" i="1287"/>
  <c r="M32" i="1287"/>
  <c r="N32" i="1287"/>
  <c r="O32" i="1287"/>
  <c r="P32" i="1287"/>
  <c r="Q32" i="1287"/>
  <c r="R32" i="1287"/>
  <c r="S32" i="1287"/>
  <c r="T32" i="1287"/>
  <c r="U32" i="1287"/>
  <c r="V32" i="1287"/>
  <c r="W32" i="1287"/>
  <c r="X32" i="1287"/>
  <c r="Y32" i="1287"/>
  <c r="Z32" i="1287"/>
  <c r="AA32" i="1287"/>
  <c r="AB32" i="1287"/>
  <c r="AC32" i="1287"/>
  <c r="AD32" i="1287"/>
  <c r="AE32" i="1287"/>
  <c r="AF32" i="1287"/>
  <c r="AG32" i="1287"/>
  <c r="AH32" i="1287"/>
  <c r="AI32" i="1287"/>
  <c r="AJ32" i="1287"/>
  <c r="AK32" i="1287"/>
  <c r="AL32" i="1287"/>
  <c r="AM32" i="1287"/>
  <c r="AN32" i="1287"/>
  <c r="AO32" i="1287"/>
  <c r="AP32" i="1287"/>
  <c r="AQ32" i="1287"/>
  <c r="AR32" i="1287"/>
  <c r="AS32" i="1287"/>
  <c r="AT32" i="1287"/>
  <c r="AU32" i="1287"/>
  <c r="AV32" i="1287"/>
  <c r="AW32" i="1287"/>
  <c r="AX32" i="1287"/>
  <c r="AY32" i="1287"/>
  <c r="AZ32" i="1287"/>
  <c r="BA32" i="1287"/>
  <c r="BB32" i="1287"/>
  <c r="BC32" i="1287"/>
  <c r="BD32" i="1287"/>
  <c r="BE32" i="1287"/>
  <c r="BF32" i="1287"/>
  <c r="BG32" i="1287"/>
  <c r="BH32" i="1287"/>
  <c r="BI32" i="1287"/>
  <c r="BJ32" i="1287"/>
  <c r="BK32" i="1287"/>
  <c r="BL32" i="1287"/>
  <c r="BM32" i="1287"/>
  <c r="BN32" i="1287"/>
  <c r="BO32" i="1287"/>
  <c r="BP32" i="1287"/>
  <c r="BQ32" i="1287"/>
  <c r="BR32" i="1287"/>
  <c r="BS32" i="1287"/>
  <c r="BT32" i="1287"/>
  <c r="BU32" i="1287"/>
  <c r="BV32" i="1287"/>
  <c r="BW32" i="1287"/>
  <c r="BX32" i="1287"/>
  <c r="BY32" i="1287"/>
  <c r="BZ32" i="1287"/>
  <c r="CA32" i="1287"/>
  <c r="CB32" i="1287"/>
  <c r="CC32" i="1287"/>
  <c r="CD32" i="1287"/>
  <c r="CE32" i="1287"/>
  <c r="CF32" i="1287"/>
  <c r="CG32" i="1287"/>
  <c r="CH32" i="1287"/>
  <c r="CI32" i="1287"/>
  <c r="CJ32" i="1287"/>
  <c r="CK32" i="1287"/>
  <c r="CL32" i="1287"/>
  <c r="CM32" i="1287"/>
  <c r="CN32" i="1287"/>
  <c r="CO32" i="1287"/>
  <c r="CP32" i="1287"/>
  <c r="CQ32" i="1287"/>
  <c r="CR32" i="1287"/>
  <c r="CS32" i="1287"/>
  <c r="CT32" i="1287"/>
  <c r="CU32" i="1287"/>
  <c r="CV32" i="1287"/>
  <c r="CW32" i="1287"/>
  <c r="CX32" i="1287"/>
  <c r="CY32" i="1287"/>
  <c r="CZ32" i="1287"/>
  <c r="DA32" i="1287"/>
  <c r="DB32" i="1287"/>
  <c r="DC32" i="1287"/>
  <c r="DD32" i="1287"/>
  <c r="DE32" i="1287"/>
  <c r="I32" i="1287"/>
  <c r="G32" i="1287"/>
  <c r="H32" i="1287"/>
  <c r="BB33" i="1287"/>
  <c r="DB33" i="1287"/>
  <c r="BF33" i="1287"/>
  <c r="E33" i="1287"/>
  <c r="F33" i="1287"/>
  <c r="G33" i="1287"/>
  <c r="H33" i="1287"/>
  <c r="I33" i="1287"/>
  <c r="J33" i="1287"/>
  <c r="K33" i="1287"/>
  <c r="L33" i="1287"/>
  <c r="M33" i="1287"/>
  <c r="N33" i="1287"/>
  <c r="O33" i="1287"/>
  <c r="P33" i="1287"/>
  <c r="Q33" i="1287"/>
  <c r="R33" i="1287"/>
  <c r="S33" i="1287"/>
  <c r="T33" i="1287"/>
  <c r="U33" i="1287"/>
  <c r="V33" i="1287"/>
  <c r="W33" i="1287"/>
  <c r="X33" i="1287"/>
  <c r="Y33" i="1287"/>
  <c r="Z33" i="1287"/>
  <c r="AA33" i="1287"/>
  <c r="AB33" i="1287"/>
  <c r="AC33" i="1287"/>
  <c r="AD33" i="1287"/>
  <c r="AE33" i="1287"/>
  <c r="AF33" i="1287"/>
  <c r="AG33" i="1287"/>
  <c r="AH33" i="1287"/>
  <c r="AI33" i="1287"/>
  <c r="AJ33" i="1287"/>
  <c r="AK33" i="1287"/>
  <c r="AL33" i="1287"/>
  <c r="AM33" i="1287"/>
  <c r="AN33" i="1287"/>
  <c r="AO33" i="1287"/>
  <c r="AP33" i="1287"/>
  <c r="AQ33" i="1287"/>
  <c r="AR33" i="1287"/>
  <c r="AS33" i="1287"/>
  <c r="AT33" i="1287"/>
  <c r="AU33" i="1287"/>
  <c r="AV33" i="1287"/>
  <c r="AW33" i="1287"/>
  <c r="AX33" i="1287"/>
  <c r="AZ33" i="1287"/>
  <c r="BJ33" i="1287"/>
  <c r="BV33" i="1287"/>
  <c r="CA33" i="1287"/>
  <c r="CI33" i="1287"/>
  <c r="CL33" i="1287"/>
  <c r="CT33" i="1287"/>
  <c r="CZ33" i="1287"/>
  <c r="DD33" i="1287"/>
  <c r="DE33" i="1287"/>
  <c r="DA33" i="1287"/>
  <c r="CY33" i="1287"/>
  <c r="CK33" i="1287"/>
  <c r="CJ33" i="1287"/>
  <c r="CH33" i="1287"/>
  <c r="BZ33" i="1287"/>
  <c r="BU33" i="1287"/>
  <c r="BT33" i="1287"/>
  <c r="BQ33" i="1287"/>
  <c r="BP33" i="1287"/>
  <c r="BO33" i="1287"/>
  <c r="BK33" i="1287"/>
  <c r="BE33" i="1287"/>
  <c r="BD33" i="1287"/>
  <c r="BC33" i="1287"/>
  <c r="BA33" i="1287"/>
  <c r="CW33" i="1287"/>
  <c r="CP33" i="1287"/>
  <c r="CM33" i="1287"/>
  <c r="DC33" i="1287"/>
  <c r="AY33" i="1287"/>
  <c r="BL33" i="1287"/>
  <c r="BM33" i="1287"/>
  <c r="BR33" i="1287"/>
  <c r="BW33" i="1287"/>
  <c r="BX33" i="1287"/>
  <c r="BY33" i="1287"/>
  <c r="BG33" i="1287"/>
  <c r="CB33" i="1287"/>
  <c r="CE33" i="1287"/>
  <c r="CF33" i="1287"/>
  <c r="CG33" i="1287"/>
  <c r="CX33" i="1287"/>
  <c r="CV33" i="1287"/>
  <c r="CU33" i="1287"/>
  <c r="CD33" i="1287"/>
  <c r="CC33" i="1287"/>
  <c r="BS33" i="1287"/>
  <c r="BN33" i="1287"/>
  <c r="BI33" i="1287"/>
  <c r="BH33" i="1287"/>
  <c r="CN33" i="1287"/>
  <c r="CO33" i="1287"/>
  <c r="CQ33" i="1287"/>
  <c r="CR33" i="1287"/>
  <c r="CS33" i="1287"/>
  <c r="R34" i="1287"/>
  <c r="BR34" i="1287"/>
  <c r="BU34" i="1287"/>
  <c r="V34" i="1287"/>
  <c r="X34" i="1287"/>
  <c r="AB34" i="1287"/>
  <c r="AF34" i="1287"/>
  <c r="AJ34" i="1287"/>
  <c r="AY34" i="1287"/>
  <c r="BE34" i="1287"/>
  <c r="BQ34" i="1287"/>
  <c r="BY34" i="1287"/>
  <c r="CB34" i="1287"/>
  <c r="CG34" i="1287"/>
  <c r="CJ34" i="1287"/>
  <c r="CP34" i="1287"/>
  <c r="H34" i="1287"/>
  <c r="L34" i="1287"/>
  <c r="P34" i="1287"/>
  <c r="U34" i="1287"/>
  <c r="AC34" i="1287"/>
  <c r="AD34" i="1287"/>
  <c r="AE34" i="1287"/>
  <c r="AG34" i="1287"/>
  <c r="AI34" i="1287"/>
  <c r="AL34" i="1287"/>
  <c r="AM34" i="1287"/>
  <c r="AW34" i="1287"/>
  <c r="AZ34" i="1287"/>
  <c r="BA34" i="1287"/>
  <c r="BB34" i="1287"/>
  <c r="BC34" i="1287"/>
  <c r="BD34" i="1287"/>
  <c r="BF34" i="1287"/>
  <c r="BI34" i="1287"/>
  <c r="BJ34" i="1287"/>
  <c r="BK34" i="1287"/>
  <c r="BM34" i="1287"/>
  <c r="BN34" i="1287"/>
  <c r="BT34" i="1287"/>
  <c r="BZ34" i="1287"/>
  <c r="CD34" i="1287"/>
  <c r="CF34" i="1287"/>
  <c r="CR34" i="1287"/>
  <c r="CU34" i="1287"/>
  <c r="CV34" i="1287"/>
  <c r="CX34" i="1287"/>
  <c r="DD34" i="1287"/>
  <c r="DE34" i="1287"/>
  <c r="CQ34" i="1287"/>
  <c r="CS34" i="1287"/>
  <c r="CZ34" i="1287"/>
  <c r="DC34" i="1287"/>
  <c r="DB34" i="1287"/>
  <c r="CW34" i="1287"/>
  <c r="CT34" i="1287"/>
  <c r="CM34" i="1287"/>
  <c r="CK34" i="1287"/>
  <c r="CI34" i="1287"/>
  <c r="CH34" i="1287"/>
  <c r="CC34" i="1287"/>
  <c r="DA34" i="1287"/>
  <c r="CO34" i="1287"/>
  <c r="CN34" i="1287"/>
  <c r="CA34" i="1287"/>
  <c r="N34" i="1287"/>
  <c r="BW34" i="1287"/>
  <c r="BV34" i="1287"/>
  <c r="BO34" i="1287"/>
  <c r="I34" i="1287"/>
  <c r="CL34" i="1287"/>
  <c r="Y34" i="1287"/>
  <c r="AN34" i="1287"/>
  <c r="CE34" i="1287"/>
  <c r="BS34" i="1287"/>
  <c r="CY34" i="1287"/>
  <c r="BX34" i="1287"/>
  <c r="BL34" i="1287"/>
  <c r="BH34" i="1287"/>
  <c r="BG34" i="1287"/>
  <c r="AU34" i="1287"/>
  <c r="AT34" i="1287"/>
  <c r="AS34" i="1287"/>
  <c r="AR34" i="1287"/>
  <c r="AQ34" i="1287"/>
  <c r="AP34" i="1287"/>
  <c r="AK34" i="1287"/>
  <c r="AH34" i="1287"/>
  <c r="AA34" i="1287"/>
  <c r="Z34" i="1287"/>
  <c r="T34" i="1287"/>
  <c r="O34" i="1287"/>
  <c r="F34" i="1287"/>
  <c r="E34" i="1287"/>
  <c r="G34" i="1287"/>
  <c r="K34" i="1287"/>
  <c r="M34" i="1287"/>
  <c r="Q34" i="1287"/>
  <c r="S34" i="1287"/>
  <c r="W34" i="1287"/>
  <c r="AO34" i="1287"/>
  <c r="AV34" i="1287"/>
  <c r="AX34" i="1287"/>
  <c r="BP34" i="1287"/>
  <c r="J34" i="1287"/>
  <c r="BY35" i="1287"/>
  <c r="DC35" i="1287"/>
  <c r="AE35" i="1287"/>
  <c r="H35" i="1287"/>
  <c r="DE35" i="1287"/>
  <c r="DD35" i="1287"/>
  <c r="CY35" i="1287"/>
  <c r="F35" i="1287"/>
  <c r="G35" i="1287"/>
  <c r="I35" i="1287"/>
  <c r="J35" i="1287"/>
  <c r="P35" i="1287"/>
  <c r="Q35" i="1287"/>
  <c r="R35" i="1287"/>
  <c r="S35" i="1287"/>
  <c r="AA35" i="1287"/>
  <c r="AG35" i="1287"/>
  <c r="AM35" i="1287"/>
  <c r="AN35" i="1287"/>
  <c r="AP35" i="1287"/>
  <c r="AS35" i="1287"/>
  <c r="AX35" i="1287"/>
  <c r="AZ35" i="1287"/>
  <c r="BA35" i="1287"/>
  <c r="BB35" i="1287"/>
  <c r="BC35" i="1287"/>
  <c r="BE35" i="1287"/>
  <c r="BG35" i="1287"/>
  <c r="BL35" i="1287"/>
  <c r="BP35" i="1287"/>
  <c r="BS35" i="1287"/>
  <c r="BU35" i="1287"/>
  <c r="BV35" i="1287"/>
  <c r="BW35" i="1287"/>
  <c r="CI35" i="1287"/>
  <c r="CP35" i="1287"/>
  <c r="CQ35" i="1287"/>
  <c r="CU35" i="1287"/>
  <c r="CZ35" i="1287"/>
  <c r="CX35" i="1287"/>
  <c r="CV35" i="1287"/>
  <c r="CS35" i="1287"/>
  <c r="CM35" i="1287"/>
  <c r="CL35" i="1287"/>
  <c r="CF35" i="1287"/>
  <c r="CC35" i="1287"/>
  <c r="BD35" i="1287"/>
  <c r="AQ35" i="1287"/>
  <c r="AO35" i="1287"/>
  <c r="AF35" i="1287"/>
  <c r="DA35" i="1287"/>
  <c r="CW35" i="1287"/>
  <c r="CT35" i="1287"/>
  <c r="CN35" i="1287"/>
  <c r="CH35" i="1287"/>
  <c r="CB35" i="1287"/>
  <c r="BZ35" i="1287"/>
  <c r="BO35" i="1287"/>
  <c r="BN35" i="1287"/>
  <c r="BM35" i="1287"/>
  <c r="BF35" i="1287"/>
  <c r="AY35" i="1287"/>
  <c r="AW35" i="1287"/>
  <c r="AU35" i="1287"/>
  <c r="AT35" i="1287"/>
  <c r="AR35" i="1287"/>
  <c r="AI35" i="1287"/>
  <c r="AD35" i="1287"/>
  <c r="AB35" i="1287"/>
  <c r="X35" i="1287"/>
  <c r="W35" i="1287"/>
  <c r="V35" i="1287"/>
  <c r="U35" i="1287"/>
  <c r="E35" i="1287"/>
  <c r="K35" i="1287"/>
  <c r="L35" i="1287"/>
  <c r="M35" i="1287"/>
  <c r="N35" i="1287"/>
  <c r="O35" i="1287"/>
  <c r="T35" i="1287"/>
  <c r="Y35" i="1287"/>
  <c r="AC35" i="1287"/>
  <c r="AH35" i="1287"/>
  <c r="AJ35" i="1287"/>
  <c r="AK35" i="1287"/>
  <c r="AL35" i="1287"/>
  <c r="AV35" i="1287"/>
  <c r="BH35" i="1287"/>
  <c r="BI35" i="1287"/>
  <c r="BJ35" i="1287"/>
  <c r="BK35" i="1287"/>
  <c r="BQ35" i="1287"/>
  <c r="BR35" i="1287"/>
  <c r="BT35" i="1287"/>
  <c r="BX35" i="1287"/>
  <c r="CA35" i="1287"/>
  <c r="CD35" i="1287"/>
  <c r="CE35" i="1287"/>
  <c r="CG35" i="1287"/>
  <c r="CJ35" i="1287"/>
  <c r="CK35" i="1287"/>
  <c r="CO35" i="1287"/>
  <c r="CR35" i="1287"/>
  <c r="DB35" i="1287"/>
  <c r="Z35" i="1287"/>
  <c r="CJ36" i="1287"/>
  <c r="CX36" i="1287"/>
  <c r="CG36" i="1287"/>
  <c r="CF36" i="1287"/>
  <c r="CD36" i="1287"/>
  <c r="CB36" i="1287"/>
  <c r="BG36" i="1287"/>
  <c r="BE36" i="1287"/>
  <c r="BD36" i="1287"/>
  <c r="AT36" i="1287"/>
  <c r="AS36" i="1287"/>
  <c r="AR36" i="1287"/>
  <c r="AQ36" i="1287"/>
  <c r="AI36" i="1287"/>
  <c r="AH36" i="1287"/>
  <c r="AD36" i="1287"/>
  <c r="Z36" i="1287"/>
  <c r="T36" i="1287"/>
  <c r="O36" i="1287"/>
  <c r="N36" i="1287"/>
  <c r="M36" i="1287"/>
  <c r="L36" i="1287"/>
  <c r="CZ36" i="1287"/>
  <c r="DD36" i="1287"/>
  <c r="DB36" i="1287"/>
  <c r="CY36" i="1287"/>
  <c r="CR36" i="1287"/>
  <c r="CP36" i="1287"/>
  <c r="CN36" i="1287"/>
  <c r="CI36" i="1287"/>
  <c r="CC36" i="1287"/>
  <c r="BT36" i="1287"/>
  <c r="BS36" i="1287"/>
  <c r="BF36" i="1287"/>
  <c r="BC36" i="1287"/>
  <c r="AV36" i="1287"/>
  <c r="AE36" i="1287"/>
  <c r="AC36" i="1287"/>
  <c r="AB36" i="1287"/>
  <c r="X36" i="1287"/>
  <c r="U36" i="1287"/>
  <c r="R36" i="1287"/>
  <c r="F36" i="1287"/>
  <c r="E36" i="1287"/>
  <c r="CH36" i="1287"/>
  <c r="H36" i="1287"/>
  <c r="J36" i="1287"/>
  <c r="Q36" i="1287"/>
  <c r="W36" i="1287"/>
  <c r="AA36" i="1287"/>
  <c r="G36" i="1287"/>
  <c r="I36" i="1287"/>
  <c r="K36" i="1287"/>
  <c r="P36" i="1287"/>
  <c r="S36" i="1287"/>
  <c r="V36" i="1287"/>
  <c r="Y36" i="1287"/>
  <c r="AG36" i="1287"/>
  <c r="AM36" i="1287"/>
  <c r="AN36" i="1287"/>
  <c r="AO36" i="1287"/>
  <c r="AP36" i="1287"/>
  <c r="AW36" i="1287"/>
  <c r="AX36" i="1287"/>
  <c r="BH36" i="1287"/>
  <c r="BI36" i="1287"/>
  <c r="BJ36" i="1287"/>
  <c r="BL36" i="1287"/>
  <c r="BM36" i="1287"/>
  <c r="BN36" i="1287"/>
  <c r="BQ36" i="1287"/>
  <c r="BW36" i="1287"/>
  <c r="BX36" i="1287"/>
  <c r="BY36" i="1287"/>
  <c r="BZ36" i="1287"/>
  <c r="CK36" i="1287"/>
  <c r="CS36" i="1287"/>
  <c r="CT36" i="1287"/>
  <c r="DA36" i="1287"/>
  <c r="DC36" i="1287"/>
  <c r="AF36" i="1287"/>
  <c r="AJ36" i="1287"/>
  <c r="AK36" i="1287"/>
  <c r="AL36" i="1287"/>
  <c r="AU36" i="1287"/>
  <c r="AY36" i="1287"/>
  <c r="AZ36" i="1287"/>
  <c r="BA36" i="1287"/>
  <c r="BB36" i="1287"/>
  <c r="BK36" i="1287"/>
  <c r="BO36" i="1287"/>
  <c r="BP36" i="1287"/>
  <c r="BR36" i="1287"/>
  <c r="BU36" i="1287"/>
  <c r="BV36" i="1287"/>
  <c r="CA36" i="1287"/>
  <c r="CE36" i="1287"/>
  <c r="CL36" i="1287"/>
  <c r="CM36" i="1287"/>
  <c r="CO36" i="1287"/>
  <c r="CQ36" i="1287"/>
  <c r="CU36" i="1287"/>
  <c r="CV36" i="1287"/>
  <c r="CW36" i="1287"/>
  <c r="DE36" i="1287"/>
  <c r="U37" i="1287"/>
  <c r="DB37" i="1287"/>
  <c r="O37" i="1287"/>
  <c r="N37" i="1287"/>
  <c r="I37" i="1287"/>
  <c r="F37" i="1287"/>
  <c r="DA37" i="1287"/>
  <c r="AC37" i="1287"/>
  <c r="AF37" i="1287"/>
  <c r="AG37" i="1287"/>
  <c r="AM37" i="1287"/>
  <c r="AT37" i="1287"/>
  <c r="AY37" i="1287"/>
  <c r="BB37" i="1287"/>
  <c r="BE37" i="1287"/>
  <c r="BJ37" i="1287"/>
  <c r="BL37" i="1287"/>
  <c r="BR37" i="1287"/>
  <c r="BU37" i="1287"/>
  <c r="CA37" i="1287"/>
  <c r="CD37" i="1287"/>
  <c r="CF37" i="1287"/>
  <c r="CJ37" i="1287"/>
  <c r="CS37" i="1287"/>
  <c r="AK37" i="1287"/>
  <c r="AJ37" i="1287"/>
  <c r="Z37" i="1287"/>
  <c r="X37" i="1287"/>
  <c r="V37" i="1287"/>
  <c r="T37" i="1287"/>
  <c r="M37" i="1287"/>
  <c r="K37" i="1287"/>
  <c r="CQ37" i="1287"/>
  <c r="CH37" i="1287"/>
  <c r="CB37" i="1287"/>
  <c r="BZ37" i="1287"/>
  <c r="BX37" i="1287"/>
  <c r="AQ37" i="1287"/>
  <c r="AS37" i="1287"/>
  <c r="AV37" i="1287"/>
  <c r="BA37" i="1287"/>
  <c r="BD37" i="1287"/>
  <c r="BH37" i="1287"/>
  <c r="BK37" i="1287"/>
  <c r="BN37" i="1287"/>
  <c r="BP37" i="1287"/>
  <c r="BS37" i="1287"/>
  <c r="BW37" i="1287"/>
  <c r="BY37" i="1287"/>
  <c r="CC37" i="1287"/>
  <c r="CE37" i="1287"/>
  <c r="CG37" i="1287"/>
  <c r="CI37" i="1287"/>
  <c r="BV37" i="1287"/>
  <c r="CK37" i="1287"/>
  <c r="CL37" i="1287"/>
  <c r="CM37" i="1287"/>
  <c r="BT37" i="1287"/>
  <c r="BQ37" i="1287"/>
  <c r="BM37" i="1287"/>
  <c r="BI37" i="1287"/>
  <c r="BG37" i="1287"/>
  <c r="BC37" i="1287"/>
  <c r="AZ37" i="1287"/>
  <c r="AX37" i="1287"/>
  <c r="AW37" i="1287"/>
  <c r="AP37" i="1287"/>
  <c r="AN37" i="1287"/>
  <c r="AH37" i="1287"/>
  <c r="AB37" i="1287"/>
  <c r="AA37" i="1287"/>
  <c r="W37" i="1287"/>
  <c r="S37" i="1287"/>
  <c r="L37" i="1287"/>
  <c r="H37" i="1287"/>
  <c r="G37" i="1287"/>
  <c r="E37" i="1287"/>
  <c r="J37" i="1287"/>
  <c r="P37" i="1287"/>
  <c r="R37" i="1287"/>
  <c r="Y37" i="1287"/>
  <c r="AD37" i="1287"/>
  <c r="AE37" i="1287"/>
  <c r="AI37" i="1287"/>
  <c r="AL37" i="1287"/>
  <c r="AO37" i="1287"/>
  <c r="AR37" i="1287"/>
  <c r="AU37" i="1287"/>
  <c r="BF37" i="1287"/>
  <c r="BO37" i="1287"/>
  <c r="CN37" i="1287"/>
  <c r="CO37" i="1287"/>
  <c r="CP37" i="1287"/>
  <c r="CR37" i="1287"/>
  <c r="CT37" i="1287"/>
  <c r="CU37" i="1287"/>
  <c r="CV37" i="1287"/>
  <c r="CW37" i="1287"/>
  <c r="CX37" i="1287"/>
  <c r="CY37" i="1287"/>
  <c r="CZ37" i="1287"/>
  <c r="DE37" i="1287"/>
  <c r="DD37" i="1287"/>
  <c r="DC37" i="1287"/>
  <c r="Q37" i="1287"/>
  <c r="AZ38" i="1287"/>
  <c r="DE38" i="1287"/>
  <c r="F38" i="1287"/>
  <c r="G38" i="1287"/>
  <c r="H38" i="1287"/>
  <c r="I38" i="1287"/>
  <c r="J38" i="1287"/>
  <c r="K38" i="1287"/>
  <c r="L38" i="1287"/>
  <c r="M38" i="1287"/>
  <c r="N38" i="1287"/>
  <c r="O38" i="1287"/>
  <c r="P38" i="1287"/>
  <c r="Q38" i="1287"/>
  <c r="R38" i="1287"/>
  <c r="S38" i="1287"/>
  <c r="T38" i="1287"/>
  <c r="U38" i="1287"/>
  <c r="V38" i="1287"/>
  <c r="W38" i="1287"/>
  <c r="X38" i="1287"/>
  <c r="Y38" i="1287"/>
  <c r="Z38" i="1287"/>
  <c r="AA38" i="1287"/>
  <c r="AB38" i="1287"/>
  <c r="AC38" i="1287"/>
  <c r="AD38" i="1287"/>
  <c r="AE38" i="1287"/>
  <c r="AF38" i="1287"/>
  <c r="AG38" i="1287"/>
  <c r="AH38" i="1287"/>
  <c r="AI38" i="1287"/>
  <c r="AJ38" i="1287"/>
  <c r="AK38" i="1287"/>
  <c r="AL38" i="1287"/>
  <c r="AM38" i="1287"/>
  <c r="AN38" i="1287"/>
  <c r="AO38" i="1287"/>
  <c r="AP38" i="1287"/>
  <c r="AQ38" i="1287"/>
  <c r="AR38" i="1287"/>
  <c r="AS38" i="1287"/>
  <c r="AT38" i="1287"/>
  <c r="AU38" i="1287"/>
  <c r="AV38" i="1287"/>
  <c r="AW38" i="1287"/>
  <c r="AX38" i="1287"/>
  <c r="AY38" i="1287"/>
  <c r="BA38" i="1287"/>
  <c r="BB38" i="1287"/>
  <c r="BC38" i="1287"/>
  <c r="BD38" i="1287"/>
  <c r="BE38" i="1287"/>
  <c r="BF38" i="1287"/>
  <c r="BG38" i="1287"/>
  <c r="BH38" i="1287"/>
  <c r="BI38" i="1287"/>
  <c r="BJ38" i="1287"/>
  <c r="BK38" i="1287"/>
  <c r="BL38" i="1287"/>
  <c r="BM38" i="1287"/>
  <c r="BN38" i="1287"/>
  <c r="BO38" i="1287"/>
  <c r="BP38" i="1287"/>
  <c r="BQ38" i="1287"/>
  <c r="BR38" i="1287"/>
  <c r="BS38" i="1287"/>
  <c r="BT38" i="1287"/>
  <c r="BU38" i="1287"/>
  <c r="BV38" i="1287"/>
  <c r="BW38" i="1287"/>
  <c r="BX38" i="1287"/>
  <c r="BY38" i="1287"/>
  <c r="BZ38" i="1287"/>
  <c r="CA38" i="1287"/>
  <c r="CB38" i="1287"/>
  <c r="CC38" i="1287"/>
  <c r="CD38" i="1287"/>
  <c r="CE38" i="1287"/>
  <c r="CF38" i="1287"/>
  <c r="CG38" i="1287"/>
  <c r="CH38" i="1287"/>
  <c r="CI38" i="1287"/>
  <c r="CJ38" i="1287"/>
  <c r="CK38" i="1287"/>
  <c r="CL38" i="1287"/>
  <c r="CM38" i="1287"/>
  <c r="CN38" i="1287"/>
  <c r="CO38" i="1287"/>
  <c r="CP38" i="1287"/>
  <c r="CQ38" i="1287"/>
  <c r="CR38" i="1287"/>
  <c r="CS38" i="1287"/>
  <c r="CT38" i="1287"/>
  <c r="CU38" i="1287"/>
  <c r="CV38" i="1287"/>
  <c r="CW38" i="1287"/>
  <c r="CX38" i="1287"/>
  <c r="CY38" i="1287"/>
  <c r="CZ38" i="1287"/>
  <c r="DA38" i="1287"/>
  <c r="DB38" i="1287"/>
  <c r="DC38" i="1287"/>
  <c r="DD38" i="1287"/>
  <c r="E38" i="1287"/>
  <c r="G26" i="1290"/>
  <c r="F25" i="1290"/>
  <c r="G5" i="1290"/>
  <c r="F4" i="1290"/>
  <c r="G5" i="1289"/>
  <c r="F4" i="1289"/>
  <c r="E26" i="1288"/>
  <c r="F5" i="1288"/>
  <c r="G5" i="1287"/>
  <c r="F4" i="1287"/>
  <c r="B2" i="1244"/>
  <c r="B3" i="1244"/>
  <c r="B21" i="1244"/>
  <c r="C3" i="1244"/>
  <c r="D4" i="1244"/>
  <c r="C21" i="1244"/>
  <c r="D4" i="1218"/>
  <c r="C3" i="1218"/>
  <c r="E4" i="1218"/>
  <c r="D3" i="1218"/>
  <c r="Y46" i="4"/>
  <c r="Y4" i="4"/>
  <c r="Y55" i="4"/>
  <c r="D48" i="1290" l="1"/>
  <c r="D46" i="1290"/>
  <c r="D45" i="1290"/>
  <c r="D47" i="1290"/>
  <c r="D50" i="1290"/>
  <c r="D51" i="1290"/>
  <c r="D54" i="1290"/>
  <c r="D55" i="1290"/>
  <c r="D56" i="1290"/>
  <c r="D57" i="1290"/>
  <c r="D58" i="1290"/>
  <c r="D59" i="1290"/>
  <c r="D52" i="1290"/>
  <c r="D53" i="1290"/>
  <c r="D49" i="1290"/>
  <c r="D32" i="1289"/>
  <c r="D31" i="1289"/>
  <c r="D36" i="1289"/>
  <c r="D33" i="1289"/>
  <c r="D35" i="1289"/>
  <c r="D37" i="1289"/>
  <c r="D38" i="1289"/>
  <c r="D34" i="1289"/>
  <c r="D49" i="1288"/>
  <c r="D50" i="1288"/>
  <c r="D51" i="1288"/>
  <c r="D52" i="1288"/>
  <c r="D48" i="1288"/>
  <c r="D45" i="1288"/>
  <c r="D47" i="1288"/>
  <c r="D53" i="1288"/>
  <c r="D54" i="1288"/>
  <c r="D55" i="1288"/>
  <c r="D56" i="1288"/>
  <c r="D57" i="1288"/>
  <c r="D59" i="1288"/>
  <c r="D46" i="1288"/>
  <c r="D29" i="1287"/>
  <c r="D32" i="1287"/>
  <c r="D33" i="1287"/>
  <c r="D34" i="1287"/>
  <c r="D36" i="1287"/>
  <c r="D37" i="1287"/>
  <c r="D30" i="1287"/>
  <c r="D31" i="1287"/>
  <c r="D35" i="1287"/>
  <c r="D38" i="1287"/>
  <c r="D26" i="1287"/>
  <c r="D25" i="1287"/>
  <c r="H26" i="1290"/>
  <c r="G25" i="1290"/>
  <c r="H5" i="1290"/>
  <c r="G4" i="1290"/>
  <c r="H5" i="1289"/>
  <c r="G4" i="1289"/>
  <c r="F26" i="1288"/>
  <c r="E23" i="1288"/>
  <c r="E25" i="1288"/>
  <c r="G5" i="1288"/>
  <c r="F4" i="1288"/>
  <c r="H5" i="1287"/>
  <c r="G4" i="1287"/>
  <c r="D3" i="1244"/>
  <c r="D13" i="1244"/>
  <c r="D8" i="1244"/>
  <c r="D7" i="1244"/>
  <c r="D6" i="1244"/>
  <c r="D16" i="1244"/>
  <c r="D15" i="1244"/>
  <c r="D11" i="1244"/>
  <c r="D19" i="1244"/>
  <c r="D18" i="1244"/>
  <c r="D14" i="1244"/>
  <c r="D12" i="1244"/>
  <c r="D10" i="1244"/>
  <c r="D9" i="1244"/>
  <c r="D27" i="1244"/>
  <c r="D26" i="1244"/>
  <c r="D25" i="1244"/>
  <c r="D24" i="1244"/>
  <c r="D23" i="1244"/>
  <c r="D22" i="1244"/>
  <c r="D21" i="1244"/>
  <c r="D20" i="1244"/>
  <c r="D17" i="1244"/>
  <c r="E4" i="1244"/>
  <c r="F4" i="1218"/>
  <c r="E3" i="1218"/>
  <c r="D60" i="1290" l="1"/>
  <c r="D28" i="1289"/>
  <c r="D27" i="1289"/>
  <c r="D26" i="1289"/>
  <c r="D25" i="1289"/>
  <c r="D30" i="1289"/>
  <c r="D29" i="1289"/>
  <c r="D24" i="1289"/>
  <c r="D60" i="1288"/>
  <c r="D27" i="1287"/>
  <c r="D24" i="1287"/>
  <c r="D28" i="1287"/>
  <c r="I26" i="1290"/>
  <c r="H25" i="1290"/>
  <c r="I5" i="1290"/>
  <c r="H4" i="1290"/>
  <c r="I5" i="1289"/>
  <c r="H4" i="1289"/>
  <c r="G26" i="1288"/>
  <c r="F25" i="1288"/>
  <c r="H5" i="1288"/>
  <c r="G4" i="1288"/>
  <c r="I5" i="1287"/>
  <c r="H4" i="1287"/>
  <c r="E3" i="1244"/>
  <c r="E20" i="1244"/>
  <c r="E14" i="1244"/>
  <c r="E12" i="1244"/>
  <c r="E18" i="1244"/>
  <c r="E16" i="1244"/>
  <c r="E15" i="1244"/>
  <c r="E13" i="1244"/>
  <c r="E8" i="1244"/>
  <c r="E7" i="1244"/>
  <c r="E17" i="1244"/>
  <c r="E11" i="1244"/>
  <c r="E27" i="1244"/>
  <c r="E26" i="1244"/>
  <c r="E25" i="1244"/>
  <c r="E24" i="1244"/>
  <c r="E23" i="1244"/>
  <c r="E22" i="1244"/>
  <c r="E21" i="1244"/>
  <c r="E19" i="1244"/>
  <c r="E10" i="1244"/>
  <c r="E9" i="1244"/>
  <c r="E6" i="1244"/>
  <c r="F4" i="1244"/>
  <c r="G4" i="1218"/>
  <c r="F3" i="1218"/>
  <c r="D39" i="1289" l="1"/>
  <c r="D39" i="1287"/>
  <c r="J26" i="1290"/>
  <c r="I25" i="1290"/>
  <c r="J5" i="1290"/>
  <c r="I4" i="1290"/>
  <c r="J5" i="1289"/>
  <c r="I4" i="1289"/>
  <c r="H26" i="1288"/>
  <c r="G25" i="1288"/>
  <c r="I5" i="1288"/>
  <c r="H4" i="1288"/>
  <c r="J5" i="1287"/>
  <c r="I4" i="1287"/>
  <c r="F3" i="1244"/>
  <c r="F17" i="1244"/>
  <c r="F19" i="1244"/>
  <c r="F18" i="1244"/>
  <c r="F14" i="1244"/>
  <c r="F13" i="1244"/>
  <c r="F20" i="1244"/>
  <c r="F12" i="1244"/>
  <c r="F7" i="1244"/>
  <c r="F9" i="1244"/>
  <c r="F11" i="1244"/>
  <c r="F10" i="1244"/>
  <c r="F6" i="1244"/>
  <c r="F16" i="1244"/>
  <c r="F27" i="1244"/>
  <c r="F26" i="1244"/>
  <c r="F25" i="1244"/>
  <c r="F24" i="1244"/>
  <c r="F23" i="1244"/>
  <c r="F22" i="1244"/>
  <c r="F21" i="1244"/>
  <c r="F15" i="1244"/>
  <c r="F8" i="1244"/>
  <c r="G4" i="1244"/>
  <c r="H4" i="1218"/>
  <c r="G3" i="1218"/>
  <c r="K26" i="1290" l="1"/>
  <c r="J23" i="1290"/>
  <c r="J25" i="1290"/>
  <c r="K5" i="1290"/>
  <c r="J2" i="1290"/>
  <c r="J4" i="1290"/>
  <c r="K5" i="1289"/>
  <c r="J2" i="1289"/>
  <c r="J4" i="1289"/>
  <c r="I26" i="1288"/>
  <c r="H25" i="1288"/>
  <c r="J5" i="1288"/>
  <c r="I4" i="1288"/>
  <c r="K5" i="1287"/>
  <c r="J2" i="1287"/>
  <c r="J4" i="1287"/>
  <c r="G3" i="1244"/>
  <c r="G2" i="1244"/>
  <c r="G19" i="1244"/>
  <c r="G11" i="1244"/>
  <c r="G16" i="1244"/>
  <c r="G20" i="1244"/>
  <c r="G14" i="1244"/>
  <c r="G8" i="1244"/>
  <c r="G12" i="1244"/>
  <c r="G10" i="1244"/>
  <c r="G7" i="1244"/>
  <c r="G6" i="1244"/>
  <c r="G17" i="1244"/>
  <c r="G13" i="1244"/>
  <c r="G9" i="1244"/>
  <c r="G15" i="1244"/>
  <c r="G27" i="1244"/>
  <c r="G26" i="1244"/>
  <c r="G25" i="1244"/>
  <c r="G24" i="1244"/>
  <c r="G23" i="1244"/>
  <c r="G22" i="1244"/>
  <c r="G21" i="1244"/>
  <c r="G18" i="1244"/>
  <c r="H4" i="1244"/>
  <c r="I4" i="1218"/>
  <c r="H2" i="1218"/>
  <c r="H3" i="1218"/>
  <c r="L26" i="1290" l="1"/>
  <c r="K25" i="1290"/>
  <c r="L5" i="1290"/>
  <c r="K4" i="1290"/>
  <c r="L5" i="1289"/>
  <c r="K4" i="1289"/>
  <c r="J26" i="1288"/>
  <c r="I25" i="1288"/>
  <c r="K5" i="1288"/>
  <c r="J2" i="1288"/>
  <c r="J4" i="1288"/>
  <c r="L5" i="1287"/>
  <c r="K4" i="1287"/>
  <c r="H3" i="1244"/>
  <c r="H9" i="1244"/>
  <c r="H8" i="1244"/>
  <c r="H18" i="1244"/>
  <c r="H15" i="1244"/>
  <c r="H12" i="1244"/>
  <c r="H19" i="1244"/>
  <c r="H13" i="1244"/>
  <c r="H20" i="1244"/>
  <c r="H17" i="1244"/>
  <c r="H16" i="1244"/>
  <c r="H7" i="1244"/>
  <c r="H11" i="1244"/>
  <c r="H6" i="1244"/>
  <c r="H14" i="1244"/>
  <c r="H27" i="1244"/>
  <c r="H26" i="1244"/>
  <c r="H25" i="1244"/>
  <c r="H24" i="1244"/>
  <c r="H23" i="1244"/>
  <c r="H22" i="1244"/>
  <c r="H21" i="1244"/>
  <c r="H10" i="1244"/>
  <c r="I4" i="1244"/>
  <c r="J4" i="1218"/>
  <c r="I3" i="1218"/>
  <c r="M26" i="1290" l="1"/>
  <c r="L25" i="1290"/>
  <c r="M5" i="1290"/>
  <c r="L4" i="1290"/>
  <c r="M5" i="1289"/>
  <c r="L4" i="1289"/>
  <c r="K26" i="1288"/>
  <c r="J23" i="1288"/>
  <c r="J25" i="1288"/>
  <c r="L5" i="1288"/>
  <c r="K4" i="1288"/>
  <c r="M5" i="1287"/>
  <c r="L4" i="1287"/>
  <c r="I3" i="1244"/>
  <c r="I6" i="1244"/>
  <c r="I20" i="1244"/>
  <c r="I16" i="1244"/>
  <c r="I14" i="1244"/>
  <c r="I19" i="1244"/>
  <c r="I11" i="1244"/>
  <c r="I12" i="1244"/>
  <c r="I17" i="1244"/>
  <c r="I9" i="1244"/>
  <c r="I8" i="1244"/>
  <c r="I18" i="1244"/>
  <c r="I15" i="1244"/>
  <c r="I10" i="1244"/>
  <c r="I27" i="1244"/>
  <c r="I26" i="1244"/>
  <c r="I25" i="1244"/>
  <c r="I24" i="1244"/>
  <c r="I23" i="1244"/>
  <c r="I22" i="1244"/>
  <c r="I21" i="1244"/>
  <c r="I13" i="1244"/>
  <c r="I7" i="1244"/>
  <c r="J4" i="1244"/>
  <c r="K4" i="1218"/>
  <c r="J3" i="1218"/>
  <c r="N26" i="1290" l="1"/>
  <c r="M25" i="1290"/>
  <c r="N5" i="1290"/>
  <c r="M4" i="1290"/>
  <c r="N5" i="1289"/>
  <c r="M4" i="1289"/>
  <c r="L26" i="1288"/>
  <c r="K25" i="1288"/>
  <c r="M5" i="1288"/>
  <c r="L4" i="1288"/>
  <c r="N5" i="1287"/>
  <c r="M4" i="1287"/>
  <c r="J3" i="1244"/>
  <c r="J13" i="1244"/>
  <c r="J18" i="1244"/>
  <c r="J17" i="1244"/>
  <c r="J16" i="1244"/>
  <c r="J11" i="1244"/>
  <c r="J20" i="1244"/>
  <c r="J19" i="1244"/>
  <c r="J10" i="1244"/>
  <c r="J12" i="1244"/>
  <c r="J7" i="1244"/>
  <c r="J6" i="1244"/>
  <c r="J27" i="1244"/>
  <c r="J26" i="1244"/>
  <c r="J25" i="1244"/>
  <c r="J24" i="1244"/>
  <c r="J23" i="1244"/>
  <c r="J22" i="1244"/>
  <c r="J21" i="1244"/>
  <c r="J15" i="1244"/>
  <c r="J14" i="1244"/>
  <c r="J9" i="1244"/>
  <c r="J8" i="1244"/>
  <c r="K4" i="1244"/>
  <c r="L4" i="1218"/>
  <c r="K3" i="1218"/>
  <c r="O26" i="1290" l="1"/>
  <c r="N25" i="1290"/>
  <c r="O5" i="1290"/>
  <c r="N4" i="1290"/>
  <c r="O5" i="1289"/>
  <c r="N4" i="1289"/>
  <c r="M26" i="1288"/>
  <c r="L25" i="1288"/>
  <c r="N5" i="1288"/>
  <c r="M4" i="1288"/>
  <c r="O5" i="1287"/>
  <c r="N4" i="1287"/>
  <c r="K3" i="1244"/>
  <c r="K11" i="1244"/>
  <c r="K9" i="1244"/>
  <c r="K15" i="1244"/>
  <c r="K13" i="1244"/>
  <c r="K12" i="1244"/>
  <c r="K14" i="1244"/>
  <c r="K18" i="1244"/>
  <c r="K7" i="1244"/>
  <c r="K6" i="1244"/>
  <c r="K19" i="1244"/>
  <c r="K16" i="1244"/>
  <c r="K8" i="1244"/>
  <c r="K27" i="1244"/>
  <c r="K26" i="1244"/>
  <c r="K25" i="1244"/>
  <c r="K24" i="1244"/>
  <c r="K23" i="1244"/>
  <c r="K22" i="1244"/>
  <c r="K21" i="1244"/>
  <c r="K20" i="1244"/>
  <c r="K17" i="1244"/>
  <c r="K10" i="1244"/>
  <c r="L4" i="1244"/>
  <c r="M4" i="1218"/>
  <c r="L3" i="1218"/>
  <c r="P26" i="1290" l="1"/>
  <c r="O23" i="1290"/>
  <c r="O25" i="1290"/>
  <c r="P5" i="1290"/>
  <c r="O2" i="1290"/>
  <c r="O4" i="1290"/>
  <c r="P5" i="1289"/>
  <c r="O2" i="1289"/>
  <c r="O4" i="1289"/>
  <c r="N26" i="1288"/>
  <c r="M25" i="1288"/>
  <c r="O5" i="1288"/>
  <c r="N4" i="1288"/>
  <c r="P5" i="1287"/>
  <c r="O2" i="1287"/>
  <c r="O4" i="1287"/>
  <c r="L3" i="1244"/>
  <c r="L2" i="1244"/>
  <c r="L10" i="1244"/>
  <c r="L8" i="1244"/>
  <c r="L7" i="1244"/>
  <c r="L17" i="1244"/>
  <c r="L18" i="1244"/>
  <c r="L11" i="1244"/>
  <c r="L15" i="1244"/>
  <c r="L19" i="1244"/>
  <c r="L14" i="1244"/>
  <c r="L12" i="1244"/>
  <c r="L13" i="1244"/>
  <c r="L9" i="1244"/>
  <c r="L20" i="1244"/>
  <c r="L27" i="1244"/>
  <c r="L26" i="1244"/>
  <c r="L25" i="1244"/>
  <c r="L24" i="1244"/>
  <c r="L23" i="1244"/>
  <c r="L22" i="1244"/>
  <c r="L21" i="1244"/>
  <c r="L16" i="1244"/>
  <c r="L6" i="1244"/>
  <c r="M4" i="1244"/>
  <c r="N4" i="1218"/>
  <c r="M2" i="1218"/>
  <c r="M3" i="1218"/>
  <c r="Q26" i="1290" l="1"/>
  <c r="P25" i="1290"/>
  <c r="Q5" i="1290"/>
  <c r="P4" i="1290"/>
  <c r="Q5" i="1289"/>
  <c r="P4" i="1289"/>
  <c r="O26" i="1288"/>
  <c r="N25" i="1288"/>
  <c r="P5" i="1288"/>
  <c r="O2" i="1288"/>
  <c r="O4" i="1288"/>
  <c r="Q5" i="1287"/>
  <c r="P4" i="1287"/>
  <c r="M3" i="1244"/>
  <c r="M20" i="1244"/>
  <c r="M6" i="1244"/>
  <c r="M13" i="1244"/>
  <c r="M17" i="1244"/>
  <c r="M14" i="1244"/>
  <c r="M18" i="1244"/>
  <c r="M12" i="1244"/>
  <c r="M16" i="1244"/>
  <c r="M15" i="1244"/>
  <c r="M9" i="1244"/>
  <c r="M8" i="1244"/>
  <c r="M19" i="1244"/>
  <c r="M10" i="1244"/>
  <c r="M11" i="1244"/>
  <c r="M27" i="1244"/>
  <c r="M26" i="1244"/>
  <c r="M25" i="1244"/>
  <c r="M24" i="1244"/>
  <c r="M23" i="1244"/>
  <c r="M22" i="1244"/>
  <c r="M21" i="1244"/>
  <c r="M7" i="1244"/>
  <c r="N4" i="1244"/>
  <c r="O4" i="1218"/>
  <c r="N3" i="1218"/>
  <c r="R26" i="1290" l="1"/>
  <c r="Q25" i="1290"/>
  <c r="R5" i="1290"/>
  <c r="Q4" i="1290"/>
  <c r="R5" i="1289"/>
  <c r="Q4" i="1289"/>
  <c r="P26" i="1288"/>
  <c r="O23" i="1288"/>
  <c r="O25" i="1288"/>
  <c r="Q5" i="1288"/>
  <c r="P4" i="1288"/>
  <c r="R5" i="1287"/>
  <c r="Q4" i="1287"/>
  <c r="N3" i="1244"/>
  <c r="N9" i="1244"/>
  <c r="N18" i="1244"/>
  <c r="N16" i="1244"/>
  <c r="N14" i="1244"/>
  <c r="N11" i="1244"/>
  <c r="N20" i="1244"/>
  <c r="N17" i="1244"/>
  <c r="N8" i="1244"/>
  <c r="N10" i="1244"/>
  <c r="N6" i="1244"/>
  <c r="N7" i="1244"/>
  <c r="N13" i="1244"/>
  <c r="N12" i="1244"/>
  <c r="N15" i="1244"/>
  <c r="N27" i="1244"/>
  <c r="N26" i="1244"/>
  <c r="N25" i="1244"/>
  <c r="N24" i="1244"/>
  <c r="N23" i="1244"/>
  <c r="N22" i="1244"/>
  <c r="N21" i="1244"/>
  <c r="N19" i="1244"/>
  <c r="O4" i="1244"/>
  <c r="P4" i="1218"/>
  <c r="O3" i="1218"/>
  <c r="S26" i="1290" l="1"/>
  <c r="R25" i="1290"/>
  <c r="S5" i="1290"/>
  <c r="R4" i="1290"/>
  <c r="S5" i="1289"/>
  <c r="R4" i="1289"/>
  <c r="Q26" i="1288"/>
  <c r="P25" i="1288"/>
  <c r="R5" i="1288"/>
  <c r="Q4" i="1288"/>
  <c r="S5" i="1287"/>
  <c r="R4" i="1287"/>
  <c r="O3" i="1244"/>
  <c r="O16" i="1244"/>
  <c r="O11" i="1244"/>
  <c r="O18" i="1244"/>
  <c r="O15" i="1244"/>
  <c r="O12" i="1244"/>
  <c r="O13" i="1244"/>
  <c r="O17" i="1244"/>
  <c r="O6" i="1244"/>
  <c r="O8" i="1244"/>
  <c r="O7" i="1244"/>
  <c r="O20" i="1244"/>
  <c r="O19" i="1244"/>
  <c r="O14" i="1244"/>
  <c r="O27" i="1244"/>
  <c r="O26" i="1244"/>
  <c r="O25" i="1244"/>
  <c r="O24" i="1244"/>
  <c r="O23" i="1244"/>
  <c r="O22" i="1244"/>
  <c r="O21" i="1244"/>
  <c r="O10" i="1244"/>
  <c r="O9" i="1244"/>
  <c r="P4" i="1244"/>
  <c r="Q4" i="1218"/>
  <c r="P3" i="1218"/>
  <c r="T26" i="1290" l="1"/>
  <c r="S25" i="1290"/>
  <c r="T5" i="1290"/>
  <c r="S4" i="1290"/>
  <c r="T5" i="1289"/>
  <c r="S4" i="1289"/>
  <c r="R26" i="1288"/>
  <c r="Q25" i="1288"/>
  <c r="S5" i="1288"/>
  <c r="R4" i="1288"/>
  <c r="T5" i="1287"/>
  <c r="S4" i="1287"/>
  <c r="P3" i="1244"/>
  <c r="P13" i="1244"/>
  <c r="P17" i="1244"/>
  <c r="P15" i="1244"/>
  <c r="P18" i="1244"/>
  <c r="P14" i="1244"/>
  <c r="P16" i="1244"/>
  <c r="P12" i="1244"/>
  <c r="P20" i="1244"/>
  <c r="P8" i="1244"/>
  <c r="P11" i="1244"/>
  <c r="P10" i="1244"/>
  <c r="P9" i="1244"/>
  <c r="P7" i="1244"/>
  <c r="P6" i="1244"/>
  <c r="P27" i="1244"/>
  <c r="P26" i="1244"/>
  <c r="P25" i="1244"/>
  <c r="P24" i="1244"/>
  <c r="P23" i="1244"/>
  <c r="P22" i="1244"/>
  <c r="P21" i="1244"/>
  <c r="P19" i="1244"/>
  <c r="Q4" i="1244"/>
  <c r="R4" i="1218"/>
  <c r="Q3" i="1218"/>
  <c r="U26" i="1290" l="1"/>
  <c r="T23" i="1290"/>
  <c r="T25" i="1290"/>
  <c r="U5" i="1290"/>
  <c r="T2" i="1290"/>
  <c r="T4" i="1290"/>
  <c r="U5" i="1289"/>
  <c r="T2" i="1289"/>
  <c r="T4" i="1289"/>
  <c r="S26" i="1288"/>
  <c r="R25" i="1288"/>
  <c r="T5" i="1288"/>
  <c r="S4" i="1288"/>
  <c r="U5" i="1287"/>
  <c r="T2" i="1287"/>
  <c r="T4" i="1287"/>
  <c r="Q3" i="1244"/>
  <c r="Q2" i="1244"/>
  <c r="Q10" i="1244"/>
  <c r="Q19" i="1244"/>
  <c r="Q17" i="1244"/>
  <c r="Q13" i="1244"/>
  <c r="Q11" i="1244"/>
  <c r="Q15" i="1244"/>
  <c r="Q14" i="1244"/>
  <c r="Q16" i="1244"/>
  <c r="Q9" i="1244"/>
  <c r="Q20" i="1244"/>
  <c r="Q6" i="1244"/>
  <c r="Q12" i="1244"/>
  <c r="Q18" i="1244"/>
  <c r="Q27" i="1244"/>
  <c r="Q26" i="1244"/>
  <c r="Q25" i="1244"/>
  <c r="Q24" i="1244"/>
  <c r="Q23" i="1244"/>
  <c r="Q22" i="1244"/>
  <c r="Q21" i="1244"/>
  <c r="Q8" i="1244"/>
  <c r="Q7" i="1244"/>
  <c r="R4" i="1244"/>
  <c r="S4" i="1218"/>
  <c r="R2" i="1218"/>
  <c r="R3" i="1218"/>
  <c r="V26" i="1290" l="1"/>
  <c r="U25" i="1290"/>
  <c r="V5" i="1290"/>
  <c r="U4" i="1290"/>
  <c r="V5" i="1289"/>
  <c r="U4" i="1289"/>
  <c r="T26" i="1288"/>
  <c r="S25" i="1288"/>
  <c r="U5" i="1288"/>
  <c r="T2" i="1288"/>
  <c r="T4" i="1288"/>
  <c r="V5" i="1287"/>
  <c r="U4" i="1287"/>
  <c r="R3" i="1244"/>
  <c r="R9" i="1244"/>
  <c r="R8" i="1244"/>
  <c r="R7" i="1244"/>
  <c r="R15" i="1244"/>
  <c r="R11" i="1244"/>
  <c r="R20" i="1244"/>
  <c r="R16" i="1244"/>
  <c r="R17" i="1244"/>
  <c r="R14" i="1244"/>
  <c r="R19" i="1244"/>
  <c r="R13" i="1244"/>
  <c r="R12" i="1244"/>
  <c r="R10" i="1244"/>
  <c r="R18" i="1244"/>
  <c r="R27" i="1244"/>
  <c r="R26" i="1244"/>
  <c r="R25" i="1244"/>
  <c r="R24" i="1244"/>
  <c r="R23" i="1244"/>
  <c r="R22" i="1244"/>
  <c r="R21" i="1244"/>
  <c r="R6" i="1244"/>
  <c r="S4" i="1244"/>
  <c r="T4" i="1218"/>
  <c r="S3" i="1218"/>
  <c r="W26" i="1290" l="1"/>
  <c r="V25" i="1290"/>
  <c r="W5" i="1290"/>
  <c r="V4" i="1290"/>
  <c r="W5" i="1289"/>
  <c r="V4" i="1289"/>
  <c r="U26" i="1288"/>
  <c r="T23" i="1288"/>
  <c r="T25" i="1288"/>
  <c r="V5" i="1288"/>
  <c r="U4" i="1288"/>
  <c r="W5" i="1287"/>
  <c r="V4" i="1287"/>
  <c r="S3" i="1244"/>
  <c r="S16" i="1244"/>
  <c r="S14" i="1244"/>
  <c r="S12" i="1244"/>
  <c r="S6" i="1244"/>
  <c r="S15" i="1244"/>
  <c r="S18" i="1244"/>
  <c r="S20" i="1244"/>
  <c r="S19" i="1244"/>
  <c r="S13" i="1244"/>
  <c r="S17" i="1244"/>
  <c r="S10" i="1244"/>
  <c r="S7" i="1244"/>
  <c r="S11" i="1244"/>
  <c r="S9" i="1244"/>
  <c r="S8" i="1244"/>
  <c r="S27" i="1244"/>
  <c r="S26" i="1244"/>
  <c r="S25" i="1244"/>
  <c r="S24" i="1244"/>
  <c r="S23" i="1244"/>
  <c r="S22" i="1244"/>
  <c r="S21" i="1244"/>
  <c r="T4" i="1244"/>
  <c r="U4" i="1218"/>
  <c r="T3" i="1218"/>
  <c r="X26" i="1290" l="1"/>
  <c r="W25" i="1290"/>
  <c r="X5" i="1290"/>
  <c r="W4" i="1290"/>
  <c r="X5" i="1289"/>
  <c r="W4" i="1289"/>
  <c r="V26" i="1288"/>
  <c r="U25" i="1288"/>
  <c r="W5" i="1288"/>
  <c r="V4" i="1288"/>
  <c r="X5" i="1287"/>
  <c r="W4" i="1287"/>
  <c r="T3" i="1244"/>
  <c r="U4" i="1244"/>
  <c r="T17" i="1244"/>
  <c r="T12" i="1244"/>
  <c r="T11" i="1244"/>
  <c r="T18" i="1244"/>
  <c r="T15" i="1244"/>
  <c r="T19" i="1244"/>
  <c r="T8" i="1244"/>
  <c r="T7" i="1244"/>
  <c r="T9" i="1244"/>
  <c r="T16" i="1244"/>
  <c r="T13" i="1244"/>
  <c r="T6" i="1244"/>
  <c r="T20" i="1244"/>
  <c r="T27" i="1244"/>
  <c r="T26" i="1244"/>
  <c r="T25" i="1244"/>
  <c r="T24" i="1244"/>
  <c r="T23" i="1244"/>
  <c r="T22" i="1244"/>
  <c r="T21" i="1244"/>
  <c r="T14" i="1244"/>
  <c r="T10" i="1244"/>
  <c r="V4" i="1218"/>
  <c r="U3" i="1218"/>
  <c r="Y26" i="1290" l="1"/>
  <c r="X25" i="1290"/>
  <c r="Y5" i="1290"/>
  <c r="X4" i="1290"/>
  <c r="Y5" i="1289"/>
  <c r="X4" i="1289"/>
  <c r="W26" i="1288"/>
  <c r="V25" i="1288"/>
  <c r="X5" i="1288"/>
  <c r="W4" i="1288"/>
  <c r="Y5" i="1287"/>
  <c r="X4" i="1287"/>
  <c r="U20" i="1244"/>
  <c r="U19" i="1244"/>
  <c r="U18" i="1244"/>
  <c r="U16" i="1244"/>
  <c r="U14" i="1244"/>
  <c r="U11" i="1244"/>
  <c r="U17" i="1244"/>
  <c r="U13" i="1244"/>
  <c r="U12" i="1244"/>
  <c r="U9" i="1244"/>
  <c r="U7" i="1244"/>
  <c r="U8" i="1244"/>
  <c r="U6" i="1244"/>
  <c r="U27" i="1244"/>
  <c r="U26" i="1244"/>
  <c r="U25" i="1244"/>
  <c r="U24" i="1244"/>
  <c r="U23" i="1244"/>
  <c r="U22" i="1244"/>
  <c r="U21" i="1244"/>
  <c r="U15" i="1244"/>
  <c r="V4" i="1244"/>
  <c r="U3" i="1244"/>
  <c r="U10" i="1244"/>
  <c r="W4" i="1218"/>
  <c r="V3" i="1218"/>
  <c r="Z26" i="1290" l="1"/>
  <c r="Y23" i="1290"/>
  <c r="Y25" i="1290"/>
  <c r="Z5" i="1290"/>
  <c r="Y2" i="1290"/>
  <c r="Y4" i="1290"/>
  <c r="Z5" i="1289"/>
  <c r="Y2" i="1289"/>
  <c r="Y4" i="1289"/>
  <c r="X26" i="1288"/>
  <c r="W25" i="1288"/>
  <c r="Y5" i="1288"/>
  <c r="X4" i="1288"/>
  <c r="Z5" i="1287"/>
  <c r="Y2" i="1287"/>
  <c r="Y4" i="1287"/>
  <c r="V3" i="1244"/>
  <c r="V2" i="1244"/>
  <c r="V19" i="1244"/>
  <c r="V7" i="1244"/>
  <c r="V16" i="1244"/>
  <c r="V14" i="1244"/>
  <c r="V15" i="1244"/>
  <c r="V18" i="1244"/>
  <c r="V20" i="1244"/>
  <c r="V17" i="1244"/>
  <c r="V13" i="1244"/>
  <c r="V8" i="1244"/>
  <c r="V12" i="1244"/>
  <c r="V11" i="1244"/>
  <c r="V10" i="1244"/>
  <c r="V9" i="1244"/>
  <c r="V6" i="1244"/>
  <c r="V27" i="1244"/>
  <c r="V26" i="1244"/>
  <c r="V25" i="1244"/>
  <c r="V24" i="1244"/>
  <c r="V23" i="1244"/>
  <c r="V22" i="1244"/>
  <c r="V21" i="1244"/>
  <c r="W4" i="1244"/>
  <c r="X4" i="1218"/>
  <c r="W2" i="1218"/>
  <c r="W3" i="1218"/>
  <c r="AA26" i="1290" l="1"/>
  <c r="Z25" i="1290"/>
  <c r="AA5" i="1290"/>
  <c r="Z4" i="1290"/>
  <c r="AA5" i="1289"/>
  <c r="Z4" i="1289"/>
  <c r="Y26" i="1288"/>
  <c r="X25" i="1288"/>
  <c r="Z5" i="1288"/>
  <c r="Y2" i="1288"/>
  <c r="Y4" i="1288"/>
  <c r="AA5" i="1287"/>
  <c r="Z4" i="1287"/>
  <c r="W3" i="1244"/>
  <c r="W17" i="1244"/>
  <c r="W11" i="1244"/>
  <c r="W20" i="1244"/>
  <c r="W16" i="1244"/>
  <c r="W13" i="1244"/>
  <c r="W18" i="1244"/>
  <c r="W15" i="1244"/>
  <c r="W7" i="1244"/>
  <c r="W6" i="1244"/>
  <c r="W9" i="1244"/>
  <c r="W8" i="1244"/>
  <c r="W19" i="1244"/>
  <c r="W14" i="1244"/>
  <c r="W12" i="1244"/>
  <c r="W27" i="1244"/>
  <c r="W26" i="1244"/>
  <c r="W25" i="1244"/>
  <c r="W24" i="1244"/>
  <c r="W23" i="1244"/>
  <c r="W22" i="1244"/>
  <c r="W21" i="1244"/>
  <c r="W10" i="1244"/>
  <c r="X4" i="1244"/>
  <c r="Y4" i="1218"/>
  <c r="X3" i="1218"/>
  <c r="AB26" i="1290" l="1"/>
  <c r="AA25" i="1290"/>
  <c r="AB5" i="1290"/>
  <c r="AA4" i="1290"/>
  <c r="AB5" i="1289"/>
  <c r="AA4" i="1289"/>
  <c r="Z26" i="1288"/>
  <c r="Y23" i="1288"/>
  <c r="Y25" i="1288"/>
  <c r="AA5" i="1288"/>
  <c r="Z4" i="1288"/>
  <c r="AB5" i="1287"/>
  <c r="AA4" i="1287"/>
  <c r="X3" i="1244"/>
  <c r="X8" i="1244"/>
  <c r="X17" i="1244"/>
  <c r="X13" i="1244"/>
  <c r="X20" i="1244"/>
  <c r="X12" i="1244"/>
  <c r="X11" i="1244"/>
  <c r="X15" i="1244"/>
  <c r="X16" i="1244"/>
  <c r="X10" i="1244"/>
  <c r="X9" i="1244"/>
  <c r="X14" i="1244"/>
  <c r="X7" i="1244"/>
  <c r="X18" i="1244"/>
  <c r="X19" i="1244"/>
  <c r="X27" i="1244"/>
  <c r="X26" i="1244"/>
  <c r="X25" i="1244"/>
  <c r="X24" i="1244"/>
  <c r="X23" i="1244"/>
  <c r="X22" i="1244"/>
  <c r="X21" i="1244"/>
  <c r="X6" i="1244"/>
  <c r="Y4" i="1244"/>
  <c r="Z4" i="1218"/>
  <c r="Y3" i="1218"/>
  <c r="AC26" i="1290" l="1"/>
  <c r="AB25" i="1290"/>
  <c r="AC5" i="1290"/>
  <c r="AB4" i="1290"/>
  <c r="AC5" i="1289"/>
  <c r="AB4" i="1289"/>
  <c r="AA26" i="1288"/>
  <c r="Z25" i="1288"/>
  <c r="AB5" i="1288"/>
  <c r="AA4" i="1288"/>
  <c r="AC5" i="1287"/>
  <c r="AB4" i="1287"/>
  <c r="Y3" i="1244"/>
  <c r="Y14" i="1244"/>
  <c r="Y12" i="1244"/>
  <c r="Y9" i="1244"/>
  <c r="Y7" i="1244"/>
  <c r="Y6" i="1244"/>
  <c r="Y16" i="1244"/>
  <c r="Y15" i="1244"/>
  <c r="Y19" i="1244"/>
  <c r="Y11" i="1244"/>
  <c r="Y13" i="1244"/>
  <c r="Y20" i="1244"/>
  <c r="Y18" i="1244"/>
  <c r="Y10" i="1244"/>
  <c r="Y8" i="1244"/>
  <c r="Y27" i="1244"/>
  <c r="Y26" i="1244"/>
  <c r="Y25" i="1244"/>
  <c r="Y24" i="1244"/>
  <c r="Y23" i="1244"/>
  <c r="Y22" i="1244"/>
  <c r="Y21" i="1244"/>
  <c r="Y17" i="1244"/>
  <c r="Z4" i="1244"/>
  <c r="AA4" i="1218"/>
  <c r="Z3" i="1218"/>
  <c r="AD26" i="1290" l="1"/>
  <c r="AC25" i="1290"/>
  <c r="AD5" i="1290"/>
  <c r="AC4" i="1290"/>
  <c r="AD5" i="1289"/>
  <c r="AC4" i="1289"/>
  <c r="AB26" i="1288"/>
  <c r="AA25" i="1288"/>
  <c r="AC5" i="1288"/>
  <c r="AB4" i="1288"/>
  <c r="AD5" i="1287"/>
  <c r="AC4" i="1287"/>
  <c r="Z3" i="1244"/>
  <c r="Z11" i="1244"/>
  <c r="Z20" i="1244"/>
  <c r="Z15" i="1244"/>
  <c r="Z19" i="1244"/>
  <c r="Z16" i="1244"/>
  <c r="Z7" i="1244"/>
  <c r="Z13" i="1244"/>
  <c r="Z9" i="1244"/>
  <c r="Z14" i="1244"/>
  <c r="Z10" i="1244"/>
  <c r="Z6" i="1244"/>
  <c r="Z18" i="1244"/>
  <c r="Z17" i="1244"/>
  <c r="Z27" i="1244"/>
  <c r="Z26" i="1244"/>
  <c r="Z25" i="1244"/>
  <c r="Z24" i="1244"/>
  <c r="Z23" i="1244"/>
  <c r="Z22" i="1244"/>
  <c r="Z21" i="1244"/>
  <c r="Z12" i="1244"/>
  <c r="Z8" i="1244"/>
  <c r="AA4" i="1244"/>
  <c r="AB4" i="1218"/>
  <c r="AA3" i="1218"/>
  <c r="AE26" i="1290" l="1"/>
  <c r="AD23" i="1290"/>
  <c r="AD25" i="1290"/>
  <c r="AE5" i="1290"/>
  <c r="AD2" i="1290"/>
  <c r="AD4" i="1290"/>
  <c r="AE5" i="1289"/>
  <c r="AD2" i="1289"/>
  <c r="AD4" i="1289"/>
  <c r="AC26" i="1288"/>
  <c r="AB25" i="1288"/>
  <c r="AD5" i="1288"/>
  <c r="AC4" i="1288"/>
  <c r="AE5" i="1287"/>
  <c r="AD2" i="1287"/>
  <c r="AD4" i="1287"/>
  <c r="AA3" i="1244"/>
  <c r="AA2" i="1244"/>
  <c r="AA18" i="1244"/>
  <c r="AA16" i="1244"/>
  <c r="AA11" i="1244"/>
  <c r="AA15" i="1244"/>
  <c r="AA13" i="1244"/>
  <c r="AA12" i="1244"/>
  <c r="AA20" i="1244"/>
  <c r="AA19" i="1244"/>
  <c r="AA14" i="1244"/>
  <c r="AA10" i="1244"/>
  <c r="AA9" i="1244"/>
  <c r="AA8" i="1244"/>
  <c r="AA6" i="1244"/>
  <c r="AA17" i="1244"/>
  <c r="AA27" i="1244"/>
  <c r="AA26" i="1244"/>
  <c r="AA25" i="1244"/>
  <c r="AA24" i="1244"/>
  <c r="AA23" i="1244"/>
  <c r="AA22" i="1244"/>
  <c r="AA21" i="1244"/>
  <c r="AA7" i="1244"/>
  <c r="AB4" i="1244"/>
  <c r="AC4" i="1218"/>
  <c r="AB2" i="1218"/>
  <c r="AB3" i="1218"/>
  <c r="AF26" i="1290" l="1"/>
  <c r="AE25" i="1290"/>
  <c r="AF5" i="1290"/>
  <c r="AE4" i="1290"/>
  <c r="AF5" i="1289"/>
  <c r="AE4" i="1289"/>
  <c r="AD26" i="1288"/>
  <c r="AC25" i="1288"/>
  <c r="AE5" i="1288"/>
  <c r="AD2" i="1288"/>
  <c r="AD4" i="1288"/>
  <c r="AF5" i="1287"/>
  <c r="AE4" i="1287"/>
  <c r="AB3" i="1244"/>
  <c r="AB14" i="1244"/>
  <c r="AC4" i="1244"/>
  <c r="AB20" i="1244"/>
  <c r="AB12" i="1244"/>
  <c r="AB11" i="1244"/>
  <c r="AB10" i="1244"/>
  <c r="AB18" i="1244"/>
  <c r="AB17" i="1244"/>
  <c r="AB15" i="1244"/>
  <c r="AB8" i="1244"/>
  <c r="AB6" i="1244"/>
  <c r="AB19" i="1244"/>
  <c r="AB7" i="1244"/>
  <c r="AB16" i="1244"/>
  <c r="AB27" i="1244"/>
  <c r="AB26" i="1244"/>
  <c r="AB25" i="1244"/>
  <c r="AB24" i="1244"/>
  <c r="AB23" i="1244"/>
  <c r="AB22" i="1244"/>
  <c r="AB21" i="1244"/>
  <c r="AB13" i="1244"/>
  <c r="AB9" i="1244"/>
  <c r="AD4" i="1218"/>
  <c r="AC3" i="1218"/>
  <c r="AG26" i="1290" l="1"/>
  <c r="AF25" i="1290"/>
  <c r="AG5" i="1290"/>
  <c r="AF4" i="1290"/>
  <c r="AG5" i="1289"/>
  <c r="AF4" i="1289"/>
  <c r="AE26" i="1288"/>
  <c r="AD23" i="1288"/>
  <c r="AD25" i="1288"/>
  <c r="AF5" i="1288"/>
  <c r="AE4" i="1288"/>
  <c r="AG5" i="1287"/>
  <c r="AF4" i="1287"/>
  <c r="AC19" i="1244"/>
  <c r="AC15" i="1244"/>
  <c r="AC18" i="1244"/>
  <c r="AC14" i="1244"/>
  <c r="AC17" i="1244"/>
  <c r="AC16" i="1244"/>
  <c r="AC13" i="1244"/>
  <c r="AC12" i="1244"/>
  <c r="AC8" i="1244"/>
  <c r="AC7" i="1244"/>
  <c r="AC11" i="1244"/>
  <c r="AC10" i="1244"/>
  <c r="AC9" i="1244"/>
  <c r="AC20" i="1244"/>
  <c r="AC27" i="1244"/>
  <c r="AC26" i="1244"/>
  <c r="AC25" i="1244"/>
  <c r="AC24" i="1244"/>
  <c r="AC23" i="1244"/>
  <c r="AC22" i="1244"/>
  <c r="AC21" i="1244"/>
  <c r="AD4" i="1244"/>
  <c r="AC3" i="1244"/>
  <c r="AC6" i="1244"/>
  <c r="AE4" i="1218"/>
  <c r="AD3" i="1218"/>
  <c r="AH26" i="1290" l="1"/>
  <c r="AG25" i="1290"/>
  <c r="AH5" i="1290"/>
  <c r="AG4" i="1290"/>
  <c r="AH5" i="1289"/>
  <c r="AG4" i="1289"/>
  <c r="AF26" i="1288"/>
  <c r="AE25" i="1288"/>
  <c r="AG5" i="1288"/>
  <c r="AF4" i="1288"/>
  <c r="AH5" i="1287"/>
  <c r="AG4" i="1287"/>
  <c r="AD3" i="1244"/>
  <c r="AD13" i="1244"/>
  <c r="AD19" i="1244"/>
  <c r="AD17" i="1244"/>
  <c r="AD14" i="1244"/>
  <c r="AD11" i="1244"/>
  <c r="AD20" i="1244"/>
  <c r="AD16" i="1244"/>
  <c r="AD18" i="1244"/>
  <c r="AD15" i="1244"/>
  <c r="AD9" i="1244"/>
  <c r="AD7" i="1244"/>
  <c r="AD12" i="1244"/>
  <c r="AD8" i="1244"/>
  <c r="AD27" i="1244"/>
  <c r="AD26" i="1244"/>
  <c r="AD25" i="1244"/>
  <c r="AD24" i="1244"/>
  <c r="AD23" i="1244"/>
  <c r="AD22" i="1244"/>
  <c r="AD21" i="1244"/>
  <c r="AD10" i="1244"/>
  <c r="AD6" i="1244"/>
  <c r="AE4" i="1244"/>
  <c r="AF4" i="1218"/>
  <c r="AE3" i="1218"/>
  <c r="AI26" i="1290" l="1"/>
  <c r="AH25" i="1290"/>
  <c r="AI5" i="1290"/>
  <c r="AH4" i="1290"/>
  <c r="AI5" i="1289"/>
  <c r="AH4" i="1289"/>
  <c r="AG26" i="1288"/>
  <c r="AF25" i="1288"/>
  <c r="AH5" i="1288"/>
  <c r="AG4" i="1288"/>
  <c r="AI5" i="1287"/>
  <c r="AH4" i="1287"/>
  <c r="AE3" i="1244"/>
  <c r="AE14" i="1244"/>
  <c r="AE13" i="1244"/>
  <c r="AE11" i="1244"/>
  <c r="AE16" i="1244"/>
  <c r="AE20" i="1244"/>
  <c r="AE10" i="1244"/>
  <c r="AE9" i="1244"/>
  <c r="AE19" i="1244"/>
  <c r="AE18" i="1244"/>
  <c r="AE17" i="1244"/>
  <c r="AE15" i="1244"/>
  <c r="AE7" i="1244"/>
  <c r="AE6" i="1244"/>
  <c r="AE27" i="1244"/>
  <c r="AE26" i="1244"/>
  <c r="AE25" i="1244"/>
  <c r="AE24" i="1244"/>
  <c r="AE23" i="1244"/>
  <c r="AE22" i="1244"/>
  <c r="AE21" i="1244"/>
  <c r="AE12" i="1244"/>
  <c r="AE8" i="1244"/>
  <c r="AF4" i="1244"/>
  <c r="AG4" i="1218"/>
  <c r="AF3" i="1218"/>
  <c r="AJ26" i="1290" l="1"/>
  <c r="AI23" i="1290"/>
  <c r="AI25" i="1290"/>
  <c r="AJ5" i="1290"/>
  <c r="AI2" i="1290"/>
  <c r="AI4" i="1290"/>
  <c r="AJ5" i="1289"/>
  <c r="AI2" i="1289"/>
  <c r="AI4" i="1289"/>
  <c r="AH26" i="1288"/>
  <c r="AG25" i="1288"/>
  <c r="AI5" i="1288"/>
  <c r="AH4" i="1288"/>
  <c r="AJ5" i="1287"/>
  <c r="AI2" i="1287"/>
  <c r="AI4" i="1287"/>
  <c r="AF3" i="1244"/>
  <c r="AF2" i="1244"/>
  <c r="AF15" i="1244"/>
  <c r="AF13" i="1244"/>
  <c r="AF10" i="1244"/>
  <c r="AF9" i="1244"/>
  <c r="AF8" i="1244"/>
  <c r="AF20" i="1244"/>
  <c r="AF18" i="1244"/>
  <c r="AF19" i="1244"/>
  <c r="AF16" i="1244"/>
  <c r="AF14" i="1244"/>
  <c r="AF17" i="1244"/>
  <c r="AF12" i="1244"/>
  <c r="AF6" i="1244"/>
  <c r="AF11" i="1244"/>
  <c r="AF27" i="1244"/>
  <c r="AF26" i="1244"/>
  <c r="AF25" i="1244"/>
  <c r="AF24" i="1244"/>
  <c r="AF23" i="1244"/>
  <c r="AF22" i="1244"/>
  <c r="AF21" i="1244"/>
  <c r="AF7" i="1244"/>
  <c r="AG4" i="1244"/>
  <c r="AH4" i="1218"/>
  <c r="AG2" i="1218"/>
  <c r="AG3" i="1218"/>
  <c r="AK26" i="1290" l="1"/>
  <c r="AJ25" i="1290"/>
  <c r="AK5" i="1290"/>
  <c r="AJ4" i="1290"/>
  <c r="AK5" i="1289"/>
  <c r="AJ4" i="1289"/>
  <c r="AI26" i="1288"/>
  <c r="AH25" i="1288"/>
  <c r="AJ5" i="1288"/>
  <c r="AI2" i="1288"/>
  <c r="AI4" i="1288"/>
  <c r="AK5" i="1287"/>
  <c r="AJ4" i="1287"/>
  <c r="AG3" i="1244"/>
  <c r="AH4" i="1244"/>
  <c r="AG19" i="1244"/>
  <c r="AG20" i="1244"/>
  <c r="AG16" i="1244"/>
  <c r="AG7" i="1244"/>
  <c r="AG18" i="1244"/>
  <c r="AG15" i="1244"/>
  <c r="AG13" i="1244"/>
  <c r="AG8" i="1244"/>
  <c r="AG6" i="1244"/>
  <c r="AG12" i="1244"/>
  <c r="AG11" i="1244"/>
  <c r="AG17" i="1244"/>
  <c r="AG14" i="1244"/>
  <c r="AG27" i="1244"/>
  <c r="AG26" i="1244"/>
  <c r="AG25" i="1244"/>
  <c r="AG24" i="1244"/>
  <c r="AG23" i="1244"/>
  <c r="AG22" i="1244"/>
  <c r="AG21" i="1244"/>
  <c r="AG10" i="1244"/>
  <c r="AG9" i="1244"/>
  <c r="AI4" i="1218"/>
  <c r="AH3" i="1218"/>
  <c r="AL26" i="1290" l="1"/>
  <c r="AK25" i="1290"/>
  <c r="AL5" i="1290"/>
  <c r="AK4" i="1290"/>
  <c r="AL5" i="1289"/>
  <c r="AK4" i="1289"/>
  <c r="AJ26" i="1288"/>
  <c r="AI23" i="1288"/>
  <c r="AI25" i="1288"/>
  <c r="AK5" i="1288"/>
  <c r="AJ4" i="1288"/>
  <c r="AL5" i="1287"/>
  <c r="AK4" i="1287"/>
  <c r="AH17" i="1244"/>
  <c r="AH15" i="1244"/>
  <c r="AH20" i="1244"/>
  <c r="AH16" i="1244"/>
  <c r="AH14" i="1244"/>
  <c r="AH13" i="1244"/>
  <c r="AH19" i="1244"/>
  <c r="AH8" i="1244"/>
  <c r="AH11" i="1244"/>
  <c r="AH7" i="1244"/>
  <c r="AH10" i="1244"/>
  <c r="AH9" i="1244"/>
  <c r="AH27" i="1244"/>
  <c r="AH26" i="1244"/>
  <c r="AH25" i="1244"/>
  <c r="AH24" i="1244"/>
  <c r="AH23" i="1244"/>
  <c r="AH22" i="1244"/>
  <c r="AH21" i="1244"/>
  <c r="AH18" i="1244"/>
  <c r="AH6" i="1244"/>
  <c r="AI4" i="1244"/>
  <c r="AH3" i="1244"/>
  <c r="AH12" i="1244"/>
  <c r="AJ4" i="1218"/>
  <c r="AI3" i="1218"/>
  <c r="AM26" i="1290" l="1"/>
  <c r="AL25" i="1290"/>
  <c r="AM5" i="1290"/>
  <c r="AL4" i="1290"/>
  <c r="AM5" i="1289"/>
  <c r="AL4" i="1289"/>
  <c r="AK26" i="1288"/>
  <c r="AJ25" i="1288"/>
  <c r="AL5" i="1288"/>
  <c r="AK4" i="1288"/>
  <c r="AM5" i="1287"/>
  <c r="AL4" i="1287"/>
  <c r="AI3" i="1244"/>
  <c r="AI17" i="1244"/>
  <c r="AI10" i="1244"/>
  <c r="AI8" i="1244"/>
  <c r="AI6" i="1244"/>
  <c r="AJ4" i="1244"/>
  <c r="AI12" i="1244"/>
  <c r="AI19" i="1244"/>
  <c r="AI13" i="1244"/>
  <c r="AI11" i="1244"/>
  <c r="AI16" i="1244"/>
  <c r="AI14" i="1244"/>
  <c r="AI9" i="1244"/>
  <c r="AI15" i="1244"/>
  <c r="AI20" i="1244"/>
  <c r="AI18" i="1244"/>
  <c r="AI27" i="1244"/>
  <c r="AI26" i="1244"/>
  <c r="AI25" i="1244"/>
  <c r="AI24" i="1244"/>
  <c r="AI23" i="1244"/>
  <c r="AI22" i="1244"/>
  <c r="AI21" i="1244"/>
  <c r="AI7" i="1244"/>
  <c r="AK4" i="1218"/>
  <c r="AJ3" i="1218"/>
  <c r="AN26" i="1290" l="1"/>
  <c r="AM25" i="1290"/>
  <c r="AN5" i="1290"/>
  <c r="AM4" i="1290"/>
  <c r="AN5" i="1289"/>
  <c r="AM4" i="1289"/>
  <c r="AL26" i="1288"/>
  <c r="AK25" i="1288"/>
  <c r="AM5" i="1288"/>
  <c r="AL4" i="1288"/>
  <c r="AN5" i="1287"/>
  <c r="AM4" i="1287"/>
  <c r="AJ14" i="1244"/>
  <c r="AJ16" i="1244"/>
  <c r="AJ19" i="1244"/>
  <c r="AJ18" i="1244"/>
  <c r="AJ12" i="1244"/>
  <c r="AJ17" i="1244"/>
  <c r="AJ15" i="1244"/>
  <c r="AJ13" i="1244"/>
  <c r="AJ9" i="1244"/>
  <c r="AJ8" i="1244"/>
  <c r="AJ7" i="1244"/>
  <c r="AJ6" i="1244"/>
  <c r="AJ11" i="1244"/>
  <c r="AJ27" i="1244"/>
  <c r="AJ26" i="1244"/>
  <c r="AJ25" i="1244"/>
  <c r="AJ24" i="1244"/>
  <c r="AJ23" i="1244"/>
  <c r="AJ22" i="1244"/>
  <c r="AJ21" i="1244"/>
  <c r="AJ20" i="1244"/>
  <c r="AJ10" i="1244"/>
  <c r="AK4" i="1244"/>
  <c r="AJ3" i="1244"/>
  <c r="AL4" i="1218"/>
  <c r="AK3" i="1218"/>
  <c r="AO26" i="1290" l="1"/>
  <c r="AN23" i="1290"/>
  <c r="AN25" i="1290"/>
  <c r="AO5" i="1290"/>
  <c r="AN2" i="1290"/>
  <c r="AN4" i="1290"/>
  <c r="AO5" i="1289"/>
  <c r="AN2" i="1289"/>
  <c r="AN4" i="1289"/>
  <c r="AM26" i="1288"/>
  <c r="AL25" i="1288"/>
  <c r="AN5" i="1288"/>
  <c r="AM4" i="1288"/>
  <c r="AO5" i="1287"/>
  <c r="AN2" i="1287"/>
  <c r="AN4" i="1287"/>
  <c r="AK3" i="1244"/>
  <c r="AK2" i="1244"/>
  <c r="AL4" i="1244"/>
  <c r="AK20" i="1244"/>
  <c r="AK14" i="1244"/>
  <c r="AK19" i="1244"/>
  <c r="AK18" i="1244"/>
  <c r="AK13" i="1244"/>
  <c r="AK11" i="1244"/>
  <c r="AK16" i="1244"/>
  <c r="AK6" i="1244"/>
  <c r="AK10" i="1244"/>
  <c r="AK9" i="1244"/>
  <c r="AK8" i="1244"/>
  <c r="AK7" i="1244"/>
  <c r="AK27" i="1244"/>
  <c r="AK26" i="1244"/>
  <c r="AK25" i="1244"/>
  <c r="AK24" i="1244"/>
  <c r="AK23" i="1244"/>
  <c r="AK22" i="1244"/>
  <c r="AK21" i="1244"/>
  <c r="AK17" i="1244"/>
  <c r="AK15" i="1244"/>
  <c r="AK12" i="1244"/>
  <c r="AM4" i="1218"/>
  <c r="AL2" i="1218"/>
  <c r="AL3" i="1218"/>
  <c r="AP26" i="1290" l="1"/>
  <c r="AO25" i="1290"/>
  <c r="AP5" i="1290"/>
  <c r="AO4" i="1290"/>
  <c r="AP5" i="1289"/>
  <c r="AO4" i="1289"/>
  <c r="AN26" i="1288"/>
  <c r="AM25" i="1288"/>
  <c r="AO5" i="1288"/>
  <c r="AN4" i="1288"/>
  <c r="AN2" i="1288"/>
  <c r="AP5" i="1287"/>
  <c r="AO4" i="1287"/>
  <c r="AL13" i="1244"/>
  <c r="AL17" i="1244"/>
  <c r="AL15" i="1244"/>
  <c r="AL14" i="1244"/>
  <c r="AL20" i="1244"/>
  <c r="AL19" i="1244"/>
  <c r="AL18" i="1244"/>
  <c r="AL11" i="1244"/>
  <c r="AL8" i="1244"/>
  <c r="AL12" i="1244"/>
  <c r="AL6" i="1244"/>
  <c r="AL27" i="1244"/>
  <c r="AL26" i="1244"/>
  <c r="AL25" i="1244"/>
  <c r="AL24" i="1244"/>
  <c r="AL23" i="1244"/>
  <c r="AL22" i="1244"/>
  <c r="AL21" i="1244"/>
  <c r="AM4" i="1244"/>
  <c r="AL3" i="1244"/>
  <c r="AL16" i="1244"/>
  <c r="AL10" i="1244"/>
  <c r="AL9" i="1244"/>
  <c r="AL7" i="1244"/>
  <c r="AN4" i="1218"/>
  <c r="AM3" i="1218"/>
  <c r="AQ26" i="1290" l="1"/>
  <c r="AP25" i="1290"/>
  <c r="AQ5" i="1290"/>
  <c r="AP4" i="1290"/>
  <c r="AQ5" i="1289"/>
  <c r="AP4" i="1289"/>
  <c r="AO26" i="1288"/>
  <c r="AN23" i="1288"/>
  <c r="AN25" i="1288"/>
  <c r="AP5" i="1288"/>
  <c r="AO4" i="1288"/>
  <c r="AQ5" i="1287"/>
  <c r="AP4" i="1287"/>
  <c r="AM3" i="1244"/>
  <c r="AM6" i="1244"/>
  <c r="AN4" i="1244"/>
  <c r="AM19" i="1244"/>
  <c r="AM15" i="1244"/>
  <c r="AM20" i="1244"/>
  <c r="AM16" i="1244"/>
  <c r="AM17" i="1244"/>
  <c r="AM7" i="1244"/>
  <c r="AM10" i="1244"/>
  <c r="AM9" i="1244"/>
  <c r="AM14" i="1244"/>
  <c r="AM27" i="1244"/>
  <c r="AM26" i="1244"/>
  <c r="AM25" i="1244"/>
  <c r="AM24" i="1244"/>
  <c r="AM23" i="1244"/>
  <c r="AM22" i="1244"/>
  <c r="AM21" i="1244"/>
  <c r="AM18" i="1244"/>
  <c r="AM13" i="1244"/>
  <c r="AM12" i="1244"/>
  <c r="AM11" i="1244"/>
  <c r="AM8" i="1244"/>
  <c r="AO4" i="1218"/>
  <c r="AN3" i="1218"/>
  <c r="AR26" i="1290" l="1"/>
  <c r="AQ25" i="1290"/>
  <c r="AR5" i="1290"/>
  <c r="AQ4" i="1290"/>
  <c r="AR5" i="1289"/>
  <c r="AQ4" i="1289"/>
  <c r="AP26" i="1288"/>
  <c r="AO25" i="1288"/>
  <c r="AQ5" i="1288"/>
  <c r="AP4" i="1288"/>
  <c r="AR5" i="1287"/>
  <c r="AQ4" i="1287"/>
  <c r="AN20" i="1244"/>
  <c r="AN18" i="1244"/>
  <c r="AN16" i="1244"/>
  <c r="AN15" i="1244"/>
  <c r="AN14" i="1244"/>
  <c r="AN12" i="1244"/>
  <c r="AN11" i="1244"/>
  <c r="AN17" i="1244"/>
  <c r="AN13" i="1244"/>
  <c r="AN19" i="1244"/>
  <c r="AN10" i="1244"/>
  <c r="AN8" i="1244"/>
  <c r="AN7" i="1244"/>
  <c r="AN6" i="1244"/>
  <c r="AN9" i="1244"/>
  <c r="AN27" i="1244"/>
  <c r="AN26" i="1244"/>
  <c r="AN25" i="1244"/>
  <c r="AN24" i="1244"/>
  <c r="AN23" i="1244"/>
  <c r="AN22" i="1244"/>
  <c r="AN21" i="1244"/>
  <c r="AN3" i="1244"/>
  <c r="AO4" i="1244"/>
  <c r="AP4" i="1218"/>
  <c r="AO3" i="1218"/>
  <c r="AS26" i="1290" l="1"/>
  <c r="AR25" i="1290"/>
  <c r="AS5" i="1290"/>
  <c r="AR4" i="1290"/>
  <c r="AS5" i="1289"/>
  <c r="AR4" i="1289"/>
  <c r="AQ26" i="1288"/>
  <c r="AP25" i="1288"/>
  <c r="AR5" i="1288"/>
  <c r="AQ4" i="1288"/>
  <c r="AS5" i="1287"/>
  <c r="AR4" i="1287"/>
  <c r="AO12" i="1244"/>
  <c r="AO18" i="1244"/>
  <c r="AO17" i="1244"/>
  <c r="AO13" i="1244"/>
  <c r="AO20" i="1244"/>
  <c r="AO14" i="1244"/>
  <c r="AO15" i="1244"/>
  <c r="AO9" i="1244"/>
  <c r="AO7" i="1244"/>
  <c r="AO16" i="1244"/>
  <c r="AO11" i="1244"/>
  <c r="AO8" i="1244"/>
  <c r="AO27" i="1244"/>
  <c r="AO26" i="1244"/>
  <c r="AO25" i="1244"/>
  <c r="AO24" i="1244"/>
  <c r="AO23" i="1244"/>
  <c r="AO22" i="1244"/>
  <c r="AO21" i="1244"/>
  <c r="AO10" i="1244"/>
  <c r="AO6" i="1244"/>
  <c r="AO3" i="1244"/>
  <c r="AO19" i="1244"/>
  <c r="AP4" i="1244"/>
  <c r="AQ4" i="1218"/>
  <c r="AP3" i="1218"/>
  <c r="AT26" i="1290" l="1"/>
  <c r="AS23" i="1290"/>
  <c r="AS25" i="1290"/>
  <c r="AT5" i="1290"/>
  <c r="AS2" i="1290"/>
  <c r="AS4" i="1290"/>
  <c r="AT5" i="1289"/>
  <c r="AS2" i="1289"/>
  <c r="AS4" i="1289"/>
  <c r="AR26" i="1288"/>
  <c r="AQ25" i="1288"/>
  <c r="AS5" i="1288"/>
  <c r="AR4" i="1288"/>
  <c r="AT5" i="1287"/>
  <c r="AS2" i="1287"/>
  <c r="AS4" i="1287"/>
  <c r="AP13" i="1244"/>
  <c r="AP20" i="1244"/>
  <c r="AP15" i="1244"/>
  <c r="AP12" i="1244"/>
  <c r="AP17" i="1244"/>
  <c r="AP16" i="1244"/>
  <c r="AP11" i="1244"/>
  <c r="AP10" i="1244"/>
  <c r="AP6" i="1244"/>
  <c r="AP14" i="1244"/>
  <c r="AP27" i="1244"/>
  <c r="AP26" i="1244"/>
  <c r="AP25" i="1244"/>
  <c r="AP24" i="1244"/>
  <c r="AP23" i="1244"/>
  <c r="AP22" i="1244"/>
  <c r="AP21" i="1244"/>
  <c r="AP19" i="1244"/>
  <c r="AP3" i="1244"/>
  <c r="AP2" i="1244"/>
  <c r="AP18" i="1244"/>
  <c r="AP9" i="1244"/>
  <c r="AP8" i="1244"/>
  <c r="AP7" i="1244"/>
  <c r="AQ4" i="1244"/>
  <c r="AR4" i="1218"/>
  <c r="AQ2" i="1218"/>
  <c r="AQ3" i="1218"/>
  <c r="AU26" i="1290" l="1"/>
  <c r="AT25" i="1290"/>
  <c r="AU5" i="1290"/>
  <c r="AT4" i="1290"/>
  <c r="AU5" i="1289"/>
  <c r="AT4" i="1289"/>
  <c r="AS26" i="1288"/>
  <c r="AR25" i="1288"/>
  <c r="AT5" i="1288"/>
  <c r="AS4" i="1288"/>
  <c r="AS2" i="1288"/>
  <c r="AU5" i="1287"/>
  <c r="AT4" i="1287"/>
  <c r="AQ17" i="1244"/>
  <c r="AQ19" i="1244"/>
  <c r="AQ16" i="1244"/>
  <c r="AQ13" i="1244"/>
  <c r="AQ11" i="1244"/>
  <c r="AQ20" i="1244"/>
  <c r="AQ18" i="1244"/>
  <c r="AQ9" i="1244"/>
  <c r="AQ8" i="1244"/>
  <c r="AQ7" i="1244"/>
  <c r="AQ27" i="1244"/>
  <c r="AQ26" i="1244"/>
  <c r="AQ25" i="1244"/>
  <c r="AQ24" i="1244"/>
  <c r="AQ23" i="1244"/>
  <c r="AQ22" i="1244"/>
  <c r="AQ21" i="1244"/>
  <c r="AR4" i="1244"/>
  <c r="AQ3" i="1244"/>
  <c r="AQ15" i="1244"/>
  <c r="AQ14" i="1244"/>
  <c r="AQ12" i="1244"/>
  <c r="AQ10" i="1244"/>
  <c r="AQ6" i="1244"/>
  <c r="AS4" i="1218"/>
  <c r="AR3" i="1218"/>
  <c r="AV26" i="1290" l="1"/>
  <c r="AU25" i="1290"/>
  <c r="AV5" i="1290"/>
  <c r="AU4" i="1290"/>
  <c r="AV5" i="1289"/>
  <c r="AU4" i="1289"/>
  <c r="AT26" i="1288"/>
  <c r="AS23" i="1288"/>
  <c r="AS25" i="1288"/>
  <c r="AU5" i="1288"/>
  <c r="AT4" i="1288"/>
  <c r="AV5" i="1287"/>
  <c r="AU4" i="1287"/>
  <c r="AR3" i="1244"/>
  <c r="AR20" i="1244"/>
  <c r="AR18" i="1244"/>
  <c r="AR13" i="1244"/>
  <c r="AR11" i="1244"/>
  <c r="AR19" i="1244"/>
  <c r="AR16" i="1244"/>
  <c r="AR14" i="1244"/>
  <c r="AR15" i="1244"/>
  <c r="AR8" i="1244"/>
  <c r="AR10" i="1244"/>
  <c r="AR6" i="1244"/>
  <c r="AR17" i="1244"/>
  <c r="AR12" i="1244"/>
  <c r="AR9" i="1244"/>
  <c r="AR27" i="1244"/>
  <c r="AR26" i="1244"/>
  <c r="AR25" i="1244"/>
  <c r="AR24" i="1244"/>
  <c r="AR23" i="1244"/>
  <c r="AR22" i="1244"/>
  <c r="AR21" i="1244"/>
  <c r="AR7" i="1244"/>
  <c r="AS4" i="1244"/>
  <c r="AT4" i="1218"/>
  <c r="AS3" i="1218"/>
  <c r="AW26" i="1290" l="1"/>
  <c r="AV25" i="1290"/>
  <c r="AW5" i="1290"/>
  <c r="AV4" i="1290"/>
  <c r="AW5" i="1289"/>
  <c r="AV4" i="1289"/>
  <c r="AU26" i="1288"/>
  <c r="AT25" i="1288"/>
  <c r="AV5" i="1288"/>
  <c r="AU4" i="1288"/>
  <c r="AW5" i="1287"/>
  <c r="AV4" i="1287"/>
  <c r="AS3" i="1244"/>
  <c r="AS8" i="1244"/>
  <c r="AT4" i="1244"/>
  <c r="AS15" i="1244"/>
  <c r="AS11" i="1244"/>
  <c r="AS16" i="1244"/>
  <c r="AS18" i="1244"/>
  <c r="AS20" i="1244"/>
  <c r="AS17" i="1244"/>
  <c r="AS14" i="1244"/>
  <c r="AS7" i="1244"/>
  <c r="AS10" i="1244"/>
  <c r="AS13" i="1244"/>
  <c r="AS27" i="1244"/>
  <c r="AS26" i="1244"/>
  <c r="AS25" i="1244"/>
  <c r="AS24" i="1244"/>
  <c r="AS23" i="1244"/>
  <c r="AS22" i="1244"/>
  <c r="AS21" i="1244"/>
  <c r="AS19" i="1244"/>
  <c r="AS12" i="1244"/>
  <c r="AS9" i="1244"/>
  <c r="AS6" i="1244"/>
  <c r="AU4" i="1218"/>
  <c r="AT3" i="1218"/>
  <c r="AX26" i="1290" l="1"/>
  <c r="AW25" i="1290"/>
  <c r="AX5" i="1290"/>
  <c r="AW4" i="1290"/>
  <c r="AX5" i="1289"/>
  <c r="AW4" i="1289"/>
  <c r="AV26" i="1288"/>
  <c r="AU25" i="1288"/>
  <c r="AW5" i="1288"/>
  <c r="AV4" i="1288"/>
  <c r="AX5" i="1287"/>
  <c r="AW4" i="1287"/>
  <c r="AT19" i="1244"/>
  <c r="AT16" i="1244"/>
  <c r="AT17" i="1244"/>
  <c r="AT14" i="1244"/>
  <c r="AT11" i="1244"/>
  <c r="AT20" i="1244"/>
  <c r="AT12" i="1244"/>
  <c r="AT13" i="1244"/>
  <c r="AT8" i="1244"/>
  <c r="AT6" i="1244"/>
  <c r="AT9" i="1244"/>
  <c r="AT15" i="1244"/>
  <c r="AT27" i="1244"/>
  <c r="AT26" i="1244"/>
  <c r="AT25" i="1244"/>
  <c r="AT24" i="1244"/>
  <c r="AT23" i="1244"/>
  <c r="AT22" i="1244"/>
  <c r="AT21" i="1244"/>
  <c r="AT10" i="1244"/>
  <c r="AU4" i="1244"/>
  <c r="AT3" i="1244"/>
  <c r="AT18" i="1244"/>
  <c r="AT7" i="1244"/>
  <c r="AV4" i="1218"/>
  <c r="AU3" i="1218"/>
  <c r="AY26" i="1290" l="1"/>
  <c r="AX23" i="1290"/>
  <c r="AX25" i="1290"/>
  <c r="AY5" i="1290"/>
  <c r="AX2" i="1290"/>
  <c r="AX4" i="1290"/>
  <c r="AY5" i="1289"/>
  <c r="AX2" i="1289"/>
  <c r="AX4" i="1289"/>
  <c r="AW26" i="1288"/>
  <c r="AV25" i="1288"/>
  <c r="AX5" i="1288"/>
  <c r="AW4" i="1288"/>
  <c r="AY5" i="1287"/>
  <c r="AX2" i="1287"/>
  <c r="AX4" i="1287"/>
  <c r="AU3" i="1244"/>
  <c r="AU2" i="1244"/>
  <c r="AU9" i="1244"/>
  <c r="AU6" i="1244"/>
  <c r="AU20" i="1244"/>
  <c r="AU13" i="1244"/>
  <c r="AU15" i="1244"/>
  <c r="AU11" i="1244"/>
  <c r="AU19" i="1244"/>
  <c r="AU7" i="1244"/>
  <c r="AU17" i="1244"/>
  <c r="AU10" i="1244"/>
  <c r="AU18" i="1244"/>
  <c r="AU16" i="1244"/>
  <c r="AU14" i="1244"/>
  <c r="AU27" i="1244"/>
  <c r="AU26" i="1244"/>
  <c r="AU25" i="1244"/>
  <c r="AU24" i="1244"/>
  <c r="AU23" i="1244"/>
  <c r="AU22" i="1244"/>
  <c r="AU21" i="1244"/>
  <c r="AU12" i="1244"/>
  <c r="AU8" i="1244"/>
  <c r="AV4" i="1244"/>
  <c r="AW4" i="1218"/>
  <c r="AV2" i="1218"/>
  <c r="AV3" i="1218"/>
  <c r="AZ26" i="1290" l="1"/>
  <c r="AY25" i="1290"/>
  <c r="AZ5" i="1290"/>
  <c r="AY4" i="1290"/>
  <c r="AZ5" i="1289"/>
  <c r="AY4" i="1289"/>
  <c r="AX26" i="1288"/>
  <c r="AW25" i="1288"/>
  <c r="AY5" i="1288"/>
  <c r="AX4" i="1288"/>
  <c r="AX2" i="1288"/>
  <c r="AZ5" i="1287"/>
  <c r="AY4" i="1287"/>
  <c r="AV3" i="1244"/>
  <c r="AV18" i="1244"/>
  <c r="AV17" i="1244"/>
  <c r="AV11" i="1244"/>
  <c r="AV14" i="1244"/>
  <c r="AV12" i="1244"/>
  <c r="AV20" i="1244"/>
  <c r="AV13" i="1244"/>
  <c r="AV9" i="1244"/>
  <c r="AV7" i="1244"/>
  <c r="AW4" i="1244"/>
  <c r="AV19" i="1244"/>
  <c r="AV16" i="1244"/>
  <c r="AV15" i="1244"/>
  <c r="AV10" i="1244"/>
  <c r="AV8" i="1244"/>
  <c r="AV6" i="1244"/>
  <c r="AV27" i="1244"/>
  <c r="AV26" i="1244"/>
  <c r="AV25" i="1244"/>
  <c r="AV24" i="1244"/>
  <c r="AV23" i="1244"/>
  <c r="AV22" i="1244"/>
  <c r="AV21" i="1244"/>
  <c r="AX4" i="1218"/>
  <c r="AW3" i="1218"/>
  <c r="BA26" i="1290" l="1"/>
  <c r="AZ25" i="1290"/>
  <c r="BA5" i="1290"/>
  <c r="AZ4" i="1290"/>
  <c r="BA5" i="1289"/>
  <c r="AZ4" i="1289"/>
  <c r="AY26" i="1288"/>
  <c r="AX23" i="1288"/>
  <c r="AX25" i="1288"/>
  <c r="AZ5" i="1288"/>
  <c r="AY4" i="1288"/>
  <c r="BA5" i="1287"/>
  <c r="AZ4" i="1287"/>
  <c r="AW18" i="1244"/>
  <c r="AX4" i="1244"/>
  <c r="AW27" i="1244"/>
  <c r="AW26" i="1244"/>
  <c r="AW25" i="1244"/>
  <c r="AW24" i="1244"/>
  <c r="AW23" i="1244"/>
  <c r="AW22" i="1244"/>
  <c r="AW21" i="1244"/>
  <c r="AW3" i="1244"/>
  <c r="AW12" i="1244"/>
  <c r="AW7" i="1244"/>
  <c r="AW19" i="1244"/>
  <c r="AW17" i="1244"/>
  <c r="AW16" i="1244"/>
  <c r="AW20" i="1244"/>
  <c r="AW15" i="1244"/>
  <c r="AW11" i="1244"/>
  <c r="AW13" i="1244"/>
  <c r="AW14" i="1244"/>
  <c r="AW10" i="1244"/>
  <c r="AW8" i="1244"/>
  <c r="AW6" i="1244"/>
  <c r="AW9" i="1244"/>
  <c r="AY4" i="1218"/>
  <c r="AX3" i="1218"/>
  <c r="BB26" i="1290" l="1"/>
  <c r="BA25" i="1290"/>
  <c r="BB5" i="1290"/>
  <c r="BA4" i="1290"/>
  <c r="BB5" i="1289"/>
  <c r="BA4" i="1289"/>
  <c r="AZ26" i="1288"/>
  <c r="AY25" i="1288"/>
  <c r="BA5" i="1288"/>
  <c r="AZ4" i="1288"/>
  <c r="BB5" i="1287"/>
  <c r="BA4" i="1287"/>
  <c r="AX27" i="1244"/>
  <c r="AX26" i="1244"/>
  <c r="AX25" i="1244"/>
  <c r="AX24" i="1244"/>
  <c r="AX23" i="1244"/>
  <c r="AX22" i="1244"/>
  <c r="AX21" i="1244"/>
  <c r="AX9" i="1244"/>
  <c r="AX7" i="1244"/>
  <c r="AY4" i="1244"/>
  <c r="AX3" i="1244"/>
  <c r="AX10" i="1244"/>
  <c r="AX8" i="1244"/>
  <c r="AX14" i="1244"/>
  <c r="AX12" i="1244"/>
  <c r="AX19" i="1244"/>
  <c r="AX18" i="1244"/>
  <c r="AX13" i="1244"/>
  <c r="AX17" i="1244"/>
  <c r="AX20" i="1244"/>
  <c r="AX16" i="1244"/>
  <c r="AX11" i="1244"/>
  <c r="AX15" i="1244"/>
  <c r="AX6" i="1244"/>
  <c r="AZ4" i="1218"/>
  <c r="AY3" i="1218"/>
  <c r="BC26" i="1290" l="1"/>
  <c r="BB25" i="1290"/>
  <c r="BC5" i="1290"/>
  <c r="BB4" i="1290"/>
  <c r="BC5" i="1289"/>
  <c r="BB4" i="1289"/>
  <c r="BA26" i="1288"/>
  <c r="AZ25" i="1288"/>
  <c r="BB5" i="1288"/>
  <c r="BA4" i="1288"/>
  <c r="BC5" i="1287"/>
  <c r="BB4" i="1287"/>
  <c r="AY3" i="1244"/>
  <c r="AY9" i="1244"/>
  <c r="AZ4" i="1244"/>
  <c r="AY13" i="1244"/>
  <c r="AY11" i="1244"/>
  <c r="AY15" i="1244"/>
  <c r="AY12" i="1244"/>
  <c r="AY18" i="1244"/>
  <c r="AY17" i="1244"/>
  <c r="AY8" i="1244"/>
  <c r="AY6" i="1244"/>
  <c r="AY14" i="1244"/>
  <c r="AY19" i="1244"/>
  <c r="AY10" i="1244"/>
  <c r="AY7" i="1244"/>
  <c r="AY20" i="1244"/>
  <c r="AY16" i="1244"/>
  <c r="AY27" i="1244"/>
  <c r="AY26" i="1244"/>
  <c r="AY25" i="1244"/>
  <c r="AY24" i="1244"/>
  <c r="AY23" i="1244"/>
  <c r="AY22" i="1244"/>
  <c r="AY21" i="1244"/>
  <c r="BA4" i="1218"/>
  <c r="AZ3" i="1218"/>
  <c r="BD26" i="1290" l="1"/>
  <c r="BC23" i="1290"/>
  <c r="BC25" i="1290"/>
  <c r="BD5" i="1290"/>
  <c r="BC2" i="1290"/>
  <c r="BC4" i="1290"/>
  <c r="BD5" i="1289"/>
  <c r="BC2" i="1289"/>
  <c r="BC4" i="1289"/>
  <c r="BB26" i="1288"/>
  <c r="BA25" i="1288"/>
  <c r="BC5" i="1288"/>
  <c r="BB4" i="1288"/>
  <c r="BD5" i="1287"/>
  <c r="BC2" i="1287"/>
  <c r="BC4" i="1287"/>
  <c r="AZ15" i="1244"/>
  <c r="AZ14" i="1244"/>
  <c r="AZ12" i="1244"/>
  <c r="AZ11" i="1244"/>
  <c r="AZ18" i="1244"/>
  <c r="AZ13" i="1244"/>
  <c r="AZ17" i="1244"/>
  <c r="AZ20" i="1244"/>
  <c r="AZ19" i="1244"/>
  <c r="AZ9" i="1244"/>
  <c r="AZ7" i="1244"/>
  <c r="AZ6" i="1244"/>
  <c r="BA4" i="1244"/>
  <c r="AZ16" i="1244"/>
  <c r="AZ10" i="1244"/>
  <c r="AZ8" i="1244"/>
  <c r="AZ27" i="1244"/>
  <c r="AZ26" i="1244"/>
  <c r="AZ25" i="1244"/>
  <c r="AZ24" i="1244"/>
  <c r="AZ23" i="1244"/>
  <c r="AZ22" i="1244"/>
  <c r="AZ21" i="1244"/>
  <c r="AZ3" i="1244"/>
  <c r="AZ2" i="1244"/>
  <c r="BB4" i="1218"/>
  <c r="BA2" i="1218"/>
  <c r="BA3" i="1218"/>
  <c r="BE26" i="1290" l="1"/>
  <c r="BD25" i="1290"/>
  <c r="BE5" i="1290"/>
  <c r="BD4" i="1290"/>
  <c r="BE5" i="1289"/>
  <c r="BD4" i="1289"/>
  <c r="BC26" i="1288"/>
  <c r="BB25" i="1288"/>
  <c r="BD5" i="1288"/>
  <c r="BC4" i="1288"/>
  <c r="BC2" i="1288"/>
  <c r="BE5" i="1287"/>
  <c r="BD4" i="1287"/>
  <c r="BA6" i="1244"/>
  <c r="BA27" i="1244"/>
  <c r="BA26" i="1244"/>
  <c r="BA25" i="1244"/>
  <c r="BA24" i="1244"/>
  <c r="BA23" i="1244"/>
  <c r="BA22" i="1244"/>
  <c r="BA21" i="1244"/>
  <c r="BA17" i="1244"/>
  <c r="BA11" i="1244"/>
  <c r="BA7" i="1244"/>
  <c r="BA3" i="1244"/>
  <c r="BA10" i="1244"/>
  <c r="BA9" i="1244"/>
  <c r="BA8" i="1244"/>
  <c r="BB4" i="1244"/>
  <c r="BA19" i="1244"/>
  <c r="BA18" i="1244"/>
  <c r="BA13" i="1244"/>
  <c r="BA20" i="1244"/>
  <c r="BA15" i="1244"/>
  <c r="BA14" i="1244"/>
  <c r="BA12" i="1244"/>
  <c r="BA16" i="1244"/>
  <c r="BC4" i="1218"/>
  <c r="BB3" i="1218"/>
  <c r="BF26" i="1290" l="1"/>
  <c r="BE25" i="1290"/>
  <c r="BF5" i="1290"/>
  <c r="BE4" i="1290"/>
  <c r="BF5" i="1289"/>
  <c r="BE4" i="1289"/>
  <c r="BD26" i="1288"/>
  <c r="BC23" i="1288"/>
  <c r="BC25" i="1288"/>
  <c r="BE5" i="1288"/>
  <c r="BD4" i="1288"/>
  <c r="BF5" i="1287"/>
  <c r="BE4" i="1287"/>
  <c r="BB14" i="1244"/>
  <c r="BB12" i="1244"/>
  <c r="BB19" i="1244"/>
  <c r="BB17" i="1244"/>
  <c r="BB20" i="1244"/>
  <c r="BB18" i="1244"/>
  <c r="BB13" i="1244"/>
  <c r="BB15" i="1244"/>
  <c r="BB10" i="1244"/>
  <c r="BB8" i="1244"/>
  <c r="BB7" i="1244"/>
  <c r="BB11" i="1244"/>
  <c r="BB16" i="1244"/>
  <c r="BB27" i="1244"/>
  <c r="BB26" i="1244"/>
  <c r="BB25" i="1244"/>
  <c r="BB24" i="1244"/>
  <c r="BB23" i="1244"/>
  <c r="BB22" i="1244"/>
  <c r="BB21" i="1244"/>
  <c r="BB9" i="1244"/>
  <c r="BC4" i="1244"/>
  <c r="BB3" i="1244"/>
  <c r="BB6" i="1244"/>
  <c r="BD4" i="1218"/>
  <c r="BC3" i="1218"/>
  <c r="BG26" i="1290" l="1"/>
  <c r="BF25" i="1290"/>
  <c r="BG5" i="1290"/>
  <c r="BF4" i="1290"/>
  <c r="BG5" i="1289"/>
  <c r="BF4" i="1289"/>
  <c r="BE26" i="1288"/>
  <c r="BD25" i="1288"/>
  <c r="BF5" i="1288"/>
  <c r="BE4" i="1288"/>
  <c r="BG5" i="1287"/>
  <c r="BF4" i="1287"/>
  <c r="BC3" i="1244"/>
  <c r="BC16" i="1244"/>
  <c r="BD4" i="1244"/>
  <c r="BC15" i="1244"/>
  <c r="BC12" i="1244"/>
  <c r="BC14" i="1244"/>
  <c r="BC11" i="1244"/>
  <c r="BC17" i="1244"/>
  <c r="BC13" i="1244"/>
  <c r="BC8" i="1244"/>
  <c r="BC18" i="1244"/>
  <c r="BC9" i="1244"/>
  <c r="BC10" i="1244"/>
  <c r="BC7" i="1244"/>
  <c r="BC6" i="1244"/>
  <c r="BC19" i="1244"/>
  <c r="BC27" i="1244"/>
  <c r="BC26" i="1244"/>
  <c r="BC25" i="1244"/>
  <c r="BC24" i="1244"/>
  <c r="BC23" i="1244"/>
  <c r="BC22" i="1244"/>
  <c r="BC21" i="1244"/>
  <c r="BC20" i="1244"/>
  <c r="BE4" i="1218"/>
  <c r="BD3" i="1218"/>
  <c r="BH26" i="1290" l="1"/>
  <c r="BG25" i="1290"/>
  <c r="BH5" i="1290"/>
  <c r="BG4" i="1290"/>
  <c r="BH5" i="1289"/>
  <c r="BG4" i="1289"/>
  <c r="BF26" i="1288"/>
  <c r="BE25" i="1288"/>
  <c r="BG5" i="1288"/>
  <c r="BF4" i="1288"/>
  <c r="BH5" i="1287"/>
  <c r="BG4" i="1287"/>
  <c r="BD13" i="1244"/>
  <c r="BD15" i="1244"/>
  <c r="BD11" i="1244"/>
  <c r="BD12" i="1244"/>
  <c r="BD14" i="1244"/>
  <c r="BD20" i="1244"/>
  <c r="BD17" i="1244"/>
  <c r="BD16" i="1244"/>
  <c r="BD18" i="1244"/>
  <c r="BD8" i="1244"/>
  <c r="BD27" i="1244"/>
  <c r="BD26" i="1244"/>
  <c r="BD25" i="1244"/>
  <c r="BD24" i="1244"/>
  <c r="BD23" i="1244"/>
  <c r="BD22" i="1244"/>
  <c r="BD21" i="1244"/>
  <c r="BD19" i="1244"/>
  <c r="BD7" i="1244"/>
  <c r="BD6" i="1244"/>
  <c r="BD3" i="1244"/>
  <c r="BD10" i="1244"/>
  <c r="BD9" i="1244"/>
  <c r="BE4" i="1244"/>
  <c r="BF4" i="1218"/>
  <c r="BE3" i="1218"/>
  <c r="BI26" i="1290" l="1"/>
  <c r="BH23" i="1290"/>
  <c r="BH25" i="1290"/>
  <c r="BI5" i="1290"/>
  <c r="BH2" i="1290"/>
  <c r="BH4" i="1290"/>
  <c r="BI5" i="1289"/>
  <c r="BH2" i="1289"/>
  <c r="BH4" i="1289"/>
  <c r="BG26" i="1288"/>
  <c r="BF25" i="1288"/>
  <c r="BH5" i="1288"/>
  <c r="BG4" i="1288"/>
  <c r="BI5" i="1287"/>
  <c r="BH2" i="1287"/>
  <c r="BH4" i="1287"/>
  <c r="BE15" i="1244"/>
  <c r="BE12" i="1244"/>
  <c r="BE8" i="1244"/>
  <c r="BE20" i="1244"/>
  <c r="BE17" i="1244"/>
  <c r="BE13" i="1244"/>
  <c r="BE11" i="1244"/>
  <c r="BE10" i="1244"/>
  <c r="BE9" i="1244"/>
  <c r="BE18" i="1244"/>
  <c r="BE27" i="1244"/>
  <c r="BE26" i="1244"/>
  <c r="BE25" i="1244"/>
  <c r="BE24" i="1244"/>
  <c r="BE23" i="1244"/>
  <c r="BE22" i="1244"/>
  <c r="BE21" i="1244"/>
  <c r="BE3" i="1244"/>
  <c r="BE2" i="1244"/>
  <c r="BE19" i="1244"/>
  <c r="BE16" i="1244"/>
  <c r="BE14" i="1244"/>
  <c r="BE7" i="1244"/>
  <c r="BE6" i="1244"/>
  <c r="BF4" i="1244"/>
  <c r="BG4" i="1218"/>
  <c r="BF2" i="1218"/>
  <c r="BF3" i="1218"/>
  <c r="BJ26" i="1290" l="1"/>
  <c r="BI25" i="1290"/>
  <c r="BJ5" i="1290"/>
  <c r="BI4" i="1290"/>
  <c r="BJ5" i="1289"/>
  <c r="BI4" i="1289"/>
  <c r="BH26" i="1288"/>
  <c r="BG25" i="1288"/>
  <c r="BI5" i="1288"/>
  <c r="BH4" i="1288"/>
  <c r="BH2" i="1288"/>
  <c r="BJ5" i="1287"/>
  <c r="BI4" i="1287"/>
  <c r="BF17" i="1244"/>
  <c r="BF12" i="1244"/>
  <c r="BF20" i="1244"/>
  <c r="BF19" i="1244"/>
  <c r="BF16" i="1244"/>
  <c r="BF9" i="1244"/>
  <c r="BF7" i="1244"/>
  <c r="BF10" i="1244"/>
  <c r="BF6" i="1244"/>
  <c r="BF8" i="1244"/>
  <c r="BG4" i="1244"/>
  <c r="BF14" i="1244"/>
  <c r="BF27" i="1244"/>
  <c r="BF26" i="1244"/>
  <c r="BF25" i="1244"/>
  <c r="BF24" i="1244"/>
  <c r="BF23" i="1244"/>
  <c r="BF22" i="1244"/>
  <c r="BF21" i="1244"/>
  <c r="BF15" i="1244"/>
  <c r="BF3" i="1244"/>
  <c r="BF18" i="1244"/>
  <c r="BF13" i="1244"/>
  <c r="BF11" i="1244"/>
  <c r="BH4" i="1218"/>
  <c r="BG3" i="1218"/>
  <c r="BK26" i="1290" l="1"/>
  <c r="BJ25" i="1290"/>
  <c r="BK5" i="1290"/>
  <c r="BJ4" i="1290"/>
  <c r="BK5" i="1289"/>
  <c r="BJ4" i="1289"/>
  <c r="BI26" i="1288"/>
  <c r="BH23" i="1288"/>
  <c r="BH25" i="1288"/>
  <c r="BJ5" i="1288"/>
  <c r="BI4" i="1288"/>
  <c r="BK5" i="1287"/>
  <c r="BJ4" i="1287"/>
  <c r="BG20" i="1244"/>
  <c r="BG18" i="1244"/>
  <c r="BG16" i="1244"/>
  <c r="BG27" i="1244"/>
  <c r="BG26" i="1244"/>
  <c r="BG25" i="1244"/>
  <c r="BG24" i="1244"/>
  <c r="BG23" i="1244"/>
  <c r="BG22" i="1244"/>
  <c r="BG21" i="1244"/>
  <c r="BG7" i="1244"/>
  <c r="BH4" i="1244"/>
  <c r="BG3" i="1244"/>
  <c r="BG10" i="1244"/>
  <c r="BG8" i="1244"/>
  <c r="BG17" i="1244"/>
  <c r="BG19" i="1244"/>
  <c r="BG14" i="1244"/>
  <c r="BG15" i="1244"/>
  <c r="BG12" i="1244"/>
  <c r="BG9" i="1244"/>
  <c r="BG13" i="1244"/>
  <c r="BG11" i="1244"/>
  <c r="BG6" i="1244"/>
  <c r="BI4" i="1218"/>
  <c r="BH3" i="1218"/>
  <c r="BL26" i="1290" l="1"/>
  <c r="BK25" i="1290"/>
  <c r="BL5" i="1290"/>
  <c r="BK4" i="1290"/>
  <c r="BL5" i="1289"/>
  <c r="BK4" i="1289"/>
  <c r="BJ26" i="1288"/>
  <c r="BI25" i="1288"/>
  <c r="BK5" i="1288"/>
  <c r="BJ4" i="1288"/>
  <c r="BL5" i="1287"/>
  <c r="BK4" i="1287"/>
  <c r="BH3" i="1244"/>
  <c r="BH12" i="1244"/>
  <c r="BH20" i="1244"/>
  <c r="BH19" i="1244"/>
  <c r="BH15" i="1244"/>
  <c r="BH17" i="1244"/>
  <c r="BH14" i="1244"/>
  <c r="BH13" i="1244"/>
  <c r="BH9" i="1244"/>
  <c r="BH6" i="1244"/>
  <c r="BI4" i="1244"/>
  <c r="BH11" i="1244"/>
  <c r="BH8" i="1244"/>
  <c r="BH7" i="1244"/>
  <c r="BH27" i="1244"/>
  <c r="BH26" i="1244"/>
  <c r="BH25" i="1244"/>
  <c r="BH24" i="1244"/>
  <c r="BH23" i="1244"/>
  <c r="BH22" i="1244"/>
  <c r="BH21" i="1244"/>
  <c r="BH18" i="1244"/>
  <c r="BH16" i="1244"/>
  <c r="BH10" i="1244"/>
  <c r="BJ4" i="1218"/>
  <c r="BI3" i="1218"/>
  <c r="BM26" i="1290" l="1"/>
  <c r="BL25" i="1290"/>
  <c r="BM5" i="1290"/>
  <c r="BL4" i="1290"/>
  <c r="BM5" i="1289"/>
  <c r="BL4" i="1289"/>
  <c r="BK26" i="1288"/>
  <c r="BJ25" i="1288"/>
  <c r="BL5" i="1288"/>
  <c r="BK4" i="1288"/>
  <c r="BM5" i="1287"/>
  <c r="BL4" i="1287"/>
  <c r="BI7" i="1244"/>
  <c r="BI9" i="1244"/>
  <c r="BI27" i="1244"/>
  <c r="BI26" i="1244"/>
  <c r="BI25" i="1244"/>
  <c r="BI24" i="1244"/>
  <c r="BI23" i="1244"/>
  <c r="BI22" i="1244"/>
  <c r="BI21" i="1244"/>
  <c r="BI20" i="1244"/>
  <c r="BI19" i="1244"/>
  <c r="BI15" i="1244"/>
  <c r="BI3" i="1244"/>
  <c r="BI11" i="1244"/>
  <c r="BJ4" i="1244"/>
  <c r="BI17" i="1244"/>
  <c r="BI16" i="1244"/>
  <c r="BI14" i="1244"/>
  <c r="BI13" i="1244"/>
  <c r="BI12" i="1244"/>
  <c r="BI10" i="1244"/>
  <c r="BI6" i="1244"/>
  <c r="BI18" i="1244"/>
  <c r="BI8" i="1244"/>
  <c r="BK4" i="1218"/>
  <c r="BJ3" i="1218"/>
  <c r="BN26" i="1290" l="1"/>
  <c r="BM23" i="1290"/>
  <c r="BM25" i="1290"/>
  <c r="BN5" i="1290"/>
  <c r="BM2" i="1290"/>
  <c r="BM4" i="1290"/>
  <c r="BN5" i="1289"/>
  <c r="BM2" i="1289"/>
  <c r="BM4" i="1289"/>
  <c r="BL26" i="1288"/>
  <c r="BK25" i="1288"/>
  <c r="BM5" i="1288"/>
  <c r="BL4" i="1288"/>
  <c r="BN5" i="1287"/>
  <c r="BM2" i="1287"/>
  <c r="BM4" i="1287"/>
  <c r="BJ15" i="1244"/>
  <c r="BJ17" i="1244"/>
  <c r="BJ12" i="1244"/>
  <c r="BJ16" i="1244"/>
  <c r="BJ13" i="1244"/>
  <c r="BJ20" i="1244"/>
  <c r="BJ11" i="1244"/>
  <c r="BJ7" i="1244"/>
  <c r="BJ9" i="1244"/>
  <c r="BJ6" i="1244"/>
  <c r="BK4" i="1244"/>
  <c r="BJ19" i="1244"/>
  <c r="BJ14" i="1244"/>
  <c r="BJ27" i="1244"/>
  <c r="BJ26" i="1244"/>
  <c r="BJ25" i="1244"/>
  <c r="BJ24" i="1244"/>
  <c r="BJ23" i="1244"/>
  <c r="BJ22" i="1244"/>
  <c r="BJ21" i="1244"/>
  <c r="BJ3" i="1244"/>
  <c r="BJ2" i="1244"/>
  <c r="BJ18" i="1244"/>
  <c r="BJ10" i="1244"/>
  <c r="BJ8" i="1244"/>
  <c r="BL4" i="1218"/>
  <c r="BK2" i="1218"/>
  <c r="BK3" i="1218"/>
  <c r="BO26" i="1290" l="1"/>
  <c r="BN25" i="1290"/>
  <c r="BO5" i="1290"/>
  <c r="BN4" i="1290"/>
  <c r="BO5" i="1289"/>
  <c r="BN4" i="1289"/>
  <c r="BM26" i="1288"/>
  <c r="BL25" i="1288"/>
  <c r="BN5" i="1288"/>
  <c r="BM2" i="1288"/>
  <c r="BM4" i="1288"/>
  <c r="BO5" i="1287"/>
  <c r="BN4" i="1287"/>
  <c r="BK27" i="1244"/>
  <c r="BK26" i="1244"/>
  <c r="BK25" i="1244"/>
  <c r="BK24" i="1244"/>
  <c r="BK23" i="1244"/>
  <c r="BK22" i="1244"/>
  <c r="BK21" i="1244"/>
  <c r="BK13" i="1244"/>
  <c r="BK8" i="1244"/>
  <c r="BK3" i="1244"/>
  <c r="BK15" i="1244"/>
  <c r="BK9" i="1244"/>
  <c r="BK7" i="1244"/>
  <c r="BK6" i="1244"/>
  <c r="BL4" i="1244"/>
  <c r="BK16" i="1244"/>
  <c r="BK14" i="1244"/>
  <c r="BK20" i="1244"/>
  <c r="BK19" i="1244"/>
  <c r="BK17" i="1244"/>
  <c r="BK12" i="1244"/>
  <c r="BK11" i="1244"/>
  <c r="BK10" i="1244"/>
  <c r="BK18" i="1244"/>
  <c r="BM4" i="1218"/>
  <c r="BL3" i="1218"/>
  <c r="BP26" i="1290" l="1"/>
  <c r="BO25" i="1290"/>
  <c r="BP5" i="1290"/>
  <c r="BO4" i="1290"/>
  <c r="BP5" i="1289"/>
  <c r="BO4" i="1289"/>
  <c r="BN26" i="1288"/>
  <c r="BM23" i="1288"/>
  <c r="BM25" i="1288"/>
  <c r="BO5" i="1288"/>
  <c r="BN4" i="1288"/>
  <c r="BP5" i="1287"/>
  <c r="BO4" i="1287"/>
  <c r="BL18" i="1244"/>
  <c r="BL13" i="1244"/>
  <c r="BL16" i="1244"/>
  <c r="BL12" i="1244"/>
  <c r="BL17" i="1244"/>
  <c r="BL15" i="1244"/>
  <c r="BL7" i="1244"/>
  <c r="BL19" i="1244"/>
  <c r="BL8" i="1244"/>
  <c r="BL20" i="1244"/>
  <c r="BL10" i="1244"/>
  <c r="BL27" i="1244"/>
  <c r="BL26" i="1244"/>
  <c r="BL25" i="1244"/>
  <c r="BL24" i="1244"/>
  <c r="BL23" i="1244"/>
  <c r="BL22" i="1244"/>
  <c r="BL21" i="1244"/>
  <c r="BL14" i="1244"/>
  <c r="BL9" i="1244"/>
  <c r="BL6" i="1244"/>
  <c r="BL3" i="1244"/>
  <c r="BL11" i="1244"/>
  <c r="BM4" i="1244"/>
  <c r="BN4" i="1218"/>
  <c r="BM3" i="1218"/>
  <c r="BQ26" i="1290" l="1"/>
  <c r="BP25" i="1290"/>
  <c r="BQ5" i="1290"/>
  <c r="BP4" i="1290"/>
  <c r="BQ5" i="1289"/>
  <c r="BP4" i="1289"/>
  <c r="BO26" i="1288"/>
  <c r="BN25" i="1288"/>
  <c r="BP5" i="1288"/>
  <c r="BO4" i="1288"/>
  <c r="BQ5" i="1287"/>
  <c r="BP4" i="1287"/>
  <c r="BM19" i="1244"/>
  <c r="BM15" i="1244"/>
  <c r="BM11" i="1244"/>
  <c r="BM17" i="1244"/>
  <c r="BM18" i="1244"/>
  <c r="BM16" i="1244"/>
  <c r="BM14" i="1244"/>
  <c r="BM9" i="1244"/>
  <c r="BM6" i="1244"/>
  <c r="BM20" i="1244"/>
  <c r="BM10" i="1244"/>
  <c r="BM8" i="1244"/>
  <c r="BN4" i="1244"/>
  <c r="BM27" i="1244"/>
  <c r="BM26" i="1244"/>
  <c r="BM25" i="1244"/>
  <c r="BM24" i="1244"/>
  <c r="BM23" i="1244"/>
  <c r="BM22" i="1244"/>
  <c r="BM21" i="1244"/>
  <c r="BM13" i="1244"/>
  <c r="BM12" i="1244"/>
  <c r="BM3" i="1244"/>
  <c r="BM7" i="1244"/>
  <c r="BO4" i="1218"/>
  <c r="BN3" i="1218"/>
  <c r="BR26" i="1290" l="1"/>
  <c r="BQ25" i="1290"/>
  <c r="BR5" i="1290"/>
  <c r="BQ4" i="1290"/>
  <c r="BR5" i="1289"/>
  <c r="BQ4" i="1289"/>
  <c r="BP26" i="1288"/>
  <c r="BO25" i="1288"/>
  <c r="BQ5" i="1288"/>
  <c r="BP4" i="1288"/>
  <c r="BR5" i="1287"/>
  <c r="BQ4" i="1287"/>
  <c r="BN27" i="1244"/>
  <c r="BN26" i="1244"/>
  <c r="BN25" i="1244"/>
  <c r="BN24" i="1244"/>
  <c r="BN23" i="1244"/>
  <c r="BN22" i="1244"/>
  <c r="BN21" i="1244"/>
  <c r="BN19" i="1244"/>
  <c r="BN10" i="1244"/>
  <c r="BN7" i="1244"/>
  <c r="BN3" i="1244"/>
  <c r="BN17" i="1244"/>
  <c r="BN15" i="1244"/>
  <c r="BN12" i="1244"/>
  <c r="BN20" i="1244"/>
  <c r="BN18" i="1244"/>
  <c r="BN16" i="1244"/>
  <c r="BN11" i="1244"/>
  <c r="BN13" i="1244"/>
  <c r="BN8" i="1244"/>
  <c r="BO4" i="1244"/>
  <c r="BN6" i="1244"/>
  <c r="BN14" i="1244"/>
  <c r="BN9" i="1244"/>
  <c r="BP4" i="1218"/>
  <c r="BO3" i="1218"/>
  <c r="BS26" i="1290" l="1"/>
  <c r="BR23" i="1290"/>
  <c r="BR25" i="1290"/>
  <c r="BS5" i="1290"/>
  <c r="BR2" i="1290"/>
  <c r="BR4" i="1290"/>
  <c r="BS5" i="1289"/>
  <c r="BR2" i="1289"/>
  <c r="BR4" i="1289"/>
  <c r="BQ26" i="1288"/>
  <c r="BP25" i="1288"/>
  <c r="BR5" i="1288"/>
  <c r="BQ4" i="1288"/>
  <c r="BS5" i="1287"/>
  <c r="BR2" i="1287"/>
  <c r="BR4" i="1287"/>
  <c r="BP4" i="1244"/>
  <c r="BO12" i="1244"/>
  <c r="BO11" i="1244"/>
  <c r="BO27" i="1244"/>
  <c r="BO26" i="1244"/>
  <c r="BO25" i="1244"/>
  <c r="BO24" i="1244"/>
  <c r="BO23" i="1244"/>
  <c r="BO22" i="1244"/>
  <c r="BO21" i="1244"/>
  <c r="BO3" i="1244"/>
  <c r="BO2" i="1244"/>
  <c r="BO10" i="1244"/>
  <c r="BO8" i="1244"/>
  <c r="BO20" i="1244"/>
  <c r="BO18" i="1244"/>
  <c r="BO13" i="1244"/>
  <c r="BO16" i="1244"/>
  <c r="BO17" i="1244"/>
  <c r="BO15" i="1244"/>
  <c r="BO19" i="1244"/>
  <c r="BO6" i="1244"/>
  <c r="BO14" i="1244"/>
  <c r="BO9" i="1244"/>
  <c r="BO7" i="1244"/>
  <c r="BQ4" i="1218"/>
  <c r="BP2" i="1218"/>
  <c r="BP3" i="1218"/>
  <c r="BT26" i="1290" l="1"/>
  <c r="BS25" i="1290"/>
  <c r="BT5" i="1290"/>
  <c r="BS4" i="1290"/>
  <c r="BT5" i="1289"/>
  <c r="BS4" i="1289"/>
  <c r="BR26" i="1288"/>
  <c r="BQ25" i="1288"/>
  <c r="BS5" i="1288"/>
  <c r="BR4" i="1288"/>
  <c r="BR2" i="1288"/>
  <c r="BT5" i="1287"/>
  <c r="BS4" i="1287"/>
  <c r="BP17" i="1244"/>
  <c r="BP7" i="1244"/>
  <c r="BP6" i="1244"/>
  <c r="BP27" i="1244"/>
  <c r="BP26" i="1244"/>
  <c r="BP25" i="1244"/>
  <c r="BP24" i="1244"/>
  <c r="BP23" i="1244"/>
  <c r="BP22" i="1244"/>
  <c r="BP21" i="1244"/>
  <c r="BP14" i="1244"/>
  <c r="BP8" i="1244"/>
  <c r="BP3" i="1244"/>
  <c r="BP20" i="1244"/>
  <c r="BP9" i="1244"/>
  <c r="BP16" i="1244"/>
  <c r="BP13" i="1244"/>
  <c r="BP12" i="1244"/>
  <c r="BP18" i="1244"/>
  <c r="BP19" i="1244"/>
  <c r="BP15" i="1244"/>
  <c r="BP10" i="1244"/>
  <c r="BQ4" i="1244"/>
  <c r="BP11" i="1244"/>
  <c r="BR4" i="1218"/>
  <c r="BQ3" i="1218"/>
  <c r="BU26" i="1290" l="1"/>
  <c r="BT25" i="1290"/>
  <c r="BU5" i="1290"/>
  <c r="BT4" i="1290"/>
  <c r="BU5" i="1289"/>
  <c r="BT4" i="1289"/>
  <c r="BS26" i="1288"/>
  <c r="BR23" i="1288"/>
  <c r="BR25" i="1288"/>
  <c r="BT5" i="1288"/>
  <c r="BS4" i="1288"/>
  <c r="BU5" i="1287"/>
  <c r="BT4" i="1287"/>
  <c r="BQ8" i="1244"/>
  <c r="BQ7" i="1244"/>
  <c r="BQ19" i="1244"/>
  <c r="BQ11" i="1244"/>
  <c r="BQ10" i="1244"/>
  <c r="BQ9" i="1244"/>
  <c r="BQ27" i="1244"/>
  <c r="BQ26" i="1244"/>
  <c r="BQ25" i="1244"/>
  <c r="BQ24" i="1244"/>
  <c r="BQ23" i="1244"/>
  <c r="BQ22" i="1244"/>
  <c r="BQ21" i="1244"/>
  <c r="BQ3" i="1244"/>
  <c r="BQ16" i="1244"/>
  <c r="BQ6" i="1244"/>
  <c r="BR4" i="1244"/>
  <c r="BQ12" i="1244"/>
  <c r="BQ18" i="1244"/>
  <c r="BQ15" i="1244"/>
  <c r="BQ17" i="1244"/>
  <c r="BQ20" i="1244"/>
  <c r="BQ14" i="1244"/>
  <c r="BQ13" i="1244"/>
  <c r="BS4" i="1218"/>
  <c r="BR3" i="1218"/>
  <c r="BV26" i="1290" l="1"/>
  <c r="BU25" i="1290"/>
  <c r="BV5" i="1290"/>
  <c r="BU4" i="1290"/>
  <c r="BV5" i="1289"/>
  <c r="BU4" i="1289"/>
  <c r="BT26" i="1288"/>
  <c r="BS25" i="1288"/>
  <c r="BU5" i="1288"/>
  <c r="BT4" i="1288"/>
  <c r="BV5" i="1287"/>
  <c r="BU4" i="1287"/>
  <c r="BR20" i="1244"/>
  <c r="BR19" i="1244"/>
  <c r="BR15" i="1244"/>
  <c r="BR17" i="1244"/>
  <c r="BR18" i="1244"/>
  <c r="BR16" i="1244"/>
  <c r="BR14" i="1244"/>
  <c r="BR13" i="1244"/>
  <c r="BR12" i="1244"/>
  <c r="BR7" i="1244"/>
  <c r="BR10" i="1244"/>
  <c r="BR9" i="1244"/>
  <c r="BS4" i="1244"/>
  <c r="BR27" i="1244"/>
  <c r="BR26" i="1244"/>
  <c r="BR25" i="1244"/>
  <c r="BR24" i="1244"/>
  <c r="BR23" i="1244"/>
  <c r="BR22" i="1244"/>
  <c r="BR21" i="1244"/>
  <c r="BR6" i="1244"/>
  <c r="BR3" i="1244"/>
  <c r="BR11" i="1244"/>
  <c r="BR8" i="1244"/>
  <c r="BT4" i="1218"/>
  <c r="BS3" i="1218"/>
  <c r="BW26" i="1290" l="1"/>
  <c r="BV25" i="1290"/>
  <c r="BW5" i="1290"/>
  <c r="BV4" i="1290"/>
  <c r="BW5" i="1289"/>
  <c r="BV4" i="1289"/>
  <c r="BU26" i="1288"/>
  <c r="BT25" i="1288"/>
  <c r="BV5" i="1288"/>
  <c r="BU4" i="1288"/>
  <c r="BW5" i="1287"/>
  <c r="BV4" i="1287"/>
  <c r="BT4" i="1244"/>
  <c r="BS16" i="1244"/>
  <c r="BS14" i="1244"/>
  <c r="BS27" i="1244"/>
  <c r="BS26" i="1244"/>
  <c r="BS25" i="1244"/>
  <c r="BS24" i="1244"/>
  <c r="BS23" i="1244"/>
  <c r="BS22" i="1244"/>
  <c r="BS21" i="1244"/>
  <c r="BS12" i="1244"/>
  <c r="BS9" i="1244"/>
  <c r="BS8" i="1244"/>
  <c r="BS3" i="1244"/>
  <c r="BS7" i="1244"/>
  <c r="BS13" i="1244"/>
  <c r="BS19" i="1244"/>
  <c r="BS15" i="1244"/>
  <c r="BS20" i="1244"/>
  <c r="BS10" i="1244"/>
  <c r="BS18" i="1244"/>
  <c r="BS17" i="1244"/>
  <c r="BS11" i="1244"/>
  <c r="BS6" i="1244"/>
  <c r="BU4" i="1218"/>
  <c r="BT3" i="1218"/>
  <c r="BX26" i="1290" l="1"/>
  <c r="BW23" i="1290"/>
  <c r="BW25" i="1290"/>
  <c r="BX5" i="1290"/>
  <c r="BW2" i="1290"/>
  <c r="BW4" i="1290"/>
  <c r="BX5" i="1289"/>
  <c r="BW2" i="1289"/>
  <c r="BW4" i="1289"/>
  <c r="BV26" i="1288"/>
  <c r="BU25" i="1288"/>
  <c r="BW5" i="1288"/>
  <c r="BV4" i="1288"/>
  <c r="BX5" i="1287"/>
  <c r="BW2" i="1287"/>
  <c r="BW4" i="1287"/>
  <c r="BT17" i="1244"/>
  <c r="BT27" i="1244"/>
  <c r="BT26" i="1244"/>
  <c r="BT25" i="1244"/>
  <c r="BT24" i="1244"/>
  <c r="BT23" i="1244"/>
  <c r="BT22" i="1244"/>
  <c r="BT21" i="1244"/>
  <c r="BT3" i="1244"/>
  <c r="BT2" i="1244"/>
  <c r="BT10" i="1244"/>
  <c r="BT13" i="1244"/>
  <c r="BT16" i="1244"/>
  <c r="BT20" i="1244"/>
  <c r="BT12" i="1244"/>
  <c r="BT18" i="1244"/>
  <c r="BT19" i="1244"/>
  <c r="BT11" i="1244"/>
  <c r="BT7" i="1244"/>
  <c r="BT6" i="1244"/>
  <c r="BT15" i="1244"/>
  <c r="BT8" i="1244"/>
  <c r="BU4" i="1244"/>
  <c r="BT14" i="1244"/>
  <c r="BT9" i="1244"/>
  <c r="BV4" i="1218"/>
  <c r="BU2" i="1218"/>
  <c r="BU3" i="1218"/>
  <c r="BY26" i="1290" l="1"/>
  <c r="BX25" i="1290"/>
  <c r="BY5" i="1290"/>
  <c r="BX4" i="1290"/>
  <c r="BY5" i="1289"/>
  <c r="BX4" i="1289"/>
  <c r="BW26" i="1288"/>
  <c r="BV25" i="1288"/>
  <c r="BX5" i="1288"/>
  <c r="BW4" i="1288"/>
  <c r="BW2" i="1288"/>
  <c r="BY5" i="1287"/>
  <c r="BX4" i="1287"/>
  <c r="BU8" i="1244"/>
  <c r="BU6" i="1244"/>
  <c r="BV4" i="1244"/>
  <c r="BU27" i="1244"/>
  <c r="BU26" i="1244"/>
  <c r="BU25" i="1244"/>
  <c r="BU24" i="1244"/>
  <c r="BU23" i="1244"/>
  <c r="BU22" i="1244"/>
  <c r="BU21" i="1244"/>
  <c r="BU3" i="1244"/>
  <c r="BU18" i="1244"/>
  <c r="BU7" i="1244"/>
  <c r="BU19" i="1244"/>
  <c r="BU14" i="1244"/>
  <c r="BU11" i="1244"/>
  <c r="BU10" i="1244"/>
  <c r="BU17" i="1244"/>
  <c r="BU16" i="1244"/>
  <c r="BU15" i="1244"/>
  <c r="BU12" i="1244"/>
  <c r="BU20" i="1244"/>
  <c r="BU13" i="1244"/>
  <c r="BU9" i="1244"/>
  <c r="BW4" i="1218"/>
  <c r="BV3" i="1218"/>
  <c r="BZ26" i="1290" l="1"/>
  <c r="BY25" i="1290"/>
  <c r="BZ5" i="1290"/>
  <c r="BY4" i="1290"/>
  <c r="BZ5" i="1289"/>
  <c r="BY4" i="1289"/>
  <c r="BX26" i="1288"/>
  <c r="BW23" i="1288"/>
  <c r="BW25" i="1288"/>
  <c r="BY5" i="1288"/>
  <c r="BX4" i="1288"/>
  <c r="BZ5" i="1287"/>
  <c r="BY4" i="1287"/>
  <c r="BV27" i="1244"/>
  <c r="BV26" i="1244"/>
  <c r="BV25" i="1244"/>
  <c r="BV24" i="1244"/>
  <c r="BV23" i="1244"/>
  <c r="BV22" i="1244"/>
  <c r="BV21" i="1244"/>
  <c r="BV16" i="1244"/>
  <c r="BV7" i="1244"/>
  <c r="BV6" i="1244"/>
  <c r="BV3" i="1244"/>
  <c r="BV15" i="1244"/>
  <c r="BV14" i="1244"/>
  <c r="BV11" i="1244"/>
  <c r="BV17" i="1244"/>
  <c r="BV13" i="1244"/>
  <c r="BV12" i="1244"/>
  <c r="BV10" i="1244"/>
  <c r="BV20" i="1244"/>
  <c r="BV9" i="1244"/>
  <c r="BV8" i="1244"/>
  <c r="BW4" i="1244"/>
  <c r="BV18" i="1244"/>
  <c r="BV19" i="1244"/>
  <c r="BX4" i="1218"/>
  <c r="BW3" i="1218"/>
  <c r="CA26" i="1290" l="1"/>
  <c r="BZ25" i="1290"/>
  <c r="CA5" i="1290"/>
  <c r="BZ4" i="1290"/>
  <c r="CA5" i="1289"/>
  <c r="BZ4" i="1289"/>
  <c r="BY26" i="1288"/>
  <c r="BX25" i="1288"/>
  <c r="BZ5" i="1288"/>
  <c r="BY4" i="1288"/>
  <c r="CA5" i="1287"/>
  <c r="BZ4" i="1287"/>
  <c r="BW14" i="1244"/>
  <c r="BW20" i="1244"/>
  <c r="BW15" i="1244"/>
  <c r="BW11" i="1244"/>
  <c r="BW7" i="1244"/>
  <c r="BW27" i="1244"/>
  <c r="BW26" i="1244"/>
  <c r="BW25" i="1244"/>
  <c r="BW24" i="1244"/>
  <c r="BW23" i="1244"/>
  <c r="BW22" i="1244"/>
  <c r="BW21" i="1244"/>
  <c r="BW8" i="1244"/>
  <c r="BW3" i="1244"/>
  <c r="BW17" i="1244"/>
  <c r="BW16" i="1244"/>
  <c r="BW10" i="1244"/>
  <c r="BW19" i="1244"/>
  <c r="BW18" i="1244"/>
  <c r="BW13" i="1244"/>
  <c r="BW12" i="1244"/>
  <c r="BW9" i="1244"/>
  <c r="BW6" i="1244"/>
  <c r="BX4" i="1244"/>
  <c r="BY4" i="1218"/>
  <c r="BX3" i="1218"/>
  <c r="CB26" i="1290" l="1"/>
  <c r="CA25" i="1290"/>
  <c r="CB5" i="1290"/>
  <c r="CA4" i="1290"/>
  <c r="CB5" i="1289"/>
  <c r="CA4" i="1289"/>
  <c r="BZ26" i="1288"/>
  <c r="BY25" i="1288"/>
  <c r="CA5" i="1288"/>
  <c r="BZ4" i="1288"/>
  <c r="CB5" i="1287"/>
  <c r="CA4" i="1287"/>
  <c r="BX20" i="1244"/>
  <c r="BX11" i="1244"/>
  <c r="BX9" i="1244"/>
  <c r="BX8" i="1244"/>
  <c r="BX7" i="1244"/>
  <c r="BX6" i="1244"/>
  <c r="BX27" i="1244"/>
  <c r="BX26" i="1244"/>
  <c r="BX25" i="1244"/>
  <c r="BX24" i="1244"/>
  <c r="BX23" i="1244"/>
  <c r="BX22" i="1244"/>
  <c r="BX21" i="1244"/>
  <c r="BX10" i="1244"/>
  <c r="BY4" i="1244"/>
  <c r="BX3" i="1244"/>
  <c r="BX12" i="1244"/>
  <c r="BX18" i="1244"/>
  <c r="BX16" i="1244"/>
  <c r="BX13" i="1244"/>
  <c r="BX15" i="1244"/>
  <c r="BX19" i="1244"/>
  <c r="BX17" i="1244"/>
  <c r="BX14" i="1244"/>
  <c r="BZ4" i="1218"/>
  <c r="BY3" i="1218"/>
  <c r="CC26" i="1290" l="1"/>
  <c r="CB23" i="1290"/>
  <c r="CB25" i="1290"/>
  <c r="CC5" i="1290"/>
  <c r="CB2" i="1290"/>
  <c r="CB4" i="1290"/>
  <c r="CC5" i="1289"/>
  <c r="CB2" i="1289"/>
  <c r="CB4" i="1289"/>
  <c r="CA26" i="1288"/>
  <c r="BZ25" i="1288"/>
  <c r="CB5" i="1288"/>
  <c r="CA4" i="1288"/>
  <c r="CC5" i="1287"/>
  <c r="CB2" i="1287"/>
  <c r="CB4" i="1287"/>
  <c r="BY3" i="1244"/>
  <c r="BY2" i="1244"/>
  <c r="BY20" i="1244"/>
  <c r="BY6" i="1244"/>
  <c r="BY15" i="1244"/>
  <c r="BY14" i="1244"/>
  <c r="BY12" i="1244"/>
  <c r="BY17" i="1244"/>
  <c r="BY16" i="1244"/>
  <c r="BY13" i="1244"/>
  <c r="BY11" i="1244"/>
  <c r="BY19" i="1244"/>
  <c r="BY18" i="1244"/>
  <c r="BY10" i="1244"/>
  <c r="BY7" i="1244"/>
  <c r="BY9" i="1244"/>
  <c r="BY8" i="1244"/>
  <c r="BZ4" i="1244"/>
  <c r="BY27" i="1244"/>
  <c r="BY26" i="1244"/>
  <c r="BY25" i="1244"/>
  <c r="BY24" i="1244"/>
  <c r="BY23" i="1244"/>
  <c r="BY22" i="1244"/>
  <c r="BY21" i="1244"/>
  <c r="CA4" i="1218"/>
  <c r="BZ2" i="1218"/>
  <c r="BZ3" i="1218"/>
  <c r="CD26" i="1290" l="1"/>
  <c r="CC25" i="1290"/>
  <c r="CD5" i="1290"/>
  <c r="CC4" i="1290"/>
  <c r="CD5" i="1289"/>
  <c r="CC4" i="1289"/>
  <c r="CB26" i="1288"/>
  <c r="CA25" i="1288"/>
  <c r="CC5" i="1288"/>
  <c r="CB2" i="1288"/>
  <c r="CB4" i="1288"/>
  <c r="CD5" i="1287"/>
  <c r="CC4" i="1287"/>
  <c r="BZ16" i="1244"/>
  <c r="BZ12" i="1244"/>
  <c r="BZ27" i="1244"/>
  <c r="BZ26" i="1244"/>
  <c r="BZ25" i="1244"/>
  <c r="BZ24" i="1244"/>
  <c r="BZ23" i="1244"/>
  <c r="BZ22" i="1244"/>
  <c r="BZ21" i="1244"/>
  <c r="BZ3" i="1244"/>
  <c r="BZ9" i="1244"/>
  <c r="BZ7" i="1244"/>
  <c r="BZ19" i="1244"/>
  <c r="BZ18" i="1244"/>
  <c r="BZ15" i="1244"/>
  <c r="BZ14" i="1244"/>
  <c r="BZ20" i="1244"/>
  <c r="BZ17" i="1244"/>
  <c r="BZ13" i="1244"/>
  <c r="BZ10" i="1244"/>
  <c r="BZ8" i="1244"/>
  <c r="BZ6" i="1244"/>
  <c r="CA4" i="1244"/>
  <c r="BZ11" i="1244"/>
  <c r="CB4" i="1218"/>
  <c r="CA3" i="1218"/>
  <c r="CE26" i="1290" l="1"/>
  <c r="CD25" i="1290"/>
  <c r="CE5" i="1290"/>
  <c r="CD4" i="1290"/>
  <c r="CE5" i="1289"/>
  <c r="CD4" i="1289"/>
  <c r="CC26" i="1288"/>
  <c r="CB23" i="1288"/>
  <c r="CB25" i="1288"/>
  <c r="CD5" i="1288"/>
  <c r="CC4" i="1288"/>
  <c r="CE5" i="1287"/>
  <c r="CD4" i="1287"/>
  <c r="CA17" i="1244"/>
  <c r="CA10" i="1244"/>
  <c r="CB4" i="1244"/>
  <c r="CA27" i="1244"/>
  <c r="CA26" i="1244"/>
  <c r="CA25" i="1244"/>
  <c r="CA24" i="1244"/>
  <c r="CA23" i="1244"/>
  <c r="CA22" i="1244"/>
  <c r="CA21" i="1244"/>
  <c r="CA11" i="1244"/>
  <c r="CA9" i="1244"/>
  <c r="CA8" i="1244"/>
  <c r="CA7" i="1244"/>
  <c r="CA6" i="1244"/>
  <c r="CA3" i="1244"/>
  <c r="CA12" i="1244"/>
  <c r="CA13" i="1244"/>
  <c r="CA20" i="1244"/>
  <c r="CA19" i="1244"/>
  <c r="CA18" i="1244"/>
  <c r="CA15" i="1244"/>
  <c r="CA14" i="1244"/>
  <c r="CA16" i="1244"/>
  <c r="CC4" i="1218"/>
  <c r="CB3" i="1218"/>
  <c r="CF26" i="1290" l="1"/>
  <c r="CE25" i="1290"/>
  <c r="CF5" i="1290"/>
  <c r="CE4" i="1290"/>
  <c r="CF5" i="1289"/>
  <c r="CE4" i="1289"/>
  <c r="CD26" i="1288"/>
  <c r="CC25" i="1288"/>
  <c r="CE5" i="1288"/>
  <c r="CD4" i="1288"/>
  <c r="CF5" i="1287"/>
  <c r="CE4" i="1287"/>
  <c r="CB14" i="1244"/>
  <c r="CB27" i="1244"/>
  <c r="CB26" i="1244"/>
  <c r="CB25" i="1244"/>
  <c r="CB24" i="1244"/>
  <c r="CB23" i="1244"/>
  <c r="CB22" i="1244"/>
  <c r="CB21" i="1244"/>
  <c r="CB16" i="1244"/>
  <c r="CB3" i="1244"/>
  <c r="CB11" i="1244"/>
  <c r="CB17" i="1244"/>
  <c r="CB12" i="1244"/>
  <c r="CB20" i="1244"/>
  <c r="CB19" i="1244"/>
  <c r="CB18" i="1244"/>
  <c r="CB13" i="1244"/>
  <c r="CB7" i="1244"/>
  <c r="CB9" i="1244"/>
  <c r="CB15" i="1244"/>
  <c r="CB10" i="1244"/>
  <c r="CB8" i="1244"/>
  <c r="CB6" i="1244"/>
  <c r="CC4" i="1244"/>
  <c r="CD4" i="1218"/>
  <c r="CC3" i="1218"/>
  <c r="CG26" i="1290" l="1"/>
  <c r="CF25" i="1290"/>
  <c r="CG5" i="1290"/>
  <c r="CF4" i="1290"/>
  <c r="CG5" i="1289"/>
  <c r="CF4" i="1289"/>
  <c r="CE26" i="1288"/>
  <c r="CD25" i="1288"/>
  <c r="CF5" i="1288"/>
  <c r="CE4" i="1288"/>
  <c r="CG5" i="1287"/>
  <c r="CF4" i="1287"/>
  <c r="CC18" i="1244"/>
  <c r="CC27" i="1244"/>
  <c r="CC26" i="1244"/>
  <c r="CC25" i="1244"/>
  <c r="CC24" i="1244"/>
  <c r="CC23" i="1244"/>
  <c r="CC22" i="1244"/>
  <c r="CC21" i="1244"/>
  <c r="CC7" i="1244"/>
  <c r="CC3" i="1244"/>
  <c r="CC10" i="1244"/>
  <c r="CC19" i="1244"/>
  <c r="CC15" i="1244"/>
  <c r="CC14" i="1244"/>
  <c r="CC12" i="1244"/>
  <c r="CC16" i="1244"/>
  <c r="CC11" i="1244"/>
  <c r="CC17" i="1244"/>
  <c r="CC6" i="1244"/>
  <c r="CC20" i="1244"/>
  <c r="CC13" i="1244"/>
  <c r="CD4" i="1244"/>
  <c r="CC9" i="1244"/>
  <c r="CC8" i="1244"/>
  <c r="CE4" i="1218"/>
  <c r="CD3" i="1218"/>
  <c r="CH26" i="1290" l="1"/>
  <c r="CG23" i="1290"/>
  <c r="CG25" i="1290"/>
  <c r="CH5" i="1290"/>
  <c r="CG2" i="1290"/>
  <c r="CG4" i="1290"/>
  <c r="CH5" i="1289"/>
  <c r="CG2" i="1289"/>
  <c r="CG4" i="1289"/>
  <c r="CF26" i="1288"/>
  <c r="CE25" i="1288"/>
  <c r="CG5" i="1288"/>
  <c r="CF4" i="1288"/>
  <c r="CH5" i="1287"/>
  <c r="CG2" i="1287"/>
  <c r="CG4" i="1287"/>
  <c r="CD10" i="1244"/>
  <c r="CD7" i="1244"/>
  <c r="CE4" i="1244"/>
  <c r="CD27" i="1244"/>
  <c r="CD26" i="1244"/>
  <c r="CD25" i="1244"/>
  <c r="CD24" i="1244"/>
  <c r="CD23" i="1244"/>
  <c r="CD22" i="1244"/>
  <c r="CD21" i="1244"/>
  <c r="CD3" i="1244"/>
  <c r="CD2" i="1244"/>
  <c r="CD17" i="1244"/>
  <c r="CD13" i="1244"/>
  <c r="CD16" i="1244"/>
  <c r="CD20" i="1244"/>
  <c r="CD18" i="1244"/>
  <c r="CD11" i="1244"/>
  <c r="CD19" i="1244"/>
  <c r="CD12" i="1244"/>
  <c r="CD15" i="1244"/>
  <c r="CD8" i="1244"/>
  <c r="CD14" i="1244"/>
  <c r="CD9" i="1244"/>
  <c r="CD6" i="1244"/>
  <c r="CF4" i="1218"/>
  <c r="CE2" i="1218"/>
  <c r="CE3" i="1218"/>
  <c r="CI26" i="1290" l="1"/>
  <c r="CH25" i="1290"/>
  <c r="CI5" i="1290"/>
  <c r="CH4" i="1290"/>
  <c r="CI5" i="1289"/>
  <c r="CH4" i="1289"/>
  <c r="CG26" i="1288"/>
  <c r="CF25" i="1288"/>
  <c r="CH5" i="1288"/>
  <c r="CG2" i="1288"/>
  <c r="CG4" i="1288"/>
  <c r="CI5" i="1287"/>
  <c r="CH4" i="1287"/>
  <c r="CE20" i="1244"/>
  <c r="CE27" i="1244"/>
  <c r="CE26" i="1244"/>
  <c r="CE25" i="1244"/>
  <c r="CE24" i="1244"/>
  <c r="CE23" i="1244"/>
  <c r="CE22" i="1244"/>
  <c r="CE21" i="1244"/>
  <c r="CE9" i="1244"/>
  <c r="CE8" i="1244"/>
  <c r="CE6" i="1244"/>
  <c r="CE3" i="1244"/>
  <c r="CE10" i="1244"/>
  <c r="CE15" i="1244"/>
  <c r="CE14" i="1244"/>
  <c r="CE19" i="1244"/>
  <c r="CE18" i="1244"/>
  <c r="CE11" i="1244"/>
  <c r="CE17" i="1244"/>
  <c r="CE13" i="1244"/>
  <c r="CE16" i="1244"/>
  <c r="CE7" i="1244"/>
  <c r="CE12" i="1244"/>
  <c r="CF4" i="1244"/>
  <c r="CG4" i="1218"/>
  <c r="CF3" i="1218"/>
  <c r="CJ26" i="1290" l="1"/>
  <c r="CI25" i="1290"/>
  <c r="CJ5" i="1290"/>
  <c r="CI4" i="1290"/>
  <c r="CJ5" i="1289"/>
  <c r="CI4" i="1289"/>
  <c r="CH26" i="1288"/>
  <c r="CG23" i="1288"/>
  <c r="CG25" i="1288"/>
  <c r="CI5" i="1288"/>
  <c r="CH4" i="1288"/>
  <c r="CJ5" i="1287"/>
  <c r="CI4" i="1287"/>
  <c r="CF27" i="1244"/>
  <c r="CF26" i="1244"/>
  <c r="CF25" i="1244"/>
  <c r="CF24" i="1244"/>
  <c r="CF23" i="1244"/>
  <c r="CF22" i="1244"/>
  <c r="CF21" i="1244"/>
  <c r="CF11" i="1244"/>
  <c r="CF3" i="1244"/>
  <c r="CF9" i="1244"/>
  <c r="CF7" i="1244"/>
  <c r="CF6" i="1244"/>
  <c r="CF15" i="1244"/>
  <c r="CF14" i="1244"/>
  <c r="CF12" i="1244"/>
  <c r="CF17" i="1244"/>
  <c r="CF13" i="1244"/>
  <c r="CF18" i="1244"/>
  <c r="CF16" i="1244"/>
  <c r="CF10" i="1244"/>
  <c r="CF19" i="1244"/>
  <c r="CG4" i="1244"/>
  <c r="CF8" i="1244"/>
  <c r="CF20" i="1244"/>
  <c r="CH4" i="1218"/>
  <c r="CG3" i="1218"/>
  <c r="CK26" i="1290" l="1"/>
  <c r="CJ25" i="1290"/>
  <c r="CK5" i="1290"/>
  <c r="CJ4" i="1290"/>
  <c r="CK5" i="1289"/>
  <c r="CJ4" i="1289"/>
  <c r="CI26" i="1288"/>
  <c r="CH25" i="1288"/>
  <c r="CJ5" i="1288"/>
  <c r="CI4" i="1288"/>
  <c r="CK5" i="1287"/>
  <c r="CJ4" i="1287"/>
  <c r="CG19" i="1244"/>
  <c r="CG10" i="1244"/>
  <c r="CH4" i="1244"/>
  <c r="CG7" i="1244"/>
  <c r="CG6" i="1244"/>
  <c r="CG27" i="1244"/>
  <c r="CG26" i="1244"/>
  <c r="CG25" i="1244"/>
  <c r="CG24" i="1244"/>
  <c r="CG23" i="1244"/>
  <c r="CG22" i="1244"/>
  <c r="CG21" i="1244"/>
  <c r="CG3" i="1244"/>
  <c r="CG20" i="1244"/>
  <c r="CG17" i="1244"/>
  <c r="CG8" i="1244"/>
  <c r="CG18" i="1244"/>
  <c r="CG11" i="1244"/>
  <c r="CG16" i="1244"/>
  <c r="CG14" i="1244"/>
  <c r="CG15" i="1244"/>
  <c r="CG13" i="1244"/>
  <c r="CG12" i="1244"/>
  <c r="CG9" i="1244"/>
  <c r="CI4" i="1218"/>
  <c r="CH3" i="1218"/>
  <c r="CL26" i="1290" l="1"/>
  <c r="CK25" i="1290"/>
  <c r="CL5" i="1290"/>
  <c r="CK4" i="1290"/>
  <c r="CL5" i="1289"/>
  <c r="CK4" i="1289"/>
  <c r="CJ26" i="1288"/>
  <c r="CI25" i="1288"/>
  <c r="CK5" i="1288"/>
  <c r="CJ4" i="1288"/>
  <c r="CL5" i="1287"/>
  <c r="CK4" i="1287"/>
  <c r="CH20" i="1244"/>
  <c r="CH17" i="1244"/>
  <c r="CH15" i="1244"/>
  <c r="CH27" i="1244"/>
  <c r="CH26" i="1244"/>
  <c r="CH25" i="1244"/>
  <c r="CH24" i="1244"/>
  <c r="CH23" i="1244"/>
  <c r="CH22" i="1244"/>
  <c r="CH21" i="1244"/>
  <c r="CH19" i="1244"/>
  <c r="CH7" i="1244"/>
  <c r="CH3" i="1244"/>
  <c r="CH10" i="1244"/>
  <c r="CH16" i="1244"/>
  <c r="CH13" i="1244"/>
  <c r="CH18" i="1244"/>
  <c r="CH14" i="1244"/>
  <c r="CH12" i="1244"/>
  <c r="CH11" i="1244"/>
  <c r="CH8" i="1244"/>
  <c r="CH6" i="1244"/>
  <c r="CI4" i="1244"/>
  <c r="CH9" i="1244"/>
  <c r="CJ4" i="1218"/>
  <c r="CI3" i="1218"/>
  <c r="CM26" i="1290" l="1"/>
  <c r="CL23" i="1290"/>
  <c r="CL25" i="1290"/>
  <c r="CM5" i="1290"/>
  <c r="CL2" i="1290"/>
  <c r="CL4" i="1290"/>
  <c r="CM5" i="1289"/>
  <c r="CL2" i="1289"/>
  <c r="CL4" i="1289"/>
  <c r="CK26" i="1288"/>
  <c r="CJ25" i="1288"/>
  <c r="CL5" i="1288"/>
  <c r="CK4" i="1288"/>
  <c r="CM5" i="1287"/>
  <c r="CL2" i="1287"/>
  <c r="CL4" i="1287"/>
  <c r="CI11" i="1244"/>
  <c r="CI6" i="1244"/>
  <c r="CI13" i="1244"/>
  <c r="CI10" i="1244"/>
  <c r="CI8" i="1244"/>
  <c r="CI27" i="1244"/>
  <c r="CI26" i="1244"/>
  <c r="CI25" i="1244"/>
  <c r="CI24" i="1244"/>
  <c r="CI23" i="1244"/>
  <c r="CI22" i="1244"/>
  <c r="CI21" i="1244"/>
  <c r="CI9" i="1244"/>
  <c r="CJ4" i="1244"/>
  <c r="CI3" i="1244"/>
  <c r="CI2" i="1244"/>
  <c r="CI12" i="1244"/>
  <c r="CI19" i="1244"/>
  <c r="CI14" i="1244"/>
  <c r="CI15" i="1244"/>
  <c r="CI20" i="1244"/>
  <c r="CI17" i="1244"/>
  <c r="CI16" i="1244"/>
  <c r="CI18" i="1244"/>
  <c r="CI7" i="1244"/>
  <c r="CK4" i="1218"/>
  <c r="CJ2" i="1218"/>
  <c r="CJ3" i="1218"/>
  <c r="CN26" i="1290" l="1"/>
  <c r="CM25" i="1290"/>
  <c r="CN5" i="1290"/>
  <c r="CM4" i="1290"/>
  <c r="CN5" i="1289"/>
  <c r="CM4" i="1289"/>
  <c r="CL26" i="1288"/>
  <c r="CK25" i="1288"/>
  <c r="CM5" i="1288"/>
  <c r="CL2" i="1288"/>
  <c r="CL4" i="1288"/>
  <c r="CN5" i="1287"/>
  <c r="CM4" i="1287"/>
  <c r="CJ3" i="1244"/>
  <c r="CJ9" i="1244"/>
  <c r="CJ15" i="1244"/>
  <c r="CJ20" i="1244"/>
  <c r="CJ13" i="1244"/>
  <c r="CJ10" i="1244"/>
  <c r="CJ19" i="1244"/>
  <c r="CJ18" i="1244"/>
  <c r="CJ12" i="1244"/>
  <c r="CJ16" i="1244"/>
  <c r="CJ17" i="1244"/>
  <c r="CJ8" i="1244"/>
  <c r="CJ7" i="1244"/>
  <c r="CJ14" i="1244"/>
  <c r="CJ27" i="1244"/>
  <c r="CJ26" i="1244"/>
  <c r="CJ25" i="1244"/>
  <c r="CJ24" i="1244"/>
  <c r="CJ23" i="1244"/>
  <c r="CJ22" i="1244"/>
  <c r="CJ21" i="1244"/>
  <c r="CJ11" i="1244"/>
  <c r="CJ6" i="1244"/>
  <c r="CK4" i="1244"/>
  <c r="CL4" i="1218"/>
  <c r="CK3" i="1218"/>
  <c r="CO26" i="1290" l="1"/>
  <c r="CN25" i="1290"/>
  <c r="CO5" i="1290"/>
  <c r="CN4" i="1290"/>
  <c r="CO5" i="1289"/>
  <c r="CN4" i="1289"/>
  <c r="CM26" i="1288"/>
  <c r="CL23" i="1288"/>
  <c r="CL25" i="1288"/>
  <c r="CN5" i="1288"/>
  <c r="CM4" i="1288"/>
  <c r="CO5" i="1287"/>
  <c r="CN4" i="1287"/>
  <c r="CK3" i="1244"/>
  <c r="CK11" i="1244"/>
  <c r="CK8" i="1244"/>
  <c r="CK7" i="1244"/>
  <c r="CL4" i="1244"/>
  <c r="CK19" i="1244"/>
  <c r="CK13" i="1244"/>
  <c r="CK12" i="1244"/>
  <c r="CK20" i="1244"/>
  <c r="CK16" i="1244"/>
  <c r="CK10" i="1244"/>
  <c r="CK14" i="1244"/>
  <c r="CK18" i="1244"/>
  <c r="CK17" i="1244"/>
  <c r="CK15" i="1244"/>
  <c r="CK9" i="1244"/>
  <c r="CK6" i="1244"/>
  <c r="CK27" i="1244"/>
  <c r="CK26" i="1244"/>
  <c r="CK25" i="1244"/>
  <c r="CK24" i="1244"/>
  <c r="CK23" i="1244"/>
  <c r="CK22" i="1244"/>
  <c r="CK21" i="1244"/>
  <c r="CM4" i="1218"/>
  <c r="CL3" i="1218"/>
  <c r="CP26" i="1290" l="1"/>
  <c r="CO25" i="1290"/>
  <c r="CP5" i="1290"/>
  <c r="CO4" i="1290"/>
  <c r="CP5" i="1289"/>
  <c r="CO4" i="1289"/>
  <c r="CN26" i="1288"/>
  <c r="CM25" i="1288"/>
  <c r="CO5" i="1288"/>
  <c r="CN4" i="1288"/>
  <c r="CP5" i="1287"/>
  <c r="CO4" i="1287"/>
  <c r="CL20" i="1244"/>
  <c r="CL16" i="1244"/>
  <c r="CL15" i="1244"/>
  <c r="CL18" i="1244"/>
  <c r="CL12" i="1244"/>
  <c r="CL19" i="1244"/>
  <c r="CL11" i="1244"/>
  <c r="CL6" i="1244"/>
  <c r="CL7" i="1244"/>
  <c r="CL13" i="1244"/>
  <c r="CL9" i="1244"/>
  <c r="CL10" i="1244"/>
  <c r="CL8" i="1244"/>
  <c r="CL14" i="1244"/>
  <c r="CL27" i="1244"/>
  <c r="CL26" i="1244"/>
  <c r="CL25" i="1244"/>
  <c r="CL24" i="1244"/>
  <c r="CL23" i="1244"/>
  <c r="CL22" i="1244"/>
  <c r="CL21" i="1244"/>
  <c r="CL3" i="1244"/>
  <c r="CL17" i="1244"/>
  <c r="CM4" i="1244"/>
  <c r="CN4" i="1218"/>
  <c r="CM3" i="1218"/>
  <c r="CQ26" i="1290" l="1"/>
  <c r="CP25" i="1290"/>
  <c r="CQ5" i="1290"/>
  <c r="CP4" i="1290"/>
  <c r="CQ5" i="1289"/>
  <c r="CP4" i="1289"/>
  <c r="CO26" i="1288"/>
  <c r="CN25" i="1288"/>
  <c r="CP5" i="1288"/>
  <c r="CO4" i="1288"/>
  <c r="CQ5" i="1287"/>
  <c r="CP4" i="1287"/>
  <c r="CM14" i="1244"/>
  <c r="CM16" i="1244"/>
  <c r="CM11" i="1244"/>
  <c r="CM19" i="1244"/>
  <c r="CM17" i="1244"/>
  <c r="CM15" i="1244"/>
  <c r="CM13" i="1244"/>
  <c r="CM10" i="1244"/>
  <c r="CM9" i="1244"/>
  <c r="CM18" i="1244"/>
  <c r="CM8" i="1244"/>
  <c r="CM20" i="1244"/>
  <c r="CM7" i="1244"/>
  <c r="CM12" i="1244"/>
  <c r="CM27" i="1244"/>
  <c r="CM26" i="1244"/>
  <c r="CM25" i="1244"/>
  <c r="CM24" i="1244"/>
  <c r="CM23" i="1244"/>
  <c r="CM22" i="1244"/>
  <c r="CM21" i="1244"/>
  <c r="CM6" i="1244"/>
  <c r="CN4" i="1244"/>
  <c r="CM3" i="1244"/>
  <c r="CO4" i="1218"/>
  <c r="CN3" i="1218"/>
  <c r="CR26" i="1290" l="1"/>
  <c r="CQ23" i="1290"/>
  <c r="CQ25" i="1290"/>
  <c r="CR5" i="1290"/>
  <c r="CQ2" i="1290"/>
  <c r="CQ4" i="1290"/>
  <c r="CR5" i="1289"/>
  <c r="CQ2" i="1289"/>
  <c r="CQ4" i="1289"/>
  <c r="CP26" i="1288"/>
  <c r="CO25" i="1288"/>
  <c r="CQ5" i="1288"/>
  <c r="CP4" i="1288"/>
  <c r="CR5" i="1287"/>
  <c r="CQ2" i="1287"/>
  <c r="CQ4" i="1287"/>
  <c r="CN3" i="1244"/>
  <c r="CN2" i="1244"/>
  <c r="CN11" i="1244"/>
  <c r="CN9" i="1244"/>
  <c r="CN17" i="1244"/>
  <c r="CN16" i="1244"/>
  <c r="CN15" i="1244"/>
  <c r="CN20" i="1244"/>
  <c r="CN7" i="1244"/>
  <c r="CN14" i="1244"/>
  <c r="CN13" i="1244"/>
  <c r="CN12" i="1244"/>
  <c r="CN6" i="1244"/>
  <c r="CN19" i="1244"/>
  <c r="CN18" i="1244"/>
  <c r="CN27" i="1244"/>
  <c r="CN26" i="1244"/>
  <c r="CN25" i="1244"/>
  <c r="CN24" i="1244"/>
  <c r="CN23" i="1244"/>
  <c r="CN22" i="1244"/>
  <c r="CN21" i="1244"/>
  <c r="CN10" i="1244"/>
  <c r="CN8" i="1244"/>
  <c r="CO4" i="1244"/>
  <c r="CP4" i="1218"/>
  <c r="CO2" i="1218"/>
  <c r="CO3" i="1218"/>
  <c r="CS26" i="1290" l="1"/>
  <c r="CR25" i="1290"/>
  <c r="CS5" i="1290"/>
  <c r="CR4" i="1290"/>
  <c r="CS5" i="1289"/>
  <c r="CR4" i="1289"/>
  <c r="CQ26" i="1288"/>
  <c r="CP25" i="1288"/>
  <c r="CR5" i="1288"/>
  <c r="CQ2" i="1288"/>
  <c r="CQ4" i="1288"/>
  <c r="CS5" i="1287"/>
  <c r="CR4" i="1287"/>
  <c r="CO3" i="1244"/>
  <c r="CO17" i="1244"/>
  <c r="CO10" i="1244"/>
  <c r="CO8" i="1244"/>
  <c r="CO14" i="1244"/>
  <c r="CO12" i="1244"/>
  <c r="CO19" i="1244"/>
  <c r="CO18" i="1244"/>
  <c r="CO20" i="1244"/>
  <c r="CP4" i="1244"/>
  <c r="CO16" i="1244"/>
  <c r="CO7" i="1244"/>
  <c r="CO6" i="1244"/>
  <c r="CO11" i="1244"/>
  <c r="CO9" i="1244"/>
  <c r="CO13" i="1244"/>
  <c r="CO27" i="1244"/>
  <c r="CO26" i="1244"/>
  <c r="CO25" i="1244"/>
  <c r="CO24" i="1244"/>
  <c r="CO23" i="1244"/>
  <c r="CO22" i="1244"/>
  <c r="CO21" i="1244"/>
  <c r="CO15" i="1244"/>
  <c r="CQ4" i="1218"/>
  <c r="CP3" i="1218"/>
  <c r="CT26" i="1290" l="1"/>
  <c r="CS25" i="1290"/>
  <c r="CT5" i="1290"/>
  <c r="CS4" i="1290"/>
  <c r="CT5" i="1289"/>
  <c r="CS4" i="1289"/>
  <c r="CR26" i="1288"/>
  <c r="CQ23" i="1288"/>
  <c r="CQ25" i="1288"/>
  <c r="CS5" i="1288"/>
  <c r="CR4" i="1288"/>
  <c r="CT5" i="1287"/>
  <c r="CS4" i="1287"/>
  <c r="CP8" i="1244"/>
  <c r="CQ4" i="1244"/>
  <c r="CP9" i="1244"/>
  <c r="CP17" i="1244"/>
  <c r="CP10" i="1244"/>
  <c r="CP16" i="1244"/>
  <c r="CP27" i="1244"/>
  <c r="CP26" i="1244"/>
  <c r="CP25" i="1244"/>
  <c r="CP24" i="1244"/>
  <c r="CP23" i="1244"/>
  <c r="CP22" i="1244"/>
  <c r="CP21" i="1244"/>
  <c r="CP18" i="1244"/>
  <c r="CP7" i="1244"/>
  <c r="CP6" i="1244"/>
  <c r="CP3" i="1244"/>
  <c r="CP13" i="1244"/>
  <c r="CP19" i="1244"/>
  <c r="CP15" i="1244"/>
  <c r="CP20" i="1244"/>
  <c r="CP11" i="1244"/>
  <c r="CP12" i="1244"/>
  <c r="CP14" i="1244"/>
  <c r="CR4" i="1218"/>
  <c r="CQ3" i="1218"/>
  <c r="CU26" i="1290" l="1"/>
  <c r="CT25" i="1290"/>
  <c r="CU5" i="1290"/>
  <c r="CT4" i="1290"/>
  <c r="CU5" i="1289"/>
  <c r="CT4" i="1289"/>
  <c r="CS26" i="1288"/>
  <c r="CR25" i="1288"/>
  <c r="CT5" i="1288"/>
  <c r="CS4" i="1288"/>
  <c r="CU5" i="1287"/>
  <c r="CT4" i="1287"/>
  <c r="CQ18" i="1244"/>
  <c r="CQ13" i="1244"/>
  <c r="CQ7" i="1244"/>
  <c r="CQ20" i="1244"/>
  <c r="CQ27" i="1244"/>
  <c r="CQ26" i="1244"/>
  <c r="CQ25" i="1244"/>
  <c r="CQ24" i="1244"/>
  <c r="CQ23" i="1244"/>
  <c r="CQ22" i="1244"/>
  <c r="CQ21" i="1244"/>
  <c r="CQ12" i="1244"/>
  <c r="CQ11" i="1244"/>
  <c r="CQ9" i="1244"/>
  <c r="CQ8" i="1244"/>
  <c r="CR4" i="1244"/>
  <c r="CQ3" i="1244"/>
  <c r="CQ19" i="1244"/>
  <c r="CQ15" i="1244"/>
  <c r="CQ14" i="1244"/>
  <c r="CQ10" i="1244"/>
  <c r="CQ6" i="1244"/>
  <c r="CQ17" i="1244"/>
  <c r="CQ16" i="1244"/>
  <c r="CS4" i="1218"/>
  <c r="CR3" i="1218"/>
  <c r="CV26" i="1290" l="1"/>
  <c r="CU25" i="1290"/>
  <c r="CV5" i="1290"/>
  <c r="CU4" i="1290"/>
  <c r="CV5" i="1289"/>
  <c r="CU4" i="1289"/>
  <c r="CT26" i="1288"/>
  <c r="CS25" i="1288"/>
  <c r="CU5" i="1288"/>
  <c r="CT4" i="1288"/>
  <c r="CV5" i="1287"/>
  <c r="CU4" i="1287"/>
  <c r="CR3" i="1244"/>
  <c r="CR10" i="1244"/>
  <c r="CR16" i="1244"/>
  <c r="CR15" i="1244"/>
  <c r="CR17" i="1244"/>
  <c r="CR19" i="1244"/>
  <c r="CR12" i="1244"/>
  <c r="CR6" i="1244"/>
  <c r="CR18" i="1244"/>
  <c r="CR13" i="1244"/>
  <c r="CR11" i="1244"/>
  <c r="CR9" i="1244"/>
  <c r="CR8" i="1244"/>
  <c r="CR14" i="1244"/>
  <c r="CR7" i="1244"/>
  <c r="CS4" i="1244"/>
  <c r="CR27" i="1244"/>
  <c r="CR26" i="1244"/>
  <c r="CR25" i="1244"/>
  <c r="CR24" i="1244"/>
  <c r="CR23" i="1244"/>
  <c r="CR22" i="1244"/>
  <c r="CR21" i="1244"/>
  <c r="CR20" i="1244"/>
  <c r="CT4" i="1218"/>
  <c r="CS3" i="1218"/>
  <c r="CW26" i="1290" l="1"/>
  <c r="CV23" i="1290"/>
  <c r="CV25" i="1290"/>
  <c r="CW5" i="1290"/>
  <c r="CV2" i="1290"/>
  <c r="CV4" i="1290"/>
  <c r="CW5" i="1289"/>
  <c r="CV2" i="1289"/>
  <c r="CV4" i="1289"/>
  <c r="CU26" i="1288"/>
  <c r="CT25" i="1288"/>
  <c r="CV5" i="1288"/>
  <c r="CU4" i="1288"/>
  <c r="CW5" i="1287"/>
  <c r="CV2" i="1287"/>
  <c r="CV4" i="1287"/>
  <c r="CS27" i="1244"/>
  <c r="CS26" i="1244"/>
  <c r="CS25" i="1244"/>
  <c r="CS24" i="1244"/>
  <c r="CS23" i="1244"/>
  <c r="CS22" i="1244"/>
  <c r="CS21" i="1244"/>
  <c r="CS12" i="1244"/>
  <c r="CS11" i="1244"/>
  <c r="CS7" i="1244"/>
  <c r="CS6" i="1244"/>
  <c r="CS3" i="1244"/>
  <c r="CS2" i="1244"/>
  <c r="CS9" i="1244"/>
  <c r="CS16" i="1244"/>
  <c r="CS15" i="1244"/>
  <c r="CS13" i="1244"/>
  <c r="CS10" i="1244"/>
  <c r="CS20" i="1244"/>
  <c r="CS19" i="1244"/>
  <c r="CS18" i="1244"/>
  <c r="CS8" i="1244"/>
  <c r="CS17" i="1244"/>
  <c r="CT4" i="1244"/>
  <c r="CS14" i="1244"/>
  <c r="CU4" i="1218"/>
  <c r="CT2" i="1218"/>
  <c r="CT3" i="1218"/>
  <c r="CX26" i="1290" l="1"/>
  <c r="CW25" i="1290"/>
  <c r="CX5" i="1290"/>
  <c r="CW4" i="1290"/>
  <c r="CX5" i="1289"/>
  <c r="CW4" i="1289"/>
  <c r="CV26" i="1288"/>
  <c r="CU25" i="1288"/>
  <c r="CW5" i="1288"/>
  <c r="CV2" i="1288"/>
  <c r="CV4" i="1288"/>
  <c r="CX5" i="1287"/>
  <c r="CW4" i="1287"/>
  <c r="CT20" i="1244"/>
  <c r="CT11" i="1244"/>
  <c r="CT6" i="1244"/>
  <c r="CU4" i="1244"/>
  <c r="CT9" i="1244"/>
  <c r="CT27" i="1244"/>
  <c r="CT26" i="1244"/>
  <c r="CT25" i="1244"/>
  <c r="CT24" i="1244"/>
  <c r="CT23" i="1244"/>
  <c r="CT22" i="1244"/>
  <c r="CT21" i="1244"/>
  <c r="CT17" i="1244"/>
  <c r="CT15" i="1244"/>
  <c r="CT3" i="1244"/>
  <c r="CT12" i="1244"/>
  <c r="CT13" i="1244"/>
  <c r="CT18" i="1244"/>
  <c r="CT14" i="1244"/>
  <c r="CT19" i="1244"/>
  <c r="CT16" i="1244"/>
  <c r="CT10" i="1244"/>
  <c r="CT7" i="1244"/>
  <c r="CT8" i="1244"/>
  <c r="CV4" i="1218"/>
  <c r="CU3" i="1218"/>
  <c r="CY26" i="1290" l="1"/>
  <c r="CX25" i="1290"/>
  <c r="CY5" i="1290"/>
  <c r="CX4" i="1290"/>
  <c r="CY5" i="1289"/>
  <c r="CX4" i="1289"/>
  <c r="CW26" i="1288"/>
  <c r="CV23" i="1288"/>
  <c r="CV25" i="1288"/>
  <c r="CX5" i="1288"/>
  <c r="CW4" i="1288"/>
  <c r="CY5" i="1287"/>
  <c r="CX4" i="1287"/>
  <c r="CU20" i="1244"/>
  <c r="CU6" i="1244"/>
  <c r="CV4" i="1244"/>
  <c r="CU16" i="1244"/>
  <c r="CU27" i="1244"/>
  <c r="CU26" i="1244"/>
  <c r="CU25" i="1244"/>
  <c r="CU24" i="1244"/>
  <c r="CU23" i="1244"/>
  <c r="CU22" i="1244"/>
  <c r="CU21" i="1244"/>
  <c r="CU8" i="1244"/>
  <c r="CU3" i="1244"/>
  <c r="CU15" i="1244"/>
  <c r="CU10" i="1244"/>
  <c r="CU18" i="1244"/>
  <c r="CU17" i="1244"/>
  <c r="CU14" i="1244"/>
  <c r="CU12" i="1244"/>
  <c r="CU19" i="1244"/>
  <c r="CU13" i="1244"/>
  <c r="CU11" i="1244"/>
  <c r="CU7" i="1244"/>
  <c r="CU9" i="1244"/>
  <c r="CW4" i="1218"/>
  <c r="CV3" i="1218"/>
  <c r="CZ26" i="1290" l="1"/>
  <c r="CY25" i="1290"/>
  <c r="CZ5" i="1290"/>
  <c r="CY4" i="1290"/>
  <c r="CZ5" i="1289"/>
  <c r="CY4" i="1289"/>
  <c r="CX26" i="1288"/>
  <c r="CW25" i="1288"/>
  <c r="CY5" i="1288"/>
  <c r="CX4" i="1288"/>
  <c r="CZ5" i="1287"/>
  <c r="CY4" i="1287"/>
  <c r="CV27" i="1244"/>
  <c r="CV26" i="1244"/>
  <c r="CV25" i="1244"/>
  <c r="CV24" i="1244"/>
  <c r="CV23" i="1244"/>
  <c r="CV22" i="1244"/>
  <c r="CV21" i="1244"/>
  <c r="CV13" i="1244"/>
  <c r="CV9" i="1244"/>
  <c r="CV3" i="1244"/>
  <c r="CV17" i="1244"/>
  <c r="CV7" i="1244"/>
  <c r="CV14" i="1244"/>
  <c r="CV12" i="1244"/>
  <c r="CV10" i="1244"/>
  <c r="CV19" i="1244"/>
  <c r="CV15" i="1244"/>
  <c r="CV11" i="1244"/>
  <c r="CV20" i="1244"/>
  <c r="CV6" i="1244"/>
  <c r="CV18" i="1244"/>
  <c r="CV16" i="1244"/>
  <c r="CV8" i="1244"/>
  <c r="CW4" i="1244"/>
  <c r="CX4" i="1218"/>
  <c r="CW3" i="1218"/>
  <c r="DA26" i="1290" l="1"/>
  <c r="CZ25" i="1290"/>
  <c r="DA5" i="1290"/>
  <c r="CZ4" i="1290"/>
  <c r="DA5" i="1289"/>
  <c r="CZ4" i="1289"/>
  <c r="CY26" i="1288"/>
  <c r="CX25" i="1288"/>
  <c r="CZ5" i="1288"/>
  <c r="CY4" i="1288"/>
  <c r="DA5" i="1287"/>
  <c r="CZ4" i="1287"/>
  <c r="CW14" i="1244"/>
  <c r="CW13" i="1244"/>
  <c r="CW12" i="1244"/>
  <c r="CW27" i="1244"/>
  <c r="CW26" i="1244"/>
  <c r="CW25" i="1244"/>
  <c r="CW24" i="1244"/>
  <c r="CW23" i="1244"/>
  <c r="CW22" i="1244"/>
  <c r="CW21" i="1244"/>
  <c r="CW7" i="1244"/>
  <c r="CW3" i="1244"/>
  <c r="CW16" i="1244"/>
  <c r="CW6" i="1244"/>
  <c r="CW20" i="1244"/>
  <c r="CW19" i="1244"/>
  <c r="CW15" i="1244"/>
  <c r="CW10" i="1244"/>
  <c r="CW18" i="1244"/>
  <c r="CW11" i="1244"/>
  <c r="CW17" i="1244"/>
  <c r="CW8" i="1244"/>
  <c r="CX4" i="1244"/>
  <c r="CW9" i="1244"/>
  <c r="CY4" i="1218"/>
  <c r="CX3" i="1218"/>
  <c r="DB26" i="1290" l="1"/>
  <c r="DA23" i="1290"/>
  <c r="DA25" i="1290"/>
  <c r="DB5" i="1290"/>
  <c r="DA2" i="1290"/>
  <c r="DA4" i="1290"/>
  <c r="DB5" i="1289"/>
  <c r="DA2" i="1289"/>
  <c r="DA4" i="1289"/>
  <c r="CZ26" i="1288"/>
  <c r="CY25" i="1288"/>
  <c r="DA5" i="1288"/>
  <c r="CZ4" i="1288"/>
  <c r="DB5" i="1287"/>
  <c r="DA2" i="1287"/>
  <c r="DA4" i="1287"/>
  <c r="CX20" i="1244"/>
  <c r="CX7" i="1244"/>
  <c r="CX19" i="1244"/>
  <c r="CX27" i="1244"/>
  <c r="CX26" i="1244"/>
  <c r="CX25" i="1244"/>
  <c r="CX24" i="1244"/>
  <c r="CX23" i="1244"/>
  <c r="CX22" i="1244"/>
  <c r="CX21" i="1244"/>
  <c r="CX8" i="1244"/>
  <c r="CX3" i="1244"/>
  <c r="CX2" i="1244"/>
  <c r="CX15" i="1244"/>
  <c r="CX13" i="1244"/>
  <c r="CX10" i="1244"/>
  <c r="CX18" i="1244"/>
  <c r="CX17" i="1244"/>
  <c r="CX16" i="1244"/>
  <c r="CX12" i="1244"/>
  <c r="CX6" i="1244"/>
  <c r="CX14" i="1244"/>
  <c r="CX9" i="1244"/>
  <c r="CX11" i="1244"/>
  <c r="CY4" i="1244"/>
  <c r="CZ4" i="1218"/>
  <c r="CY2" i="1218"/>
  <c r="CY3" i="1218"/>
  <c r="DC26" i="1290" l="1"/>
  <c r="DB25" i="1290"/>
  <c r="DC5" i="1290"/>
  <c r="DB4" i="1290"/>
  <c r="DC5" i="1289"/>
  <c r="DB4" i="1289"/>
  <c r="DA26" i="1288"/>
  <c r="CZ25" i="1288"/>
  <c r="DB5" i="1288"/>
  <c r="DA2" i="1288"/>
  <c r="DA4" i="1288"/>
  <c r="DC5" i="1287"/>
  <c r="DB4" i="1287"/>
  <c r="CY18" i="1244"/>
  <c r="CY15" i="1244"/>
  <c r="CY11" i="1244"/>
  <c r="CZ4" i="1244"/>
  <c r="CY12" i="1244"/>
  <c r="CY27" i="1244"/>
  <c r="CY26" i="1244"/>
  <c r="CY25" i="1244"/>
  <c r="CY24" i="1244"/>
  <c r="CY23" i="1244"/>
  <c r="CY22" i="1244"/>
  <c r="CY21" i="1244"/>
  <c r="CY20" i="1244"/>
  <c r="CY16" i="1244"/>
  <c r="CY3" i="1244"/>
  <c r="CY9" i="1244"/>
  <c r="CY10" i="1244"/>
  <c r="CY8" i="1244"/>
  <c r="CY19" i="1244"/>
  <c r="CY17" i="1244"/>
  <c r="CY7" i="1244"/>
  <c r="CY6" i="1244"/>
  <c r="CY14" i="1244"/>
  <c r="CY13" i="1244"/>
  <c r="DA4" i="1218"/>
  <c r="CZ3" i="1218"/>
  <c r="DD26" i="1290" l="1"/>
  <c r="DC25" i="1290"/>
  <c r="DD5" i="1290"/>
  <c r="DC4" i="1290"/>
  <c r="DD5" i="1289"/>
  <c r="DC4" i="1289"/>
  <c r="DB26" i="1288"/>
  <c r="DA23" i="1288"/>
  <c r="DA25" i="1288"/>
  <c r="DC5" i="1288"/>
  <c r="DB4" i="1288"/>
  <c r="DD5" i="1287"/>
  <c r="DC4" i="1287"/>
  <c r="CZ18" i="1244"/>
  <c r="CZ17" i="1244"/>
  <c r="CZ27" i="1244"/>
  <c r="CZ26" i="1244"/>
  <c r="CZ25" i="1244"/>
  <c r="CZ24" i="1244"/>
  <c r="CZ23" i="1244"/>
  <c r="CZ22" i="1244"/>
  <c r="CZ21" i="1244"/>
  <c r="CZ20" i="1244"/>
  <c r="CZ9" i="1244"/>
  <c r="CZ6" i="1244"/>
  <c r="CZ3" i="1244"/>
  <c r="CZ11" i="1244"/>
  <c r="CZ14" i="1244"/>
  <c r="CZ10" i="1244"/>
  <c r="CZ13" i="1244"/>
  <c r="CZ7" i="1244"/>
  <c r="CZ15" i="1244"/>
  <c r="CZ12" i="1244"/>
  <c r="CZ19" i="1244"/>
  <c r="CZ8" i="1244"/>
  <c r="CZ16" i="1244"/>
  <c r="DA4" i="1244"/>
  <c r="DB4" i="1218"/>
  <c r="DA3" i="1218"/>
  <c r="DE26" i="1290" l="1"/>
  <c r="DE25" i="1290" s="1"/>
  <c r="DD25" i="1290"/>
  <c r="DE5" i="1290"/>
  <c r="DE4" i="1290" s="1"/>
  <c r="DD4" i="1290"/>
  <c r="DE5" i="1289"/>
  <c r="DE4" i="1289" s="1"/>
  <c r="DD4" i="1289"/>
  <c r="DC26" i="1288"/>
  <c r="DB25" i="1288"/>
  <c r="DD5" i="1288"/>
  <c r="DC4" i="1288"/>
  <c r="DE5" i="1287"/>
  <c r="DE4" i="1287" s="1"/>
  <c r="DD4" i="1287"/>
  <c r="DA27" i="1244"/>
  <c r="DA26" i="1244"/>
  <c r="DA25" i="1244"/>
  <c r="DA24" i="1244"/>
  <c r="DA23" i="1244"/>
  <c r="DA22" i="1244"/>
  <c r="DA21" i="1244"/>
  <c r="DA20" i="1244"/>
  <c r="DA3" i="1244"/>
  <c r="DA8" i="1244"/>
  <c r="DB4" i="1244"/>
  <c r="DA19" i="1244"/>
  <c r="DA15" i="1244"/>
  <c r="DA12" i="1244"/>
  <c r="DA16" i="1244"/>
  <c r="DA18" i="1244"/>
  <c r="DA14" i="1244"/>
  <c r="DA10" i="1244"/>
  <c r="DA17" i="1244"/>
  <c r="DA7" i="1244"/>
  <c r="DA11" i="1244"/>
  <c r="DA13" i="1244"/>
  <c r="DA9" i="1244"/>
  <c r="DA6" i="1244"/>
  <c r="DC4" i="1218"/>
  <c r="DC3" i="1218" s="1"/>
  <c r="DB3" i="1218"/>
  <c r="DD26" i="1288" l="1"/>
  <c r="DC25" i="1288"/>
  <c r="DE5" i="1288"/>
  <c r="DE4" i="1288" s="1"/>
  <c r="DD4" i="1288"/>
  <c r="DB14" i="1244"/>
  <c r="DB10" i="1244"/>
  <c r="DB19" i="1244"/>
  <c r="DB18" i="1244"/>
  <c r="DB17" i="1244"/>
  <c r="DB16" i="1244"/>
  <c r="DB9" i="1244"/>
  <c r="DB6" i="1244"/>
  <c r="DB7" i="1244"/>
  <c r="DB8" i="1244"/>
  <c r="DB12" i="1244"/>
  <c r="DB27" i="1244"/>
  <c r="DB26" i="1244"/>
  <c r="DB25" i="1244"/>
  <c r="DB24" i="1244"/>
  <c r="DB23" i="1244"/>
  <c r="DB22" i="1244"/>
  <c r="DB21" i="1244"/>
  <c r="DB20" i="1244"/>
  <c r="DB15" i="1244"/>
  <c r="DB11" i="1244"/>
  <c r="DB3" i="1244"/>
  <c r="DB13" i="1244"/>
  <c r="DE26" i="1288" l="1"/>
  <c r="DE25" i="1288" s="1"/>
  <c r="DD25" i="1288"/>
  <c r="C25" i="1150"/>
  <c r="C16" i="1150"/>
  <c r="C7" i="1150"/>
  <c r="E5" i="1150" l="1"/>
  <c r="E3" i="1150" s="1"/>
  <c r="F5" i="1150" l="1"/>
  <c r="G5" i="1150" s="1"/>
  <c r="H5" i="1150" s="1"/>
  <c r="I5" i="1150" s="1"/>
  <c r="J5" i="1150" s="1"/>
  <c r="J3" i="1150" l="1"/>
  <c r="K5" i="1150"/>
  <c r="L5" i="1150" s="1"/>
  <c r="M5" i="1150" s="1"/>
  <c r="N5" i="1150" s="1"/>
  <c r="O5" i="1150" s="1"/>
  <c r="P11" i="1150" a="1"/>
  <c r="CO21" i="1150" a="1"/>
  <c r="AC16" i="1150" a="1"/>
  <c r="BQ26" i="1150" a="1"/>
  <c r="BF26" i="1150" a="1"/>
  <c r="K23" i="1150" a="1"/>
  <c r="AS23" i="1150" a="1"/>
  <c r="AL11" i="1150" a="1"/>
  <c r="CJ14" i="1150" a="1"/>
  <c r="CO19" i="1150" a="1"/>
  <c r="N29" i="1150" a="1"/>
  <c r="U22" i="1150" a="1"/>
  <c r="BP14" i="1150" a="1"/>
  <c r="BW17" i="1150" a="1"/>
  <c r="V16" i="1150" a="1"/>
  <c r="AU28" i="1150" a="1"/>
  <c r="Z17" i="1150" a="1"/>
  <c r="BI25" i="1150" a="1"/>
  <c r="BQ11" i="1150" a="1"/>
  <c r="BB11" i="1150" a="1"/>
  <c r="BB17" i="1150" a="1"/>
  <c r="BR20" i="1150" a="1"/>
  <c r="R7" i="1150" a="1"/>
  <c r="BM10" i="1150" a="1"/>
  <c r="CB26" i="1150" a="1"/>
  <c r="BK13" i="1150" a="1"/>
  <c r="CA28" i="1150" a="1"/>
  <c r="BI28" i="1150" a="1"/>
  <c r="BA16" i="1150" a="1"/>
  <c r="AB12" i="1150" a="1"/>
  <c r="CB8" i="1150" a="1"/>
  <c r="BA12" i="1150" a="1"/>
  <c r="CI10" i="1150" a="1"/>
  <c r="AR16" i="1150" a="1"/>
  <c r="P26" i="1150" a="1"/>
  <c r="BK17" i="1150" a="1"/>
  <c r="AX29" i="1150" a="1"/>
  <c r="AD23" i="1150" a="1"/>
  <c r="CG19" i="1150" a="1"/>
  <c r="AP25" i="1150" a="1"/>
  <c r="CO16" i="1150" a="1"/>
  <c r="CB23" i="1150" a="1"/>
  <c r="AE28" i="1150" a="1"/>
  <c r="AJ11" i="1150" a="1"/>
  <c r="W14" i="1150" a="1"/>
  <c r="AS29" i="1150" a="1"/>
  <c r="BR18" i="1150" a="1"/>
  <c r="CG18" i="1150" a="1"/>
  <c r="BB30" i="1150" a="1"/>
  <c r="AF10" i="1150" a="1"/>
  <c r="AI19" i="1150" a="1"/>
  <c r="BM17" i="1150" a="1"/>
  <c r="CM25" i="1150" a="1"/>
  <c r="CK10" i="1150" a="1"/>
  <c r="AI8" i="1150" a="1"/>
  <c r="BU14" i="1150" a="1"/>
  <c r="BS17" i="1150" a="1"/>
  <c r="BL11" i="1150" a="1"/>
  <c r="W17" i="1150" a="1"/>
  <c r="AW19" i="1150" a="1"/>
  <c r="J25" i="1150" a="1"/>
  <c r="AQ28" i="1150" a="1"/>
  <c r="BH16" i="1150" a="1"/>
  <c r="AS30" i="1150" a="1"/>
  <c r="E30" i="1150" a="1"/>
  <c r="CF7" i="1150" a="1"/>
  <c r="CB25" i="1150" a="1"/>
  <c r="CN10" i="1150" a="1"/>
  <c r="BX22" i="1150" a="1"/>
  <c r="U20" i="1150" a="1"/>
  <c r="BK11" i="1150" a="1"/>
  <c r="AX20" i="1150" a="1"/>
  <c r="BJ28" i="1150" a="1"/>
  <c r="J9" i="1150" a="1"/>
  <c r="AA17" i="1150" a="1"/>
  <c r="F8" i="1150" a="1"/>
  <c r="BE16" i="1150" a="1"/>
  <c r="AJ32" i="1150" a="1"/>
  <c r="BV26" i="1150" a="1"/>
  <c r="BW16" i="1150" a="1"/>
  <c r="CB22" i="1150" a="1"/>
  <c r="X25" i="1150" a="1"/>
  <c r="BT10" i="1150" a="1"/>
  <c r="AJ29" i="1150" a="1"/>
  <c r="CA19" i="1150" a="1"/>
  <c r="BX10" i="1150" a="1"/>
  <c r="AM8" i="1150" a="1"/>
  <c r="CI16" i="1150" a="1"/>
  <c r="L25" i="1150" a="1"/>
  <c r="BX7" i="1150" a="1"/>
  <c r="CJ7" i="1150" a="1"/>
  <c r="CG12" i="1150" a="1"/>
  <c r="BR11" i="1150" a="1"/>
  <c r="CG27" i="1150" a="1"/>
  <c r="AR20" i="1150" a="1"/>
  <c r="AL13" i="1150" a="1"/>
  <c r="BA11" i="1150" a="1"/>
  <c r="BW20" i="1150" a="1"/>
  <c r="X22" i="1150" a="1"/>
  <c r="BH23" i="1150" a="1"/>
  <c r="CG30" i="1150" a="1"/>
  <c r="AG20" i="1150" a="1"/>
  <c r="BR13" i="1150" a="1"/>
  <c r="CE23" i="1150" a="1"/>
  <c r="BB29" i="1150" a="1"/>
  <c r="BL13" i="1150" a="1"/>
  <c r="X7" i="1150" a="1"/>
  <c r="AC20" i="1150" a="1"/>
  <c r="AT22" i="1150" a="1"/>
  <c r="AQ12" i="1150" a="1"/>
  <c r="H21" i="1150" a="1"/>
  <c r="W12" i="1150" a="1"/>
  <c r="AB22" i="1150" a="1"/>
  <c r="W25" i="1150" a="1"/>
  <c r="AK26" i="1150" a="1"/>
  <c r="CH26" i="1150" a="1"/>
  <c r="AS10" i="1150" a="1"/>
  <c r="U30" i="1150" a="1"/>
  <c r="AW21" i="1150" a="1"/>
  <c r="AS21" i="1150" a="1"/>
  <c r="Y31" i="1150" a="1"/>
  <c r="T14" i="1150" a="1"/>
  <c r="CC32" i="1150" a="1"/>
  <c r="R13" i="1150" a="1"/>
  <c r="BK28" i="1150" a="1"/>
  <c r="AB14" i="1150" a="1"/>
  <c r="CE28" i="1150" a="1"/>
  <c r="AD16" i="1150" a="1"/>
  <c r="BU25" i="1150" a="1"/>
  <c r="CJ13" i="1150" a="1"/>
  <c r="CF13" i="1150" a="1"/>
  <c r="BL12" i="1150" a="1"/>
  <c r="CM11" i="1150" a="1"/>
  <c r="AS8" i="1150" a="1"/>
  <c r="BM13" i="1150" a="1"/>
  <c r="M13" i="1150" a="1"/>
  <c r="N25" i="1150" a="1"/>
  <c r="BV30" i="1150" a="1"/>
  <c r="AR30" i="1150" a="1"/>
  <c r="AT20" i="1150" a="1"/>
  <c r="AR10" i="1150" a="1"/>
  <c r="P14" i="1150" a="1"/>
  <c r="CM14" i="1150" a="1"/>
  <c r="O32" i="1150" a="1"/>
  <c r="BM32" i="1150" a="1"/>
  <c r="Z31" i="1150" a="1"/>
  <c r="CL21" i="1150" a="1"/>
  <c r="P17" i="1150" a="1"/>
  <c r="AT13" i="1150" a="1"/>
  <c r="AT25" i="1150" a="1"/>
  <c r="AQ10" i="1150" a="1"/>
  <c r="AM32" i="1150" a="1"/>
  <c r="AT19" i="1150" a="1"/>
  <c r="BJ16" i="1150" a="1"/>
  <c r="BH20" i="1150" a="1"/>
  <c r="AY8" i="1150" a="1"/>
  <c r="AV19" i="1150" a="1"/>
  <c r="Q25" i="1150" a="1"/>
  <c r="CJ22" i="1150" a="1"/>
  <c r="AO11" i="1150" a="1"/>
  <c r="AH16" i="1150" a="1"/>
  <c r="AW16" i="1150" a="1"/>
  <c r="AK28" i="1150" a="1"/>
  <c r="CL13" i="1150" a="1"/>
  <c r="CI19" i="1150" a="1"/>
  <c r="CB7" i="1150" a="1"/>
  <c r="BQ10" i="1150" a="1"/>
  <c r="AL14" i="1150" a="1"/>
  <c r="BW32" i="1150" a="1"/>
  <c r="AO17" i="1150" a="1"/>
  <c r="AW26" i="1150" a="1"/>
  <c r="BR21" i="1150" a="1"/>
  <c r="BT7" i="1150" a="1"/>
  <c r="T27" i="1150" a="1"/>
  <c r="AU17" i="1150" a="1"/>
  <c r="AO23" i="1150" a="1"/>
  <c r="BM16" i="1150" a="1"/>
  <c r="CJ16" i="1150" a="1"/>
  <c r="BH13" i="1150" a="1"/>
  <c r="Z14" i="1150" a="1"/>
  <c r="AB20" i="1150" a="1"/>
  <c r="AI27" i="1150" a="1"/>
  <c r="T17" i="1150" a="1"/>
  <c r="BS13" i="1150" a="1"/>
  <c r="BA8" i="1150" a="1"/>
  <c r="CA26" i="1150" a="1"/>
  <c r="AS27" i="1150" a="1"/>
  <c r="BC10" i="1150" a="1"/>
  <c r="CH17" i="1150" a="1"/>
  <c r="AH8" i="1150" a="1"/>
  <c r="BR29" i="1150" a="1"/>
  <c r="AJ25" i="1150" a="1"/>
  <c r="Z32" i="1150" a="1"/>
  <c r="AQ22" i="1150" a="1"/>
  <c r="P16" i="1150" a="1"/>
  <c r="BF17" i="1150" a="1"/>
  <c r="AE8" i="1150" a="1"/>
  <c r="V7" i="1150" a="1"/>
  <c r="BF11" i="1150" a="1"/>
  <c r="BX14" i="1150" a="1"/>
  <c r="CF26" i="1150" a="1"/>
  <c r="BJ26" i="1150" a="1"/>
  <c r="O16" i="1150" a="1"/>
  <c r="BD12" i="1150" a="1"/>
  <c r="BX11" i="1150" a="1"/>
  <c r="BD29" i="1150" a="1"/>
  <c r="CL23" i="1150" a="1"/>
  <c r="CN8" i="1150" a="1"/>
  <c r="N17" i="1150" a="1"/>
  <c r="J10" i="1150" a="1"/>
  <c r="BQ21" i="1150" a="1"/>
  <c r="P25" i="1150" a="1"/>
  <c r="T18" i="1150" a="1"/>
  <c r="AH23" i="1150" a="1"/>
  <c r="BY10" i="1150" a="1"/>
  <c r="O27" i="1150" a="1"/>
  <c r="AE26" i="1150" a="1"/>
  <c r="N11" i="1150" a="1"/>
  <c r="AB26" i="1150" a="1"/>
  <c r="I16" i="1150" a="1"/>
  <c r="CE17" i="1150" a="1"/>
  <c r="AH14" i="1150" a="1"/>
  <c r="AK16" i="1150" a="1"/>
  <c r="AX7" i="1150" a="1"/>
  <c r="AX21" i="1150" a="1"/>
  <c r="CK21" i="1150" a="1"/>
  <c r="BJ17" i="1150" a="1"/>
  <c r="F14" i="1150" a="1"/>
  <c r="BH26" i="1150" a="1"/>
  <c r="BN12" i="1150" a="1"/>
  <c r="AR29" i="1150" a="1"/>
  <c r="BK23" i="1150" a="1"/>
  <c r="CH28" i="1150" a="1"/>
  <c r="BS25" i="1150" a="1"/>
  <c r="AY12" i="1150" a="1"/>
  <c r="BW14" i="1150" a="1"/>
  <c r="CB16" i="1150" a="1"/>
  <c r="BG7" i="1150" a="1"/>
  <c r="CH29" i="1150" a="1"/>
  <c r="BP12" i="1150" a="1"/>
  <c r="AX12" i="1150" a="1"/>
  <c r="BC27" i="1150" a="1"/>
  <c r="H14" i="1150" a="1"/>
  <c r="AT16" i="1150" a="1"/>
  <c r="F16" i="1150" a="1"/>
  <c r="AD17" i="1150" a="1"/>
  <c r="CE11" i="1150" a="1"/>
  <c r="F23" i="1150" a="1"/>
  <c r="AW13" i="1150" a="1"/>
  <c r="BW10" i="1150" a="1"/>
  <c r="AQ26" i="1150" a="1"/>
  <c r="CO7" i="1150" a="1"/>
  <c r="Y19" i="1150" a="1"/>
  <c r="AW17" i="1150" a="1"/>
  <c r="BH29" i="1150" a="1"/>
  <c r="CA13" i="1150" a="1"/>
  <c r="BS31" i="1150" a="1"/>
  <c r="J7" i="1150" a="1"/>
  <c r="BB20" i="1150" a="1"/>
  <c r="CP11" i="1150" a="1"/>
  <c r="AB7" i="1150" a="1"/>
  <c r="CM28" i="1150" a="1"/>
  <c r="M16" i="1150" a="1"/>
  <c r="AS32" i="1150" a="1"/>
  <c r="AL21" i="1150" a="1"/>
  <c r="AJ19" i="1150" a="1"/>
  <c r="S32" i="1150" a="1"/>
  <c r="AP16" i="1150" a="1"/>
  <c r="AC19" i="1150" a="1"/>
  <c r="AX11" i="1150" a="1"/>
  <c r="P22" i="1150" a="1"/>
  <c r="AQ20" i="1150" a="1"/>
  <c r="BK12" i="1150" a="1"/>
  <c r="AD19" i="1150" a="1"/>
  <c r="AL12" i="1150" a="1"/>
  <c r="BZ25" i="1150" a="1"/>
  <c r="BN26" i="1150" a="1"/>
  <c r="I26" i="1150" a="1"/>
  <c r="BX30" i="1150" a="1"/>
  <c r="CC11" i="1150" a="1"/>
  <c r="BQ23" i="1150" a="1"/>
  <c r="BB8" i="1150" a="1"/>
  <c r="AZ28" i="1150" a="1"/>
  <c r="BA7" i="1150" a="1"/>
  <c r="P31" i="1150" a="1"/>
  <c r="Y11" i="1150" a="1"/>
  <c r="P32" i="1150" a="1"/>
  <c r="AT17" i="1150" a="1"/>
  <c r="CP17" i="1150" a="1"/>
  <c r="AU16" i="1150" a="1"/>
  <c r="L28" i="1150" a="1"/>
  <c r="K12" i="1150" a="1"/>
  <c r="R16" i="1150" a="1"/>
  <c r="BS19" i="1150" a="1"/>
  <c r="CE21" i="1150" a="1"/>
  <c r="BL28" i="1150" a="1"/>
  <c r="AJ21" i="1150" a="1"/>
  <c r="BF13" i="1150" a="1"/>
  <c r="AC12" i="1150" a="1"/>
  <c r="CD10" i="1150" a="1"/>
  <c r="BH11" i="1150" a="1"/>
  <c r="BU17" i="1150" a="1"/>
  <c r="BI12" i="1150" a="1"/>
  <c r="BF29" i="1150" a="1"/>
  <c r="R19" i="1150" a="1"/>
  <c r="H13" i="1150" a="1"/>
  <c r="AH10" i="1150" a="1"/>
  <c r="BM23" i="1150" a="1"/>
  <c r="N16" i="1150" a="1"/>
  <c r="O23" i="1150" a="1"/>
  <c r="AY10" i="1150" a="1"/>
  <c r="AQ7" i="1150" a="1"/>
  <c r="CF17" i="1150" a="1"/>
  <c r="BZ10" i="1150" a="1"/>
  <c r="CJ11" i="1150" a="1"/>
  <c r="Z8" i="1150" a="1"/>
  <c r="N26" i="1150" a="1"/>
  <c r="BX16" i="1150" a="1"/>
  <c r="BP20" i="1150" a="1"/>
  <c r="BI7" i="1150" a="1"/>
  <c r="M10" i="1150" a="1"/>
  <c r="AX13" i="1150" a="1"/>
  <c r="S7" i="1150" a="1"/>
  <c r="AO14" i="1150" a="1"/>
  <c r="BC26" i="1150" a="1"/>
  <c r="W31" i="1150" a="1"/>
  <c r="AJ17" i="1150" a="1"/>
  <c r="AA28" i="1150" a="1"/>
  <c r="AN7" i="1150" a="1"/>
  <c r="BI11" i="1150" a="1"/>
  <c r="AL7" i="1150" a="1"/>
  <c r="AI28" i="1150" a="1"/>
  <c r="AH12" i="1150" a="1"/>
  <c r="I29" i="1150" a="1"/>
  <c r="BU20" i="1150" a="1"/>
  <c r="BM27" i="1150" a="1"/>
  <c r="J27" i="1150" a="1"/>
  <c r="CL22" i="1150" a="1"/>
  <c r="AJ28" i="1150" a="1"/>
  <c r="BL29" i="1150" a="1"/>
  <c r="AD9" i="1150" a="1"/>
  <c r="BD10" i="1150" a="1"/>
  <c r="K26" i="1150" a="1"/>
  <c r="AK17" i="1150" a="1"/>
  <c r="BC29" i="1150" a="1"/>
  <c r="BF22" i="1150" a="1"/>
  <c r="AL28" i="1150" a="1"/>
  <c r="BC13" i="1150" a="1"/>
  <c r="BZ26" i="1150" a="1"/>
  <c r="CA23" i="1150" a="1"/>
  <c r="BO26" i="1150" a="1"/>
  <c r="AA26" i="1150" a="1"/>
  <c r="AU7" i="1150" a="1"/>
  <c r="AQ25" i="1150" a="1"/>
  <c r="AD12" i="1150" a="1"/>
  <c r="BU22" i="1150" a="1"/>
  <c r="BM11" i="1150" a="1"/>
  <c r="CC30" i="1150" a="1"/>
  <c r="BG29" i="1150" a="1"/>
  <c r="E14" i="1150" a="1"/>
  <c r="M23" i="1150" a="1"/>
  <c r="CF11" i="1150" a="1"/>
  <c r="BD17" i="1150" a="1"/>
  <c r="T23" i="1150" a="1"/>
  <c r="CE19" i="1150" a="1"/>
  <c r="AR21" i="1150" a="1"/>
  <c r="X21" i="1150" a="1"/>
  <c r="BP16" i="1150" a="1"/>
  <c r="AQ16" i="1150" a="1"/>
  <c r="BM25" i="1150" a="1"/>
  <c r="Y13" i="1150" a="1"/>
  <c r="AG31" i="1150" a="1"/>
  <c r="BK32" i="1150" a="1"/>
  <c r="CL14" i="1150" a="1"/>
  <c r="BA20" i="1150" a="1"/>
  <c r="AB30" i="1150" a="1"/>
  <c r="BG19" i="1150" a="1"/>
  <c r="AI23" i="1150" a="1"/>
  <c r="BH17" i="1150" a="1"/>
  <c r="AO25" i="1150" a="1"/>
  <c r="BH21" i="1150" a="1"/>
  <c r="CO30" i="1150" a="1"/>
  <c r="BD13" i="1150" a="1"/>
  <c r="BF20" i="1150" a="1"/>
  <c r="CL31" i="1150" a="1"/>
  <c r="Y27" i="1150" a="1"/>
  <c r="K10" i="1150" a="1"/>
  <c r="AK19" i="1150" a="1"/>
  <c r="BZ11" i="1150" a="1"/>
  <c r="BV32" i="1150" a="1"/>
  <c r="AS26" i="1150" a="1"/>
  <c r="I20" i="1150" a="1"/>
  <c r="BR14" i="1150" a="1"/>
  <c r="BQ8" i="1150" a="1"/>
  <c r="CH19" i="1150" a="1"/>
  <c r="CK32" i="1150" a="1"/>
  <c r="BG11" i="1150" a="1"/>
  <c r="BP29" i="1150" a="1"/>
  <c r="CE31" i="1150" a="1"/>
  <c r="AK10" i="1150" a="1"/>
  <c r="BI26" i="1150" a="1"/>
  <c r="CO20" i="1150" a="1"/>
  <c r="BZ14" i="1150" a="1"/>
  <c r="G26" i="1150" a="1"/>
  <c r="BS32" i="1150" a="1"/>
  <c r="AS17" i="1150" a="1"/>
  <c r="K29" i="1150" a="1"/>
  <c r="H20" i="1150" a="1"/>
  <c r="Y7" i="1150" a="1"/>
  <c r="E27" i="1150" a="1"/>
  <c r="CL25" i="1150" a="1"/>
  <c r="AP17" i="1150" a="1"/>
  <c r="AZ8" i="1150" a="1"/>
  <c r="AY20" i="1150" a="1"/>
  <c r="BC19" i="1150" a="1"/>
  <c r="BF19" i="1150" a="1"/>
  <c r="K16" i="1150" a="1"/>
  <c r="BX8" i="1150" a="1"/>
  <c r="CL12" i="1150" a="1"/>
  <c r="N22" i="1150" a="1"/>
  <c r="AM28" i="1150" a="1"/>
  <c r="AE21" i="1150" a="1"/>
  <c r="AB23" i="1150" a="1"/>
  <c r="BR23" i="1150" a="1"/>
  <c r="AN18" i="1150" a="1"/>
  <c r="BD16" i="1150" a="1"/>
  <c r="AU19" i="1150" a="1"/>
  <c r="CK16" i="1150" a="1"/>
  <c r="BG25" i="1150" a="1"/>
  <c r="BN21" i="1150" a="1"/>
  <c r="BA13" i="1150" a="1"/>
  <c r="BV21" i="1150" a="1"/>
  <c r="AH21" i="1150" a="1"/>
  <c r="U25" i="1150" a="1"/>
  <c r="CA7" i="1150" a="1"/>
  <c r="Z13" i="1150" a="1"/>
  <c r="AG25" i="1150" a="1"/>
  <c r="AA19" i="1150" a="1"/>
  <c r="BU29" i="1150" a="1"/>
  <c r="I12" i="1150" a="1"/>
  <c r="CH10" i="1150" a="1"/>
  <c r="I31" i="1150" a="1"/>
  <c r="AQ11" i="1150" a="1"/>
  <c r="AI12" i="1150" a="1"/>
  <c r="BB19" i="1150" a="1"/>
  <c r="BF23" i="1150" a="1"/>
  <c r="Z26" i="1150" a="1"/>
  <c r="BK16" i="1150" a="1"/>
  <c r="BG31" i="1150" a="1"/>
  <c r="AB21" i="1150" a="1"/>
  <c r="BI29" i="1150" a="1"/>
  <c r="AF7" i="1150" a="1"/>
  <c r="AD7" i="1150" a="1"/>
  <c r="CI26" i="1150" a="1"/>
  <c r="K11" i="1150" a="1"/>
  <c r="BP28" i="1150" a="1"/>
  <c r="BQ30" i="1150" a="1"/>
  <c r="J28" i="1150" a="1"/>
  <c r="CP8" i="1150" a="1"/>
  <c r="V10" i="1150" a="1"/>
  <c r="CF20" i="1150" a="1"/>
  <c r="BR22" i="1150" a="1"/>
  <c r="AI9" i="1150" a="1"/>
  <c r="BG16" i="1150" a="1"/>
  <c r="AG12" i="1150" a="1"/>
  <c r="CO25" i="1150" a="1"/>
  <c r="CD8" i="1150" a="1"/>
  <c r="CE13" i="1150" a="1"/>
  <c r="W16" i="1150" a="1"/>
  <c r="AE25" i="1150" a="1"/>
  <c r="BE8" i="1150" a="1"/>
  <c r="CB29" i="1150" a="1"/>
  <c r="AY22" i="1150" a="1"/>
  <c r="BL32" i="1150" a="1"/>
  <c r="N12" i="1150" a="1"/>
  <c r="CK26" i="1150" a="1"/>
  <c r="CA25" i="1150" a="1"/>
  <c r="Y17" i="1150" a="1"/>
  <c r="W8" i="1150" a="1"/>
  <c r="AN23" i="1150" a="1"/>
  <c r="AV7" i="1150" a="1"/>
  <c r="CN19" i="1150" a="1"/>
  <c r="AH17" i="1150" a="1"/>
  <c r="O12" i="1150" a="1"/>
  <c r="BN13" i="1150" a="1"/>
  <c r="Y14" i="1150" a="1"/>
  <c r="R32" i="1150" a="1"/>
  <c r="K21" i="1150" a="1"/>
  <c r="BN16" i="1150" a="1"/>
  <c r="AM12" i="1150" a="1"/>
  <c r="BZ7" i="1150" a="1"/>
  <c r="T8" i="1150" a="1"/>
  <c r="CB19" i="1150" a="1"/>
  <c r="CB9" i="1150" a="1"/>
  <c r="E18" i="1150" a="1"/>
  <c r="CH7" i="1150" a="1"/>
  <c r="CG25" i="1150" a="1"/>
  <c r="O20" i="1150" a="1"/>
  <c r="BI10" i="1150" a="1"/>
  <c r="M30" i="1150" a="1"/>
  <c r="H23" i="1150" a="1"/>
  <c r="AO12" i="1150" a="1"/>
  <c r="BP25" i="1150" a="1"/>
  <c r="Z19" i="1150" a="1"/>
  <c r="U11" i="1150" a="1"/>
  <c r="CD7" i="1150" a="1"/>
  <c r="AJ26" i="1150" a="1"/>
  <c r="T31" i="1150" a="1"/>
  <c r="AI14" i="1150" a="1"/>
  <c r="AM10" i="1150" a="1"/>
  <c r="BH28" i="1150" a="1"/>
  <c r="BG10" i="1150" a="1"/>
  <c r="BV23" i="1150" a="1"/>
  <c r="CG20" i="1150" a="1"/>
  <c r="Z29" i="1150" a="1"/>
  <c r="R20" i="1150" a="1"/>
  <c r="L26" i="1150" a="1"/>
  <c r="AB29" i="1150" a="1"/>
  <c r="M7" i="1150" a="1"/>
  <c r="BQ16" i="1150" a="1"/>
  <c r="BN20" i="1150" a="1"/>
  <c r="CM26" i="1150" a="1"/>
  <c r="BR7" i="1150" a="1"/>
  <c r="AV22" i="1150" a="1"/>
  <c r="AP7" i="1150" a="1"/>
  <c r="AO26" i="1150" a="1"/>
  <c r="BQ13" i="1150" a="1"/>
  <c r="BN23" i="1150" a="1"/>
  <c r="F13" i="1150" a="1"/>
  <c r="V8" i="1150" a="1"/>
  <c r="R21" i="1150" a="1"/>
  <c r="AG30" i="1150" a="1"/>
  <c r="BX25" i="1150" a="1"/>
  <c r="J19" i="1150" a="1"/>
  <c r="AE22" i="1150" a="1"/>
  <c r="Z12" i="1150" a="1"/>
  <c r="CK8" i="1150" a="1"/>
  <c r="Y29" i="1150" a="1"/>
  <c r="W23" i="1150" a="1"/>
  <c r="AE19" i="1150" a="1"/>
  <c r="CC10" i="1150" a="1"/>
  <c r="AS16" i="1150" a="1"/>
  <c r="BF31" i="1150" a="1"/>
  <c r="AN11" i="1150" a="1"/>
  <c r="AG29" i="1150" a="1"/>
  <c r="AV28" i="1150" a="1"/>
  <c r="AI18" i="1150" a="1"/>
  <c r="AC10" i="1150" a="1"/>
  <c r="AC32" i="1150" a="1"/>
  <c r="BO8" i="1150" a="1"/>
  <c r="Z22" i="1150" a="1"/>
  <c r="AY23" i="1150" a="1"/>
  <c r="CK17" i="1150" a="1"/>
  <c r="W32" i="1150" a="1"/>
  <c r="BM28" i="1150" a="1"/>
  <c r="CM21" i="1150" a="1"/>
  <c r="BU12" i="1150" a="1"/>
  <c r="Q17" i="1150" a="1"/>
  <c r="AC31" i="1150" a="1"/>
  <c r="AM30" i="1150" a="1"/>
  <c r="AW7" i="1150" a="1"/>
  <c r="CA20" i="1150" a="1"/>
  <c r="BF12" i="1150" a="1"/>
  <c r="CP19" i="1150" a="1"/>
  <c r="CE22" i="1150" a="1"/>
  <c r="AE17" i="1150" a="1"/>
  <c r="CP29" i="1150" a="1"/>
  <c r="G25" i="1150" a="1"/>
  <c r="CC17" i="1150" a="1"/>
  <c r="CO26" i="1150" a="1"/>
  <c r="BV16" i="1150" a="1"/>
  <c r="O29" i="1150" a="1"/>
  <c r="BP23" i="1150" a="1"/>
  <c r="BA23" i="1150" a="1"/>
  <c r="AB8" i="1150" a="1"/>
  <c r="W10" i="1150" a="1"/>
  <c r="BU13" i="1150" a="1"/>
  <c r="CJ31" i="1150" a="1"/>
  <c r="CB10" i="1150" a="1"/>
  <c r="CH25" i="1150" a="1"/>
  <c r="Z30" i="1150" a="1"/>
  <c r="O10" i="1150" a="1"/>
  <c r="CL30" i="1150" a="1"/>
  <c r="P20" i="1150" a="1"/>
  <c r="N28" i="1150" a="1"/>
  <c r="AV12" i="1150" a="1"/>
  <c r="AX22" i="1150" a="1"/>
  <c r="CG28" i="1150" a="1"/>
  <c r="BY16" i="1150" a="1"/>
  <c r="K32" i="1150" a="1"/>
  <c r="CJ10" i="1150" a="1"/>
  <c r="BZ31" i="1150" a="1"/>
  <c r="AF25" i="1150" a="1"/>
  <c r="BV14" i="1150" a="1"/>
  <c r="Z21" i="1150" a="1"/>
  <c r="Q26" i="1150" a="1"/>
  <c r="CM23" i="1150" a="1"/>
  <c r="AI7" i="1150" a="1"/>
  <c r="AL20" i="1150" a="1"/>
  <c r="BS26" i="1150" a="1"/>
  <c r="X13" i="1150" a="1"/>
  <c r="CK11" i="1150" a="1"/>
  <c r="U10" i="1150" a="1"/>
  <c r="BR10" i="1150" a="1"/>
  <c r="BR31" i="1150" a="1"/>
  <c r="BD32" i="1150" a="1"/>
  <c r="CO32" i="1150" a="1"/>
  <c r="CH14" i="1150" a="1"/>
  <c r="AC28" i="1150" a="1"/>
  <c r="P29" i="1150" a="1"/>
  <c r="AW29" i="1150" a="1"/>
  <c r="BU16" i="1150" a="1"/>
  <c r="AO21" i="1150" a="1"/>
  <c r="BH12" i="1150" a="1"/>
  <c r="CP31" i="1150" a="1"/>
  <c r="F25" i="1150" a="1"/>
  <c r="CF31" i="1150" a="1"/>
  <c r="CM31" i="1150" a="1"/>
  <c r="CP30" i="1150" a="1"/>
  <c r="J26" i="1150" a="1"/>
  <c r="S28" i="1150" a="1"/>
  <c r="S17" i="1150" a="1"/>
  <c r="CB17" i="1150" a="1"/>
  <c r="AX16" i="1150" a="1"/>
  <c r="Z11" i="1150" a="1"/>
  <c r="AJ30" i="1150" a="1"/>
  <c r="P13" i="1150" a="1"/>
  <c r="BD19" i="1150" a="1"/>
  <c r="AJ13" i="1150" a="1"/>
  <c r="CM20" i="1150" a="1"/>
  <c r="AQ23" i="1150" a="1"/>
  <c r="BZ32" i="1150" a="1"/>
  <c r="AX9" i="1150" a="1"/>
  <c r="CL10" i="1150" a="1"/>
  <c r="AD30" i="1150" a="1"/>
  <c r="CF12" i="1150" a="1"/>
  <c r="BV29" i="1150" a="1"/>
  <c r="BH31" i="1150" a="1"/>
  <c r="AN19" i="1150" a="1"/>
  <c r="E20" i="1150" a="1"/>
  <c r="CJ32" i="1150" a="1"/>
  <c r="BY17" i="1150" a="1"/>
  <c r="AP28" i="1150" a="1"/>
  <c r="O9" i="1150" a="1"/>
  <c r="BA14" i="1150" a="1"/>
  <c r="AT32" i="1150" a="1"/>
  <c r="AI25" i="1150" a="1"/>
  <c r="AO32" i="1150" a="1"/>
  <c r="BC11" i="1150" a="1"/>
  <c r="BS20" i="1150" a="1"/>
  <c r="CP20" i="1150" a="1"/>
  <c r="AR7" i="1150" a="1"/>
  <c r="BQ31" i="1150" a="1"/>
  <c r="BS10" i="1150" a="1"/>
  <c r="V25" i="1150" a="1"/>
  <c r="S14" i="1150" a="1"/>
  <c r="AM29" i="1150" a="1"/>
  <c r="AQ21" i="1150" a="1"/>
  <c r="AD18" i="1150" a="1"/>
  <c r="AZ25" i="1150" a="1"/>
  <c r="L19" i="1150" a="1"/>
  <c r="CN16" i="1150" a="1"/>
  <c r="X10" i="1150" a="1"/>
  <c r="BO16" i="1150" a="1"/>
  <c r="BC17" i="1150" a="1"/>
  <c r="BD28" i="1150" a="1"/>
  <c r="N30" i="1150" a="1"/>
  <c r="E19" i="1150" a="1"/>
  <c r="N13" i="1150" a="1"/>
  <c r="AT10" i="1150" a="1"/>
  <c r="AH25" i="1150" a="1"/>
  <c r="CO13" i="1150" a="1"/>
  <c r="BG28" i="1150" a="1"/>
  <c r="E22" i="1150" a="1"/>
  <c r="AY14" i="1150" a="1"/>
  <c r="BR25" i="1150" a="1"/>
  <c r="BD23" i="1150" a="1"/>
  <c r="AZ10" i="1150" a="1"/>
  <c r="BW7" i="1150" a="1"/>
  <c r="BP32" i="1150" a="1"/>
  <c r="BU26" i="1150" a="1"/>
  <c r="BJ7" i="1150" a="1"/>
  <c r="BN17" i="1150" a="1"/>
  <c r="W20" i="1150" a="1"/>
  <c r="CE16" i="1150" a="1"/>
  <c r="P28" i="1150" a="1"/>
  <c r="CC7" i="1150" a="1"/>
  <c r="H22" i="1150" a="1"/>
  <c r="R12" i="1150" a="1"/>
  <c r="BE10" i="1150" a="1"/>
  <c r="AR26" i="1150" a="1"/>
  <c r="Y16" i="1150" a="1"/>
  <c r="Y26" i="1150" a="1"/>
  <c r="S23" i="1150" a="1"/>
  <c r="AM25" i="1150" a="1"/>
  <c r="N14" i="1150" a="1"/>
  <c r="CH30" i="1150" a="1"/>
  <c r="BE17" i="1150" a="1"/>
  <c r="CK12" i="1150" a="1"/>
  <c r="CE29" i="1150" a="1"/>
  <c r="J17" i="1150" a="1"/>
  <c r="AK8" i="1150" a="1"/>
  <c r="G17" i="1150" a="1"/>
  <c r="AN10" i="1150" a="1"/>
  <c r="F20" i="1150" a="1"/>
  <c r="AN14" i="1150" a="1"/>
  <c r="AM19" i="1150" a="1"/>
  <c r="BG17" i="1150" a="1"/>
  <c r="BS21" i="1150" a="1"/>
  <c r="AM13" i="1150" a="1"/>
  <c r="AX25" i="1150" a="1"/>
  <c r="AG11" i="1150" a="1"/>
  <c r="BL7" i="1150" a="1"/>
  <c r="AW8" i="1150" a="1"/>
  <c r="AZ7" i="1150" a="1"/>
  <c r="BA29" i="1150" a="1"/>
  <c r="BT8" i="1150" a="1"/>
  <c r="AN29" i="1150" a="1"/>
  <c r="AZ19" i="1150" a="1"/>
  <c r="BB16" i="1150" a="1"/>
  <c r="CM22" i="1150" a="1"/>
  <c r="BO19" i="1150" a="1"/>
  <c r="CE10" i="1150" a="1"/>
  <c r="AP8" i="1150" a="1"/>
  <c r="X28" i="1150" a="1"/>
  <c r="BP30" i="1150" a="1"/>
  <c r="X12" i="1150" a="1"/>
  <c r="AW23" i="1150" a="1"/>
  <c r="BS30" i="1150" a="1"/>
  <c r="BZ23" i="1150" a="1"/>
  <c r="E10" i="1150" a="1"/>
  <c r="AF8" i="1150" a="1"/>
  <c r="J16" i="1150" a="1"/>
  <c r="BK14" i="1150" a="1"/>
  <c r="U31" i="1150" a="1"/>
  <c r="R17" i="1150" a="1"/>
  <c r="AD20" i="1150" a="1"/>
  <c r="E31" i="1150" a="1"/>
  <c r="BS16" i="1150" a="1"/>
  <c r="H12" i="1150" a="1"/>
  <c r="CL20" i="1150" a="1"/>
  <c r="S22" i="1150" a="1"/>
  <c r="Z20" i="1150" a="1"/>
  <c r="BQ28" i="1150" a="1"/>
  <c r="BC18" i="1150" a="1"/>
  <c r="AO19" i="1150" a="1"/>
  <c r="CG17" i="1150" a="1"/>
  <c r="AS13" i="1150" a="1"/>
  <c r="S20" i="1150" a="1"/>
  <c r="AW20" i="1150" a="1"/>
  <c r="AE23" i="1150" a="1"/>
  <c r="CG13" i="1150" a="1"/>
  <c r="AM11" i="1150" a="1"/>
  <c r="AN8" i="1150" a="1"/>
  <c r="AA7" i="1150" a="1"/>
  <c r="U8" i="1150" a="1"/>
  <c r="S25" i="1150" a="1"/>
  <c r="AW28" i="1150" a="1"/>
  <c r="AS28" i="1150" a="1"/>
  <c r="CE20" i="1150" a="1"/>
  <c r="BO28" i="1150" a="1"/>
  <c r="P12" i="1150" a="1"/>
  <c r="S31" i="1150" a="1"/>
  <c r="CJ21" i="1150" a="1"/>
  <c r="AL32" i="1150" a="1"/>
  <c r="CM30" i="1150" a="1"/>
  <c r="M11" i="1150" a="1"/>
  <c r="AG7" i="1150" a="1"/>
  <c r="AY26" i="1150" a="1"/>
  <c r="CF30" i="1150" a="1"/>
  <c r="BZ21" i="1150" a="1"/>
  <c r="AT29" i="1150" a="1"/>
  <c r="BZ22" i="1150" a="1"/>
  <c r="AX14" i="1150" a="1"/>
  <c r="BH27" i="1150" a="1"/>
  <c r="CF25" i="1150" a="1"/>
  <c r="Z23" i="1150" a="1"/>
  <c r="CK14" i="1150" a="1"/>
  <c r="BD31" i="1150" a="1"/>
  <c r="BT16" i="1150" a="1"/>
  <c r="Q10" i="1150" a="1"/>
  <c r="AN30" i="1150" a="1"/>
  <c r="AI21" i="1150" a="1"/>
  <c r="BP10" i="1150" a="1"/>
  <c r="Z25" i="1150" a="1"/>
  <c r="CB20" i="1150" a="1"/>
  <c r="CE32" i="1150" a="1"/>
  <c r="CB14" i="1150" a="1"/>
  <c r="BW18" i="1150" a="1"/>
  <c r="AV26" i="1150" a="1"/>
  <c r="F22" i="1150" a="1"/>
  <c r="BI22" i="1150" a="1"/>
  <c r="BB7" i="1150" a="1"/>
  <c r="BL10" i="1150" a="1"/>
  <c r="AS22" i="1150" a="1"/>
  <c r="BS11" i="1150" a="1"/>
  <c r="BK19" i="1150" a="1"/>
  <c r="AW22" i="1150" a="1"/>
  <c r="T30" i="1150" a="1"/>
  <c r="E16" i="1150" a="1"/>
  <c r="X32" i="1150" a="1"/>
  <c r="BY7" i="1150" a="1"/>
  <c r="CO14" i="1150" a="1"/>
  <c r="BP7" i="1150" a="1"/>
  <c r="CG10" i="1150" a="1"/>
  <c r="AD8" i="1150" a="1"/>
  <c r="BP19" i="1150" a="1"/>
  <c r="BB32" i="1150" a="1"/>
  <c r="CD25" i="1150" a="1"/>
  <c r="AY28" i="1150" a="1"/>
  <c r="AT14" i="1150" a="1"/>
  <c r="W11" i="1150" a="1"/>
  <c r="BQ17" i="1150" a="1"/>
  <c r="AQ14" i="1150" a="1"/>
  <c r="AG14" i="1150" a="1"/>
  <c r="CF29" i="1150" a="1"/>
  <c r="BR28" i="1150" a="1"/>
  <c r="CF16" i="1150" a="1"/>
  <c r="BO7" i="1150" a="1"/>
  <c r="H8" i="1150" a="1"/>
  <c r="H31" i="1150" a="1"/>
  <c r="T7" i="1150" a="1"/>
  <c r="AR28" i="1150" a="1"/>
  <c r="BL23" i="1150" a="1"/>
  <c r="N21" i="1150" a="1"/>
  <c r="AT11" i="1150" a="1"/>
  <c r="I21" i="1150" a="1"/>
  <c r="U16" i="1150" a="1"/>
  <c r="BZ13" i="1150" a="1"/>
  <c r="AB19" i="1150" a="1"/>
  <c r="P23" i="1150" a="1"/>
  <c r="J20" i="1150" a="1"/>
  <c r="AI16" i="1150" a="1"/>
  <c r="AO16" i="1150" a="1"/>
  <c r="AW31" i="1150" a="1"/>
  <c r="Y18" i="1150" a="1"/>
  <c r="M29" i="1150" a="1"/>
  <c r="T26" i="1150" a="1"/>
  <c r="BM31" i="1150" a="1"/>
  <c r="AO10" i="1150" a="1"/>
  <c r="AX23" i="1150" a="1"/>
  <c r="CG22" i="1150" a="1"/>
  <c r="N23" i="1150" a="1"/>
  <c r="N8" i="1150" a="1"/>
  <c r="BH30" i="1150" a="1"/>
  <c r="BT26" i="1150" a="1"/>
  <c r="CG14" i="1150" a="1"/>
  <c r="W19" i="1150" a="1"/>
  <c r="AE10" i="1150" a="1"/>
  <c r="CP7" i="1150" a="1"/>
  <c r="X17" i="1150" a="1"/>
  <c r="BX23" i="1150" a="1"/>
  <c r="R25" i="1150" a="1"/>
  <c r="Q28" i="1150" a="1"/>
  <c r="AO20" i="1150" a="1"/>
  <c r="H29" i="1150" a="1"/>
  <c r="AQ30" i="1150" a="1"/>
  <c r="BZ12" i="1150" a="1"/>
  <c r="CF23" i="1150" a="1"/>
  <c r="CB30" i="1150" a="1"/>
  <c r="CK19" i="1150" a="1"/>
  <c r="BP11" i="1150" a="1"/>
  <c r="BX20" i="1150" a="1"/>
  <c r="CK30" i="1150" a="1"/>
  <c r="AN20" i="1150" a="1"/>
  <c r="AP10" i="1150" a="1"/>
  <c r="S26" i="1150" a="1"/>
  <c r="CB27" i="1150" a="1"/>
  <c r="BM21" i="1150" a="1"/>
  <c r="AI17" i="1150" a="1"/>
  <c r="O26" i="1150" a="1"/>
  <c r="O21" i="1150" a="1"/>
  <c r="AB16" i="1150" a="1"/>
  <c r="BO10" i="1150" a="1"/>
  <c r="S16" i="1150" a="1"/>
  <c r="M14" i="1150" a="1"/>
  <c r="R11" i="1150" a="1"/>
  <c r="AH20" i="1150" a="1"/>
  <c r="AD11" i="1150" a="1"/>
  <c r="CA30" i="1150" a="1"/>
  <c r="T16" i="1150" a="1"/>
  <c r="O18" i="1150" a="1"/>
  <c r="AE13" i="1150" a="1"/>
  <c r="BM30" i="1150" a="1"/>
  <c r="Z28" i="1150" a="1"/>
  <c r="AQ8" i="1150" a="1"/>
  <c r="BU7" i="1150" a="1"/>
  <c r="BQ7" i="1150" a="1"/>
  <c r="P8" i="1150" a="1"/>
  <c r="O13" i="1150" a="1"/>
  <c r="AG23" i="1150" a="1"/>
  <c r="CJ26" i="1150" a="1"/>
  <c r="AY29" i="1150" a="1"/>
  <c r="AV23" i="1150" a="1"/>
  <c r="BQ32" i="1150" a="1"/>
  <c r="BP17" i="1150" a="1"/>
  <c r="Y25" i="1150" a="1"/>
  <c r="AQ19" i="1150" a="1"/>
  <c r="M22" i="1150" a="1"/>
  <c r="CK29" i="1150" a="1"/>
  <c r="AD27" i="1150" a="1"/>
  <c r="X8" i="1150" a="1"/>
  <c r="AG17" i="1150" a="1"/>
  <c r="AS25" i="1150" a="1"/>
  <c r="AN16" i="1150" a="1"/>
  <c r="BQ12" i="1150" a="1"/>
  <c r="I28" i="1150" a="1"/>
  <c r="CI8" i="1150" a="1"/>
  <c r="AG8" i="1150" a="1"/>
  <c r="AS18" i="1150" a="1"/>
  <c r="CB11" i="1150" a="1"/>
  <c r="BX21" i="1150" a="1"/>
  <c r="CB32" i="1150" a="1"/>
  <c r="Z10" i="1150" a="1"/>
  <c r="G7" i="1150" a="1"/>
  <c r="CO11" i="1150" a="1"/>
  <c r="BN22" i="1150" a="1"/>
  <c r="CL19" i="1150" a="1"/>
  <c r="CJ12" i="1150" a="1"/>
  <c r="BD22" i="1150" a="1"/>
  <c r="BU10" i="1150" a="1"/>
  <c r="BV12" i="1150" a="1"/>
  <c r="T19" i="1150" a="1"/>
  <c r="AX31" i="1150" a="1"/>
  <c r="AR23" i="1150" a="1"/>
  <c r="BH19" i="1150" a="1"/>
  <c r="E13" i="1150" a="1"/>
  <c r="CA32" i="1150" a="1"/>
  <c r="CF8" i="1150" a="1"/>
  <c r="BO25" i="1150" a="1"/>
  <c r="BL19" i="1150" a="1"/>
  <c r="BU23" i="1150" a="1"/>
  <c r="BH14" i="1150" a="1"/>
  <c r="I25" i="1150" a="1"/>
  <c r="BU21" i="1150" a="1"/>
  <c r="BM8" i="1150" a="1"/>
  <c r="BX28" i="1150" a="1"/>
  <c r="CI28" i="1150" a="1"/>
  <c r="BN19" i="1150" a="1"/>
  <c r="AE20" i="1150" a="1"/>
  <c r="BZ29" i="1150" a="1"/>
  <c r="AE16" i="1150" a="1"/>
  <c r="BL30" i="1150" a="1"/>
  <c r="AL17" i="1150" a="1"/>
  <c r="CM29" i="1150" a="1"/>
  <c r="AX26" i="1150" a="1"/>
  <c r="BN7" i="1150" a="1"/>
  <c r="AH13" i="1150" a="1"/>
  <c r="BZ28" i="1150" a="1"/>
  <c r="AM20" i="1150" a="1"/>
  <c r="CJ8" i="1150" a="1"/>
  <c r="O11" i="1150" a="1"/>
  <c r="CP13" i="1150" a="1"/>
  <c r="CD28" i="1150" a="1"/>
  <c r="BZ8" i="1150" a="1"/>
  <c r="J12" i="1150" a="1"/>
  <c r="CP16" i="1150" a="1"/>
  <c r="CE30" i="1150" a="1"/>
  <c r="U32" i="1150" a="1"/>
  <c r="BP8" i="1150" a="1"/>
  <c r="AG10" i="1150" a="1"/>
  <c r="BL17" i="1150" a="1"/>
  <c r="AV10" i="1150" a="1"/>
  <c r="AQ13" i="1150" a="1"/>
  <c r="L16" i="1150" a="1"/>
  <c r="AY13" i="1150" a="1"/>
  <c r="CK13" i="1150" a="1"/>
  <c r="AC25" i="1150" a="1"/>
  <c r="CO23" i="1150" a="1"/>
  <c r="AN26" i="1150" a="1"/>
  <c r="K20" i="1150" a="1"/>
  <c r="R22" i="1150" a="1"/>
  <c r="AY11" i="1150" a="1"/>
  <c r="X11" i="1150" a="1"/>
  <c r="Y8" i="1150" a="1"/>
  <c r="BC16" i="1150" a="1"/>
  <c r="BM7" i="1150" a="1"/>
  <c r="BD7" i="1150" a="1"/>
  <c r="T28" i="1150" a="1"/>
  <c r="AE30" i="1150" a="1"/>
  <c r="CC12" i="1150" a="1"/>
  <c r="AB10" i="1150" a="1"/>
  <c r="H25" i="1150" a="1"/>
  <c r="CC19" i="1150" a="1"/>
  <c r="CM10" i="1150" a="1"/>
  <c r="BV25" i="1150" a="1"/>
  <c r="I8" i="1150" a="1"/>
  <c r="Q8" i="1150" a="1"/>
  <c r="V19" i="1150" a="1"/>
  <c r="T13" i="1150" a="1"/>
  <c r="AL29" i="1150" a="1"/>
  <c r="AR14" i="1150" a="1"/>
  <c r="M12" i="1150" a="1"/>
  <c r="BY8" i="1150" a="1"/>
  <c r="AH32" i="1150" a="1"/>
  <c r="CL16" i="1150" a="1"/>
  <c r="T21" i="1150" a="1"/>
  <c r="E11" i="1150" a="1"/>
  <c r="U23" i="1150" a="1"/>
  <c r="CA11" i="1150" a="1"/>
  <c r="CM32" i="1150" a="1"/>
  <c r="AS12" i="1150" a="1"/>
  <c r="AW32" i="1150" a="1"/>
  <c r="AL8" i="1150" a="1"/>
  <c r="BA21" i="1150" a="1"/>
  <c r="R29" i="1150" a="1"/>
  <c r="BB22" i="1150" a="1"/>
  <c r="M8" i="1150" a="1"/>
  <c r="BA31" i="1150" a="1"/>
  <c r="AW12" i="1150" a="1"/>
  <c r="AB17" i="1150" a="1"/>
  <c r="BV11" i="1150" a="1"/>
  <c r="K22" i="1150" a="1"/>
  <c r="BB13" i="1150" a="1"/>
  <c r="CA8" i="1150" a="1"/>
  <c r="BW31" i="1150" a="1"/>
  <c r="CH22" i="1150" a="1"/>
  <c r="AU8" i="1150" a="1"/>
  <c r="CA22" i="1150" a="1"/>
  <c r="BK7" i="1150" a="1"/>
  <c r="M32" i="1150" a="1"/>
  <c r="CD16" i="1150" a="1"/>
  <c r="X30" i="1150" a="1"/>
  <c r="S12" i="1150" a="1"/>
  <c r="E9" i="1150" a="1"/>
  <c r="CL26" i="1150" a="1"/>
  <c r="AT23" i="1150" a="1"/>
  <c r="AX19" i="1150" a="1"/>
  <c r="BI20" i="1150" a="1"/>
  <c r="Y30" i="1150" a="1"/>
  <c r="BA26" i="1150" a="1"/>
  <c r="AE32" i="1150" a="1"/>
  <c r="AW10" i="1150" a="1"/>
  <c r="BD26" i="1150" a="1"/>
  <c r="K31" i="1150" a="1"/>
  <c r="U12" i="1150" a="1"/>
  <c r="M25" i="1150" a="1"/>
  <c r="BR32" i="1150" a="1"/>
  <c r="CP26" i="1150" a="1"/>
  <c r="S19" i="1150" a="1"/>
  <c r="BS12" i="1150" a="1"/>
  <c r="T9" i="1150" a="1"/>
  <c r="CJ25" i="1150" a="1"/>
  <c r="BM18" i="1150" a="1"/>
  <c r="AN22" i="1150" a="1"/>
  <c r="AS7" i="1150" a="1"/>
  <c r="AQ32" i="1150" a="1"/>
  <c r="O7" i="1150" a="1"/>
  <c r="CB12" i="1150" a="1"/>
  <c r="AX8" i="1150" a="1"/>
  <c r="AQ17" i="1150" a="1"/>
  <c r="CG31" i="1150" a="1"/>
  <c r="G16" i="1150" a="1"/>
  <c r="AI31" i="1150" a="1"/>
  <c r="K13" i="1150" a="1"/>
  <c r="BF25" i="1150" a="1"/>
  <c r="AT31" i="1150" a="1"/>
  <c r="BB25" i="1150" a="1"/>
  <c r="AV21" i="1150" a="1"/>
  <c r="BR9" i="1150" a="1"/>
  <c r="AD21" i="1150" a="1"/>
  <c r="Z16" i="1150" a="1"/>
  <c r="AW30" i="1150" a="1"/>
  <c r="AR31" i="1150" a="1"/>
  <c r="I30" i="1150" a="1"/>
  <c r="CD19" i="1150" a="1"/>
  <c r="CC20" i="1150" a="1"/>
  <c r="N19" i="1150" a="1"/>
  <c r="J21" i="1150" a="1"/>
  <c r="V17" i="1150" a="1"/>
  <c r="CH8" i="1150" a="1"/>
  <c r="CH32" i="1150" a="1"/>
  <c r="O8" i="1150" a="1"/>
  <c r="S11" i="1150" a="1"/>
  <c r="AE29" i="1150" a="1"/>
  <c r="U14" i="1150" a="1"/>
  <c r="H10" i="1150" a="1"/>
  <c r="BY25" i="1150" a="1"/>
  <c r="X23" i="1150" a="1"/>
  <c r="AC26" i="1150" a="1"/>
  <c r="BX32" i="1150" a="1"/>
  <c r="BG14" i="1150" a="1"/>
  <c r="CH23" i="1150" a="1"/>
  <c r="AJ22" i="1150" a="1"/>
  <c r="AO29" i="1150" a="1"/>
  <c r="BP22" i="1150" a="1"/>
  <c r="BK31" i="1150" a="1"/>
  <c r="M20" i="1150" a="1"/>
  <c r="BV20" i="1150" a="1"/>
  <c r="CC29" i="1150" a="1"/>
  <c r="CP12" i="1150" a="1"/>
  <c r="BN8" i="1150" a="1"/>
  <c r="W7" i="1150" a="1"/>
  <c r="K17" i="1150" a="1"/>
  <c r="BM22" i="1150" a="1"/>
  <c r="H30" i="1150" a="1"/>
  <c r="CF14" i="1150" a="1"/>
  <c r="CL7" i="1150" a="1"/>
  <c r="CJ23" i="1150" a="1"/>
  <c r="CK31" i="1150" a="1"/>
  <c r="AY19" i="1150" a="1"/>
  <c r="M17" i="1150" a="1"/>
  <c r="O30" i="1150" a="1"/>
  <c r="L8" i="1150" a="1"/>
  <c r="BT19" i="1150" a="1"/>
  <c r="Q16" i="1150" a="1"/>
  <c r="AC30" i="1150" a="1"/>
  <c r="T12" i="1150" a="1"/>
  <c r="O22" i="1150" a="1"/>
  <c r="BP31" i="1150" a="1"/>
  <c r="BI14" i="1150" a="1"/>
  <c r="Y32" i="1150" a="1"/>
  <c r="Y23" i="1150" a="1"/>
  <c r="BF30" i="1150" a="1"/>
  <c r="CH31" i="1150" a="1"/>
  <c r="CG29" i="1150" a="1"/>
  <c r="AS9" i="1150" a="1"/>
  <c r="AI32" i="1150" a="1"/>
  <c r="AV11" i="1150" a="1"/>
  <c r="BV8" i="1150" a="1"/>
  <c r="J29" i="1150" a="1"/>
  <c r="BI23" i="1150" a="1"/>
  <c r="AR25" i="1150" a="1"/>
  <c r="AN21" i="1150" a="1"/>
  <c r="BT25" i="1150" a="1"/>
  <c r="CC21" i="1150" a="1"/>
  <c r="BW29" i="1150" a="1"/>
  <c r="AT12" i="1150" a="1"/>
  <c r="M19" i="1150" a="1"/>
  <c r="AD14" i="1150" a="1"/>
  <c r="AE7" i="1150" a="1"/>
  <c r="AY25" i="1150" a="1"/>
  <c r="BI21" i="1150" a="1"/>
  <c r="CA12" i="1150" a="1"/>
  <c r="AR12" i="1150" a="1"/>
  <c r="J30" i="1150" a="1"/>
  <c r="AO22" i="1150" a="1"/>
  <c r="AV29" i="1150" a="1"/>
  <c r="AX30" i="1150" a="1"/>
  <c r="BM9" i="1150" a="1"/>
  <c r="O31" i="1150" a="1"/>
  <c r="CL18" i="1150" a="1"/>
  <c r="CK25" i="1150" a="1"/>
  <c r="BR16" i="1150" a="1"/>
  <c r="W13" i="1150" a="1"/>
  <c r="BF16" i="1150" a="1"/>
  <c r="BR27" i="1150" a="1"/>
  <c r="BX17" i="1150" a="1"/>
  <c r="BC23" i="1150" a="1"/>
  <c r="BI31" i="1150" a="1"/>
  <c r="BC32" i="1150" a="1"/>
  <c r="CF32" i="1150" a="1"/>
  <c r="BZ19" i="1150" a="1"/>
  <c r="AH22" i="1150" a="1"/>
  <c r="BU30" i="1150" a="1"/>
  <c r="CG11" i="1150" a="1"/>
  <c r="AE12" i="1150" a="1"/>
  <c r="CE12" i="1150" a="1"/>
  <c r="BG12" i="1150" a="1"/>
  <c r="J22" i="1150" a="1"/>
  <c r="AI20" i="1150" a="1"/>
  <c r="CO31" i="1150" a="1"/>
  <c r="BH9" i="1150" a="1"/>
  <c r="BU28" i="1150" a="1"/>
  <c r="BS7" i="1150" a="1"/>
  <c r="U28" i="1150" a="1"/>
  <c r="BX29" i="1150" a="1"/>
  <c r="U29" i="1150" a="1"/>
  <c r="BY28" i="1150" a="1"/>
  <c r="AJ10" i="1150" a="1"/>
  <c r="CH16" i="1150" a="1"/>
  <c r="CL11" i="1150" a="1"/>
  <c r="BI16" i="1150" a="1"/>
  <c r="AD26" i="1150" a="1"/>
  <c r="BW13" i="1150" a="1"/>
  <c r="BC20" i="1150" a="1"/>
  <c r="F10" i="1150" a="1"/>
  <c r="Y28" i="1150" a="1"/>
  <c r="E7" i="1150" a="1"/>
  <c r="AG21" i="1150" a="1"/>
  <c r="P30" i="1150" a="1"/>
  <c r="AX17" i="1150" a="1"/>
  <c r="AK25" i="1150" a="1"/>
  <c r="BE25" i="1150" a="1"/>
  <c r="CH13" i="1150" a="1"/>
  <c r="CD17" i="1150" a="1"/>
  <c r="O25" i="1150" a="1"/>
  <c r="CE8" i="1150" a="1"/>
  <c r="AL10" i="1150" a="1"/>
  <c r="G28" i="1150" a="1"/>
  <c r="BC7" i="1150" a="1"/>
  <c r="H7" i="1150" a="1"/>
  <c r="AU10" i="1150" a="1"/>
  <c r="AS11" i="1150" a="1"/>
  <c r="CA21" i="1150" a="1"/>
  <c r="AI22" i="1150" a="1"/>
  <c r="CP22" i="1150" a="1"/>
  <c r="BD20" i="1150" a="1"/>
  <c r="BJ10" i="1150" a="1"/>
  <c r="CA10" i="1150" a="1"/>
  <c r="J31" i="1150" a="1"/>
  <c r="CC13" i="1150" a="1"/>
  <c r="CC8" i="1150" a="1"/>
  <c r="AE31" i="1150" a="1"/>
  <c r="BA25" i="1150" a="1"/>
  <c r="E26" i="1150" a="1"/>
  <c r="CJ20" i="1150" a="1"/>
  <c r="AT21" i="1150" a="1"/>
  <c r="BH25" i="1150" a="1"/>
  <c r="BK20" i="1150" a="1"/>
  <c r="AG19" i="1150" a="1"/>
  <c r="CC31" i="1150" a="1"/>
  <c r="BB23" i="1150" a="1"/>
  <c r="AP26" i="1150" a="1"/>
  <c r="BC30" i="1150" a="1"/>
  <c r="CG23" i="1150" a="1"/>
  <c r="AD25" i="1150" a="1"/>
  <c r="E23" i="1150" a="1"/>
  <c r="BK30" i="1150" a="1"/>
  <c r="BI30" i="1150" a="1"/>
  <c r="CA14" i="1150" a="1"/>
  <c r="F21" i="1150" a="1"/>
  <c r="G8" i="1150" a="1"/>
  <c r="BW23" i="1150" a="1"/>
  <c r="AV8" i="1150" a="1"/>
  <c r="AG28" i="1150" a="1"/>
  <c r="L10" i="1150" a="1"/>
  <c r="AQ31" i="1150" a="1"/>
  <c r="AS14" i="1150" a="1"/>
  <c r="R28" i="1150" a="1"/>
  <c r="AM17" i="1150" a="1"/>
  <c r="BG23" i="1150" a="1"/>
  <c r="BT17" i="1150" a="1"/>
  <c r="W28" i="1150" a="1"/>
  <c r="AE11" i="1150" a="1"/>
  <c r="Y21" i="1150" a="1"/>
  <c r="CL27" i="1150" a="1"/>
  <c r="BZ16" i="1150" a="1"/>
  <c r="W21" i="1150" a="1"/>
  <c r="BB14" i="1150" a="1"/>
  <c r="AI26" i="1150" a="1"/>
  <c r="AV31" i="1150" a="1"/>
  <c r="BL25" i="1150" a="1"/>
  <c r="BJ19" i="1150" a="1"/>
  <c r="AS31" i="1150" a="1"/>
  <c r="BA17" i="1150" a="1"/>
  <c r="AF17" i="1150" a="1"/>
  <c r="BG26" i="1150" a="1"/>
  <c r="J18" i="1150" a="1"/>
  <c r="AH26" i="1150" a="1"/>
  <c r="AU26" i="1150" a="1"/>
  <c r="BI32" i="1150" a="1"/>
  <c r="CP21" i="1150" a="1"/>
  <c r="E28" i="1150" a="1"/>
  <c r="AT8" i="1150" a="1"/>
  <c r="U13" i="1150" a="1"/>
  <c r="BP13" i="1150" a="1"/>
  <c r="AD28" i="1150" a="1"/>
  <c r="BS23" i="1150" a="1"/>
  <c r="BC22" i="1150" a="1"/>
  <c r="CA17" i="1150" a="1"/>
  <c r="N7" i="1150" a="1"/>
  <c r="AF26" i="1150" a="1"/>
  <c r="E21" i="1150" a="1"/>
  <c r="AB28" i="1150" a="1"/>
  <c r="AI10" i="1150" a="1"/>
  <c r="CB13" i="1150" a="1"/>
  <c r="AC14" i="1150" a="1"/>
  <c r="AH30" i="1150" a="1"/>
  <c r="BB10" i="1150" a="1"/>
  <c r="AP19" i="1150" a="1"/>
  <c r="AM14" i="1150" a="1"/>
  <c r="CG21" i="1150" a="1"/>
  <c r="BU19" i="1150" a="1"/>
  <c r="CK23" i="1150" a="1"/>
  <c r="AN31" i="1150" a="1"/>
  <c r="AL25" i="1150" a="1"/>
  <c r="BW19" i="1150" a="1"/>
  <c r="BA32" i="1150" a="1"/>
  <c r="H28" i="1150" a="1"/>
  <c r="BH32" i="1150" a="1"/>
  <c r="CA29" i="1150" a="1"/>
  <c r="BV28" i="1150" a="1"/>
  <c r="AV13" i="1150" a="1"/>
  <c r="BN31" i="1150" a="1"/>
  <c r="BV31" i="1150" a="1"/>
  <c r="BL26" i="1150" a="1"/>
  <c r="BL21" i="1150" a="1"/>
  <c r="F26" i="1150" a="1"/>
  <c r="N31" i="1150" a="1"/>
  <c r="BD21" i="1150" a="1"/>
  <c r="AV16" i="1150" a="1"/>
  <c r="X20" i="1150" a="1"/>
  <c r="CP32" i="1150" a="1"/>
  <c r="BL8" i="1150" a="1"/>
  <c r="J23" i="1150" a="1"/>
  <c r="CO8" i="1150" a="1"/>
  <c r="AM21" i="1150" a="1"/>
  <c r="W26" i="1150" a="1"/>
  <c r="U26" i="1150" a="1"/>
  <c r="BV13" i="1150" a="1"/>
  <c r="BO17" i="1150" a="1"/>
  <c r="H32" i="1150" a="1"/>
  <c r="AG13" i="1150" a="1"/>
  <c r="AD22" i="1150" a="1"/>
  <c r="BZ17" i="1150" a="1"/>
  <c r="AC22" i="1150" a="1"/>
  <c r="BN28" i="1150" a="1"/>
  <c r="BY19" i="1150" a="1"/>
  <c r="AN17" i="1150" a="1"/>
  <c r="AB32" i="1150" a="1"/>
  <c r="S13" i="1150" a="1"/>
  <c r="R30" i="1150" a="1"/>
  <c r="BC31" i="1150" a="1"/>
  <c r="AO31" i="1150" a="1"/>
  <c r="BN32" i="1150" a="1"/>
  <c r="M28" i="1150" a="1"/>
  <c r="BG30" i="1150" a="1"/>
  <c r="CB28" i="1150" a="1"/>
  <c r="BR17" i="1150" a="1"/>
  <c r="CN17" i="1150" a="1"/>
  <c r="Y9" i="1150" a="1"/>
  <c r="BB26" i="1150" a="1"/>
  <c r="CL28" i="1150" a="1"/>
  <c r="N20" i="1150" a="1"/>
  <c r="AN27" i="1150" a="1"/>
  <c r="CG9" i="1150" a="1"/>
  <c r="CK28" i="1150" a="1"/>
  <c r="CO17" i="1150" a="1"/>
  <c r="AX32" i="1150" a="1"/>
  <c r="CG32" i="1150" a="1"/>
  <c r="F11" i="1150" a="1"/>
  <c r="F32" i="1150" a="1"/>
  <c r="BH7" i="1150" a="1"/>
  <c r="F29" i="1150" a="1"/>
  <c r="CI25" i="1150" a="1"/>
  <c r="CG8" i="1150" a="1"/>
  <c r="M31" i="1150" a="1"/>
  <c r="AH11" i="1150" a="1"/>
  <c r="AC13" i="1150" a="1"/>
  <c r="T10" i="1150" a="1"/>
  <c r="AO30" i="1150" a="1"/>
  <c r="BE26" i="1150" a="1"/>
  <c r="CG7" i="1150" a="1"/>
  <c r="H11" i="1150" a="1"/>
  <c r="BR12" i="1150" a="1"/>
  <c r="BH18" i="1150" a="1"/>
  <c r="CK20" i="1150" a="1"/>
  <c r="AJ12" i="1150" a="1"/>
  <c r="AH28" i="1150" a="1"/>
  <c r="BX19" i="1150" a="1"/>
  <c r="K28" i="1150" a="1"/>
  <c r="BM19" i="1150" a="1"/>
  <c r="BN10" i="1150" a="1"/>
  <c r="BK26" i="1150" a="1"/>
  <c r="BK8" i="1150" a="1"/>
  <c r="BL14" i="1150" a="1"/>
  <c r="BW30" i="1150" a="1"/>
  <c r="F17" i="1150" a="1"/>
  <c r="BZ20" i="1150" a="1"/>
  <c r="BV7" i="1150" a="1"/>
  <c r="BR8" i="1150" a="1"/>
  <c r="AA8" i="1150" a="1"/>
  <c r="Y22" i="1150" a="1"/>
  <c r="AB11" i="1150" a="1"/>
  <c r="AF16" i="1150" a="1"/>
  <c r="T25" i="1150" a="1"/>
  <c r="AF28" i="1150" a="1"/>
  <c r="BD8" i="1150" a="1"/>
  <c r="BC28" i="1150" a="1"/>
  <c r="AF19" i="1150" a="1"/>
  <c r="CJ17" i="1150" a="1"/>
  <c r="CO28" i="1150" a="1"/>
  <c r="BV17" i="1150" a="1"/>
  <c r="CE25" i="1150" a="1"/>
  <c r="F19" i="1150" a="1"/>
  <c r="AL22" i="1150" a="1"/>
  <c r="CC22" i="1150" a="1"/>
  <c r="BW22" i="1150" a="1"/>
  <c r="CM8" i="1150" a="1"/>
  <c r="T32" i="1150" a="1"/>
  <c r="AN32" i="1150" a="1"/>
  <c r="F12" i="1150" a="1"/>
  <c r="BF28" i="1150" a="1"/>
  <c r="BI17" i="1150" a="1"/>
  <c r="G19" i="1150" a="1"/>
  <c r="AI13" i="1150" a="1"/>
  <c r="N32" i="1150" a="1"/>
  <c r="BW12" i="1150" a="1"/>
  <c r="CC25" i="1150" a="1"/>
  <c r="AE14" i="1150" a="1"/>
  <c r="BM20" i="1150" a="1"/>
  <c r="BH22" i="1150" a="1"/>
  <c r="X14" i="1150" a="1"/>
  <c r="AO28" i="1150" a="1"/>
  <c r="AJ16" i="1150" a="1"/>
  <c r="I11" i="1150" a="1"/>
  <c r="BS29" i="1150" a="1"/>
  <c r="AM23" i="1150" a="1"/>
  <c r="CL29" i="1150" a="1"/>
  <c r="CP28" i="1150" a="1"/>
  <c r="CE14" i="1150" a="1"/>
  <c r="BW25" i="1150" a="1"/>
  <c r="BX31" i="1150" a="1"/>
  <c r="AC11" i="1150" a="1"/>
  <c r="AG22" i="1150" a="1"/>
  <c r="M21" i="1150" a="1"/>
  <c r="AQ29" i="1150" a="1"/>
  <c r="I7" i="1150" a="1"/>
  <c r="L7" i="1150" a="1"/>
  <c r="T29" i="1150" a="1"/>
  <c r="CP10" i="1150" a="1"/>
  <c r="AX18" i="1150" a="1"/>
  <c r="CP23" i="1150" a="1"/>
  <c r="AC23" i="1150" a="1"/>
  <c r="CH12" i="1150" a="1"/>
  <c r="AO13" i="1150" a="1"/>
  <c r="BG8" i="1150" a="1"/>
  <c r="AS20" i="1150" a="1"/>
  <c r="AV17" i="1150" a="1"/>
  <c r="AJ31" i="1150" a="1"/>
  <c r="F30" i="1150" a="1"/>
  <c r="BZ30" i="1150" a="1"/>
  <c r="BA30" i="1150" a="1"/>
  <c r="CJ28" i="1150" a="1"/>
  <c r="BQ19" i="1150" a="1"/>
  <c r="BA19" i="1150" a="1"/>
  <c r="CB21" i="1150" a="1"/>
  <c r="W22" i="1150" a="1"/>
  <c r="F31" i="1150" a="1"/>
  <c r="AC29" i="1150" a="1"/>
  <c r="AL16" i="1150" a="1"/>
  <c r="CB18" i="1150" a="1"/>
  <c r="R26" i="1150" a="1"/>
  <c r="BN30" i="1150" a="1"/>
  <c r="T11" i="1150" a="1"/>
  <c r="CL9" i="1150" a="1"/>
  <c r="BR19" i="1150" a="1"/>
  <c r="Y10" i="1150" a="1"/>
  <c r="AG32" i="1150" a="1"/>
  <c r="AC7" i="1150" a="1"/>
  <c r="BW21" i="1150" a="1"/>
  <c r="W29" i="1150" a="1"/>
  <c r="BS28" i="1150" a="1"/>
  <c r="K19" i="1150" a="1"/>
  <c r="AM26" i="1150" a="1"/>
  <c r="AY17" i="1150" a="1"/>
  <c r="I17" i="1150" a="1"/>
  <c r="CH11" i="1150" a="1"/>
  <c r="BU11" i="1150" a="1"/>
  <c r="CE26" i="1150" a="1"/>
  <c r="V28" i="1150" a="1"/>
  <c r="CM17" i="1150" a="1"/>
  <c r="H19" i="1150" a="1"/>
  <c r="AN12" i="1150" a="1"/>
  <c r="BW27" i="1150" a="1"/>
  <c r="CH20" i="1150" a="1"/>
  <c r="P19" i="1150" a="1"/>
  <c r="BX26" i="1150" a="1"/>
  <c r="H26" i="1150" a="1"/>
  <c r="AZ17" i="1150" a="1"/>
  <c r="BG21" i="1150" a="1"/>
  <c r="K7" i="1150" a="1"/>
  <c r="AR17" i="1150" a="1"/>
  <c r="K8" i="1150" a="1"/>
  <c r="AJ8" i="1150" a="1"/>
  <c r="BB28" i="1150" a="1"/>
  <c r="BL16" i="1150" a="1"/>
  <c r="CO10" i="1150" a="1"/>
  <c r="BX12" i="1150" a="1"/>
  <c r="AC8" i="1150" a="1"/>
  <c r="BQ29" i="1150" a="1"/>
  <c r="F28" i="1150" a="1"/>
  <c r="CF19" i="1150" a="1"/>
  <c r="CP25" i="1150" a="1"/>
  <c r="BC21" i="1150" a="1"/>
  <c r="CJ29" i="1150" a="1"/>
  <c r="J8" i="1150" a="1"/>
  <c r="BR26" i="1150" a="1"/>
  <c r="BV19" i="1150" a="1"/>
  <c r="BS8" i="1150" a="1"/>
  <c r="CM12" i="1150" a="1"/>
  <c r="BS22" i="1150" a="1"/>
  <c r="BW11" i="1150" a="1"/>
  <c r="Q7" i="1150" a="1"/>
  <c r="BK21" i="1150" a="1"/>
  <c r="CN26" i="1150" a="1"/>
  <c r="BL22" i="1150" a="1"/>
  <c r="BF32" i="1150" a="1"/>
  <c r="BV10" i="1150" a="1"/>
  <c r="K25" i="1150" a="1"/>
  <c r="V26" i="1150" a="1"/>
  <c r="CA31" i="1150" a="1"/>
  <c r="AJ20" i="1150" a="1"/>
  <c r="S30" i="1150" a="1"/>
  <c r="CN7" i="1150" a="1"/>
  <c r="AH29" i="1150" a="1"/>
  <c r="AL26" i="1150" a="1"/>
  <c r="Z7" i="1150" a="1"/>
  <c r="E29" i="1150" a="1"/>
  <c r="BG22" i="1150" a="1"/>
  <c r="BF14" i="1150" a="1"/>
  <c r="CK7" i="1150" a="1"/>
  <c r="BN14" i="1150" a="1"/>
  <c r="AW11" i="1150" a="1"/>
  <c r="AO8" i="1150" a="1"/>
  <c r="CM13" i="1150" a="1"/>
  <c r="E32" i="1150" a="1"/>
  <c r="BU8" i="1150" a="1"/>
  <c r="S21" i="1150" a="1"/>
  <c r="AL30" i="1150" a="1"/>
  <c r="O14" i="1150" a="1"/>
  <c r="BL31" i="1150" a="1"/>
  <c r="X26" i="1150" a="1"/>
  <c r="BK10" i="1150" a="1"/>
  <c r="S29" i="1150" a="1"/>
  <c r="CO12" i="1150" a="1"/>
  <c r="J13" i="1150" a="1"/>
  <c r="BY26" i="1150" a="1"/>
  <c r="J14" i="1150" a="1"/>
  <c r="AZ26" i="1150" a="1"/>
  <c r="CC14" i="1150" a="1"/>
  <c r="AG16" i="1150" a="1"/>
  <c r="AR11" i="1150" a="1"/>
  <c r="BF10" i="1150" a="1"/>
  <c r="BK25" i="1150" a="1"/>
  <c r="BV22" i="1150" a="1"/>
  <c r="AL31" i="1150" a="1"/>
  <c r="O19" i="1150" a="1"/>
  <c r="BM29" i="1150" a="1"/>
  <c r="BG32" i="1150" a="1"/>
  <c r="Y12" i="1150" a="1"/>
  <c r="AT28" i="1150" a="1"/>
  <c r="AR22" i="1150" a="1"/>
  <c r="E25" i="1150" a="1"/>
  <c r="AT26" i="1150" a="1"/>
  <c r="AM16" i="1150" a="1"/>
  <c r="K14" i="1150" a="1"/>
  <c r="AI30" i="1150" a="1"/>
  <c r="BQ20" i="1150" a="1"/>
  <c r="BC8" i="1150" a="1"/>
  <c r="CG26" i="1150" a="1"/>
  <c r="BA22" i="1150" a="1"/>
  <c r="I13" i="1150" a="1"/>
  <c r="CC16" i="1150" a="1"/>
  <c r="AD31" i="1150" a="1"/>
  <c r="CI7" i="1150" a="1"/>
  <c r="I22" i="1150" a="1"/>
  <c r="R10" i="1150" a="1"/>
  <c r="G10" i="1150" a="1"/>
  <c r="BI13" i="1150" a="1"/>
  <c r="CE7" i="1150" a="1"/>
  <c r="CG16" i="1150" a="1"/>
  <c r="AB13" i="1150" a="1"/>
  <c r="BC25" i="1150" a="1"/>
  <c r="AW25" i="1150" a="1"/>
  <c r="AN9" i="1150" a="1"/>
  <c r="BE28" i="1150" a="1"/>
  <c r="BN11" i="1150" a="1"/>
  <c r="N10" i="1150" a="1"/>
  <c r="CF21" i="1150" a="1"/>
  <c r="AM22" i="1150" a="1"/>
  <c r="BM14" i="1150" a="1"/>
  <c r="AY31" i="1150" a="1"/>
  <c r="U19" i="1150" a="1"/>
  <c r="BF21" i="1150" a="1"/>
  <c r="BJ8" i="1150" a="1"/>
  <c r="S10" i="1150" a="1"/>
  <c r="BC9" i="1150" a="1"/>
  <c r="U21" i="1150" a="1"/>
  <c r="AK7" i="1150" a="1"/>
  <c r="AD29" i="1150" a="1"/>
  <c r="BH8" i="1150" a="1"/>
  <c r="AD10" i="1150" a="1"/>
  <c r="AJ14" i="1150" a="1"/>
  <c r="X16" i="1150" a="1"/>
  <c r="CJ30" i="1150" a="1"/>
  <c r="AJ7" i="1150" a="1"/>
  <c r="AD32" i="1150" a="1"/>
  <c r="CC28" i="1150" a="1"/>
  <c r="E17" i="1150" a="1"/>
  <c r="AB25" i="1150" a="1"/>
  <c r="AT7" i="1150" a="1"/>
  <c r="R8" i="1150" a="1"/>
  <c r="BW26" i="1150" a="1"/>
  <c r="R31" i="1150" a="1"/>
  <c r="AH19" i="1150" a="1"/>
  <c r="BQ14" i="1150" a="1"/>
  <c r="CF22" i="1150" a="1"/>
  <c r="BC12" i="1150" a="1"/>
  <c r="CC23" i="1150" a="1"/>
  <c r="BD14" i="1150" a="1"/>
  <c r="BT28" i="1150" a="1"/>
  <c r="AN28" i="1150" a="1"/>
  <c r="AC17" i="1150" a="1"/>
  <c r="AS19" i="1150" a="1"/>
  <c r="AH7" i="1150" a="1"/>
  <c r="Q19" i="1150" a="1"/>
  <c r="H17" i="1150" a="1"/>
  <c r="AR19" i="1150" a="1"/>
  <c r="I19" i="1150" a="1"/>
  <c r="P7" i="1150" a="1"/>
  <c r="E12" i="1150" a="1"/>
  <c r="BL20" i="1150" a="1"/>
  <c r="CP14" i="1150" a="1"/>
  <c r="BW28" i="1150" a="1"/>
  <c r="T20" i="1150" a="1"/>
  <c r="S8" i="1150" a="1"/>
  <c r="R23" i="1150" a="1"/>
  <c r="BC14" i="1150" a="1"/>
  <c r="BP26" i="1150" a="1"/>
  <c r="BS14" i="1150" a="1"/>
  <c r="I23" i="1150" a="1"/>
  <c r="BP21" i="1150" a="1"/>
  <c r="AB31" i="1150" a="1"/>
  <c r="AV32" i="1150" a="1"/>
  <c r="BE19" i="1150" a="1"/>
  <c r="BE7" i="1150" a="1"/>
  <c r="X31" i="1150" a="1"/>
  <c r="I10" i="1150" a="1"/>
  <c r="CM7" i="1150" a="1"/>
  <c r="AX27" i="1150" a="1"/>
  <c r="BI19" i="1150" a="1"/>
  <c r="P10" i="1150" a="1"/>
  <c r="I32" i="1150" a="1"/>
  <c r="X19" i="1150" a="1"/>
  <c r="BG13" i="1150" a="1"/>
  <c r="AI11" i="1150" a="1"/>
  <c r="BF8" i="1150" a="1"/>
  <c r="CM16" i="1150" a="1"/>
  <c r="P21" i="1150" a="1"/>
  <c r="AV25" i="1150" a="1"/>
  <c r="BK29" i="1150" a="1"/>
  <c r="BF7" i="1150" a="1"/>
  <c r="CK22" i="1150" a="1"/>
  <c r="R14" i="1150" a="1"/>
  <c r="AX10" i="1150" a="1"/>
  <c r="CL32" i="1150" a="1"/>
  <c r="AR8" i="1150" a="1"/>
  <c r="BD30" i="1150" a="1"/>
  <c r="O17" i="1150" a="1"/>
  <c r="AM7" i="1150" a="1"/>
  <c r="BB31" i="1150" a="1"/>
  <c r="BM12" i="1150" a="1"/>
  <c r="AD13" i="1150" a="1"/>
  <c r="AV30" i="1150" a="1"/>
  <c r="AM31" i="1150" a="1"/>
  <c r="BB12" i="1150" a="1"/>
  <c r="CO22" i="1150" a="1"/>
  <c r="AA16" i="1150" a="1"/>
  <c r="BG20" i="1150" a="1"/>
  <c r="AL23" i="1150" a="1"/>
  <c r="J32" i="1150" a="1"/>
  <c r="I14" i="1150" a="1"/>
  <c r="W30" i="1150" a="1"/>
  <c r="CO29" i="1150" a="1"/>
  <c r="BU32" i="1150" a="1"/>
  <c r="BQ25" i="1150" a="1"/>
  <c r="AY32" i="1150" a="1"/>
  <c r="AJ23" i="1150" a="1"/>
  <c r="AN13" i="1150" a="1"/>
  <c r="AC21" i="1150" a="1"/>
  <c r="AX28" i="1150" a="1"/>
  <c r="Y20" i="1150" a="1"/>
  <c r="BN29" i="1150" a="1"/>
  <c r="BA10" i="1150" a="1"/>
  <c r="BJ25" i="1150" a="1"/>
  <c r="AR13" i="1150" a="1"/>
  <c r="BM26" i="1150" a="1"/>
  <c r="BA28" i="1150" a="1"/>
  <c r="BW8" i="1150" a="1"/>
  <c r="M26" i="1150" a="1"/>
  <c r="AY16" i="1150" a="1"/>
  <c r="AG26" i="1150" a="1"/>
  <c r="CN28" i="1150" a="1"/>
  <c r="BU31" i="1150" a="1"/>
  <c r="CF28" i="1150" a="1"/>
  <c r="CH21" i="1150" a="1"/>
  <c r="AH31" i="1150" a="1"/>
  <c r="BD25" i="1150" a="1"/>
  <c r="BX13" i="1150" a="1"/>
  <c r="BK22" i="1150" a="1"/>
  <c r="BH10" i="1150" a="1"/>
  <c r="BI8" i="1150" a="1"/>
  <c r="AZ16" i="1150" a="1"/>
  <c r="AT30" i="1150" a="1"/>
  <c r="AY30" i="1150" a="1"/>
  <c r="AR32" i="1150" a="1"/>
  <c r="K30" i="1150" a="1"/>
  <c r="H16" i="1150" a="1"/>
  <c r="CD26" i="1150" a="1"/>
  <c r="CA16" i="1150" a="1"/>
  <c r="E8" i="1150" a="1"/>
  <c r="AU25" i="1150" a="1"/>
  <c r="BR30" i="1150" a="1"/>
  <c r="CF10" i="1150" a="1"/>
  <c r="AN25" i="1150" a="1"/>
  <c r="AL19" i="1150" a="1"/>
  <c r="J11" i="1150" a="1"/>
  <c r="CJ19" i="1150" a="1"/>
  <c r="BW9" i="1150" a="1"/>
  <c r="O28" i="1150" a="1"/>
  <c r="T22" i="1150" a="1"/>
  <c r="F7" i="1150" a="1"/>
  <c r="CB31" i="1150" a="1"/>
  <c r="BB21" i="1150" a="1"/>
  <c r="BQ22" i="1150" a="1"/>
  <c r="CL8" i="1150" a="1"/>
  <c r="AY7" i="1150" a="1"/>
  <c r="CI17" i="1150" a="1"/>
  <c r="AO7" i="1150" a="1"/>
  <c r="CM19" i="1150" a="1"/>
  <c r="X29" i="1150" a="1"/>
  <c r="AV14" i="1150" a="1"/>
  <c r="U7" i="1150" a="1"/>
  <c r="U17" i="1150" a="1"/>
  <c r="AA25" i="1150" a="1"/>
  <c r="AY21" i="1150" a="1"/>
  <c r="L17" i="1150" a="1"/>
  <c r="CN25" i="1150" a="1"/>
  <c r="AW14" i="1150" a="1"/>
  <c r="BN25" i="1150" a="1"/>
  <c r="AV20" i="1150" a="1"/>
  <c r="CC26" i="1150" a="1"/>
  <c r="CL17" i="1150" a="1"/>
  <c r="AI29" i="1150" a="1"/>
  <c r="BD11" i="1150" a="1"/>
  <c r="AA10" i="1150" a="1"/>
  <c r="O3" i="1150"/>
  <c r="P5" i="1150"/>
  <c r="Q5" i="1150" s="1"/>
  <c r="R5" i="1150" s="1"/>
  <c r="S5" i="1150" s="1"/>
  <c r="T5" i="1150" s="1"/>
  <c r="U5" i="1150" l="1"/>
  <c r="V5" i="1150" s="1"/>
  <c r="W5" i="1150" s="1"/>
  <c r="X5" i="1150" s="1"/>
  <c r="Y5" i="1150" s="1"/>
  <c r="T3" i="1150"/>
  <c r="Z5" i="1150" l="1"/>
  <c r="AA5" i="1150" s="1"/>
  <c r="AB5" i="1150" s="1"/>
  <c r="AC5" i="1150" s="1"/>
  <c r="AD5" i="1150" s="1"/>
  <c r="Y3" i="1150"/>
  <c r="AE5" i="1150" l="1"/>
  <c r="AF5" i="1150" s="1"/>
  <c r="AG5" i="1150" s="1"/>
  <c r="AH5" i="1150" s="1"/>
  <c r="AI5" i="1150" s="1"/>
  <c r="AD3" i="1150"/>
  <c r="AJ5" i="1150" l="1"/>
  <c r="AK5" i="1150" s="1"/>
  <c r="AL5" i="1150" s="1"/>
  <c r="AM5" i="1150" s="1"/>
  <c r="AN5" i="1150" s="1"/>
  <c r="AI3" i="1150"/>
  <c r="AO5" i="1150" l="1"/>
  <c r="AP5" i="1150" s="1"/>
  <c r="AQ5" i="1150" s="1"/>
  <c r="AR5" i="1150" s="1"/>
  <c r="AS5" i="1150" s="1"/>
  <c r="AN3" i="1150"/>
  <c r="AT5" i="1150" l="1"/>
  <c r="AU5" i="1150" s="1"/>
  <c r="AV5" i="1150" s="1"/>
  <c r="AW5" i="1150" s="1"/>
  <c r="AX5" i="1150" s="1"/>
  <c r="AS3" i="1150"/>
  <c r="AY5" i="1150" l="1"/>
  <c r="AZ5" i="1150" s="1"/>
  <c r="BA5" i="1150" s="1"/>
  <c r="BB5" i="1150" s="1"/>
  <c r="BC5" i="1150" s="1"/>
  <c r="AX3" i="1150"/>
  <c r="BD5" i="1150" l="1"/>
  <c r="BE5" i="1150" s="1"/>
  <c r="BF5" i="1150" s="1"/>
  <c r="BG5" i="1150" s="1"/>
  <c r="BH5" i="1150" s="1"/>
  <c r="BC3" i="1150"/>
  <c r="BI5" i="1150" l="1"/>
  <c r="BJ5" i="1150" s="1"/>
  <c r="BK5" i="1150" s="1"/>
  <c r="BL5" i="1150" s="1"/>
  <c r="BM5" i="1150" s="1"/>
  <c r="BH3" i="1150"/>
  <c r="BN5" i="1150" l="1"/>
  <c r="BO5" i="1150" s="1"/>
  <c r="BP5" i="1150" s="1"/>
  <c r="BQ5" i="1150" s="1"/>
  <c r="BR5" i="1150" s="1"/>
  <c r="BM3" i="1150"/>
  <c r="BS5" i="1150" l="1"/>
  <c r="BT5" i="1150" s="1"/>
  <c r="BU5" i="1150" s="1"/>
  <c r="BV5" i="1150" s="1"/>
  <c r="BW5" i="1150" s="1"/>
  <c r="BR3" i="1150"/>
  <c r="BX5" i="1150" l="1"/>
  <c r="BY5" i="1150" s="1"/>
  <c r="BZ5" i="1150" s="1"/>
  <c r="CA5" i="1150" s="1"/>
  <c r="CB5" i="1150" s="1"/>
  <c r="BW3" i="1150"/>
  <c r="CC5" i="1150" l="1"/>
  <c r="CD5" i="1150" s="1"/>
  <c r="CE5" i="1150" s="1"/>
  <c r="CF5" i="1150" s="1"/>
  <c r="CG5" i="1150" s="1"/>
  <c r="CB3" i="1150"/>
  <c r="CH5" i="1150" l="1"/>
  <c r="CI5" i="1150" s="1"/>
  <c r="CJ5" i="1150" s="1"/>
  <c r="CK5" i="1150" s="1"/>
  <c r="CL5" i="1150" s="1"/>
  <c r="CG3" i="1150"/>
  <c r="C60" i="10"/>
  <c r="C59" i="10"/>
  <c r="C58" i="10"/>
  <c r="C57" i="10"/>
  <c r="C56" i="10"/>
  <c r="C55" i="10"/>
  <c r="C54" i="10"/>
  <c r="C53" i="10"/>
  <c r="C52" i="10"/>
  <c r="C51" i="10"/>
  <c r="C48" i="10"/>
  <c r="C50" i="10"/>
  <c r="C49" i="10"/>
  <c r="C47" i="10"/>
  <c r="L10" i="1177" l="1"/>
  <c r="L9" i="1177"/>
  <c r="L8" i="1177"/>
  <c r="L7" i="1177"/>
  <c r="L6" i="1177"/>
  <c r="L5" i="1177"/>
  <c r="L3" i="1177"/>
  <c r="L4" i="1177"/>
  <c r="CM5" i="1150"/>
  <c r="CN5" i="1150" s="1"/>
  <c r="CO5" i="1150" s="1"/>
  <c r="CP5" i="1150" s="1"/>
  <c r="CL3" i="1150"/>
  <c r="E48" i="1119" l="1"/>
  <c r="E47" i="1119"/>
  <c r="E46" i="1119"/>
  <c r="E45" i="1119"/>
  <c r="E44" i="1119"/>
  <c r="F44" i="1119" s="1"/>
  <c r="E43" i="1119"/>
  <c r="F43" i="1119" s="1"/>
  <c r="E42" i="1119"/>
  <c r="E41" i="1119"/>
  <c r="DB37" i="1119"/>
  <c r="CB35" i="1119"/>
  <c r="BL34" i="1119"/>
  <c r="CN33" i="1119"/>
  <c r="CO32" i="1119"/>
  <c r="BW30" i="1119"/>
  <c r="CG29" i="1119"/>
  <c r="CV27" i="1119"/>
  <c r="CS26" i="1119"/>
  <c r="BY25" i="1119"/>
  <c r="CZ24" i="1119"/>
  <c r="E5" i="1119"/>
  <c r="E4" i="1119" s="1"/>
  <c r="DB38" i="1119" l="1"/>
  <c r="CW38" i="1119"/>
  <c r="CH38" i="1119"/>
  <c r="AU38" i="1119"/>
  <c r="CO36" i="1119"/>
  <c r="CJ36" i="1119"/>
  <c r="CF31" i="1119"/>
  <c r="AR31" i="1119"/>
  <c r="CT28" i="1119"/>
  <c r="CH28" i="1119"/>
  <c r="BJ28" i="1119"/>
  <c r="CX25" i="1119"/>
  <c r="BM25" i="1119"/>
  <c r="AI25" i="1119"/>
  <c r="AH25" i="1119"/>
  <c r="CL24" i="1119"/>
  <c r="CM24" i="1119"/>
  <c r="BZ24" i="1119"/>
  <c r="BY24" i="1119"/>
  <c r="AM24" i="1119"/>
  <c r="AL24" i="1119"/>
  <c r="AC24" i="1119"/>
  <c r="Z24" i="1119"/>
  <c r="M24" i="1119"/>
  <c r="F5" i="1119"/>
  <c r="F2" i="1119"/>
  <c r="L35" i="1119"/>
  <c r="AS37" i="1119"/>
  <c r="AR28" i="1119"/>
  <c r="AQ31" i="1119"/>
  <c r="CA36" i="1119"/>
  <c r="BQ38" i="1119"/>
  <c r="K32" i="1119"/>
  <c r="AK29" i="1119"/>
  <c r="AV32" i="1119"/>
  <c r="BO29" i="1119"/>
  <c r="AW32" i="1119"/>
  <c r="G36" i="1119"/>
  <c r="CG32" i="1119"/>
  <c r="J36" i="1119"/>
  <c r="H38" i="1119"/>
  <c r="CK32" i="1119"/>
  <c r="AA36" i="1119"/>
  <c r="V38" i="1119"/>
  <c r="CY24" i="1119"/>
  <c r="AI36" i="1119"/>
  <c r="AC38" i="1119"/>
  <c r="BD36" i="1119"/>
  <c r="W28" i="1119"/>
  <c r="T31" i="1119"/>
  <c r="BG36" i="1119"/>
  <c r="BJ38" i="1119"/>
  <c r="BY30" i="1119"/>
  <c r="BY37" i="1119"/>
  <c r="AM29" i="1119"/>
  <c r="CA29" i="1119"/>
  <c r="E30" i="1119"/>
  <c r="CH30" i="1119"/>
  <c r="AU31" i="1119"/>
  <c r="L32" i="1119"/>
  <c r="AX32" i="1119"/>
  <c r="DA32" i="1119"/>
  <c r="AQ34" i="1119"/>
  <c r="L36" i="1119"/>
  <c r="BI36" i="1119"/>
  <c r="E37" i="1119"/>
  <c r="CN37" i="1119"/>
  <c r="AF38" i="1119"/>
  <c r="BS38" i="1119"/>
  <c r="AJ25" i="1119"/>
  <c r="CH25" i="1119"/>
  <c r="E28" i="1119"/>
  <c r="X28" i="1119"/>
  <c r="AS28" i="1119"/>
  <c r="BQ28" i="1119"/>
  <c r="CI28" i="1119"/>
  <c r="AL29" i="1119"/>
  <c r="CA30" i="1119"/>
  <c r="F28" i="1119"/>
  <c r="AT28" i="1119"/>
  <c r="BR28" i="1119"/>
  <c r="BC24" i="1119"/>
  <c r="G25" i="1119"/>
  <c r="AM25" i="1119"/>
  <c r="CJ25" i="1119"/>
  <c r="H28" i="1119"/>
  <c r="Z28" i="1119"/>
  <c r="AU28" i="1119"/>
  <c r="BS28" i="1119"/>
  <c r="CK28" i="1119"/>
  <c r="E29" i="1119"/>
  <c r="AO29" i="1119"/>
  <c r="CB29" i="1119"/>
  <c r="AC30" i="1119"/>
  <c r="CT30" i="1119"/>
  <c r="AW31" i="1119"/>
  <c r="M32" i="1119"/>
  <c r="AY32" i="1119"/>
  <c r="DB32" i="1119"/>
  <c r="AU34" i="1119"/>
  <c r="M36" i="1119"/>
  <c r="BV36" i="1119"/>
  <c r="K37" i="1119"/>
  <c r="CW37" i="1119"/>
  <c r="AH38" i="1119"/>
  <c r="BU38" i="1119"/>
  <c r="DC28" i="1119"/>
  <c r="BY29" i="1119"/>
  <c r="CJ37" i="1119"/>
  <c r="AY24" i="1119"/>
  <c r="AL25" i="1119"/>
  <c r="CI25" i="1119"/>
  <c r="Y28" i="1119"/>
  <c r="CJ28" i="1119"/>
  <c r="BL24" i="1119"/>
  <c r="I25" i="1119"/>
  <c r="AT25" i="1119"/>
  <c r="CK25" i="1119"/>
  <c r="I28" i="1119"/>
  <c r="AC28" i="1119"/>
  <c r="AY28" i="1119"/>
  <c r="BT28" i="1119"/>
  <c r="CL28" i="1119"/>
  <c r="K29" i="1119"/>
  <c r="AS29" i="1119"/>
  <c r="CD29" i="1119"/>
  <c r="AE30" i="1119"/>
  <c r="CU30" i="1119"/>
  <c r="BP31" i="1119"/>
  <c r="N32" i="1119"/>
  <c r="AZ32" i="1119"/>
  <c r="DC32" i="1119"/>
  <c r="BM34" i="1119"/>
  <c r="X36" i="1119"/>
  <c r="BW36" i="1119"/>
  <c r="V37" i="1119"/>
  <c r="AJ38" i="1119"/>
  <c r="BV38" i="1119"/>
  <c r="BP24" i="1119"/>
  <c r="J25" i="1119"/>
  <c r="AZ25" i="1119"/>
  <c r="CL25" i="1119"/>
  <c r="J28" i="1119"/>
  <c r="AD28" i="1119"/>
  <c r="AZ28" i="1119"/>
  <c r="BU28" i="1119"/>
  <c r="CN28" i="1119"/>
  <c r="M29" i="1119"/>
  <c r="AU29" i="1119"/>
  <c r="CN29" i="1119"/>
  <c r="AF30" i="1119"/>
  <c r="CV30" i="1119"/>
  <c r="BR31" i="1119"/>
  <c r="O32" i="1119"/>
  <c r="BF32" i="1119"/>
  <c r="DD32" i="1119"/>
  <c r="Y37" i="1119"/>
  <c r="AQ38" i="1119"/>
  <c r="CD38" i="1119"/>
  <c r="C39" i="1119"/>
  <c r="K25" i="1119"/>
  <c r="BG25" i="1119"/>
  <c r="CM25" i="1119"/>
  <c r="K28" i="1119"/>
  <c r="AF28" i="1119"/>
  <c r="BD28" i="1119"/>
  <c r="BV28" i="1119"/>
  <c r="CR28" i="1119"/>
  <c r="Q29" i="1119"/>
  <c r="AV29" i="1119"/>
  <c r="CO29" i="1119"/>
  <c r="AG30" i="1119"/>
  <c r="CA31" i="1119"/>
  <c r="P32" i="1119"/>
  <c r="BP32" i="1119"/>
  <c r="AB36" i="1119"/>
  <c r="CI36" i="1119"/>
  <c r="AI37" i="1119"/>
  <c r="E38" i="1119"/>
  <c r="AS38" i="1119"/>
  <c r="CF38" i="1119"/>
  <c r="CC31" i="1119"/>
  <c r="S32" i="1119"/>
  <c r="BQ32" i="1119"/>
  <c r="L28" i="1119"/>
  <c r="AJ28" i="1119"/>
  <c r="BE28" i="1119"/>
  <c r="BW28" i="1119"/>
  <c r="CV28" i="1119"/>
  <c r="R29" i="1119"/>
  <c r="BC29" i="1119"/>
  <c r="CT29" i="1119"/>
  <c r="AH30" i="1119"/>
  <c r="M28" i="1119"/>
  <c r="AK28" i="1119"/>
  <c r="BF28" i="1119"/>
  <c r="BX28" i="1119"/>
  <c r="CW28" i="1119"/>
  <c r="S29" i="1119"/>
  <c r="BK29" i="1119"/>
  <c r="CV29" i="1119"/>
  <c r="AJ30" i="1119"/>
  <c r="L31" i="1119"/>
  <c r="CT31" i="1119"/>
  <c r="AC32" i="1119"/>
  <c r="BV32" i="1119"/>
  <c r="AH33" i="1119"/>
  <c r="AF35" i="1119"/>
  <c r="AL36" i="1119"/>
  <c r="CP36" i="1119"/>
  <c r="AW37" i="1119"/>
  <c r="J38" i="1119"/>
  <c r="AV38" i="1119"/>
  <c r="CJ38" i="1119"/>
  <c r="P24" i="1119"/>
  <c r="CD24" i="1119"/>
  <c r="S25" i="1119"/>
  <c r="BJ25" i="1119"/>
  <c r="Y24" i="1119"/>
  <c r="U25" i="1119"/>
  <c r="BK25" i="1119"/>
  <c r="P28" i="1119"/>
  <c r="AL28" i="1119"/>
  <c r="BG28" i="1119"/>
  <c r="BY28" i="1119"/>
  <c r="CX28" i="1119"/>
  <c r="T29" i="1119"/>
  <c r="BL29" i="1119"/>
  <c r="DB29" i="1119"/>
  <c r="AM30" i="1119"/>
  <c r="M31" i="1119"/>
  <c r="CU31" i="1119"/>
  <c r="AI32" i="1119"/>
  <c r="BW32" i="1119"/>
  <c r="CP33" i="1119"/>
  <c r="AG35" i="1119"/>
  <c r="AS36" i="1119"/>
  <c r="DA36" i="1119"/>
  <c r="BF37" i="1119"/>
  <c r="P38" i="1119"/>
  <c r="BD38" i="1119"/>
  <c r="CS38" i="1119"/>
  <c r="L25" i="1119"/>
  <c r="BH25" i="1119"/>
  <c r="AG25" i="1119"/>
  <c r="BL25" i="1119"/>
  <c r="U28" i="1119"/>
  <c r="AM28" i="1119"/>
  <c r="BH28" i="1119"/>
  <c r="CF28" i="1119"/>
  <c r="CY28" i="1119"/>
  <c r="X29" i="1119"/>
  <c r="BM29" i="1119"/>
  <c r="DC29" i="1119"/>
  <c r="BI30" i="1119"/>
  <c r="N31" i="1119"/>
  <c r="CV31" i="1119"/>
  <c r="AJ32" i="1119"/>
  <c r="BX32" i="1119"/>
  <c r="CQ33" i="1119"/>
  <c r="BA36" i="1119"/>
  <c r="DB36" i="1119"/>
  <c r="BL37" i="1119"/>
  <c r="S38" i="1119"/>
  <c r="BF38" i="1119"/>
  <c r="CT38" i="1119"/>
  <c r="V28" i="1119"/>
  <c r="AP28" i="1119"/>
  <c r="BI28" i="1119"/>
  <c r="CG28" i="1119"/>
  <c r="DA28" i="1119"/>
  <c r="AI29" i="1119"/>
  <c r="BN29" i="1119"/>
  <c r="DD29" i="1119"/>
  <c r="AK32" i="1119"/>
  <c r="CF32" i="1119"/>
  <c r="CS33" i="1119"/>
  <c r="BC36" i="1119"/>
  <c r="DD36" i="1119"/>
  <c r="BT37" i="1119"/>
  <c r="U38" i="1119"/>
  <c r="BH38" i="1119"/>
  <c r="CV38" i="1119"/>
  <c r="J31" i="1119"/>
  <c r="AJ31" i="1119"/>
  <c r="BO31" i="1119"/>
  <c r="CS31" i="1119"/>
  <c r="AE34" i="1119"/>
  <c r="DA34" i="1119"/>
  <c r="Z26" i="1119"/>
  <c r="AZ26" i="1119"/>
  <c r="DC26" i="1119"/>
  <c r="E26" i="1119"/>
  <c r="AA26" i="1119"/>
  <c r="BA26" i="1119"/>
  <c r="CA26" i="1119"/>
  <c r="DD26" i="1119"/>
  <c r="AM34" i="1119"/>
  <c r="CZ35" i="1119"/>
  <c r="CW35" i="1119"/>
  <c r="BF35" i="1119"/>
  <c r="Q35" i="1119"/>
  <c r="CV35" i="1119"/>
  <c r="BE35" i="1119"/>
  <c r="P35" i="1119"/>
  <c r="CT35" i="1119"/>
  <c r="BD35" i="1119"/>
  <c r="M35" i="1119"/>
  <c r="CQ35" i="1119"/>
  <c r="BA35" i="1119"/>
  <c r="J35" i="1119"/>
  <c r="CN35" i="1119"/>
  <c r="AZ35" i="1119"/>
  <c r="I35" i="1119"/>
  <c r="CC35" i="1119"/>
  <c r="AM35" i="1119"/>
  <c r="BS35" i="1119"/>
  <c r="AB35" i="1119"/>
  <c r="CR35" i="1119"/>
  <c r="F26" i="1119"/>
  <c r="AF26" i="1119"/>
  <c r="BB26" i="1119"/>
  <c r="CE26" i="1119"/>
  <c r="DE26" i="1119"/>
  <c r="H26" i="1119"/>
  <c r="AI26" i="1119"/>
  <c r="BL26" i="1119"/>
  <c r="CL26" i="1119"/>
  <c r="O31" i="1119"/>
  <c r="AV31" i="1119"/>
  <c r="CB31" i="1119"/>
  <c r="DB31" i="1119"/>
  <c r="BZ26" i="1119"/>
  <c r="V25" i="1119"/>
  <c r="AU25" i="1119"/>
  <c r="BT25" i="1119"/>
  <c r="CU25" i="1119"/>
  <c r="L26" i="1119"/>
  <c r="AN26" i="1119"/>
  <c r="BN26" i="1119"/>
  <c r="CN26" i="1119"/>
  <c r="Y27" i="1119"/>
  <c r="Z31" i="1119"/>
  <c r="AY31" i="1119"/>
  <c r="CD31" i="1119"/>
  <c r="CU34" i="1119"/>
  <c r="BI34" i="1119"/>
  <c r="V34" i="1119"/>
  <c r="CT34" i="1119"/>
  <c r="BF34" i="1119"/>
  <c r="U34" i="1119"/>
  <c r="CG34" i="1119"/>
  <c r="AV34" i="1119"/>
  <c r="I34" i="1119"/>
  <c r="CE34" i="1119"/>
  <c r="AT34" i="1119"/>
  <c r="G34" i="1119"/>
  <c r="CC34" i="1119"/>
  <c r="AO34" i="1119"/>
  <c r="CV34" i="1119"/>
  <c r="BJ34" i="1119"/>
  <c r="W34" i="1119"/>
  <c r="BP34" i="1119"/>
  <c r="AJ35" i="1119"/>
  <c r="CX24" i="1119"/>
  <c r="CQ24" i="1119"/>
  <c r="AP24" i="1119"/>
  <c r="AZ24" i="1119"/>
  <c r="DD24" i="1119"/>
  <c r="W25" i="1119"/>
  <c r="AV25" i="1119"/>
  <c r="BU25" i="1119"/>
  <c r="CV25" i="1119"/>
  <c r="M26" i="1119"/>
  <c r="AO26" i="1119"/>
  <c r="BO26" i="1119"/>
  <c r="CP26" i="1119"/>
  <c r="AM27" i="1119"/>
  <c r="CP30" i="1119"/>
  <c r="CE30" i="1119"/>
  <c r="AX30" i="1119"/>
  <c r="O30" i="1119"/>
  <c r="CC30" i="1119"/>
  <c r="AW30" i="1119"/>
  <c r="M30" i="1119"/>
  <c r="DE30" i="1119"/>
  <c r="BX30" i="1119"/>
  <c r="AI30" i="1119"/>
  <c r="CF30" i="1119"/>
  <c r="AY30" i="1119"/>
  <c r="P30" i="1119"/>
  <c r="BD30" i="1119"/>
  <c r="CY30" i="1119"/>
  <c r="AA31" i="1119"/>
  <c r="BA31" i="1119"/>
  <c r="CE31" i="1119"/>
  <c r="CA34" i="1119"/>
  <c r="AL35" i="1119"/>
  <c r="G26" i="1119"/>
  <c r="AH26" i="1119"/>
  <c r="BC26" i="1119"/>
  <c r="CF26" i="1119"/>
  <c r="U29" i="1119"/>
  <c r="BA29" i="1119"/>
  <c r="CC29" i="1119"/>
  <c r="BH30" i="1119"/>
  <c r="DD30" i="1119"/>
  <c r="AB31" i="1119"/>
  <c r="BI31" i="1119"/>
  <c r="E34" i="1119"/>
  <c r="CD34" i="1119"/>
  <c r="BC35" i="1119"/>
  <c r="Y25" i="1119"/>
  <c r="AX25" i="1119"/>
  <c r="V26" i="1119"/>
  <c r="BR26" i="1119"/>
  <c r="DE31" i="1119"/>
  <c r="CO31" i="1119"/>
  <c r="BW31" i="1119"/>
  <c r="BE31" i="1119"/>
  <c r="AN31" i="1119"/>
  <c r="W31" i="1119"/>
  <c r="G31" i="1119"/>
  <c r="DD31" i="1119"/>
  <c r="CN31" i="1119"/>
  <c r="BT31" i="1119"/>
  <c r="BD31" i="1119"/>
  <c r="AM31" i="1119"/>
  <c r="V31" i="1119"/>
  <c r="E31" i="1119"/>
  <c r="DC31" i="1119"/>
  <c r="CM31" i="1119"/>
  <c r="BS31" i="1119"/>
  <c r="BC31" i="1119"/>
  <c r="AL31" i="1119"/>
  <c r="U31" i="1119"/>
  <c r="DA31" i="1119"/>
  <c r="CG31" i="1119"/>
  <c r="BQ31" i="1119"/>
  <c r="AZ31" i="1119"/>
  <c r="AI31" i="1119"/>
  <c r="S31" i="1119"/>
  <c r="CP31" i="1119"/>
  <c r="BY31" i="1119"/>
  <c r="BF31" i="1119"/>
  <c r="AO31" i="1119"/>
  <c r="Y31" i="1119"/>
  <c r="H31" i="1119"/>
  <c r="AC31" i="1119"/>
  <c r="BJ31" i="1119"/>
  <c r="CH31" i="1119"/>
  <c r="H34" i="1119"/>
  <c r="CF34" i="1119"/>
  <c r="BT35" i="1119"/>
  <c r="K26" i="1119"/>
  <c r="AK26" i="1119"/>
  <c r="BM26" i="1119"/>
  <c r="CM26" i="1119"/>
  <c r="K27" i="1119"/>
  <c r="CZ25" i="1119"/>
  <c r="CG25" i="1119"/>
  <c r="BI25" i="1119"/>
  <c r="AK25" i="1119"/>
  <c r="M25" i="1119"/>
  <c r="CY25" i="1119"/>
  <c r="BZ25" i="1119"/>
  <c r="X25" i="1119"/>
  <c r="AW25" i="1119"/>
  <c r="BV25" i="1119"/>
  <c r="CW25" i="1119"/>
  <c r="T26" i="1119"/>
  <c r="AU26" i="1119"/>
  <c r="BP26" i="1119"/>
  <c r="CQ26" i="1119"/>
  <c r="BA27" i="1119"/>
  <c r="BW25" i="1119"/>
  <c r="AV26" i="1119"/>
  <c r="CR26" i="1119"/>
  <c r="L24" i="1119"/>
  <c r="BM24" i="1119"/>
  <c r="F25" i="1119"/>
  <c r="Z25" i="1119"/>
  <c r="AY25" i="1119"/>
  <c r="BX25" i="1119"/>
  <c r="DC25" i="1119"/>
  <c r="X26" i="1119"/>
  <c r="AX26" i="1119"/>
  <c r="BX26" i="1119"/>
  <c r="Y29" i="1119"/>
  <c r="BH29" i="1119"/>
  <c r="H30" i="1119"/>
  <c r="BJ30" i="1119"/>
  <c r="AG31" i="1119"/>
  <c r="BL31" i="1119"/>
  <c r="CQ31" i="1119"/>
  <c r="Y34" i="1119"/>
  <c r="CW34" i="1119"/>
  <c r="BV35" i="1119"/>
  <c r="CU26" i="1119"/>
  <c r="DB26" i="1119"/>
  <c r="CD26" i="1119"/>
  <c r="BK26" i="1119"/>
  <c r="AM26" i="1119"/>
  <c r="S26" i="1119"/>
  <c r="CZ26" i="1119"/>
  <c r="CB26" i="1119"/>
  <c r="BI26" i="1119"/>
  <c r="AL26" i="1119"/>
  <c r="R26" i="1119"/>
  <c r="Y26" i="1119"/>
  <c r="AY26" i="1119"/>
  <c r="BY26" i="1119"/>
  <c r="CT26" i="1119"/>
  <c r="CY29" i="1119"/>
  <c r="CQ29" i="1119"/>
  <c r="BV29" i="1119"/>
  <c r="AY29" i="1119"/>
  <c r="AE29" i="1119"/>
  <c r="G29" i="1119"/>
  <c r="CP29" i="1119"/>
  <c r="BQ29" i="1119"/>
  <c r="AX29" i="1119"/>
  <c r="AA29" i="1119"/>
  <c r="F29" i="1119"/>
  <c r="CS29" i="1119"/>
  <c r="BX29" i="1119"/>
  <c r="AZ29" i="1119"/>
  <c r="AF29" i="1119"/>
  <c r="H29" i="1119"/>
  <c r="AG29" i="1119"/>
  <c r="BI29" i="1119"/>
  <c r="CM29" i="1119"/>
  <c r="Q30" i="1119"/>
  <c r="BK30" i="1119"/>
  <c r="I31" i="1119"/>
  <c r="AH31" i="1119"/>
  <c r="BM31" i="1119"/>
  <c r="CR31" i="1119"/>
  <c r="Z34" i="1119"/>
  <c r="CZ34" i="1119"/>
  <c r="BW35" i="1119"/>
  <c r="T28" i="1119"/>
  <c r="AI28" i="1119"/>
  <c r="AX28" i="1119"/>
  <c r="BM28" i="1119"/>
  <c r="CE28" i="1119"/>
  <c r="CU28" i="1119"/>
  <c r="AG32" i="1119"/>
  <c r="BO32" i="1119"/>
  <c r="CP32" i="1119"/>
  <c r="BJ33" i="1119"/>
  <c r="AC36" i="1119"/>
  <c r="BS36" i="1119"/>
  <c r="DC36" i="1119"/>
  <c r="T37" i="1119"/>
  <c r="AM37" i="1119"/>
  <c r="BK37" i="1119"/>
  <c r="CI37" i="1119"/>
  <c r="W38" i="1119"/>
  <c r="AW38" i="1119"/>
  <c r="BW38" i="1119"/>
  <c r="W37" i="1119"/>
  <c r="AT37" i="1119"/>
  <c r="BM37" i="1119"/>
  <c r="CK37" i="1119"/>
  <c r="I36" i="1119"/>
  <c r="AM36" i="1119"/>
  <c r="BY36" i="1119"/>
  <c r="X37" i="1119"/>
  <c r="AV37" i="1119"/>
  <c r="BS37" i="1119"/>
  <c r="CM37" i="1119"/>
  <c r="G38" i="1119"/>
  <c r="AG38" i="1119"/>
  <c r="BG38" i="1119"/>
  <c r="CG38" i="1119"/>
  <c r="K36" i="1119"/>
  <c r="AX36" i="1119"/>
  <c r="CD36" i="1119"/>
  <c r="G37" i="1119"/>
  <c r="Z37" i="1119"/>
  <c r="AX37" i="1119"/>
  <c r="BV37" i="1119"/>
  <c r="CS37" i="1119"/>
  <c r="I38" i="1119"/>
  <c r="AI38" i="1119"/>
  <c r="BI38" i="1119"/>
  <c r="CI38" i="1119"/>
  <c r="I37" i="1119"/>
  <c r="AF37" i="1119"/>
  <c r="AY37" i="1119"/>
  <c r="BW37" i="1119"/>
  <c r="CT37" i="1119"/>
  <c r="W33" i="1119"/>
  <c r="J37" i="1119"/>
  <c r="AG37" i="1119"/>
  <c r="AZ37" i="1119"/>
  <c r="BX37" i="1119"/>
  <c r="CV37" i="1119"/>
  <c r="AB32" i="1119"/>
  <c r="BA32" i="1119"/>
  <c r="CM32" i="1119"/>
  <c r="AI33" i="1119"/>
  <c r="Z36" i="1119"/>
  <c r="BF36" i="1119"/>
  <c r="CV36" i="1119"/>
  <c r="L37" i="1119"/>
  <c r="AJ37" i="1119"/>
  <c r="BG37" i="1119"/>
  <c r="CA37" i="1119"/>
  <c r="CY37" i="1119"/>
  <c r="T38" i="1119"/>
  <c r="AT38" i="1119"/>
  <c r="BT38" i="1119"/>
  <c r="CU38" i="1119"/>
  <c r="Q28" i="1119"/>
  <c r="AG28" i="1119"/>
  <c r="AV28" i="1119"/>
  <c r="BK28" i="1119"/>
  <c r="BZ28" i="1119"/>
  <c r="CS28" i="1119"/>
  <c r="CN32" i="1119"/>
  <c r="BH33" i="1119"/>
  <c r="M37" i="1119"/>
  <c r="AK37" i="1119"/>
  <c r="BI37" i="1119"/>
  <c r="CF37" i="1119"/>
  <c r="CZ37" i="1119"/>
  <c r="R28" i="1119"/>
  <c r="AH28" i="1119"/>
  <c r="AW28" i="1119"/>
  <c r="BL28" i="1119"/>
  <c r="CD28" i="1119"/>
  <c r="AF32" i="1119"/>
  <c r="BM32" i="1119"/>
  <c r="BI33" i="1119"/>
  <c r="S37" i="1119"/>
  <c r="AL37" i="1119"/>
  <c r="BJ37" i="1119"/>
  <c r="CG37" i="1119"/>
  <c r="DA37" i="1119"/>
  <c r="F45" i="1119"/>
  <c r="K24" i="1119"/>
  <c r="X24" i="1119"/>
  <c r="AK24" i="1119"/>
  <c r="AX24" i="1119"/>
  <c r="BK24" i="1119"/>
  <c r="BX24" i="1119"/>
  <c r="CK24" i="1119"/>
  <c r="J27" i="1119"/>
  <c r="X27" i="1119"/>
  <c r="AL27" i="1119"/>
  <c r="AZ27" i="1119"/>
  <c r="BN27" i="1119"/>
  <c r="CC27" i="1119"/>
  <c r="CQ27" i="1119"/>
  <c r="DE27" i="1119"/>
  <c r="V33" i="1119"/>
  <c r="BD33" i="1119"/>
  <c r="BO27" i="1119"/>
  <c r="CD27" i="1119"/>
  <c r="CR27" i="1119"/>
  <c r="L27" i="1119"/>
  <c r="Z27" i="1119"/>
  <c r="AN27" i="1119"/>
  <c r="BB27" i="1119"/>
  <c r="BQ27" i="1119"/>
  <c r="CE27" i="1119"/>
  <c r="CT27" i="1119"/>
  <c r="DA24" i="1119"/>
  <c r="CO24" i="1119"/>
  <c r="CC24" i="1119"/>
  <c r="BQ24" i="1119"/>
  <c r="BE24" i="1119"/>
  <c r="AS24" i="1119"/>
  <c r="AG24" i="1119"/>
  <c r="U24" i="1119"/>
  <c r="I24" i="1119"/>
  <c r="N24" i="1119"/>
  <c r="AA24" i="1119"/>
  <c r="AN24" i="1119"/>
  <c r="BA24" i="1119"/>
  <c r="BN24" i="1119"/>
  <c r="CA24" i="1119"/>
  <c r="CN24" i="1119"/>
  <c r="DB24" i="1119"/>
  <c r="M27" i="1119"/>
  <c r="AA27" i="1119"/>
  <c r="AO27" i="1119"/>
  <c r="BC27" i="1119"/>
  <c r="BR27" i="1119"/>
  <c r="CG27" i="1119"/>
  <c r="CU27" i="1119"/>
  <c r="O24" i="1119"/>
  <c r="AB24" i="1119"/>
  <c r="AO24" i="1119"/>
  <c r="BB24" i="1119"/>
  <c r="BO24" i="1119"/>
  <c r="CB24" i="1119"/>
  <c r="CP24" i="1119"/>
  <c r="DC24" i="1119"/>
  <c r="N27" i="1119"/>
  <c r="AB27" i="1119"/>
  <c r="AP27" i="1119"/>
  <c r="BE27" i="1119"/>
  <c r="BT27" i="1119"/>
  <c r="CH27" i="1119"/>
  <c r="CX33" i="1119"/>
  <c r="CL33" i="1119"/>
  <c r="BZ33" i="1119"/>
  <c r="BN33" i="1119"/>
  <c r="BB33" i="1119"/>
  <c r="AP33" i="1119"/>
  <c r="AD33" i="1119"/>
  <c r="R33" i="1119"/>
  <c r="F33" i="1119"/>
  <c r="DE33" i="1119"/>
  <c r="CR33" i="1119"/>
  <c r="CE33" i="1119"/>
  <c r="BR33" i="1119"/>
  <c r="BE33" i="1119"/>
  <c r="AR33" i="1119"/>
  <c r="AE33" i="1119"/>
  <c r="Q33" i="1119"/>
  <c r="DB33" i="1119"/>
  <c r="CO33" i="1119"/>
  <c r="CB33" i="1119"/>
  <c r="BO33" i="1119"/>
  <c r="BA33" i="1119"/>
  <c r="AN33" i="1119"/>
  <c r="AA33" i="1119"/>
  <c r="N33" i="1119"/>
  <c r="DA33" i="1119"/>
  <c r="CK33" i="1119"/>
  <c r="BV33" i="1119"/>
  <c r="BG33" i="1119"/>
  <c r="AQ33" i="1119"/>
  <c r="Z33" i="1119"/>
  <c r="K33" i="1119"/>
  <c r="CZ33" i="1119"/>
  <c r="CJ33" i="1119"/>
  <c r="BU33" i="1119"/>
  <c r="BF33" i="1119"/>
  <c r="AO33" i="1119"/>
  <c r="Y33" i="1119"/>
  <c r="J33" i="1119"/>
  <c r="DD33" i="1119"/>
  <c r="CI33" i="1119"/>
  <c r="BQ33" i="1119"/>
  <c r="AX33" i="1119"/>
  <c r="AG33" i="1119"/>
  <c r="M33" i="1119"/>
  <c r="DC33" i="1119"/>
  <c r="CH33" i="1119"/>
  <c r="BP33" i="1119"/>
  <c r="AW33" i="1119"/>
  <c r="AF33" i="1119"/>
  <c r="L33" i="1119"/>
  <c r="CY33" i="1119"/>
  <c r="CG33" i="1119"/>
  <c r="BM33" i="1119"/>
  <c r="AV33" i="1119"/>
  <c r="AC33" i="1119"/>
  <c r="I33" i="1119"/>
  <c r="CW33" i="1119"/>
  <c r="CF33" i="1119"/>
  <c r="BL33" i="1119"/>
  <c r="AU33" i="1119"/>
  <c r="AB33" i="1119"/>
  <c r="H33" i="1119"/>
  <c r="CV33" i="1119"/>
  <c r="CD33" i="1119"/>
  <c r="BK33" i="1119"/>
  <c r="AT33" i="1119"/>
  <c r="X33" i="1119"/>
  <c r="G33" i="1119"/>
  <c r="AJ33" i="1119"/>
  <c r="BS33" i="1119"/>
  <c r="CT33" i="1119"/>
  <c r="CZ27" i="1119"/>
  <c r="CN27" i="1119"/>
  <c r="CB27" i="1119"/>
  <c r="BP27" i="1119"/>
  <c r="BD27" i="1119"/>
  <c r="AR27" i="1119"/>
  <c r="AF27" i="1119"/>
  <c r="T27" i="1119"/>
  <c r="H27" i="1119"/>
  <c r="CS27" i="1119"/>
  <c r="CF27" i="1119"/>
  <c r="BS27" i="1119"/>
  <c r="BF27" i="1119"/>
  <c r="AS27" i="1119"/>
  <c r="AE27" i="1119"/>
  <c r="R27" i="1119"/>
  <c r="E27" i="1119"/>
  <c r="O27" i="1119"/>
  <c r="AC27" i="1119"/>
  <c r="AQ27" i="1119"/>
  <c r="BG27" i="1119"/>
  <c r="BU27" i="1119"/>
  <c r="CI27" i="1119"/>
  <c r="CW27" i="1119"/>
  <c r="AK33" i="1119"/>
  <c r="BT33" i="1119"/>
  <c r="CU33" i="1119"/>
  <c r="Q24" i="1119"/>
  <c r="AD24" i="1119"/>
  <c r="AQ24" i="1119"/>
  <c r="BD24" i="1119"/>
  <c r="BR24" i="1119"/>
  <c r="CE24" i="1119"/>
  <c r="CR24" i="1119"/>
  <c r="DE24" i="1119"/>
  <c r="P27" i="1119"/>
  <c r="AD27" i="1119"/>
  <c r="AT27" i="1119"/>
  <c r="BH27" i="1119"/>
  <c r="BV27" i="1119"/>
  <c r="CJ27" i="1119"/>
  <c r="CX27" i="1119"/>
  <c r="E33" i="1119"/>
  <c r="AL33" i="1119"/>
  <c r="BW33" i="1119"/>
  <c r="E24" i="1119"/>
  <c r="R24" i="1119"/>
  <c r="AE24" i="1119"/>
  <c r="AR24" i="1119"/>
  <c r="BF24" i="1119"/>
  <c r="BS24" i="1119"/>
  <c r="CF24" i="1119"/>
  <c r="CS24" i="1119"/>
  <c r="DB25" i="1119"/>
  <c r="CP25" i="1119"/>
  <c r="DA25" i="1119"/>
  <c r="CN25" i="1119"/>
  <c r="CB25" i="1119"/>
  <c r="BP25" i="1119"/>
  <c r="BD25" i="1119"/>
  <c r="AR25" i="1119"/>
  <c r="AF25" i="1119"/>
  <c r="T25" i="1119"/>
  <c r="H25" i="1119"/>
  <c r="N25" i="1119"/>
  <c r="AA25" i="1119"/>
  <c r="AN25" i="1119"/>
  <c r="BA25" i="1119"/>
  <c r="BN25" i="1119"/>
  <c r="CA25" i="1119"/>
  <c r="CO25" i="1119"/>
  <c r="DD25" i="1119"/>
  <c r="Q27" i="1119"/>
  <c r="AG27" i="1119"/>
  <c r="AU27" i="1119"/>
  <c r="BI27" i="1119"/>
  <c r="BW27" i="1119"/>
  <c r="CK27" i="1119"/>
  <c r="CY27" i="1119"/>
  <c r="O33" i="1119"/>
  <c r="AM33" i="1119"/>
  <c r="BX33" i="1119"/>
  <c r="F24" i="1119"/>
  <c r="S24" i="1119"/>
  <c r="AF24" i="1119"/>
  <c r="AT24" i="1119"/>
  <c r="BG24" i="1119"/>
  <c r="BT24" i="1119"/>
  <c r="CG24" i="1119"/>
  <c r="CT24" i="1119"/>
  <c r="O25" i="1119"/>
  <c r="AB25" i="1119"/>
  <c r="AO25" i="1119"/>
  <c r="BB25" i="1119"/>
  <c r="BO25" i="1119"/>
  <c r="CC25" i="1119"/>
  <c r="CQ25" i="1119"/>
  <c r="DE25" i="1119"/>
  <c r="N26" i="1119"/>
  <c r="AB26" i="1119"/>
  <c r="AP26" i="1119"/>
  <c r="BD26" i="1119"/>
  <c r="BS26" i="1119"/>
  <c r="CG26" i="1119"/>
  <c r="S27" i="1119"/>
  <c r="AH27" i="1119"/>
  <c r="AV27" i="1119"/>
  <c r="BJ27" i="1119"/>
  <c r="BX27" i="1119"/>
  <c r="CL27" i="1119"/>
  <c r="DA27" i="1119"/>
  <c r="S30" i="1119"/>
  <c r="AS30" i="1119"/>
  <c r="BL30" i="1119"/>
  <c r="CM30" i="1119"/>
  <c r="P33" i="1119"/>
  <c r="AS33" i="1119"/>
  <c r="BY33" i="1119"/>
  <c r="G24" i="1119"/>
  <c r="T24" i="1119"/>
  <c r="AH24" i="1119"/>
  <c r="AU24" i="1119"/>
  <c r="BH24" i="1119"/>
  <c r="BU24" i="1119"/>
  <c r="CH24" i="1119"/>
  <c r="CU24" i="1119"/>
  <c r="P25" i="1119"/>
  <c r="AC25" i="1119"/>
  <c r="AP25" i="1119"/>
  <c r="BC25" i="1119"/>
  <c r="BQ25" i="1119"/>
  <c r="CD25" i="1119"/>
  <c r="CR25" i="1119"/>
  <c r="DA26" i="1119"/>
  <c r="CO26" i="1119"/>
  <c r="CC26" i="1119"/>
  <c r="BQ26" i="1119"/>
  <c r="BE26" i="1119"/>
  <c r="AS26" i="1119"/>
  <c r="AG26" i="1119"/>
  <c r="U26" i="1119"/>
  <c r="I26" i="1119"/>
  <c r="CW26" i="1119"/>
  <c r="CJ26" i="1119"/>
  <c r="BW26" i="1119"/>
  <c r="BJ26" i="1119"/>
  <c r="AW26" i="1119"/>
  <c r="AJ26" i="1119"/>
  <c r="W26" i="1119"/>
  <c r="J26" i="1119"/>
  <c r="O26" i="1119"/>
  <c r="AC26" i="1119"/>
  <c r="AQ26" i="1119"/>
  <c r="BF26" i="1119"/>
  <c r="BT26" i="1119"/>
  <c r="CH26" i="1119"/>
  <c r="CV26" i="1119"/>
  <c r="F27" i="1119"/>
  <c r="U27" i="1119"/>
  <c r="AI27" i="1119"/>
  <c r="AW27" i="1119"/>
  <c r="BK27" i="1119"/>
  <c r="BY27" i="1119"/>
  <c r="CM27" i="1119"/>
  <c r="DB27" i="1119"/>
  <c r="T30" i="1119"/>
  <c r="AT30" i="1119"/>
  <c r="BM30" i="1119"/>
  <c r="CN30" i="1119"/>
  <c r="S33" i="1119"/>
  <c r="AY33" i="1119"/>
  <c r="CA33" i="1119"/>
  <c r="H24" i="1119"/>
  <c r="V24" i="1119"/>
  <c r="AI24" i="1119"/>
  <c r="AV24" i="1119"/>
  <c r="BI24" i="1119"/>
  <c r="BV24" i="1119"/>
  <c r="CI24" i="1119"/>
  <c r="CV24" i="1119"/>
  <c r="Q25" i="1119"/>
  <c r="AD25" i="1119"/>
  <c r="AQ25" i="1119"/>
  <c r="BE25" i="1119"/>
  <c r="BR25" i="1119"/>
  <c r="CE25" i="1119"/>
  <c r="CS25" i="1119"/>
  <c r="P26" i="1119"/>
  <c r="AD26" i="1119"/>
  <c r="AR26" i="1119"/>
  <c r="BG26" i="1119"/>
  <c r="BU26" i="1119"/>
  <c r="CI26" i="1119"/>
  <c r="CX26" i="1119"/>
  <c r="G27" i="1119"/>
  <c r="V27" i="1119"/>
  <c r="AJ27" i="1119"/>
  <c r="AX27" i="1119"/>
  <c r="BL27" i="1119"/>
  <c r="BZ27" i="1119"/>
  <c r="CO27" i="1119"/>
  <c r="DC27" i="1119"/>
  <c r="U30" i="1119"/>
  <c r="AU30" i="1119"/>
  <c r="BQ30" i="1119"/>
  <c r="T33" i="1119"/>
  <c r="AZ33" i="1119"/>
  <c r="CC33" i="1119"/>
  <c r="J24" i="1119"/>
  <c r="W24" i="1119"/>
  <c r="AJ24" i="1119"/>
  <c r="AW24" i="1119"/>
  <c r="BJ24" i="1119"/>
  <c r="BW24" i="1119"/>
  <c r="CJ24" i="1119"/>
  <c r="CW24" i="1119"/>
  <c r="E25" i="1119"/>
  <c r="R25" i="1119"/>
  <c r="AE25" i="1119"/>
  <c r="AS25" i="1119"/>
  <c r="BF25" i="1119"/>
  <c r="BS25" i="1119"/>
  <c r="CF25" i="1119"/>
  <c r="CT25" i="1119"/>
  <c r="Q26" i="1119"/>
  <c r="AE26" i="1119"/>
  <c r="AT26" i="1119"/>
  <c r="BH26" i="1119"/>
  <c r="BV26" i="1119"/>
  <c r="CK26" i="1119"/>
  <c r="CY26" i="1119"/>
  <c r="I27" i="1119"/>
  <c r="W27" i="1119"/>
  <c r="AK27" i="1119"/>
  <c r="AY27" i="1119"/>
  <c r="BM27" i="1119"/>
  <c r="CA27" i="1119"/>
  <c r="CP27" i="1119"/>
  <c r="DD27" i="1119"/>
  <c r="CX30" i="1119"/>
  <c r="CL30" i="1119"/>
  <c r="BZ30" i="1119"/>
  <c r="BN30" i="1119"/>
  <c r="BB30" i="1119"/>
  <c r="AP30" i="1119"/>
  <c r="AD30" i="1119"/>
  <c r="R30" i="1119"/>
  <c r="F30" i="1119"/>
  <c r="DB30" i="1119"/>
  <c r="CO30" i="1119"/>
  <c r="CB30" i="1119"/>
  <c r="BO30" i="1119"/>
  <c r="BA30" i="1119"/>
  <c r="AN30" i="1119"/>
  <c r="AA30" i="1119"/>
  <c r="N30" i="1119"/>
  <c r="CS30" i="1119"/>
  <c r="CR30" i="1119"/>
  <c r="CD30" i="1119"/>
  <c r="BP30" i="1119"/>
  <c r="AZ30" i="1119"/>
  <c r="AL30" i="1119"/>
  <c r="X30" i="1119"/>
  <c r="J30" i="1119"/>
  <c r="DC30" i="1119"/>
  <c r="CK30" i="1119"/>
  <c r="BV30" i="1119"/>
  <c r="BG30" i="1119"/>
  <c r="AR30" i="1119"/>
  <c r="AB30" i="1119"/>
  <c r="L30" i="1119"/>
  <c r="DA30" i="1119"/>
  <c r="CJ30" i="1119"/>
  <c r="BU30" i="1119"/>
  <c r="BF30" i="1119"/>
  <c r="AQ30" i="1119"/>
  <c r="Z30" i="1119"/>
  <c r="K30" i="1119"/>
  <c r="CZ30" i="1119"/>
  <c r="CI30" i="1119"/>
  <c r="BT30" i="1119"/>
  <c r="BE30" i="1119"/>
  <c r="AO30" i="1119"/>
  <c r="Y30" i="1119"/>
  <c r="I30" i="1119"/>
  <c r="CW30" i="1119"/>
  <c r="CG30" i="1119"/>
  <c r="BR30" i="1119"/>
  <c r="BC30" i="1119"/>
  <c r="AK30" i="1119"/>
  <c r="V30" i="1119"/>
  <c r="G30" i="1119"/>
  <c r="W30" i="1119"/>
  <c r="AV30" i="1119"/>
  <c r="BS30" i="1119"/>
  <c r="CQ30" i="1119"/>
  <c r="U33" i="1119"/>
  <c r="BC33" i="1119"/>
  <c r="CM33" i="1119"/>
  <c r="CX34" i="1119"/>
  <c r="CL34" i="1119"/>
  <c r="BZ34" i="1119"/>
  <c r="BN34" i="1119"/>
  <c r="BB34" i="1119"/>
  <c r="AP34" i="1119"/>
  <c r="AD34" i="1119"/>
  <c r="R34" i="1119"/>
  <c r="F34" i="1119"/>
  <c r="DB34" i="1119"/>
  <c r="CO34" i="1119"/>
  <c r="CB34" i="1119"/>
  <c r="BO34" i="1119"/>
  <c r="BA34" i="1119"/>
  <c r="AN34" i="1119"/>
  <c r="AA34" i="1119"/>
  <c r="N34" i="1119"/>
  <c r="CY34" i="1119"/>
  <c r="CK34" i="1119"/>
  <c r="BX34" i="1119"/>
  <c r="BK34" i="1119"/>
  <c r="AX34" i="1119"/>
  <c r="AK34" i="1119"/>
  <c r="X34" i="1119"/>
  <c r="K34" i="1119"/>
  <c r="CR34" i="1119"/>
  <c r="DD34" i="1119"/>
  <c r="CN34" i="1119"/>
  <c r="BW34" i="1119"/>
  <c r="BH34" i="1119"/>
  <c r="AS34" i="1119"/>
  <c r="AC34" i="1119"/>
  <c r="M34" i="1119"/>
  <c r="DC34" i="1119"/>
  <c r="CM34" i="1119"/>
  <c r="BV34" i="1119"/>
  <c r="BG34" i="1119"/>
  <c r="AR34" i="1119"/>
  <c r="AB34" i="1119"/>
  <c r="L34" i="1119"/>
  <c r="T34" i="1119"/>
  <c r="AL34" i="1119"/>
  <c r="BE34" i="1119"/>
  <c r="BY34" i="1119"/>
  <c r="CS34" i="1119"/>
  <c r="G35" i="1119"/>
  <c r="AA35" i="1119"/>
  <c r="AW35" i="1119"/>
  <c r="BR35" i="1119"/>
  <c r="CM35" i="1119"/>
  <c r="L29" i="1119"/>
  <c r="Z29" i="1119"/>
  <c r="AN29" i="1119"/>
  <c r="BB29" i="1119"/>
  <c r="BP29" i="1119"/>
  <c r="CF29" i="1119"/>
  <c r="CU29" i="1119"/>
  <c r="CX32" i="1119"/>
  <c r="CL32" i="1119"/>
  <c r="BZ32" i="1119"/>
  <c r="BN32" i="1119"/>
  <c r="BB32" i="1119"/>
  <c r="AP32" i="1119"/>
  <c r="AD32" i="1119"/>
  <c r="R32" i="1119"/>
  <c r="F32" i="1119"/>
  <c r="CU32" i="1119"/>
  <c r="CH32" i="1119"/>
  <c r="BU32" i="1119"/>
  <c r="BH32" i="1119"/>
  <c r="AU32" i="1119"/>
  <c r="AH32" i="1119"/>
  <c r="U32" i="1119"/>
  <c r="H32" i="1119"/>
  <c r="DE32" i="1119"/>
  <c r="CR32" i="1119"/>
  <c r="CE32" i="1119"/>
  <c r="BR32" i="1119"/>
  <c r="BE32" i="1119"/>
  <c r="AR32" i="1119"/>
  <c r="AE32" i="1119"/>
  <c r="Q32" i="1119"/>
  <c r="CZ32" i="1119"/>
  <c r="CJ32" i="1119"/>
  <c r="BT32" i="1119"/>
  <c r="BD32" i="1119"/>
  <c r="AN32" i="1119"/>
  <c r="Y32" i="1119"/>
  <c r="J32" i="1119"/>
  <c r="CY32" i="1119"/>
  <c r="CI32" i="1119"/>
  <c r="BS32" i="1119"/>
  <c r="BC32" i="1119"/>
  <c r="AM32" i="1119"/>
  <c r="X32" i="1119"/>
  <c r="I32" i="1119"/>
  <c r="T32" i="1119"/>
  <c r="AL32" i="1119"/>
  <c r="BG32" i="1119"/>
  <c r="BY32" i="1119"/>
  <c r="CQ32" i="1119"/>
  <c r="J34" i="1119"/>
  <c r="AF34" i="1119"/>
  <c r="AW34" i="1119"/>
  <c r="BQ34" i="1119"/>
  <c r="CH34" i="1119"/>
  <c r="DE34" i="1119"/>
  <c r="T35" i="1119"/>
  <c r="AN35" i="1119"/>
  <c r="BG35" i="1119"/>
  <c r="CE35" i="1119"/>
  <c r="N36" i="1119"/>
  <c r="AN36" i="1119"/>
  <c r="BJ36" i="1119"/>
  <c r="CM36" i="1119"/>
  <c r="V32" i="1119"/>
  <c r="AO32" i="1119"/>
  <c r="BI32" i="1119"/>
  <c r="CA32" i="1119"/>
  <c r="CS32" i="1119"/>
  <c r="O34" i="1119"/>
  <c r="AG34" i="1119"/>
  <c r="AY34" i="1119"/>
  <c r="BR34" i="1119"/>
  <c r="CI34" i="1119"/>
  <c r="CX35" i="1119"/>
  <c r="CL35" i="1119"/>
  <c r="BZ35" i="1119"/>
  <c r="BN35" i="1119"/>
  <c r="BB35" i="1119"/>
  <c r="AP35" i="1119"/>
  <c r="AD35" i="1119"/>
  <c r="R35" i="1119"/>
  <c r="F35" i="1119"/>
  <c r="CY35" i="1119"/>
  <c r="CK35" i="1119"/>
  <c r="BX35" i="1119"/>
  <c r="BK35" i="1119"/>
  <c r="AX35" i="1119"/>
  <c r="AK35" i="1119"/>
  <c r="X35" i="1119"/>
  <c r="K35" i="1119"/>
  <c r="CU35" i="1119"/>
  <c r="CH35" i="1119"/>
  <c r="BU35" i="1119"/>
  <c r="BH35" i="1119"/>
  <c r="AU35" i="1119"/>
  <c r="AH35" i="1119"/>
  <c r="U35" i="1119"/>
  <c r="H35" i="1119"/>
  <c r="CS35" i="1119"/>
  <c r="CD35" i="1119"/>
  <c r="BO35" i="1119"/>
  <c r="AY35" i="1119"/>
  <c r="AI35" i="1119"/>
  <c r="S35" i="1119"/>
  <c r="DE35" i="1119"/>
  <c r="CP35" i="1119"/>
  <c r="CA35" i="1119"/>
  <c r="BJ35" i="1119"/>
  <c r="AT35" i="1119"/>
  <c r="AE35" i="1119"/>
  <c r="O35" i="1119"/>
  <c r="DD35" i="1119"/>
  <c r="CO35" i="1119"/>
  <c r="BY35" i="1119"/>
  <c r="BI35" i="1119"/>
  <c r="AS35" i="1119"/>
  <c r="AC35" i="1119"/>
  <c r="N35" i="1119"/>
  <c r="V35" i="1119"/>
  <c r="AO35" i="1119"/>
  <c r="BL35" i="1119"/>
  <c r="CF35" i="1119"/>
  <c r="DA35" i="1119"/>
  <c r="S36" i="1119"/>
  <c r="AO36" i="1119"/>
  <c r="BM36" i="1119"/>
  <c r="CN36" i="1119"/>
  <c r="DB28" i="1119"/>
  <c r="CP28" i="1119"/>
  <c r="CZ28" i="1119"/>
  <c r="CM28" i="1119"/>
  <c r="CA28" i="1119"/>
  <c r="BO28" i="1119"/>
  <c r="BC28" i="1119"/>
  <c r="AQ28" i="1119"/>
  <c r="AE28" i="1119"/>
  <c r="S28" i="1119"/>
  <c r="G28" i="1119"/>
  <c r="N28" i="1119"/>
  <c r="AA28" i="1119"/>
  <c r="AN28" i="1119"/>
  <c r="BA28" i="1119"/>
  <c r="BN28" i="1119"/>
  <c r="CB28" i="1119"/>
  <c r="CO28" i="1119"/>
  <c r="DD28" i="1119"/>
  <c r="N29" i="1119"/>
  <c r="AB29" i="1119"/>
  <c r="AP29" i="1119"/>
  <c r="BD29" i="1119"/>
  <c r="BS29" i="1119"/>
  <c r="CH29" i="1119"/>
  <c r="CW29" i="1119"/>
  <c r="W32" i="1119"/>
  <c r="AQ32" i="1119"/>
  <c r="BJ32" i="1119"/>
  <c r="CB32" i="1119"/>
  <c r="CT32" i="1119"/>
  <c r="P34" i="1119"/>
  <c r="AH34" i="1119"/>
  <c r="AZ34" i="1119"/>
  <c r="BS34" i="1119"/>
  <c r="CJ34" i="1119"/>
  <c r="W35" i="1119"/>
  <c r="AQ35" i="1119"/>
  <c r="BM35" i="1119"/>
  <c r="CG35" i="1119"/>
  <c r="DB35" i="1119"/>
  <c r="W36" i="1119"/>
  <c r="AQ36" i="1119"/>
  <c r="BQ36" i="1119"/>
  <c r="O28" i="1119"/>
  <c r="AB28" i="1119"/>
  <c r="AO28" i="1119"/>
  <c r="BB28" i="1119"/>
  <c r="BP28" i="1119"/>
  <c r="CC28" i="1119"/>
  <c r="CQ28" i="1119"/>
  <c r="DE28" i="1119"/>
  <c r="O29" i="1119"/>
  <c r="AC29" i="1119"/>
  <c r="AQ29" i="1119"/>
  <c r="BE29" i="1119"/>
  <c r="BT29" i="1119"/>
  <c r="CI29" i="1119"/>
  <c r="E32" i="1119"/>
  <c r="Z32" i="1119"/>
  <c r="AS32" i="1119"/>
  <c r="BK32" i="1119"/>
  <c r="CC32" i="1119"/>
  <c r="CV32" i="1119"/>
  <c r="Q34" i="1119"/>
  <c r="AI34" i="1119"/>
  <c r="BC34" i="1119"/>
  <c r="BT34" i="1119"/>
  <c r="CP34" i="1119"/>
  <c r="Y35" i="1119"/>
  <c r="AR35" i="1119"/>
  <c r="BP35" i="1119"/>
  <c r="CI35" i="1119"/>
  <c r="DC35" i="1119"/>
  <c r="CX29" i="1119"/>
  <c r="CL29" i="1119"/>
  <c r="BZ29" i="1119"/>
  <c r="DE29" i="1119"/>
  <c r="CR29" i="1119"/>
  <c r="CE29" i="1119"/>
  <c r="BR29" i="1119"/>
  <c r="BF29" i="1119"/>
  <c r="AT29" i="1119"/>
  <c r="AH29" i="1119"/>
  <c r="V29" i="1119"/>
  <c r="J29" i="1119"/>
  <c r="CZ29" i="1119"/>
  <c r="CK29" i="1119"/>
  <c r="BW29" i="1119"/>
  <c r="BJ29" i="1119"/>
  <c r="AW29" i="1119"/>
  <c r="AJ29" i="1119"/>
  <c r="W29" i="1119"/>
  <c r="I29" i="1119"/>
  <c r="P29" i="1119"/>
  <c r="AD29" i="1119"/>
  <c r="AR29" i="1119"/>
  <c r="BG29" i="1119"/>
  <c r="BU29" i="1119"/>
  <c r="CJ29" i="1119"/>
  <c r="DA29" i="1119"/>
  <c r="G32" i="1119"/>
  <c r="AA32" i="1119"/>
  <c r="AT32" i="1119"/>
  <c r="BL32" i="1119"/>
  <c r="CD32" i="1119"/>
  <c r="CW32" i="1119"/>
  <c r="S34" i="1119"/>
  <c r="AJ34" i="1119"/>
  <c r="BD34" i="1119"/>
  <c r="BU34" i="1119"/>
  <c r="CQ34" i="1119"/>
  <c r="E35" i="1119"/>
  <c r="Z35" i="1119"/>
  <c r="AV35" i="1119"/>
  <c r="BQ35" i="1119"/>
  <c r="CJ35" i="1119"/>
  <c r="CX36" i="1119"/>
  <c r="CL36" i="1119"/>
  <c r="BZ36" i="1119"/>
  <c r="BN36" i="1119"/>
  <c r="BB36" i="1119"/>
  <c r="AP36" i="1119"/>
  <c r="AD36" i="1119"/>
  <c r="R36" i="1119"/>
  <c r="F36" i="1119"/>
  <c r="CU36" i="1119"/>
  <c r="CH36" i="1119"/>
  <c r="BU36" i="1119"/>
  <c r="BH36" i="1119"/>
  <c r="AU36" i="1119"/>
  <c r="AH36" i="1119"/>
  <c r="U36" i="1119"/>
  <c r="H36" i="1119"/>
  <c r="DE36" i="1119"/>
  <c r="CR36" i="1119"/>
  <c r="CE36" i="1119"/>
  <c r="BR36" i="1119"/>
  <c r="BE36" i="1119"/>
  <c r="AR36" i="1119"/>
  <c r="AE36" i="1119"/>
  <c r="Q36" i="1119"/>
  <c r="CY36" i="1119"/>
  <c r="CK36" i="1119"/>
  <c r="BX36" i="1119"/>
  <c r="CZ36" i="1119"/>
  <c r="CG36" i="1119"/>
  <c r="BP36" i="1119"/>
  <c r="AZ36" i="1119"/>
  <c r="AK36" i="1119"/>
  <c r="V36" i="1119"/>
  <c r="E36" i="1119"/>
  <c r="CW36" i="1119"/>
  <c r="CF36" i="1119"/>
  <c r="BO36" i="1119"/>
  <c r="AY36" i="1119"/>
  <c r="AJ36" i="1119"/>
  <c r="T36" i="1119"/>
  <c r="CT36" i="1119"/>
  <c r="CC36" i="1119"/>
  <c r="BL36" i="1119"/>
  <c r="AW36" i="1119"/>
  <c r="AG36" i="1119"/>
  <c r="P36" i="1119"/>
  <c r="CS36" i="1119"/>
  <c r="CB36" i="1119"/>
  <c r="BK36" i="1119"/>
  <c r="AV36" i="1119"/>
  <c r="AF36" i="1119"/>
  <c r="O36" i="1119"/>
  <c r="Y36" i="1119"/>
  <c r="AT36" i="1119"/>
  <c r="BT36" i="1119"/>
  <c r="CQ36" i="1119"/>
  <c r="E49" i="1119"/>
  <c r="F42" i="1119"/>
  <c r="CX31" i="1119"/>
  <c r="CL31" i="1119"/>
  <c r="BZ31" i="1119"/>
  <c r="BN31" i="1119"/>
  <c r="BB31" i="1119"/>
  <c r="AP31" i="1119"/>
  <c r="AD31" i="1119"/>
  <c r="R31" i="1119"/>
  <c r="F31" i="1119"/>
  <c r="CY31" i="1119"/>
  <c r="CK31" i="1119"/>
  <c r="BX31" i="1119"/>
  <c r="BK31" i="1119"/>
  <c r="AX31" i="1119"/>
  <c r="AK31" i="1119"/>
  <c r="X31" i="1119"/>
  <c r="K31" i="1119"/>
  <c r="P31" i="1119"/>
  <c r="AE31" i="1119"/>
  <c r="AS31" i="1119"/>
  <c r="BG31" i="1119"/>
  <c r="BU31" i="1119"/>
  <c r="CI31" i="1119"/>
  <c r="CW31" i="1119"/>
  <c r="Q31" i="1119"/>
  <c r="AF31" i="1119"/>
  <c r="AT31" i="1119"/>
  <c r="BH31" i="1119"/>
  <c r="BV31" i="1119"/>
  <c r="CJ31" i="1119"/>
  <c r="CZ31" i="1119"/>
  <c r="CQ38" i="1119"/>
  <c r="DD38" i="1119"/>
  <c r="H37" i="1119"/>
  <c r="U37" i="1119"/>
  <c r="AH37" i="1119"/>
  <c r="AU37" i="1119"/>
  <c r="BH37" i="1119"/>
  <c r="BU37" i="1119"/>
  <c r="CH37" i="1119"/>
  <c r="CU37" i="1119"/>
  <c r="Q38" i="1119"/>
  <c r="AE38" i="1119"/>
  <c r="AR38" i="1119"/>
  <c r="BE38" i="1119"/>
  <c r="BR38" i="1119"/>
  <c r="CE38" i="1119"/>
  <c r="CR38" i="1119"/>
  <c r="DE38" i="1119"/>
  <c r="N37" i="1119"/>
  <c r="AA37" i="1119"/>
  <c r="AN37" i="1119"/>
  <c r="BA37" i="1119"/>
  <c r="BO37" i="1119"/>
  <c r="CB37" i="1119"/>
  <c r="CO37" i="1119"/>
  <c r="K38" i="1119"/>
  <c r="X38" i="1119"/>
  <c r="AK38" i="1119"/>
  <c r="AX38" i="1119"/>
  <c r="BK38" i="1119"/>
  <c r="BX38" i="1119"/>
  <c r="CK38" i="1119"/>
  <c r="CY38" i="1119"/>
  <c r="CX37" i="1119"/>
  <c r="CL37" i="1119"/>
  <c r="BZ37" i="1119"/>
  <c r="BN37" i="1119"/>
  <c r="BB37" i="1119"/>
  <c r="AP37" i="1119"/>
  <c r="AD37" i="1119"/>
  <c r="R37" i="1119"/>
  <c r="F37" i="1119"/>
  <c r="O37" i="1119"/>
  <c r="AB37" i="1119"/>
  <c r="AO37" i="1119"/>
  <c r="BC37" i="1119"/>
  <c r="BP37" i="1119"/>
  <c r="CC37" i="1119"/>
  <c r="CP37" i="1119"/>
  <c r="DC37" i="1119"/>
  <c r="L38" i="1119"/>
  <c r="Y38" i="1119"/>
  <c r="AL38" i="1119"/>
  <c r="AY38" i="1119"/>
  <c r="BL38" i="1119"/>
  <c r="BY38" i="1119"/>
  <c r="CM38" i="1119"/>
  <c r="CZ38" i="1119"/>
  <c r="P37" i="1119"/>
  <c r="AC37" i="1119"/>
  <c r="AQ37" i="1119"/>
  <c r="BD37" i="1119"/>
  <c r="BQ37" i="1119"/>
  <c r="CD37" i="1119"/>
  <c r="CQ37" i="1119"/>
  <c r="DD37" i="1119"/>
  <c r="M38" i="1119"/>
  <c r="Z38" i="1119"/>
  <c r="AM38" i="1119"/>
  <c r="AZ38" i="1119"/>
  <c r="BM38" i="1119"/>
  <c r="CA38" i="1119"/>
  <c r="CN38" i="1119"/>
  <c r="DA38" i="1119"/>
  <c r="Q37" i="1119"/>
  <c r="AE37" i="1119"/>
  <c r="AR37" i="1119"/>
  <c r="BE37" i="1119"/>
  <c r="BR37" i="1119"/>
  <c r="CE37" i="1119"/>
  <c r="CR37" i="1119"/>
  <c r="DE37" i="1119"/>
  <c r="N38" i="1119"/>
  <c r="AA38" i="1119"/>
  <c r="AN38" i="1119"/>
  <c r="BA38" i="1119"/>
  <c r="BO38" i="1119"/>
  <c r="CB38" i="1119"/>
  <c r="CO38" i="1119"/>
  <c r="CX38" i="1119"/>
  <c r="CL38" i="1119"/>
  <c r="BZ38" i="1119"/>
  <c r="BN38" i="1119"/>
  <c r="BB38" i="1119"/>
  <c r="AP38" i="1119"/>
  <c r="AD38" i="1119"/>
  <c r="R38" i="1119"/>
  <c r="F38" i="1119"/>
  <c r="O38" i="1119"/>
  <c r="AB38" i="1119"/>
  <c r="AO38" i="1119"/>
  <c r="BC38" i="1119"/>
  <c r="BP38" i="1119"/>
  <c r="CC38" i="1119"/>
  <c r="CP38" i="1119"/>
  <c r="DC38" i="1119"/>
  <c r="G5" i="1119" l="1"/>
  <c r="F4" i="1119"/>
  <c r="D28" i="1119"/>
  <c r="D35" i="1119"/>
  <c r="D32" i="1119"/>
  <c r="F49" i="1119"/>
  <c r="D30" i="1119"/>
  <c r="D27" i="1119"/>
  <c r="D38" i="1119"/>
  <c r="D29" i="1119"/>
  <c r="D31" i="1119"/>
  <c r="D24" i="1119"/>
  <c r="D26" i="1119"/>
  <c r="D25" i="1119"/>
  <c r="D34" i="1119"/>
  <c r="D36" i="1119"/>
  <c r="D37" i="1119"/>
  <c r="D33" i="1119"/>
  <c r="G4" i="1119" l="1"/>
  <c r="H5" i="1119"/>
  <c r="D39" i="1119"/>
  <c r="H4" i="1119" l="1"/>
  <c r="I5" i="1119"/>
  <c r="I4" i="1119" l="1"/>
  <c r="J5" i="1119"/>
  <c r="J4" i="1119" l="1"/>
  <c r="K2" i="1119"/>
  <c r="K5" i="1119"/>
  <c r="K4" i="1119" l="1"/>
  <c r="L5" i="1119"/>
  <c r="L4" i="1119" l="1"/>
  <c r="M5" i="1119"/>
  <c r="M4" i="1119" l="1"/>
  <c r="N5" i="1119"/>
  <c r="N4" i="1119" l="1"/>
  <c r="O5" i="1119"/>
  <c r="O4" i="1119" l="1"/>
  <c r="P5" i="1119"/>
  <c r="P2" i="1119"/>
  <c r="P4" i="1119" l="1"/>
  <c r="Q5" i="1119"/>
  <c r="R5" i="1119" l="1"/>
  <c r="Q4" i="1119"/>
  <c r="S5" i="1119" l="1"/>
  <c r="R4" i="1119"/>
  <c r="S4" i="1119" l="1"/>
  <c r="T5" i="1119"/>
  <c r="U2" i="1119" l="1"/>
  <c r="T4" i="1119"/>
  <c r="U5" i="1119"/>
  <c r="U4" i="1119" l="1"/>
  <c r="V5" i="1119"/>
  <c r="V4" i="1119" l="1"/>
  <c r="W5" i="1119"/>
  <c r="W4" i="1119" l="1"/>
  <c r="X5" i="1119"/>
  <c r="X4" i="1119" l="1"/>
  <c r="Y5" i="1119"/>
  <c r="Y4" i="1119" l="1"/>
  <c r="Z2" i="1119"/>
  <c r="Z5" i="1119"/>
  <c r="Z4" i="1119" l="1"/>
  <c r="AA5" i="1119"/>
  <c r="AA4" i="1119" l="1"/>
  <c r="AB5" i="1119"/>
  <c r="AB4" i="1119" l="1"/>
  <c r="AC5" i="1119"/>
  <c r="AD5" i="1119" l="1"/>
  <c r="AC4" i="1119"/>
  <c r="AE5" i="1119" l="1"/>
  <c r="AE2" i="1119"/>
  <c r="AD4" i="1119"/>
  <c r="AE4" i="1119" l="1"/>
  <c r="AF5" i="1119"/>
  <c r="AF4" i="1119" l="1"/>
  <c r="AG5" i="1119"/>
  <c r="AG4" i="1119" l="1"/>
  <c r="AH5" i="1119"/>
  <c r="AH4" i="1119" l="1"/>
  <c r="AI5" i="1119"/>
  <c r="AJ2" i="1119" l="1"/>
  <c r="AI4" i="1119"/>
  <c r="AJ5" i="1119"/>
  <c r="AJ4" i="1119" l="1"/>
  <c r="AK5" i="1119"/>
  <c r="AK4" i="1119" l="1"/>
  <c r="AL5" i="1119"/>
  <c r="AL4" i="1119" l="1"/>
  <c r="AM5" i="1119"/>
  <c r="AM4" i="1119" l="1"/>
  <c r="AN5" i="1119"/>
  <c r="AN4" i="1119" l="1"/>
  <c r="AO2" i="1119"/>
  <c r="AO5" i="1119"/>
  <c r="AP5" i="1119" l="1"/>
  <c r="AO4" i="1119"/>
  <c r="AQ5" i="1119" l="1"/>
  <c r="AP4" i="1119"/>
  <c r="AQ4" i="1119" l="1"/>
  <c r="AR5" i="1119"/>
  <c r="AR4" i="1119" l="1"/>
  <c r="AS5" i="1119"/>
  <c r="AS4" i="1119" l="1"/>
  <c r="AT2" i="1119"/>
  <c r="AT5" i="1119"/>
  <c r="AT4" i="1119" l="1"/>
  <c r="AU5" i="1119"/>
  <c r="AU4" i="1119" l="1"/>
  <c r="AV5" i="1119"/>
  <c r="AV4" i="1119" l="1"/>
  <c r="AW5" i="1119"/>
  <c r="AW4" i="1119" l="1"/>
  <c r="AX5" i="1119"/>
  <c r="AX4" i="1119" l="1"/>
  <c r="AY5" i="1119"/>
  <c r="AY2" i="1119"/>
  <c r="AY4" i="1119" l="1"/>
  <c r="AZ5" i="1119"/>
  <c r="AZ4" i="1119" l="1"/>
  <c r="BA5" i="1119"/>
  <c r="BB5" i="1119" l="1"/>
  <c r="BA4" i="1119"/>
  <c r="BC5" i="1119" l="1"/>
  <c r="BB4" i="1119"/>
  <c r="BC4" i="1119" l="1"/>
  <c r="BD2" i="1119"/>
  <c r="BD5" i="1119"/>
  <c r="BD4" i="1119" l="1"/>
  <c r="BE5" i="1119"/>
  <c r="BE4" i="1119" l="1"/>
  <c r="BF5" i="1119"/>
  <c r="BF4" i="1119" l="1"/>
  <c r="BG5" i="1119"/>
  <c r="BG4" i="1119" l="1"/>
  <c r="BH5" i="1119"/>
  <c r="BH4" i="1119" l="1"/>
  <c r="BI5" i="1119"/>
  <c r="BI2" i="1119"/>
  <c r="BI4" i="1119" l="1"/>
  <c r="BJ5" i="1119"/>
  <c r="BJ4" i="1119" l="1"/>
  <c r="BK5" i="1119"/>
  <c r="BK4" i="1119" l="1"/>
  <c r="BL5" i="1119"/>
  <c r="BL4" i="1119" l="1"/>
  <c r="BM5" i="1119"/>
  <c r="BN5" i="1119" l="1"/>
  <c r="BN2" i="1119"/>
  <c r="BM4" i="1119"/>
  <c r="BO5" i="1119" l="1"/>
  <c r="BN4" i="1119"/>
  <c r="BO4" i="1119" l="1"/>
  <c r="BP5" i="1119"/>
  <c r="BP4" i="1119" l="1"/>
  <c r="BQ5" i="1119"/>
  <c r="BQ4" i="1119" l="1"/>
  <c r="BR5" i="1119"/>
  <c r="BR4" i="1119" l="1"/>
  <c r="BS2" i="1119"/>
  <c r="BS5" i="1119"/>
  <c r="BS4" i="1119" l="1"/>
  <c r="BT5" i="1119"/>
  <c r="BT4" i="1119" l="1"/>
  <c r="BU5" i="1119"/>
  <c r="BU4" i="1119" l="1"/>
  <c r="BV5" i="1119"/>
  <c r="BV4" i="1119" l="1"/>
  <c r="BW5" i="1119"/>
  <c r="BW4" i="1119" l="1"/>
  <c r="BX5" i="1119"/>
  <c r="BX2" i="1119"/>
  <c r="BX4" i="1119" l="1"/>
  <c r="BY5" i="1119"/>
  <c r="BZ5" i="1119" l="1"/>
  <c r="BY4" i="1119"/>
  <c r="CA5" i="1119" l="1"/>
  <c r="BZ4" i="1119"/>
  <c r="CA4" i="1119" l="1"/>
  <c r="CB5" i="1119"/>
  <c r="CC2" i="1119" l="1"/>
  <c r="CB4" i="1119"/>
  <c r="CC5" i="1119"/>
  <c r="CD5" i="1119" l="1"/>
  <c r="CC4" i="1119"/>
  <c r="CD4" i="1119" l="1"/>
  <c r="CE5" i="1119"/>
  <c r="CE4" i="1119" l="1"/>
  <c r="CF5" i="1119"/>
  <c r="CF4" i="1119" l="1"/>
  <c r="CG5" i="1119"/>
  <c r="CG4" i="1119" l="1"/>
  <c r="CH2" i="1119"/>
  <c r="CH5" i="1119"/>
  <c r="CH4" i="1119" l="1"/>
  <c r="CI5" i="1119"/>
  <c r="CI4" i="1119" l="1"/>
  <c r="CJ5" i="1119"/>
  <c r="CJ4" i="1119" l="1"/>
  <c r="CK5" i="1119"/>
  <c r="CL5" i="1119" l="1"/>
  <c r="CK4" i="1119"/>
  <c r="CM5" i="1119" l="1"/>
  <c r="CM2" i="1119"/>
  <c r="CL4" i="1119"/>
  <c r="CN5" i="1119" l="1"/>
  <c r="CM4" i="1119"/>
  <c r="CN4" i="1119" l="1"/>
  <c r="CO5" i="1119"/>
  <c r="CP5" i="1119" l="1"/>
  <c r="CO4" i="1119"/>
  <c r="CP4" i="1119" l="1"/>
  <c r="CQ5" i="1119"/>
  <c r="CR2" i="1119" l="1"/>
  <c r="CQ4" i="1119"/>
  <c r="CR5" i="1119"/>
  <c r="CR4" i="1119" l="1"/>
  <c r="CS5" i="1119"/>
  <c r="CS4" i="1119" l="1"/>
  <c r="CT5" i="1119"/>
  <c r="CT4" i="1119" l="1"/>
  <c r="CU5" i="1119"/>
  <c r="CU4" i="1119" l="1"/>
  <c r="CV5" i="1119"/>
  <c r="CV4" i="1119" l="1"/>
  <c r="CW2" i="1119"/>
  <c r="CW5" i="1119"/>
  <c r="CX5" i="1119" l="1"/>
  <c r="CW4" i="1119"/>
  <c r="CY5" i="1119" l="1"/>
  <c r="CX4" i="1119"/>
  <c r="CZ5" i="1119" l="1"/>
  <c r="CY4" i="1119"/>
  <c r="DA5" i="1119" l="1"/>
  <c r="CZ4" i="1119"/>
  <c r="DB5" i="1119" l="1"/>
  <c r="DB2" i="1119"/>
  <c r="DA4" i="1119"/>
  <c r="DB4" i="1119" l="1"/>
  <c r="DC5" i="1119"/>
  <c r="DC4" i="1119" l="1"/>
  <c r="DD5" i="1119"/>
  <c r="DD4" i="1119" l="1"/>
  <c r="DE5" i="1119"/>
  <c r="DE4" i="1119" s="1"/>
  <c r="E5" i="13"/>
  <c r="E5" i="24"/>
  <c r="I3" i="10" a="1"/>
  <c r="H3" i="10" a="1"/>
  <c r="G3" i="10" a="1"/>
  <c r="F3" i="10" a="1"/>
  <c r="E2" i="13" l="1"/>
  <c r="E4" i="13"/>
  <c r="E2" i="24"/>
  <c r="E26" i="24"/>
  <c r="DE38" i="13"/>
  <c r="DD38" i="13"/>
  <c r="DC38" i="13"/>
  <c r="DB38" i="13"/>
  <c r="DA38" i="13"/>
  <c r="CZ38" i="13"/>
  <c r="CY38" i="13"/>
  <c r="CX38" i="13"/>
  <c r="CW38" i="13"/>
  <c r="CV38" i="13"/>
  <c r="CU38" i="13"/>
  <c r="CT38" i="13"/>
  <c r="CS38" i="13"/>
  <c r="CR38" i="13"/>
  <c r="CQ38" i="13"/>
  <c r="CP38" i="13"/>
  <c r="CO38" i="13"/>
  <c r="CN38" i="13"/>
  <c r="CM38" i="13"/>
  <c r="CL38" i="13"/>
  <c r="CK38" i="13"/>
  <c r="CJ38" i="13"/>
  <c r="CI38" i="13"/>
  <c r="CH38" i="13"/>
  <c r="CG38" i="13"/>
  <c r="CF38" i="13"/>
  <c r="CE38" i="13"/>
  <c r="CD38" i="13"/>
  <c r="CC38" i="13"/>
  <c r="CB38" i="13"/>
  <c r="CA38" i="13"/>
  <c r="BZ38" i="13"/>
  <c r="BY38" i="13"/>
  <c r="BX38" i="13"/>
  <c r="BW38" i="13"/>
  <c r="BV38" i="13"/>
  <c r="BU38" i="13"/>
  <c r="BT38" i="13"/>
  <c r="BS38" i="13"/>
  <c r="BR38" i="13"/>
  <c r="BQ38" i="13"/>
  <c r="BP38" i="13"/>
  <c r="BO38" i="13"/>
  <c r="BN38" i="13"/>
  <c r="BM38" i="13"/>
  <c r="BL38" i="13"/>
  <c r="BK38" i="13"/>
  <c r="BJ38" i="13"/>
  <c r="BI38" i="13"/>
  <c r="BH38" i="13"/>
  <c r="BG38" i="13"/>
  <c r="BF38" i="13"/>
  <c r="BE38" i="13"/>
  <c r="BD38" i="13"/>
  <c r="BC38" i="13"/>
  <c r="BB38" i="13"/>
  <c r="BA38" i="13"/>
  <c r="AZ38" i="13"/>
  <c r="AY38" i="13"/>
  <c r="AX38" i="13"/>
  <c r="AW38" i="13"/>
  <c r="AV38" i="13"/>
  <c r="AU38" i="13"/>
  <c r="AT38" i="13"/>
  <c r="AS38" i="13"/>
  <c r="AR38" i="13"/>
  <c r="AQ38" i="13"/>
  <c r="AP38" i="13"/>
  <c r="AO38" i="13"/>
  <c r="AN38" i="13"/>
  <c r="AM38" i="13"/>
  <c r="AL38" i="13"/>
  <c r="AK38" i="13"/>
  <c r="AJ38" i="13"/>
  <c r="AI38" i="13"/>
  <c r="AH38" i="13"/>
  <c r="AG38" i="13"/>
  <c r="AF38" i="13"/>
  <c r="AE38" i="13"/>
  <c r="AD38" i="13"/>
  <c r="AC38" i="13"/>
  <c r="AB38" i="13"/>
  <c r="AA38" i="13"/>
  <c r="Z38" i="13"/>
  <c r="Y38" i="13"/>
  <c r="X38" i="13"/>
  <c r="W38" i="13"/>
  <c r="V38" i="13"/>
  <c r="U38" i="13"/>
  <c r="T38" i="13"/>
  <c r="S38" i="13"/>
  <c r="R38" i="13"/>
  <c r="Q38" i="13"/>
  <c r="P38" i="13"/>
  <c r="O38" i="13"/>
  <c r="N38" i="13"/>
  <c r="M38" i="13"/>
  <c r="L38" i="13"/>
  <c r="K38" i="13"/>
  <c r="J38" i="13"/>
  <c r="I38" i="13"/>
  <c r="H38" i="13"/>
  <c r="G38" i="13"/>
  <c r="F38" i="13"/>
  <c r="E38" i="13"/>
  <c r="DE37" i="13"/>
  <c r="DD37" i="13"/>
  <c r="DC37" i="13"/>
  <c r="DB37" i="13"/>
  <c r="DA37" i="13"/>
  <c r="CZ37" i="13"/>
  <c r="CY37" i="13"/>
  <c r="CX37" i="13"/>
  <c r="CW37" i="13"/>
  <c r="CV37" i="13"/>
  <c r="CU37" i="13"/>
  <c r="CT37" i="13"/>
  <c r="CS37" i="13"/>
  <c r="CR37" i="13"/>
  <c r="CQ37" i="13"/>
  <c r="CP37" i="13"/>
  <c r="CO37" i="13"/>
  <c r="CN37" i="13"/>
  <c r="CM37" i="13"/>
  <c r="CL37" i="13"/>
  <c r="CK37" i="13"/>
  <c r="CJ37" i="13"/>
  <c r="CI37" i="13"/>
  <c r="CH37" i="13"/>
  <c r="CG37" i="13"/>
  <c r="CF37" i="13"/>
  <c r="CE37" i="13"/>
  <c r="CD37" i="13"/>
  <c r="CC37" i="13"/>
  <c r="CB37" i="13"/>
  <c r="CA37" i="13"/>
  <c r="BZ37" i="13"/>
  <c r="BY37" i="13"/>
  <c r="BX37" i="13"/>
  <c r="BW37" i="13"/>
  <c r="BV37" i="13"/>
  <c r="BU37" i="13"/>
  <c r="BT37" i="13"/>
  <c r="BS37" i="13"/>
  <c r="BR37" i="13"/>
  <c r="BQ37" i="13"/>
  <c r="BP37" i="13"/>
  <c r="BO37" i="13"/>
  <c r="BN37" i="13"/>
  <c r="BM37" i="13"/>
  <c r="BL37" i="13"/>
  <c r="BK37" i="13"/>
  <c r="BJ37" i="13"/>
  <c r="BI37" i="13"/>
  <c r="BH37" i="13"/>
  <c r="BG37" i="13"/>
  <c r="BF37" i="13"/>
  <c r="BE37" i="13"/>
  <c r="BD37" i="13"/>
  <c r="BC37" i="13"/>
  <c r="BB37" i="13"/>
  <c r="BA37" i="13"/>
  <c r="AZ37" i="13"/>
  <c r="AY37" i="13"/>
  <c r="AX37" i="13"/>
  <c r="AW37" i="13"/>
  <c r="AV37" i="13"/>
  <c r="AU37" i="13"/>
  <c r="AT37" i="13"/>
  <c r="AS37" i="13"/>
  <c r="AR37" i="13"/>
  <c r="AQ37" i="13"/>
  <c r="AP37" i="13"/>
  <c r="AO37" i="13"/>
  <c r="AN37" i="13"/>
  <c r="AM37" i="13"/>
  <c r="AL37" i="13"/>
  <c r="AK37" i="13"/>
  <c r="AJ37" i="13"/>
  <c r="AI37" i="13"/>
  <c r="AH37" i="13"/>
  <c r="AG37" i="13"/>
  <c r="AF37" i="13"/>
  <c r="AE37" i="13"/>
  <c r="AD37" i="13"/>
  <c r="AC37" i="13"/>
  <c r="AB37" i="13"/>
  <c r="AA37" i="13"/>
  <c r="Z37" i="13"/>
  <c r="Y37" i="13"/>
  <c r="X37" i="13"/>
  <c r="W37" i="13"/>
  <c r="V37" i="13"/>
  <c r="U37" i="13"/>
  <c r="T37" i="13"/>
  <c r="S37" i="13"/>
  <c r="R37" i="13"/>
  <c r="Q37" i="13"/>
  <c r="P37" i="13"/>
  <c r="O37" i="13"/>
  <c r="N37" i="13"/>
  <c r="M37" i="13"/>
  <c r="L37" i="13"/>
  <c r="K37" i="13"/>
  <c r="J37" i="13"/>
  <c r="I37" i="13"/>
  <c r="H37" i="13"/>
  <c r="G37" i="13"/>
  <c r="F37" i="13"/>
  <c r="E37" i="13"/>
  <c r="DE36" i="13"/>
  <c r="DD36" i="13"/>
  <c r="DC36" i="13"/>
  <c r="DB36" i="13"/>
  <c r="DA36" i="13"/>
  <c r="CZ36" i="13"/>
  <c r="CY36" i="13"/>
  <c r="CX36" i="13"/>
  <c r="CW36" i="13"/>
  <c r="CV36" i="13"/>
  <c r="CU36" i="13"/>
  <c r="CT36" i="13"/>
  <c r="CS36" i="13"/>
  <c r="CR36" i="13"/>
  <c r="CQ36" i="13"/>
  <c r="CP36" i="13"/>
  <c r="CO36" i="13"/>
  <c r="CN36" i="13"/>
  <c r="CM36" i="13"/>
  <c r="CL36" i="13"/>
  <c r="CK36" i="13"/>
  <c r="CJ36" i="13"/>
  <c r="CI36" i="13"/>
  <c r="CH36" i="13"/>
  <c r="CG36" i="13"/>
  <c r="CF36" i="13"/>
  <c r="CE36" i="13"/>
  <c r="CD36" i="13"/>
  <c r="CC36" i="13"/>
  <c r="CB36" i="13"/>
  <c r="CA36" i="13"/>
  <c r="BZ36" i="13"/>
  <c r="BY36" i="13"/>
  <c r="BX36" i="13"/>
  <c r="BW36" i="13"/>
  <c r="BV36" i="13"/>
  <c r="BU36" i="13"/>
  <c r="BT36" i="13"/>
  <c r="BS36" i="13"/>
  <c r="BR36" i="13"/>
  <c r="BQ36" i="13"/>
  <c r="BP36" i="13"/>
  <c r="BO36" i="13"/>
  <c r="BN36" i="13"/>
  <c r="BM36" i="13"/>
  <c r="BL36" i="13"/>
  <c r="BK36" i="13"/>
  <c r="BJ36" i="13"/>
  <c r="BI36" i="13"/>
  <c r="BH36" i="13"/>
  <c r="BG36" i="13"/>
  <c r="BF36" i="13"/>
  <c r="BE36" i="13"/>
  <c r="BD36" i="13"/>
  <c r="BC36" i="13"/>
  <c r="BB36" i="13"/>
  <c r="BA36" i="13"/>
  <c r="AZ36" i="13"/>
  <c r="AY36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E35" i="13"/>
  <c r="DD35" i="13"/>
  <c r="DC35" i="13"/>
  <c r="DB35" i="13"/>
  <c r="DA35" i="13"/>
  <c r="CZ35" i="13"/>
  <c r="CY35" i="13"/>
  <c r="CX35" i="13"/>
  <c r="CW35" i="13"/>
  <c r="CV35" i="13"/>
  <c r="CU35" i="13"/>
  <c r="CT35" i="13"/>
  <c r="CS35" i="13"/>
  <c r="CR35" i="13"/>
  <c r="CQ35" i="13"/>
  <c r="CP35" i="13"/>
  <c r="CO35" i="13"/>
  <c r="CN35" i="13"/>
  <c r="CM35" i="13"/>
  <c r="CL35" i="13"/>
  <c r="CK35" i="13"/>
  <c r="CJ35" i="13"/>
  <c r="CI35" i="13"/>
  <c r="CH35" i="13"/>
  <c r="CG35" i="13"/>
  <c r="CF35" i="13"/>
  <c r="CE35" i="13"/>
  <c r="CD35" i="13"/>
  <c r="CC35" i="13"/>
  <c r="CB35" i="13"/>
  <c r="CA35" i="13"/>
  <c r="BZ35" i="13"/>
  <c r="BY35" i="13"/>
  <c r="BX35" i="13"/>
  <c r="BW35" i="13"/>
  <c r="BV35" i="13"/>
  <c r="BU35" i="13"/>
  <c r="BT35" i="13"/>
  <c r="BS35" i="13"/>
  <c r="BR35" i="13"/>
  <c r="BQ35" i="13"/>
  <c r="BP35" i="13"/>
  <c r="BO35" i="13"/>
  <c r="BN35" i="13"/>
  <c r="BM35" i="13"/>
  <c r="BL35" i="13"/>
  <c r="BK35" i="13"/>
  <c r="BJ35" i="13"/>
  <c r="BI35" i="13"/>
  <c r="BH35" i="13"/>
  <c r="BG35" i="13"/>
  <c r="BF35" i="13"/>
  <c r="BE35" i="13"/>
  <c r="BD35" i="13"/>
  <c r="BC35" i="13"/>
  <c r="BB35" i="13"/>
  <c r="BA35" i="13"/>
  <c r="AZ35" i="13"/>
  <c r="AY35" i="13"/>
  <c r="AX35" i="13"/>
  <c r="AW35" i="13"/>
  <c r="AV35" i="13"/>
  <c r="AU35" i="13"/>
  <c r="AT35" i="13"/>
  <c r="AS35" i="13"/>
  <c r="AR35" i="13"/>
  <c r="AQ35" i="13"/>
  <c r="AP35" i="13"/>
  <c r="AO35" i="13"/>
  <c r="AN35" i="13"/>
  <c r="AM35" i="13"/>
  <c r="AL35" i="13"/>
  <c r="AK35" i="13"/>
  <c r="AJ35" i="13"/>
  <c r="AI35" i="13"/>
  <c r="AH35" i="13"/>
  <c r="AG35" i="13"/>
  <c r="AF35" i="13"/>
  <c r="AE35" i="13"/>
  <c r="AD35" i="13"/>
  <c r="AC35" i="13"/>
  <c r="AB35" i="13"/>
  <c r="AA35" i="13"/>
  <c r="Z35" i="13"/>
  <c r="Y35" i="13"/>
  <c r="X35" i="13"/>
  <c r="W35" i="13"/>
  <c r="V35" i="13"/>
  <c r="U35" i="13"/>
  <c r="T35" i="13"/>
  <c r="S35" i="13"/>
  <c r="R35" i="13"/>
  <c r="Q35" i="13"/>
  <c r="P35" i="13"/>
  <c r="O35" i="13"/>
  <c r="N35" i="13"/>
  <c r="M35" i="13"/>
  <c r="L35" i="13"/>
  <c r="K35" i="13"/>
  <c r="J35" i="13"/>
  <c r="I35" i="13"/>
  <c r="H35" i="13"/>
  <c r="G35" i="13"/>
  <c r="F35" i="13"/>
  <c r="E35" i="13"/>
  <c r="DE34" i="13"/>
  <c r="DD34" i="13"/>
  <c r="DC34" i="13"/>
  <c r="DB34" i="13"/>
  <c r="DA34" i="13"/>
  <c r="CZ34" i="13"/>
  <c r="CY34" i="13"/>
  <c r="CX34" i="13"/>
  <c r="CW34" i="13"/>
  <c r="CV34" i="13"/>
  <c r="CU34" i="13"/>
  <c r="CT34" i="13"/>
  <c r="CS34" i="13"/>
  <c r="CR34" i="13"/>
  <c r="CQ34" i="13"/>
  <c r="CP34" i="13"/>
  <c r="CO34" i="13"/>
  <c r="CN34" i="13"/>
  <c r="CM34" i="13"/>
  <c r="CL34" i="13"/>
  <c r="CK34" i="13"/>
  <c r="CJ34" i="13"/>
  <c r="CI34" i="13"/>
  <c r="CH34" i="13"/>
  <c r="CG34" i="13"/>
  <c r="CF34" i="13"/>
  <c r="CE34" i="13"/>
  <c r="CD34" i="13"/>
  <c r="CC34" i="13"/>
  <c r="CB34" i="13"/>
  <c r="CA34" i="13"/>
  <c r="BZ34" i="13"/>
  <c r="BY34" i="13"/>
  <c r="BX34" i="13"/>
  <c r="BW34" i="13"/>
  <c r="BV34" i="13"/>
  <c r="BU34" i="13"/>
  <c r="BT34" i="13"/>
  <c r="BS34" i="13"/>
  <c r="BR34" i="13"/>
  <c r="BQ34" i="13"/>
  <c r="BP34" i="13"/>
  <c r="BO34" i="13"/>
  <c r="BN34" i="13"/>
  <c r="BM34" i="13"/>
  <c r="BL34" i="13"/>
  <c r="BK34" i="13"/>
  <c r="BJ34" i="13"/>
  <c r="BI34" i="13"/>
  <c r="BH34" i="13"/>
  <c r="BG34" i="13"/>
  <c r="BF34" i="13"/>
  <c r="BE34" i="13"/>
  <c r="BD34" i="13"/>
  <c r="BC34" i="13"/>
  <c r="BB34" i="13"/>
  <c r="BA34" i="13"/>
  <c r="AZ34" i="13"/>
  <c r="AY34" i="13"/>
  <c r="AX34" i="13"/>
  <c r="AW34" i="13"/>
  <c r="AV34" i="13"/>
  <c r="AU34" i="13"/>
  <c r="AT34" i="13"/>
  <c r="AS34" i="13"/>
  <c r="AR34" i="13"/>
  <c r="AQ34" i="13"/>
  <c r="AP34" i="13"/>
  <c r="AO34" i="13"/>
  <c r="AN34" i="13"/>
  <c r="AM34" i="13"/>
  <c r="AL34" i="13"/>
  <c r="AK34" i="13"/>
  <c r="AJ34" i="13"/>
  <c r="AI34" i="13"/>
  <c r="AH34" i="13"/>
  <c r="AG34" i="13"/>
  <c r="AF34" i="13"/>
  <c r="AE34" i="13"/>
  <c r="AD34" i="13"/>
  <c r="AC34" i="13"/>
  <c r="AB34" i="13"/>
  <c r="AA34" i="13"/>
  <c r="Z34" i="13"/>
  <c r="Y34" i="13"/>
  <c r="X34" i="13"/>
  <c r="W34" i="13"/>
  <c r="V34" i="13"/>
  <c r="U34" i="13"/>
  <c r="T34" i="13"/>
  <c r="S34" i="13"/>
  <c r="R34" i="13"/>
  <c r="Q34" i="13"/>
  <c r="P34" i="13"/>
  <c r="O34" i="13"/>
  <c r="N34" i="13"/>
  <c r="M34" i="13"/>
  <c r="L34" i="13"/>
  <c r="K34" i="13"/>
  <c r="J34" i="13"/>
  <c r="I34" i="13"/>
  <c r="H34" i="13"/>
  <c r="G34" i="13"/>
  <c r="F34" i="13"/>
  <c r="E34" i="13"/>
  <c r="DE33" i="13"/>
  <c r="DD33" i="13"/>
  <c r="DC33" i="13"/>
  <c r="DB33" i="13"/>
  <c r="DA33" i="13"/>
  <c r="CZ33" i="13"/>
  <c r="CY33" i="13"/>
  <c r="CX33" i="13"/>
  <c r="CW33" i="13"/>
  <c r="CV33" i="13"/>
  <c r="CU33" i="13"/>
  <c r="CT33" i="13"/>
  <c r="CS33" i="13"/>
  <c r="CR33" i="13"/>
  <c r="CQ33" i="13"/>
  <c r="CP33" i="13"/>
  <c r="CO33" i="13"/>
  <c r="CN33" i="13"/>
  <c r="CM33" i="13"/>
  <c r="CL33" i="13"/>
  <c r="CK33" i="13"/>
  <c r="CJ33" i="13"/>
  <c r="CI33" i="13"/>
  <c r="CH33" i="13"/>
  <c r="CG33" i="13"/>
  <c r="CF33" i="13"/>
  <c r="CE33" i="13"/>
  <c r="CD33" i="13"/>
  <c r="CC33" i="13"/>
  <c r="CB33" i="13"/>
  <c r="CA33" i="13"/>
  <c r="BZ33" i="13"/>
  <c r="BY33" i="13"/>
  <c r="BX33" i="13"/>
  <c r="BW33" i="13"/>
  <c r="BV33" i="13"/>
  <c r="BU33" i="13"/>
  <c r="BT33" i="13"/>
  <c r="BS33" i="13"/>
  <c r="BR33" i="13"/>
  <c r="BQ33" i="13"/>
  <c r="BP33" i="13"/>
  <c r="BO33" i="13"/>
  <c r="BN33" i="13"/>
  <c r="BM33" i="13"/>
  <c r="BL33" i="13"/>
  <c r="BK33" i="13"/>
  <c r="BJ33" i="13"/>
  <c r="BI33" i="13"/>
  <c r="BH33" i="13"/>
  <c r="BG33" i="13"/>
  <c r="BF33" i="13"/>
  <c r="BE33" i="13"/>
  <c r="BD33" i="13"/>
  <c r="BC33" i="13"/>
  <c r="BB33" i="13"/>
  <c r="BA33" i="13"/>
  <c r="AZ33" i="13"/>
  <c r="AY33" i="13"/>
  <c r="AX33" i="13"/>
  <c r="AW33" i="13"/>
  <c r="AV33" i="13"/>
  <c r="AU33" i="13"/>
  <c r="AT33" i="13"/>
  <c r="AS33" i="13"/>
  <c r="AR33" i="13"/>
  <c r="AQ33" i="13"/>
  <c r="AP33" i="13"/>
  <c r="AO33" i="13"/>
  <c r="AN33" i="13"/>
  <c r="AM33" i="13"/>
  <c r="AL33" i="13"/>
  <c r="AK33" i="13"/>
  <c r="AJ33" i="13"/>
  <c r="AI33" i="13"/>
  <c r="AH33" i="13"/>
  <c r="AG33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E32" i="13"/>
  <c r="DD32" i="13"/>
  <c r="DC32" i="13"/>
  <c r="DB32" i="13"/>
  <c r="DA32" i="13"/>
  <c r="CZ32" i="13"/>
  <c r="CY32" i="13"/>
  <c r="CX32" i="13"/>
  <c r="CW32" i="13"/>
  <c r="CV32" i="13"/>
  <c r="CU32" i="13"/>
  <c r="CT32" i="13"/>
  <c r="CS32" i="13"/>
  <c r="CR32" i="13"/>
  <c r="CQ32" i="13"/>
  <c r="CP32" i="13"/>
  <c r="CO32" i="13"/>
  <c r="CN32" i="13"/>
  <c r="CM32" i="13"/>
  <c r="CL32" i="13"/>
  <c r="CK32" i="13"/>
  <c r="CJ32" i="13"/>
  <c r="CI32" i="13"/>
  <c r="CH32" i="13"/>
  <c r="CG32" i="13"/>
  <c r="CF32" i="13"/>
  <c r="CE32" i="13"/>
  <c r="CD32" i="13"/>
  <c r="CC32" i="13"/>
  <c r="CB32" i="13"/>
  <c r="CA32" i="13"/>
  <c r="BZ32" i="13"/>
  <c r="BY32" i="13"/>
  <c r="BX32" i="13"/>
  <c r="BW32" i="13"/>
  <c r="BV32" i="13"/>
  <c r="BU32" i="13"/>
  <c r="BT32" i="13"/>
  <c r="BS32" i="13"/>
  <c r="BR32" i="13"/>
  <c r="BQ32" i="13"/>
  <c r="BP32" i="13"/>
  <c r="BO32" i="13"/>
  <c r="BN32" i="13"/>
  <c r="BM32" i="13"/>
  <c r="BL32" i="13"/>
  <c r="BK32" i="13"/>
  <c r="BJ32" i="13"/>
  <c r="BI32" i="13"/>
  <c r="BH32" i="13"/>
  <c r="BG32" i="13"/>
  <c r="BF32" i="13"/>
  <c r="BE32" i="13"/>
  <c r="BD32" i="13"/>
  <c r="BC32" i="13"/>
  <c r="BB32" i="13"/>
  <c r="BA32" i="13"/>
  <c r="AZ32" i="13"/>
  <c r="AY32" i="13"/>
  <c r="AX32" i="13"/>
  <c r="AW32" i="13"/>
  <c r="AV32" i="13"/>
  <c r="AU32" i="13"/>
  <c r="AT32" i="13"/>
  <c r="AS32" i="13"/>
  <c r="AR32" i="13"/>
  <c r="AQ32" i="13"/>
  <c r="AP32" i="13"/>
  <c r="AO32" i="13"/>
  <c r="AN32" i="13"/>
  <c r="AM32" i="13"/>
  <c r="AL32" i="13"/>
  <c r="AK32" i="13"/>
  <c r="AJ32" i="13"/>
  <c r="AI32" i="13"/>
  <c r="AH32" i="13"/>
  <c r="AG32" i="13"/>
  <c r="AF32" i="13"/>
  <c r="AE32" i="13"/>
  <c r="AD32" i="13"/>
  <c r="AC32" i="13"/>
  <c r="AB32" i="13"/>
  <c r="AA32" i="13"/>
  <c r="Z32" i="13"/>
  <c r="Y32" i="13"/>
  <c r="X32" i="13"/>
  <c r="W32" i="13"/>
  <c r="V32" i="13"/>
  <c r="U32" i="13"/>
  <c r="T32" i="13"/>
  <c r="S32" i="13"/>
  <c r="R32" i="13"/>
  <c r="Q32" i="13"/>
  <c r="P32" i="13"/>
  <c r="O32" i="13"/>
  <c r="N32" i="13"/>
  <c r="M32" i="13"/>
  <c r="L32" i="13"/>
  <c r="K32" i="13"/>
  <c r="J32" i="13"/>
  <c r="I32" i="13"/>
  <c r="H32" i="13"/>
  <c r="G32" i="13"/>
  <c r="F32" i="13"/>
  <c r="E32" i="13"/>
  <c r="DE31" i="13"/>
  <c r="DD31" i="13"/>
  <c r="DC31" i="13"/>
  <c r="DB31" i="13"/>
  <c r="DA31" i="13"/>
  <c r="CZ31" i="13"/>
  <c r="CY31" i="13"/>
  <c r="CX31" i="13"/>
  <c r="CW31" i="13"/>
  <c r="CV31" i="13"/>
  <c r="CU31" i="13"/>
  <c r="CT31" i="13"/>
  <c r="CS31" i="13"/>
  <c r="CR31" i="13"/>
  <c r="CQ31" i="13"/>
  <c r="CP31" i="13"/>
  <c r="CO31" i="13"/>
  <c r="CN31" i="13"/>
  <c r="CM31" i="13"/>
  <c r="CL31" i="13"/>
  <c r="CK31" i="13"/>
  <c r="CJ31" i="13"/>
  <c r="CI31" i="13"/>
  <c r="CH31" i="13"/>
  <c r="CG31" i="13"/>
  <c r="CF31" i="13"/>
  <c r="CE31" i="13"/>
  <c r="CD31" i="13"/>
  <c r="CC31" i="13"/>
  <c r="CB31" i="13"/>
  <c r="CA31" i="13"/>
  <c r="BZ31" i="13"/>
  <c r="BY31" i="13"/>
  <c r="BX31" i="13"/>
  <c r="BW31" i="13"/>
  <c r="BV31" i="13"/>
  <c r="BU31" i="13"/>
  <c r="BT31" i="13"/>
  <c r="BS31" i="13"/>
  <c r="BR31" i="13"/>
  <c r="BQ31" i="13"/>
  <c r="BP31" i="13"/>
  <c r="BO31" i="13"/>
  <c r="BN31" i="13"/>
  <c r="BM31" i="13"/>
  <c r="BL31" i="13"/>
  <c r="BK31" i="13"/>
  <c r="BJ31" i="13"/>
  <c r="BI31" i="13"/>
  <c r="BH31" i="13"/>
  <c r="BG31" i="13"/>
  <c r="BF31" i="13"/>
  <c r="BE31" i="13"/>
  <c r="BD31" i="13"/>
  <c r="BC31" i="13"/>
  <c r="BB31" i="13"/>
  <c r="BA31" i="13"/>
  <c r="AZ31" i="13"/>
  <c r="AY31" i="13"/>
  <c r="AX31" i="13"/>
  <c r="AW31" i="13"/>
  <c r="AV31" i="13"/>
  <c r="AU31" i="13"/>
  <c r="AT31" i="13"/>
  <c r="AS31" i="13"/>
  <c r="AR31" i="13"/>
  <c r="AQ31" i="13"/>
  <c r="AP31" i="13"/>
  <c r="AO31" i="13"/>
  <c r="AN31" i="13"/>
  <c r="AM31" i="13"/>
  <c r="AL31" i="13"/>
  <c r="AK31" i="13"/>
  <c r="AJ31" i="13"/>
  <c r="AI31" i="13"/>
  <c r="AH31" i="13"/>
  <c r="AG31" i="13"/>
  <c r="AF31" i="13"/>
  <c r="AE31" i="13"/>
  <c r="AD31" i="13"/>
  <c r="AC31" i="13"/>
  <c r="AB31" i="13"/>
  <c r="AA31" i="13"/>
  <c r="Z31" i="13"/>
  <c r="Y31" i="13"/>
  <c r="X31" i="13"/>
  <c r="W31" i="13"/>
  <c r="V31" i="13"/>
  <c r="U31" i="13"/>
  <c r="T31" i="13"/>
  <c r="S31" i="13"/>
  <c r="R31" i="13"/>
  <c r="Q31" i="13"/>
  <c r="P31" i="13"/>
  <c r="O31" i="13"/>
  <c r="N31" i="13"/>
  <c r="M31" i="13"/>
  <c r="L31" i="13"/>
  <c r="K31" i="13"/>
  <c r="J31" i="13"/>
  <c r="I31" i="13"/>
  <c r="H31" i="13"/>
  <c r="G31" i="13"/>
  <c r="F31" i="13"/>
  <c r="E31" i="13"/>
  <c r="DE30" i="13"/>
  <c r="DD30" i="13"/>
  <c r="DC30" i="13"/>
  <c r="DB30" i="13"/>
  <c r="DA30" i="13"/>
  <c r="CZ30" i="13"/>
  <c r="CY30" i="13"/>
  <c r="CX30" i="13"/>
  <c r="CW30" i="13"/>
  <c r="CV30" i="13"/>
  <c r="CU30" i="13"/>
  <c r="CT30" i="13"/>
  <c r="CS30" i="13"/>
  <c r="CR30" i="13"/>
  <c r="CQ30" i="13"/>
  <c r="CP30" i="13"/>
  <c r="CO30" i="13"/>
  <c r="CN30" i="13"/>
  <c r="CM30" i="13"/>
  <c r="CL30" i="13"/>
  <c r="CK30" i="13"/>
  <c r="CJ30" i="13"/>
  <c r="CI30" i="13"/>
  <c r="CH30" i="13"/>
  <c r="CG30" i="13"/>
  <c r="CF30" i="13"/>
  <c r="CE30" i="13"/>
  <c r="CD30" i="13"/>
  <c r="CC30" i="13"/>
  <c r="CB30" i="13"/>
  <c r="CA30" i="13"/>
  <c r="BZ30" i="13"/>
  <c r="BY30" i="13"/>
  <c r="BX30" i="13"/>
  <c r="BW30" i="13"/>
  <c r="BV30" i="13"/>
  <c r="BU30" i="13"/>
  <c r="BT30" i="13"/>
  <c r="BS30" i="13"/>
  <c r="BR30" i="13"/>
  <c r="BQ30" i="13"/>
  <c r="BP30" i="13"/>
  <c r="BO30" i="13"/>
  <c r="BN30" i="13"/>
  <c r="BM30" i="13"/>
  <c r="BL30" i="13"/>
  <c r="BK30" i="13"/>
  <c r="BJ30" i="13"/>
  <c r="BI30" i="13"/>
  <c r="BH30" i="13"/>
  <c r="BG30" i="13"/>
  <c r="BF30" i="13"/>
  <c r="BE30" i="13"/>
  <c r="BD30" i="13"/>
  <c r="BC30" i="13"/>
  <c r="BB30" i="13"/>
  <c r="BA30" i="13"/>
  <c r="AZ30" i="13"/>
  <c r="AY30" i="13"/>
  <c r="AX30" i="13"/>
  <c r="AW30" i="13"/>
  <c r="AV30" i="13"/>
  <c r="AU30" i="13"/>
  <c r="AT30" i="13"/>
  <c r="AS30" i="13"/>
  <c r="AR30" i="13"/>
  <c r="AQ30" i="13"/>
  <c r="AP30" i="13"/>
  <c r="AO30" i="13"/>
  <c r="AN30" i="13"/>
  <c r="AM30" i="13"/>
  <c r="AL30" i="13"/>
  <c r="AK30" i="13"/>
  <c r="AJ30" i="13"/>
  <c r="AI30" i="13"/>
  <c r="AH30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E29" i="13"/>
  <c r="DD29" i="13"/>
  <c r="DC29" i="13"/>
  <c r="DB29" i="13"/>
  <c r="DA29" i="13"/>
  <c r="CZ29" i="13"/>
  <c r="CY29" i="13"/>
  <c r="CX29" i="13"/>
  <c r="CW29" i="13"/>
  <c r="CV29" i="13"/>
  <c r="CU29" i="13"/>
  <c r="CT29" i="13"/>
  <c r="CS29" i="13"/>
  <c r="CR29" i="13"/>
  <c r="CQ29" i="13"/>
  <c r="CP29" i="13"/>
  <c r="CO29" i="13"/>
  <c r="CN29" i="13"/>
  <c r="CM29" i="13"/>
  <c r="CL29" i="13"/>
  <c r="CK29" i="13"/>
  <c r="CJ29" i="13"/>
  <c r="CI29" i="13"/>
  <c r="CH29" i="13"/>
  <c r="CG29" i="13"/>
  <c r="CF29" i="13"/>
  <c r="CE29" i="13"/>
  <c r="CD29" i="13"/>
  <c r="CC29" i="13"/>
  <c r="CB29" i="13"/>
  <c r="CA29" i="13"/>
  <c r="BZ29" i="13"/>
  <c r="BY29" i="13"/>
  <c r="BX29" i="13"/>
  <c r="BW29" i="13"/>
  <c r="BV29" i="13"/>
  <c r="BU29" i="13"/>
  <c r="BT29" i="13"/>
  <c r="BS29" i="13"/>
  <c r="BR29" i="13"/>
  <c r="BQ29" i="13"/>
  <c r="BP29" i="13"/>
  <c r="BO29" i="13"/>
  <c r="BN29" i="13"/>
  <c r="BM29" i="13"/>
  <c r="BL29" i="13"/>
  <c r="BK29" i="13"/>
  <c r="BJ29" i="13"/>
  <c r="BI29" i="13"/>
  <c r="BH29" i="13"/>
  <c r="BG29" i="13"/>
  <c r="BF29" i="13"/>
  <c r="BE29" i="13"/>
  <c r="BD29" i="13"/>
  <c r="BC29" i="13"/>
  <c r="BB29" i="13"/>
  <c r="BA29" i="13"/>
  <c r="AZ29" i="13"/>
  <c r="AY29" i="13"/>
  <c r="AX29" i="13"/>
  <c r="AW29" i="13"/>
  <c r="AV29" i="13"/>
  <c r="AU29" i="13"/>
  <c r="AT29" i="13"/>
  <c r="AS29" i="13"/>
  <c r="AR29" i="13"/>
  <c r="AQ29" i="13"/>
  <c r="AP29" i="13"/>
  <c r="AO29" i="13"/>
  <c r="AN29" i="13"/>
  <c r="AM29" i="13"/>
  <c r="AL29" i="13"/>
  <c r="AK29" i="13"/>
  <c r="AJ29" i="13"/>
  <c r="AI29" i="13"/>
  <c r="AH29" i="13"/>
  <c r="AG29" i="13"/>
  <c r="AF29" i="13"/>
  <c r="AE29" i="13"/>
  <c r="AD29" i="13"/>
  <c r="AC29" i="13"/>
  <c r="AB29" i="13"/>
  <c r="AA29" i="13"/>
  <c r="Z29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E28" i="13"/>
  <c r="DD28" i="13"/>
  <c r="DC28" i="13"/>
  <c r="DB28" i="13"/>
  <c r="DA28" i="13"/>
  <c r="CZ28" i="13"/>
  <c r="CY28" i="13"/>
  <c r="CX28" i="13"/>
  <c r="CW28" i="13"/>
  <c r="CV28" i="13"/>
  <c r="CU28" i="13"/>
  <c r="CT28" i="13"/>
  <c r="CS28" i="13"/>
  <c r="CR28" i="13"/>
  <c r="CQ28" i="13"/>
  <c r="CP28" i="13"/>
  <c r="CO28" i="13"/>
  <c r="CN28" i="13"/>
  <c r="CM28" i="13"/>
  <c r="CL28" i="13"/>
  <c r="CK28" i="13"/>
  <c r="CJ28" i="13"/>
  <c r="CI28" i="13"/>
  <c r="CH28" i="13"/>
  <c r="CG28" i="13"/>
  <c r="CF28" i="13"/>
  <c r="CE28" i="13"/>
  <c r="CD28" i="13"/>
  <c r="CC28" i="13"/>
  <c r="CB28" i="13"/>
  <c r="CA28" i="13"/>
  <c r="BZ28" i="13"/>
  <c r="BY28" i="13"/>
  <c r="BX28" i="13"/>
  <c r="BW28" i="13"/>
  <c r="BV28" i="13"/>
  <c r="BU28" i="13"/>
  <c r="BT28" i="13"/>
  <c r="BS28" i="13"/>
  <c r="BR28" i="13"/>
  <c r="BQ28" i="13"/>
  <c r="BP28" i="13"/>
  <c r="BO28" i="13"/>
  <c r="BN28" i="13"/>
  <c r="BM28" i="13"/>
  <c r="BL28" i="13"/>
  <c r="BK28" i="13"/>
  <c r="BJ28" i="13"/>
  <c r="BI28" i="13"/>
  <c r="BH28" i="13"/>
  <c r="BG28" i="13"/>
  <c r="BF28" i="13"/>
  <c r="BE28" i="13"/>
  <c r="BD28" i="13"/>
  <c r="BC28" i="13"/>
  <c r="BB28" i="13"/>
  <c r="BA28" i="13"/>
  <c r="AZ28" i="13"/>
  <c r="AY28" i="13"/>
  <c r="AX28" i="13"/>
  <c r="AW28" i="13"/>
  <c r="AV28" i="13"/>
  <c r="AU28" i="13"/>
  <c r="AT28" i="13"/>
  <c r="AS28" i="13"/>
  <c r="AR28" i="13"/>
  <c r="AQ28" i="13"/>
  <c r="AP28" i="13"/>
  <c r="AO28" i="13"/>
  <c r="AN28" i="13"/>
  <c r="AM28" i="13"/>
  <c r="AL28" i="13"/>
  <c r="AK28" i="13"/>
  <c r="AJ28" i="13"/>
  <c r="AI28" i="13"/>
  <c r="AH28" i="13"/>
  <c r="AG28" i="13"/>
  <c r="AF28" i="13"/>
  <c r="AE28" i="13"/>
  <c r="AD28" i="13"/>
  <c r="AC28" i="13"/>
  <c r="AB28" i="13"/>
  <c r="AA28" i="13"/>
  <c r="Z28" i="13"/>
  <c r="Y28" i="13"/>
  <c r="X28" i="13"/>
  <c r="W28" i="13"/>
  <c r="V28" i="13"/>
  <c r="U28" i="13"/>
  <c r="T28" i="13"/>
  <c r="S28" i="13"/>
  <c r="R28" i="13"/>
  <c r="Q28" i="13"/>
  <c r="P28" i="13"/>
  <c r="O28" i="13"/>
  <c r="N28" i="13"/>
  <c r="M28" i="13"/>
  <c r="L28" i="13"/>
  <c r="K28" i="13"/>
  <c r="J28" i="13"/>
  <c r="I28" i="13"/>
  <c r="H28" i="13"/>
  <c r="G28" i="13"/>
  <c r="F28" i="13"/>
  <c r="E28" i="13"/>
  <c r="DE27" i="13"/>
  <c r="DD27" i="13"/>
  <c r="DC27" i="13"/>
  <c r="DB27" i="13"/>
  <c r="DA27" i="13"/>
  <c r="CZ27" i="13"/>
  <c r="CY27" i="13"/>
  <c r="CX27" i="13"/>
  <c r="CW27" i="13"/>
  <c r="CV27" i="13"/>
  <c r="CU27" i="13"/>
  <c r="CT27" i="13"/>
  <c r="CS27" i="13"/>
  <c r="CR27" i="13"/>
  <c r="CQ27" i="13"/>
  <c r="CP27" i="13"/>
  <c r="CO27" i="13"/>
  <c r="CN27" i="13"/>
  <c r="CM27" i="13"/>
  <c r="CL27" i="13"/>
  <c r="CK27" i="13"/>
  <c r="CJ27" i="13"/>
  <c r="CI27" i="13"/>
  <c r="CH27" i="13"/>
  <c r="CG27" i="13"/>
  <c r="CF27" i="13"/>
  <c r="CE27" i="13"/>
  <c r="CD27" i="13"/>
  <c r="CC27" i="13"/>
  <c r="CB27" i="13"/>
  <c r="CA27" i="13"/>
  <c r="BZ27" i="13"/>
  <c r="BY27" i="13"/>
  <c r="BX27" i="13"/>
  <c r="BW27" i="13"/>
  <c r="BV27" i="13"/>
  <c r="BU27" i="13"/>
  <c r="BT27" i="13"/>
  <c r="BS27" i="13"/>
  <c r="BR27" i="13"/>
  <c r="BQ27" i="13"/>
  <c r="BP27" i="13"/>
  <c r="BO27" i="13"/>
  <c r="BN27" i="13"/>
  <c r="BM27" i="13"/>
  <c r="BL27" i="13"/>
  <c r="BK27" i="13"/>
  <c r="BJ27" i="13"/>
  <c r="BI27" i="13"/>
  <c r="BH27" i="13"/>
  <c r="BG27" i="13"/>
  <c r="BF27" i="13"/>
  <c r="BE27" i="13"/>
  <c r="BD27" i="13"/>
  <c r="BC27" i="13"/>
  <c r="BB27" i="13"/>
  <c r="BA27" i="13"/>
  <c r="AZ27" i="13"/>
  <c r="AY27" i="13"/>
  <c r="AX27" i="13"/>
  <c r="AW27" i="13"/>
  <c r="AV27" i="13"/>
  <c r="AU27" i="13"/>
  <c r="AT27" i="13"/>
  <c r="AS27" i="13"/>
  <c r="AR27" i="13"/>
  <c r="AQ27" i="13"/>
  <c r="AP27" i="13"/>
  <c r="AO27" i="13"/>
  <c r="AN27" i="13"/>
  <c r="AM27" i="13"/>
  <c r="AL27" i="13"/>
  <c r="AK27" i="13"/>
  <c r="AJ27" i="13"/>
  <c r="AI27" i="13"/>
  <c r="AH27" i="13"/>
  <c r="AG27" i="13"/>
  <c r="AF27" i="13"/>
  <c r="A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E26" i="13"/>
  <c r="DD26" i="13"/>
  <c r="DC26" i="13"/>
  <c r="DB26" i="13"/>
  <c r="DA26" i="13"/>
  <c r="CZ26" i="13"/>
  <c r="CY26" i="13"/>
  <c r="CX26" i="13"/>
  <c r="CW26" i="13"/>
  <c r="CV26" i="13"/>
  <c r="CU26" i="13"/>
  <c r="CT26" i="13"/>
  <c r="CS26" i="13"/>
  <c r="CR26" i="13"/>
  <c r="CQ26" i="13"/>
  <c r="CP26" i="13"/>
  <c r="CO26" i="13"/>
  <c r="CN26" i="13"/>
  <c r="CM26" i="13"/>
  <c r="CL26" i="13"/>
  <c r="CK26" i="13"/>
  <c r="CJ26" i="13"/>
  <c r="CI26" i="13"/>
  <c r="CH26" i="13"/>
  <c r="CG26" i="13"/>
  <c r="CF26" i="13"/>
  <c r="CE26" i="13"/>
  <c r="CD26" i="13"/>
  <c r="CC26" i="13"/>
  <c r="CB26" i="13"/>
  <c r="CA26" i="13"/>
  <c r="BZ26" i="13"/>
  <c r="BY26" i="13"/>
  <c r="BX26" i="13"/>
  <c r="BW26" i="13"/>
  <c r="BV26" i="13"/>
  <c r="BU26" i="13"/>
  <c r="BT26" i="13"/>
  <c r="BS26" i="13"/>
  <c r="BR26" i="13"/>
  <c r="BQ26" i="13"/>
  <c r="BP26" i="13"/>
  <c r="BO26" i="13"/>
  <c r="BN26" i="13"/>
  <c r="BM26" i="13"/>
  <c r="BL26" i="13"/>
  <c r="BK26" i="13"/>
  <c r="BJ26" i="13"/>
  <c r="BI26" i="13"/>
  <c r="BH26" i="13"/>
  <c r="BG26" i="13"/>
  <c r="BF26" i="13"/>
  <c r="BE26" i="13"/>
  <c r="BD26" i="13"/>
  <c r="BC26" i="13"/>
  <c r="BB26" i="13"/>
  <c r="BA26" i="13"/>
  <c r="AZ26" i="13"/>
  <c r="AY26" i="13"/>
  <c r="AX26" i="13"/>
  <c r="AW26" i="13"/>
  <c r="AV26" i="13"/>
  <c r="AU26" i="13"/>
  <c r="AT26" i="13"/>
  <c r="AS26" i="13"/>
  <c r="AR26" i="13"/>
  <c r="AQ26" i="13"/>
  <c r="AP26" i="13"/>
  <c r="AO26" i="13"/>
  <c r="AN26" i="13"/>
  <c r="AM26" i="13"/>
  <c r="AL26" i="13"/>
  <c r="AK26" i="13"/>
  <c r="AJ26" i="13"/>
  <c r="AI26" i="13"/>
  <c r="AH26" i="13"/>
  <c r="AG26" i="13"/>
  <c r="AF26" i="13"/>
  <c r="AE26" i="13"/>
  <c r="AD26" i="13"/>
  <c r="AC26" i="13"/>
  <c r="AB26" i="13"/>
  <c r="AA26" i="13"/>
  <c r="Z26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E25" i="13"/>
  <c r="DD25" i="13"/>
  <c r="DC25" i="13"/>
  <c r="DB25" i="13"/>
  <c r="DA25" i="13"/>
  <c r="CZ25" i="13"/>
  <c r="CY25" i="13"/>
  <c r="CX25" i="13"/>
  <c r="CW25" i="13"/>
  <c r="CV25" i="13"/>
  <c r="CU25" i="13"/>
  <c r="CT25" i="13"/>
  <c r="CS25" i="13"/>
  <c r="CR25" i="13"/>
  <c r="CQ25" i="13"/>
  <c r="CP25" i="13"/>
  <c r="CO25" i="13"/>
  <c r="CN25" i="13"/>
  <c r="CM25" i="13"/>
  <c r="CL25" i="13"/>
  <c r="CK25" i="13"/>
  <c r="CJ25" i="13"/>
  <c r="CI25" i="13"/>
  <c r="CH25" i="13"/>
  <c r="CG25" i="13"/>
  <c r="CF25" i="13"/>
  <c r="CE25" i="13"/>
  <c r="CD25" i="13"/>
  <c r="CC25" i="13"/>
  <c r="CB25" i="13"/>
  <c r="CA25" i="13"/>
  <c r="BZ25" i="13"/>
  <c r="BY25" i="13"/>
  <c r="BX25" i="13"/>
  <c r="BW25" i="13"/>
  <c r="BV25" i="13"/>
  <c r="BU25" i="13"/>
  <c r="BT25" i="13"/>
  <c r="BS25" i="13"/>
  <c r="BR25" i="13"/>
  <c r="BQ25" i="13"/>
  <c r="BP25" i="13"/>
  <c r="BO25" i="13"/>
  <c r="BN25" i="13"/>
  <c r="BM25" i="13"/>
  <c r="BL25" i="13"/>
  <c r="BK25" i="13"/>
  <c r="BJ25" i="13"/>
  <c r="BI25" i="13"/>
  <c r="BH25" i="13"/>
  <c r="BG25" i="13"/>
  <c r="BF25" i="13"/>
  <c r="BE25" i="13"/>
  <c r="BD25" i="13"/>
  <c r="BC25" i="13"/>
  <c r="BB25" i="13"/>
  <c r="BA25" i="13"/>
  <c r="AZ25" i="13"/>
  <c r="AY25" i="13"/>
  <c r="AX25" i="13"/>
  <c r="AW25" i="13"/>
  <c r="AV25" i="13"/>
  <c r="AU25" i="13"/>
  <c r="AT25" i="13"/>
  <c r="AS25" i="13"/>
  <c r="AR25" i="13"/>
  <c r="AQ25" i="13"/>
  <c r="AP25" i="13"/>
  <c r="AO25" i="13"/>
  <c r="AN25" i="13"/>
  <c r="AM25" i="13"/>
  <c r="AL25" i="13"/>
  <c r="AK25" i="13"/>
  <c r="AJ25" i="13"/>
  <c r="AI25" i="13"/>
  <c r="AH25" i="13"/>
  <c r="AG25" i="13"/>
  <c r="AF25" i="13"/>
  <c r="AE25" i="13"/>
  <c r="AD25" i="13"/>
  <c r="AC25" i="13"/>
  <c r="AB25" i="13"/>
  <c r="AA25" i="13"/>
  <c r="Z25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E24" i="13"/>
  <c r="DD24" i="13"/>
  <c r="DC24" i="13"/>
  <c r="DB24" i="13"/>
  <c r="DA24" i="13"/>
  <c r="CZ24" i="13"/>
  <c r="CY24" i="13"/>
  <c r="CX24" i="13"/>
  <c r="CW24" i="13"/>
  <c r="CV24" i="13"/>
  <c r="CU24" i="13"/>
  <c r="CT24" i="13"/>
  <c r="CS24" i="13"/>
  <c r="CR24" i="13"/>
  <c r="CQ24" i="13"/>
  <c r="CP24" i="13"/>
  <c r="CO24" i="13"/>
  <c r="CN24" i="13"/>
  <c r="CM24" i="13"/>
  <c r="CL24" i="13"/>
  <c r="CK24" i="13"/>
  <c r="CJ24" i="13"/>
  <c r="CI24" i="13"/>
  <c r="CH24" i="13"/>
  <c r="CG24" i="13"/>
  <c r="CF24" i="13"/>
  <c r="CE24" i="13"/>
  <c r="CD24" i="13"/>
  <c r="CC24" i="13"/>
  <c r="CB24" i="13"/>
  <c r="CA24" i="13"/>
  <c r="BZ24" i="13"/>
  <c r="BY24" i="13"/>
  <c r="BX24" i="13"/>
  <c r="BW24" i="13"/>
  <c r="BV24" i="13"/>
  <c r="BU24" i="13"/>
  <c r="BT24" i="13"/>
  <c r="BS24" i="13"/>
  <c r="BR24" i="13"/>
  <c r="BQ24" i="13"/>
  <c r="BP24" i="13"/>
  <c r="BO24" i="13"/>
  <c r="BN24" i="13"/>
  <c r="BM24" i="13"/>
  <c r="BL24" i="13"/>
  <c r="BK24" i="13"/>
  <c r="BJ24" i="13"/>
  <c r="BI24" i="13"/>
  <c r="BH24" i="13"/>
  <c r="BG24" i="13"/>
  <c r="BF24" i="13"/>
  <c r="BE24" i="13"/>
  <c r="BD24" i="13"/>
  <c r="BC24" i="13"/>
  <c r="BB24" i="13"/>
  <c r="BA24" i="13"/>
  <c r="AZ24" i="13"/>
  <c r="AY24" i="13"/>
  <c r="AX24" i="13"/>
  <c r="AW24" i="13"/>
  <c r="AV24" i="13"/>
  <c r="AU24" i="13"/>
  <c r="AT24" i="13"/>
  <c r="AS24" i="13"/>
  <c r="AR24" i="13"/>
  <c r="AQ24" i="13"/>
  <c r="AP24" i="13"/>
  <c r="AO24" i="13"/>
  <c r="AN24" i="13"/>
  <c r="AM24" i="13"/>
  <c r="AL24" i="13"/>
  <c r="AK24" i="13"/>
  <c r="AJ24" i="13"/>
  <c r="AI24" i="13"/>
  <c r="AH24" i="13"/>
  <c r="AG24" i="13"/>
  <c r="AF24" i="13"/>
  <c r="AE24" i="13"/>
  <c r="AD24" i="13"/>
  <c r="AC24" i="13"/>
  <c r="AB24" i="13"/>
  <c r="AA24" i="13"/>
  <c r="Z24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E59" i="24"/>
  <c r="DD59" i="24"/>
  <c r="DC59" i="24"/>
  <c r="DB59" i="24"/>
  <c r="DA59" i="24"/>
  <c r="CZ59" i="24"/>
  <c r="CY59" i="24"/>
  <c r="CX59" i="24"/>
  <c r="CW59" i="24"/>
  <c r="CV59" i="24"/>
  <c r="CU59" i="24"/>
  <c r="CT59" i="24"/>
  <c r="CS59" i="24"/>
  <c r="CR59" i="24"/>
  <c r="CQ59" i="24"/>
  <c r="CP59" i="24"/>
  <c r="CO59" i="24"/>
  <c r="CN59" i="24"/>
  <c r="CM59" i="24"/>
  <c r="CL59" i="24"/>
  <c r="CK59" i="24"/>
  <c r="CJ59" i="24"/>
  <c r="CI59" i="24"/>
  <c r="CH59" i="24"/>
  <c r="CG59" i="24"/>
  <c r="CF59" i="24"/>
  <c r="CE59" i="24"/>
  <c r="CD59" i="24"/>
  <c r="CC59" i="24"/>
  <c r="CB59" i="24"/>
  <c r="CA59" i="24"/>
  <c r="BZ59" i="24"/>
  <c r="BY59" i="24"/>
  <c r="BX59" i="24"/>
  <c r="BW59" i="24"/>
  <c r="BV59" i="24"/>
  <c r="BU59" i="24"/>
  <c r="BT59" i="24"/>
  <c r="BS59" i="24"/>
  <c r="BR59" i="24"/>
  <c r="BQ59" i="24"/>
  <c r="BP59" i="24"/>
  <c r="BO59" i="24"/>
  <c r="BN59" i="24"/>
  <c r="BM59" i="24"/>
  <c r="BL59" i="24"/>
  <c r="BK59" i="24"/>
  <c r="BJ59" i="24"/>
  <c r="BI59" i="24"/>
  <c r="BH59" i="24"/>
  <c r="BG59" i="24"/>
  <c r="BF59" i="24"/>
  <c r="BE59" i="24"/>
  <c r="BD59" i="24"/>
  <c r="BC59" i="24"/>
  <c r="BB59" i="24"/>
  <c r="BA59" i="24"/>
  <c r="AZ59" i="24"/>
  <c r="AY59" i="24"/>
  <c r="AX59" i="24"/>
  <c r="AW59" i="24"/>
  <c r="AV59" i="24"/>
  <c r="AU59" i="24"/>
  <c r="AT59" i="24"/>
  <c r="AS59" i="24"/>
  <c r="AR59" i="24"/>
  <c r="AQ59" i="24"/>
  <c r="AP59" i="24"/>
  <c r="AO59" i="24"/>
  <c r="AN59" i="24"/>
  <c r="AM59" i="24"/>
  <c r="AL59" i="24"/>
  <c r="AK59" i="24"/>
  <c r="AJ59" i="24"/>
  <c r="AI59" i="24"/>
  <c r="AH59" i="24"/>
  <c r="AG59" i="24"/>
  <c r="AF59" i="24"/>
  <c r="AE59" i="24"/>
  <c r="AD59" i="24"/>
  <c r="AC59" i="24"/>
  <c r="AB59" i="24"/>
  <c r="AA59" i="24"/>
  <c r="Z59" i="24"/>
  <c r="Y59" i="24"/>
  <c r="X59" i="24"/>
  <c r="W59" i="24"/>
  <c r="V59" i="24"/>
  <c r="U59" i="24"/>
  <c r="T59" i="24"/>
  <c r="S59" i="24"/>
  <c r="R59" i="24"/>
  <c r="Q59" i="24"/>
  <c r="P59" i="24"/>
  <c r="O59" i="24"/>
  <c r="N59" i="24"/>
  <c r="M59" i="24"/>
  <c r="L59" i="24"/>
  <c r="K59" i="24"/>
  <c r="J59" i="24"/>
  <c r="I59" i="24"/>
  <c r="H59" i="24"/>
  <c r="G59" i="24"/>
  <c r="F59" i="24"/>
  <c r="E59" i="24"/>
  <c r="DE58" i="24"/>
  <c r="DD58" i="24"/>
  <c r="DC58" i="24"/>
  <c r="DB58" i="24"/>
  <c r="DA58" i="24"/>
  <c r="CZ58" i="24"/>
  <c r="CY58" i="24"/>
  <c r="CX58" i="24"/>
  <c r="CW58" i="24"/>
  <c r="CV58" i="24"/>
  <c r="CU58" i="24"/>
  <c r="CT58" i="24"/>
  <c r="CS58" i="24"/>
  <c r="CR58" i="24"/>
  <c r="CQ58" i="24"/>
  <c r="CP58" i="24"/>
  <c r="CO58" i="24"/>
  <c r="CN58" i="24"/>
  <c r="CM58" i="24"/>
  <c r="CL58" i="24"/>
  <c r="CK58" i="24"/>
  <c r="CJ58" i="24"/>
  <c r="CI58" i="24"/>
  <c r="CH58" i="24"/>
  <c r="CG58" i="24"/>
  <c r="CF58" i="24"/>
  <c r="CE58" i="24"/>
  <c r="CD58" i="24"/>
  <c r="CC58" i="24"/>
  <c r="CB58" i="24"/>
  <c r="CA58" i="24"/>
  <c r="BZ58" i="24"/>
  <c r="BY58" i="24"/>
  <c r="BX58" i="24"/>
  <c r="BW58" i="24"/>
  <c r="BV58" i="24"/>
  <c r="BU58" i="24"/>
  <c r="BT58" i="24"/>
  <c r="BS58" i="24"/>
  <c r="BR58" i="24"/>
  <c r="BQ58" i="24"/>
  <c r="BP58" i="24"/>
  <c r="BO58" i="24"/>
  <c r="BN58" i="24"/>
  <c r="BM58" i="24"/>
  <c r="BL58" i="24"/>
  <c r="BK58" i="24"/>
  <c r="BJ58" i="24"/>
  <c r="BI58" i="24"/>
  <c r="BH58" i="24"/>
  <c r="BG58" i="24"/>
  <c r="BF58" i="24"/>
  <c r="BE58" i="24"/>
  <c r="BD58" i="24"/>
  <c r="BC58" i="24"/>
  <c r="BB58" i="24"/>
  <c r="BA58" i="24"/>
  <c r="AZ58" i="24"/>
  <c r="AY58" i="24"/>
  <c r="AX58" i="24"/>
  <c r="AW58" i="24"/>
  <c r="AV58" i="24"/>
  <c r="AU58" i="24"/>
  <c r="AT58" i="24"/>
  <c r="AS58" i="24"/>
  <c r="AR58" i="24"/>
  <c r="AQ58" i="24"/>
  <c r="AP58" i="24"/>
  <c r="AO58" i="24"/>
  <c r="AN58" i="24"/>
  <c r="AM58" i="24"/>
  <c r="AL58" i="24"/>
  <c r="AK58" i="24"/>
  <c r="AJ58" i="24"/>
  <c r="AI58" i="24"/>
  <c r="AH58" i="24"/>
  <c r="AG58" i="24"/>
  <c r="AF58" i="24"/>
  <c r="AE58" i="24"/>
  <c r="AD58" i="24"/>
  <c r="AC58" i="24"/>
  <c r="AB58" i="24"/>
  <c r="AA58" i="24"/>
  <c r="Z58" i="24"/>
  <c r="Y58" i="24"/>
  <c r="X58" i="24"/>
  <c r="W58" i="24"/>
  <c r="V58" i="24"/>
  <c r="U58" i="24"/>
  <c r="T58" i="24"/>
  <c r="S58" i="24"/>
  <c r="R58" i="24"/>
  <c r="Q58" i="24"/>
  <c r="P58" i="24"/>
  <c r="O58" i="24"/>
  <c r="N58" i="24"/>
  <c r="M58" i="24"/>
  <c r="L58" i="24"/>
  <c r="K58" i="24"/>
  <c r="J58" i="24"/>
  <c r="I58" i="24"/>
  <c r="H58" i="24"/>
  <c r="G58" i="24"/>
  <c r="F58" i="24"/>
  <c r="E58" i="24"/>
  <c r="DE57" i="24"/>
  <c r="DD57" i="24"/>
  <c r="DC57" i="24"/>
  <c r="DB57" i="24"/>
  <c r="DA57" i="24"/>
  <c r="CZ57" i="24"/>
  <c r="CY57" i="24"/>
  <c r="CX57" i="24"/>
  <c r="CW57" i="24"/>
  <c r="CV57" i="24"/>
  <c r="CU57" i="24"/>
  <c r="CT57" i="24"/>
  <c r="CS57" i="24"/>
  <c r="CR57" i="24"/>
  <c r="CQ57" i="24"/>
  <c r="CP57" i="24"/>
  <c r="CO57" i="24"/>
  <c r="CN57" i="24"/>
  <c r="CM57" i="24"/>
  <c r="CL57" i="24"/>
  <c r="CK57" i="24"/>
  <c r="CJ57" i="24"/>
  <c r="CI57" i="24"/>
  <c r="CH57" i="24"/>
  <c r="CG57" i="24"/>
  <c r="CF57" i="24"/>
  <c r="CE57" i="24"/>
  <c r="CD57" i="24"/>
  <c r="CC57" i="24"/>
  <c r="CB57" i="24"/>
  <c r="CA57" i="24"/>
  <c r="BZ57" i="24"/>
  <c r="BY57" i="24"/>
  <c r="BX57" i="24"/>
  <c r="BW57" i="24"/>
  <c r="BV57" i="24"/>
  <c r="BU57" i="24"/>
  <c r="BT57" i="24"/>
  <c r="BS57" i="24"/>
  <c r="BR57" i="24"/>
  <c r="BQ57" i="24"/>
  <c r="BP57" i="24"/>
  <c r="BO57" i="24"/>
  <c r="BN57" i="24"/>
  <c r="BM57" i="24"/>
  <c r="BL57" i="24"/>
  <c r="BK57" i="24"/>
  <c r="BJ57" i="24"/>
  <c r="BI57" i="24"/>
  <c r="BH57" i="24"/>
  <c r="BG57" i="24"/>
  <c r="BF57" i="24"/>
  <c r="BE57" i="24"/>
  <c r="BD57" i="24"/>
  <c r="BC57" i="24"/>
  <c r="BB57" i="24"/>
  <c r="BA57" i="24"/>
  <c r="AZ57" i="24"/>
  <c r="AY57" i="24"/>
  <c r="AX57" i="24"/>
  <c r="AW57" i="24"/>
  <c r="AV57" i="24"/>
  <c r="AU57" i="24"/>
  <c r="AT57" i="24"/>
  <c r="AS57" i="24"/>
  <c r="AR57" i="24"/>
  <c r="AQ57" i="24"/>
  <c r="AP57" i="24"/>
  <c r="AO57" i="24"/>
  <c r="AN57" i="24"/>
  <c r="AM57" i="24"/>
  <c r="AL57" i="24"/>
  <c r="AK57" i="24"/>
  <c r="AJ57" i="24"/>
  <c r="AI57" i="24"/>
  <c r="AH57" i="24"/>
  <c r="AG57" i="24"/>
  <c r="AF57" i="24"/>
  <c r="AE57" i="24"/>
  <c r="AD57" i="24"/>
  <c r="AC57" i="24"/>
  <c r="AB57" i="24"/>
  <c r="AA57" i="24"/>
  <c r="Z57" i="24"/>
  <c r="Y57" i="24"/>
  <c r="X57" i="24"/>
  <c r="W57" i="24"/>
  <c r="V57" i="24"/>
  <c r="U57" i="24"/>
  <c r="T57" i="24"/>
  <c r="S57" i="24"/>
  <c r="R57" i="24"/>
  <c r="Q57" i="24"/>
  <c r="P57" i="24"/>
  <c r="O57" i="24"/>
  <c r="N57" i="24"/>
  <c r="M57" i="24"/>
  <c r="L57" i="24"/>
  <c r="K57" i="24"/>
  <c r="J57" i="24"/>
  <c r="I57" i="24"/>
  <c r="H57" i="24"/>
  <c r="G57" i="24"/>
  <c r="F57" i="24"/>
  <c r="E57" i="24"/>
  <c r="DE56" i="24"/>
  <c r="DD56" i="24"/>
  <c r="DC56" i="24"/>
  <c r="DB56" i="24"/>
  <c r="DA56" i="24"/>
  <c r="CZ56" i="24"/>
  <c r="CY56" i="24"/>
  <c r="CX56" i="24"/>
  <c r="CW56" i="24"/>
  <c r="CV56" i="24"/>
  <c r="CU56" i="24"/>
  <c r="CT56" i="24"/>
  <c r="CS56" i="24"/>
  <c r="CR56" i="24"/>
  <c r="CQ56" i="24"/>
  <c r="CP56" i="24"/>
  <c r="CO56" i="24"/>
  <c r="CN56" i="24"/>
  <c r="CM56" i="24"/>
  <c r="CL56" i="24"/>
  <c r="CK56" i="24"/>
  <c r="CJ56" i="24"/>
  <c r="CI56" i="24"/>
  <c r="CH56" i="24"/>
  <c r="CG56" i="24"/>
  <c r="CF56" i="24"/>
  <c r="CE56" i="24"/>
  <c r="CD56" i="24"/>
  <c r="CC56" i="24"/>
  <c r="CB56" i="24"/>
  <c r="CA56" i="24"/>
  <c r="BZ56" i="24"/>
  <c r="BY56" i="24"/>
  <c r="BX56" i="24"/>
  <c r="BW56" i="24"/>
  <c r="BV56" i="24"/>
  <c r="BU56" i="24"/>
  <c r="BT56" i="24"/>
  <c r="BS56" i="24"/>
  <c r="BR56" i="24"/>
  <c r="BQ56" i="24"/>
  <c r="BP56" i="24"/>
  <c r="BO56" i="24"/>
  <c r="BN56" i="24"/>
  <c r="BM56" i="24"/>
  <c r="BL56" i="24"/>
  <c r="BK56" i="24"/>
  <c r="BJ56" i="24"/>
  <c r="BI56" i="24"/>
  <c r="BH56" i="24"/>
  <c r="BG56" i="24"/>
  <c r="BF56" i="24"/>
  <c r="BE56" i="24"/>
  <c r="BD56" i="24"/>
  <c r="BC56" i="24"/>
  <c r="BB56" i="24"/>
  <c r="BA56" i="24"/>
  <c r="AZ56" i="24"/>
  <c r="AY56" i="24"/>
  <c r="AX56" i="24"/>
  <c r="AW56" i="24"/>
  <c r="AV56" i="24"/>
  <c r="AU56" i="24"/>
  <c r="AT56" i="24"/>
  <c r="AS56" i="24"/>
  <c r="AR56" i="24"/>
  <c r="AQ56" i="24"/>
  <c r="AP56" i="24"/>
  <c r="AO56" i="24"/>
  <c r="AN56" i="24"/>
  <c r="AM56" i="24"/>
  <c r="AL56" i="24"/>
  <c r="AK56" i="24"/>
  <c r="AJ56" i="24"/>
  <c r="AI56" i="24"/>
  <c r="AH56" i="24"/>
  <c r="AG56" i="24"/>
  <c r="AF56" i="24"/>
  <c r="AE56" i="24"/>
  <c r="AD56" i="24"/>
  <c r="AC56" i="24"/>
  <c r="AB56" i="24"/>
  <c r="AA56" i="24"/>
  <c r="Z56" i="24"/>
  <c r="Y56" i="24"/>
  <c r="X56" i="24"/>
  <c r="W56" i="24"/>
  <c r="V56" i="24"/>
  <c r="U56" i="24"/>
  <c r="T56" i="24"/>
  <c r="S56" i="24"/>
  <c r="R56" i="24"/>
  <c r="Q56" i="24"/>
  <c r="P56" i="24"/>
  <c r="O56" i="24"/>
  <c r="N56" i="24"/>
  <c r="M56" i="24"/>
  <c r="L56" i="24"/>
  <c r="K56" i="24"/>
  <c r="J56" i="24"/>
  <c r="I56" i="24"/>
  <c r="H56" i="24"/>
  <c r="G56" i="24"/>
  <c r="F56" i="24"/>
  <c r="E56" i="24"/>
  <c r="DE55" i="24"/>
  <c r="DD55" i="24"/>
  <c r="DC55" i="24"/>
  <c r="DB55" i="24"/>
  <c r="DA55" i="24"/>
  <c r="CZ55" i="24"/>
  <c r="CY55" i="24"/>
  <c r="CX55" i="24"/>
  <c r="CW55" i="24"/>
  <c r="CV55" i="24"/>
  <c r="CU55" i="24"/>
  <c r="CT55" i="24"/>
  <c r="CS55" i="24"/>
  <c r="CR55" i="24"/>
  <c r="CQ55" i="24"/>
  <c r="CP55" i="24"/>
  <c r="CO55" i="24"/>
  <c r="CN55" i="24"/>
  <c r="CM55" i="24"/>
  <c r="CL55" i="24"/>
  <c r="CK55" i="24"/>
  <c r="CJ55" i="24"/>
  <c r="CI55" i="24"/>
  <c r="CH55" i="24"/>
  <c r="CG55" i="24"/>
  <c r="CF55" i="24"/>
  <c r="CE55" i="24"/>
  <c r="CD55" i="24"/>
  <c r="CC55" i="24"/>
  <c r="CB55" i="24"/>
  <c r="CA55" i="24"/>
  <c r="BZ55" i="24"/>
  <c r="BY55" i="24"/>
  <c r="BX55" i="24"/>
  <c r="BW55" i="24"/>
  <c r="BV55" i="24"/>
  <c r="BU55" i="24"/>
  <c r="BT55" i="24"/>
  <c r="BS55" i="24"/>
  <c r="BR55" i="24"/>
  <c r="BQ55" i="24"/>
  <c r="BP55" i="24"/>
  <c r="BO55" i="24"/>
  <c r="BN55" i="24"/>
  <c r="BM55" i="24"/>
  <c r="BL55" i="24"/>
  <c r="BK55" i="24"/>
  <c r="BJ55" i="24"/>
  <c r="BI55" i="24"/>
  <c r="BH55" i="24"/>
  <c r="BG55" i="24"/>
  <c r="BF55" i="24"/>
  <c r="BE55" i="24"/>
  <c r="BD55" i="24"/>
  <c r="BC55" i="24"/>
  <c r="BB55" i="24"/>
  <c r="BA55" i="24"/>
  <c r="AZ55" i="24"/>
  <c r="AY55" i="24"/>
  <c r="AX55" i="24"/>
  <c r="AW55" i="24"/>
  <c r="AV55" i="24"/>
  <c r="AU55" i="24"/>
  <c r="AT55" i="24"/>
  <c r="AS55" i="24"/>
  <c r="AR55" i="24"/>
  <c r="AQ55" i="24"/>
  <c r="AP55" i="24"/>
  <c r="AO55" i="24"/>
  <c r="AN55" i="24"/>
  <c r="AM55" i="24"/>
  <c r="AL55" i="24"/>
  <c r="AK55" i="24"/>
  <c r="AJ55" i="24"/>
  <c r="AI55" i="24"/>
  <c r="AH55" i="24"/>
  <c r="AG55" i="24"/>
  <c r="AF55" i="24"/>
  <c r="AE55" i="24"/>
  <c r="AD55" i="24"/>
  <c r="AC55" i="24"/>
  <c r="AB55" i="24"/>
  <c r="AA55" i="24"/>
  <c r="Z55" i="24"/>
  <c r="Y55" i="24"/>
  <c r="X55" i="24"/>
  <c r="W55" i="24"/>
  <c r="V55" i="24"/>
  <c r="U55" i="24"/>
  <c r="T55" i="24"/>
  <c r="S55" i="24"/>
  <c r="R55" i="24"/>
  <c r="Q55" i="24"/>
  <c r="P55" i="24"/>
  <c r="O55" i="24"/>
  <c r="N55" i="24"/>
  <c r="M55" i="24"/>
  <c r="L55" i="24"/>
  <c r="K55" i="24"/>
  <c r="J55" i="24"/>
  <c r="I55" i="24"/>
  <c r="H55" i="24"/>
  <c r="G55" i="24"/>
  <c r="F55" i="24"/>
  <c r="E55" i="24"/>
  <c r="DE54" i="24"/>
  <c r="DD54" i="24"/>
  <c r="DC54" i="24"/>
  <c r="DB54" i="24"/>
  <c r="DA54" i="24"/>
  <c r="CZ54" i="24"/>
  <c r="CY54" i="24"/>
  <c r="CX54" i="24"/>
  <c r="CW54" i="24"/>
  <c r="CV54" i="24"/>
  <c r="CU54" i="24"/>
  <c r="CT54" i="24"/>
  <c r="CS54" i="24"/>
  <c r="CR54" i="24"/>
  <c r="CQ54" i="24"/>
  <c r="CP54" i="24"/>
  <c r="CO54" i="24"/>
  <c r="CN54" i="24"/>
  <c r="CM54" i="24"/>
  <c r="CL54" i="24"/>
  <c r="CK54" i="24"/>
  <c r="CJ54" i="24"/>
  <c r="CI54" i="24"/>
  <c r="CH54" i="24"/>
  <c r="CG54" i="24"/>
  <c r="CF54" i="24"/>
  <c r="CE54" i="24"/>
  <c r="CD54" i="24"/>
  <c r="CC54" i="24"/>
  <c r="CB54" i="24"/>
  <c r="CA54" i="24"/>
  <c r="BZ54" i="24"/>
  <c r="BY54" i="24"/>
  <c r="BX54" i="24"/>
  <c r="BW54" i="24"/>
  <c r="BV54" i="24"/>
  <c r="BU54" i="24"/>
  <c r="BT54" i="24"/>
  <c r="BS54" i="24"/>
  <c r="BR54" i="24"/>
  <c r="BQ54" i="24"/>
  <c r="BP54" i="24"/>
  <c r="BO54" i="24"/>
  <c r="BN54" i="24"/>
  <c r="BM54" i="24"/>
  <c r="BL54" i="24"/>
  <c r="BK54" i="24"/>
  <c r="BJ54" i="24"/>
  <c r="BI54" i="24"/>
  <c r="BH54" i="24"/>
  <c r="BG54" i="24"/>
  <c r="BF54" i="24"/>
  <c r="BE54" i="24"/>
  <c r="BD54" i="24"/>
  <c r="BC54" i="24"/>
  <c r="BB54" i="24"/>
  <c r="BA54" i="24"/>
  <c r="AZ54" i="24"/>
  <c r="AY54" i="24"/>
  <c r="AX54" i="24"/>
  <c r="AW54" i="24"/>
  <c r="AV54" i="24"/>
  <c r="AU54" i="24"/>
  <c r="AT54" i="24"/>
  <c r="AS54" i="24"/>
  <c r="AR54" i="24"/>
  <c r="AQ54" i="24"/>
  <c r="AP54" i="24"/>
  <c r="AO54" i="24"/>
  <c r="AN54" i="24"/>
  <c r="AM54" i="24"/>
  <c r="AL54" i="24"/>
  <c r="AK54" i="24"/>
  <c r="AJ54" i="24"/>
  <c r="AI54" i="24"/>
  <c r="AH54" i="24"/>
  <c r="AG54" i="24"/>
  <c r="AF54" i="24"/>
  <c r="AE54" i="24"/>
  <c r="AD54" i="24"/>
  <c r="AC54" i="24"/>
  <c r="AB54" i="24"/>
  <c r="AA54" i="24"/>
  <c r="Z54" i="24"/>
  <c r="Y54" i="24"/>
  <c r="X54" i="24"/>
  <c r="W54" i="24"/>
  <c r="V54" i="24"/>
  <c r="U54" i="24"/>
  <c r="T54" i="24"/>
  <c r="S54" i="24"/>
  <c r="R54" i="24"/>
  <c r="Q54" i="24"/>
  <c r="P54" i="24"/>
  <c r="O54" i="24"/>
  <c r="N54" i="24"/>
  <c r="M54" i="24"/>
  <c r="L54" i="24"/>
  <c r="K54" i="24"/>
  <c r="J54" i="24"/>
  <c r="I54" i="24"/>
  <c r="H54" i="24"/>
  <c r="G54" i="24"/>
  <c r="F54" i="24"/>
  <c r="E54" i="24"/>
  <c r="DE53" i="24"/>
  <c r="DD53" i="24"/>
  <c r="DC53" i="24"/>
  <c r="DB53" i="24"/>
  <c r="DA53" i="24"/>
  <c r="CZ53" i="24"/>
  <c r="CY53" i="24"/>
  <c r="CX53" i="24"/>
  <c r="CW53" i="24"/>
  <c r="CV53" i="24"/>
  <c r="CU53" i="24"/>
  <c r="CT53" i="24"/>
  <c r="CS53" i="24"/>
  <c r="CR53" i="24"/>
  <c r="CQ53" i="24"/>
  <c r="CP53" i="24"/>
  <c r="CO53" i="24"/>
  <c r="CN53" i="24"/>
  <c r="CM53" i="24"/>
  <c r="CL53" i="24"/>
  <c r="CK53" i="24"/>
  <c r="CJ53" i="24"/>
  <c r="CI53" i="24"/>
  <c r="CH53" i="24"/>
  <c r="CG53" i="24"/>
  <c r="CF53" i="24"/>
  <c r="CE53" i="24"/>
  <c r="CD53" i="24"/>
  <c r="CC53" i="24"/>
  <c r="CB53" i="24"/>
  <c r="CA53" i="24"/>
  <c r="BZ53" i="24"/>
  <c r="BY53" i="24"/>
  <c r="BX53" i="24"/>
  <c r="BW53" i="24"/>
  <c r="BV53" i="24"/>
  <c r="BU53" i="24"/>
  <c r="BT53" i="24"/>
  <c r="BS53" i="24"/>
  <c r="BR53" i="24"/>
  <c r="BQ53" i="24"/>
  <c r="BP53" i="24"/>
  <c r="BO53" i="24"/>
  <c r="BN53" i="24"/>
  <c r="BM53" i="24"/>
  <c r="BL53" i="24"/>
  <c r="BK53" i="24"/>
  <c r="BJ53" i="24"/>
  <c r="BI53" i="24"/>
  <c r="BH53" i="24"/>
  <c r="BG53" i="24"/>
  <c r="BF53" i="24"/>
  <c r="BE53" i="24"/>
  <c r="BD53" i="24"/>
  <c r="BC53" i="24"/>
  <c r="BB53" i="24"/>
  <c r="BA53" i="24"/>
  <c r="AZ53" i="24"/>
  <c r="AY53" i="24"/>
  <c r="AX53" i="24"/>
  <c r="AW53" i="24"/>
  <c r="AV53" i="24"/>
  <c r="AU53" i="24"/>
  <c r="AT53" i="24"/>
  <c r="AS53" i="24"/>
  <c r="AR53" i="24"/>
  <c r="AQ53" i="24"/>
  <c r="AP53" i="24"/>
  <c r="AO53" i="24"/>
  <c r="AN53" i="24"/>
  <c r="AM53" i="24"/>
  <c r="AL53" i="24"/>
  <c r="AK53" i="24"/>
  <c r="AJ53" i="24"/>
  <c r="AI53" i="24"/>
  <c r="AH53" i="24"/>
  <c r="AG53" i="24"/>
  <c r="AF53" i="24"/>
  <c r="AE53" i="24"/>
  <c r="AD53" i="24"/>
  <c r="AC53" i="24"/>
  <c r="AB53" i="24"/>
  <c r="AA53" i="24"/>
  <c r="Z53" i="24"/>
  <c r="Y53" i="24"/>
  <c r="X53" i="24"/>
  <c r="W53" i="24"/>
  <c r="V53" i="24"/>
  <c r="U53" i="24"/>
  <c r="T53" i="24"/>
  <c r="S53" i="24"/>
  <c r="R53" i="24"/>
  <c r="Q53" i="24"/>
  <c r="P53" i="24"/>
  <c r="O53" i="24"/>
  <c r="N53" i="24"/>
  <c r="M53" i="24"/>
  <c r="L53" i="24"/>
  <c r="K53" i="24"/>
  <c r="J53" i="24"/>
  <c r="I53" i="24"/>
  <c r="H53" i="24"/>
  <c r="G53" i="24"/>
  <c r="F53" i="24"/>
  <c r="E53" i="24"/>
  <c r="DE52" i="24"/>
  <c r="DD52" i="24"/>
  <c r="DC52" i="24"/>
  <c r="DB52" i="24"/>
  <c r="DA52" i="24"/>
  <c r="CZ52" i="24"/>
  <c r="CY52" i="24"/>
  <c r="CX52" i="24"/>
  <c r="CW52" i="24"/>
  <c r="CV52" i="24"/>
  <c r="CU52" i="24"/>
  <c r="CT52" i="24"/>
  <c r="CS52" i="24"/>
  <c r="CR52" i="24"/>
  <c r="CQ52" i="24"/>
  <c r="CP52" i="24"/>
  <c r="CO52" i="24"/>
  <c r="CN52" i="24"/>
  <c r="CM52" i="24"/>
  <c r="CL52" i="24"/>
  <c r="CK52" i="24"/>
  <c r="CJ52" i="24"/>
  <c r="CI52" i="24"/>
  <c r="CH52" i="24"/>
  <c r="CG52" i="24"/>
  <c r="CF52" i="24"/>
  <c r="CE52" i="24"/>
  <c r="CD52" i="24"/>
  <c r="CC52" i="24"/>
  <c r="CB52" i="24"/>
  <c r="CA52" i="24"/>
  <c r="BZ52" i="24"/>
  <c r="BY52" i="24"/>
  <c r="BX52" i="24"/>
  <c r="BW52" i="24"/>
  <c r="BV52" i="24"/>
  <c r="BU52" i="24"/>
  <c r="BT52" i="24"/>
  <c r="BS52" i="24"/>
  <c r="BR52" i="24"/>
  <c r="BQ52" i="24"/>
  <c r="BP52" i="24"/>
  <c r="BO52" i="24"/>
  <c r="BN52" i="24"/>
  <c r="BM52" i="24"/>
  <c r="BL52" i="24"/>
  <c r="BK52" i="24"/>
  <c r="BJ52" i="24"/>
  <c r="BI52" i="24"/>
  <c r="BH52" i="24"/>
  <c r="BG52" i="24"/>
  <c r="BF52" i="24"/>
  <c r="BE52" i="24"/>
  <c r="BD52" i="24"/>
  <c r="BC52" i="24"/>
  <c r="BB52" i="24"/>
  <c r="BA52" i="24"/>
  <c r="AZ52" i="24"/>
  <c r="AY52" i="24"/>
  <c r="AX52" i="24"/>
  <c r="AW52" i="24"/>
  <c r="AV52" i="24"/>
  <c r="AU52" i="24"/>
  <c r="AT52" i="24"/>
  <c r="AS52" i="24"/>
  <c r="AR52" i="24"/>
  <c r="AQ52" i="24"/>
  <c r="AP52" i="24"/>
  <c r="AO52" i="24"/>
  <c r="AN52" i="24"/>
  <c r="AM52" i="24"/>
  <c r="AL52" i="24"/>
  <c r="AK52" i="24"/>
  <c r="AJ52" i="24"/>
  <c r="AI52" i="24"/>
  <c r="AH52" i="24"/>
  <c r="AG52" i="24"/>
  <c r="AF52" i="24"/>
  <c r="AE52" i="24"/>
  <c r="AD52" i="24"/>
  <c r="AC52" i="24"/>
  <c r="AB52" i="24"/>
  <c r="AA52" i="24"/>
  <c r="Z52" i="24"/>
  <c r="Y52" i="24"/>
  <c r="X52" i="24"/>
  <c r="W52" i="24"/>
  <c r="V52" i="24"/>
  <c r="U52" i="24"/>
  <c r="T52" i="24"/>
  <c r="S52" i="24"/>
  <c r="R52" i="24"/>
  <c r="Q52" i="24"/>
  <c r="P52" i="24"/>
  <c r="O52" i="24"/>
  <c r="N52" i="24"/>
  <c r="M52" i="24"/>
  <c r="L52" i="24"/>
  <c r="K52" i="24"/>
  <c r="J52" i="24"/>
  <c r="I52" i="24"/>
  <c r="H52" i="24"/>
  <c r="G52" i="24"/>
  <c r="F52" i="24"/>
  <c r="E52" i="24"/>
  <c r="DE51" i="24"/>
  <c r="DD51" i="24"/>
  <c r="DC51" i="24"/>
  <c r="DB51" i="24"/>
  <c r="DA51" i="24"/>
  <c r="CZ51" i="24"/>
  <c r="CY51" i="24"/>
  <c r="CX51" i="24"/>
  <c r="CW51" i="24"/>
  <c r="CV51" i="24"/>
  <c r="CU51" i="24"/>
  <c r="CT51" i="24"/>
  <c r="CS51" i="24"/>
  <c r="CR51" i="24"/>
  <c r="CQ51" i="24"/>
  <c r="CP51" i="24"/>
  <c r="CO51" i="24"/>
  <c r="CN51" i="24"/>
  <c r="CM51" i="24"/>
  <c r="CL51" i="24"/>
  <c r="CK51" i="24"/>
  <c r="CJ51" i="24"/>
  <c r="CI51" i="24"/>
  <c r="CH51" i="24"/>
  <c r="CG51" i="24"/>
  <c r="CF51" i="24"/>
  <c r="CE51" i="24"/>
  <c r="CD51" i="24"/>
  <c r="CC51" i="24"/>
  <c r="CB51" i="24"/>
  <c r="CA51" i="24"/>
  <c r="BZ51" i="24"/>
  <c r="BY51" i="24"/>
  <c r="BX51" i="24"/>
  <c r="BW51" i="24"/>
  <c r="BV51" i="24"/>
  <c r="BU51" i="24"/>
  <c r="BT51" i="24"/>
  <c r="BS51" i="24"/>
  <c r="BR51" i="24"/>
  <c r="BQ51" i="24"/>
  <c r="BP51" i="24"/>
  <c r="BO51" i="24"/>
  <c r="BN51" i="24"/>
  <c r="BM51" i="24"/>
  <c r="BL51" i="24"/>
  <c r="BK51" i="24"/>
  <c r="BJ51" i="24"/>
  <c r="BI51" i="24"/>
  <c r="BH51" i="24"/>
  <c r="BG51" i="24"/>
  <c r="BF51" i="24"/>
  <c r="BE51" i="24"/>
  <c r="BD51" i="24"/>
  <c r="BC51" i="24"/>
  <c r="BB51" i="24"/>
  <c r="BA51" i="24"/>
  <c r="AZ51" i="24"/>
  <c r="AY51" i="24"/>
  <c r="AX51" i="24"/>
  <c r="AW51" i="24"/>
  <c r="AV51" i="24"/>
  <c r="AU51" i="24"/>
  <c r="AT51" i="24"/>
  <c r="AS51" i="24"/>
  <c r="AR51" i="24"/>
  <c r="AQ51" i="24"/>
  <c r="AP51" i="24"/>
  <c r="AO51" i="24"/>
  <c r="AN51" i="24"/>
  <c r="AM51" i="24"/>
  <c r="AL51" i="24"/>
  <c r="AK51" i="24"/>
  <c r="AJ51" i="24"/>
  <c r="AI51" i="24"/>
  <c r="AH51" i="24"/>
  <c r="AG51" i="24"/>
  <c r="AF51" i="24"/>
  <c r="AE51" i="24"/>
  <c r="AD51" i="24"/>
  <c r="AC51" i="24"/>
  <c r="AB51" i="24"/>
  <c r="AA51" i="24"/>
  <c r="Z51" i="24"/>
  <c r="Y51" i="24"/>
  <c r="X51" i="24"/>
  <c r="W51" i="24"/>
  <c r="V51" i="24"/>
  <c r="U51" i="24"/>
  <c r="T51" i="24"/>
  <c r="S51" i="24"/>
  <c r="R51" i="24"/>
  <c r="Q51" i="24"/>
  <c r="P51" i="24"/>
  <c r="O51" i="24"/>
  <c r="N51" i="24"/>
  <c r="M51" i="24"/>
  <c r="L51" i="24"/>
  <c r="K51" i="24"/>
  <c r="J51" i="24"/>
  <c r="I51" i="24"/>
  <c r="H51" i="24"/>
  <c r="G51" i="24"/>
  <c r="F51" i="24"/>
  <c r="E51" i="24"/>
  <c r="DE50" i="24"/>
  <c r="DD50" i="24"/>
  <c r="DC50" i="24"/>
  <c r="DB50" i="24"/>
  <c r="DA50" i="24"/>
  <c r="CZ50" i="24"/>
  <c r="CY50" i="24"/>
  <c r="CX50" i="24"/>
  <c r="CW50" i="24"/>
  <c r="CV50" i="24"/>
  <c r="CU50" i="24"/>
  <c r="CT50" i="24"/>
  <c r="CS50" i="24"/>
  <c r="CR50" i="24"/>
  <c r="CQ50" i="24"/>
  <c r="CP50" i="24"/>
  <c r="CO50" i="24"/>
  <c r="CN50" i="24"/>
  <c r="CM50" i="24"/>
  <c r="CL50" i="24"/>
  <c r="CK50" i="24"/>
  <c r="CJ50" i="24"/>
  <c r="CI50" i="24"/>
  <c r="CH50" i="24"/>
  <c r="CG50" i="24"/>
  <c r="CF50" i="24"/>
  <c r="CE50" i="24"/>
  <c r="CD50" i="24"/>
  <c r="CC50" i="24"/>
  <c r="CB50" i="24"/>
  <c r="CA50" i="24"/>
  <c r="BZ50" i="24"/>
  <c r="BY50" i="24"/>
  <c r="BX50" i="24"/>
  <c r="BW50" i="24"/>
  <c r="BV50" i="24"/>
  <c r="BU50" i="24"/>
  <c r="BT50" i="24"/>
  <c r="BS50" i="24"/>
  <c r="BR50" i="24"/>
  <c r="BQ50" i="24"/>
  <c r="BP50" i="24"/>
  <c r="BO50" i="24"/>
  <c r="BN50" i="24"/>
  <c r="BM50" i="24"/>
  <c r="BL50" i="24"/>
  <c r="BK50" i="24"/>
  <c r="BJ50" i="24"/>
  <c r="BI50" i="24"/>
  <c r="BH50" i="24"/>
  <c r="BG50" i="24"/>
  <c r="BF50" i="24"/>
  <c r="BE50" i="24"/>
  <c r="BD50" i="24"/>
  <c r="BC50" i="24"/>
  <c r="BB50" i="24"/>
  <c r="BA50" i="24"/>
  <c r="AZ50" i="24"/>
  <c r="AY50" i="24"/>
  <c r="AX50" i="24"/>
  <c r="AW50" i="24"/>
  <c r="AV50" i="24"/>
  <c r="AU50" i="24"/>
  <c r="AT50" i="24"/>
  <c r="AS50" i="24"/>
  <c r="AR50" i="24"/>
  <c r="AQ50" i="24"/>
  <c r="AP50" i="24"/>
  <c r="AO50" i="24"/>
  <c r="AN50" i="24"/>
  <c r="AM50" i="24"/>
  <c r="AL50" i="24"/>
  <c r="AK50" i="24"/>
  <c r="AJ50" i="24"/>
  <c r="AI50" i="24"/>
  <c r="AH50" i="24"/>
  <c r="AG50" i="24"/>
  <c r="AF50" i="24"/>
  <c r="AE50" i="24"/>
  <c r="AD50" i="24"/>
  <c r="AC50" i="24"/>
  <c r="AB50" i="24"/>
  <c r="AA50" i="24"/>
  <c r="Z50" i="24"/>
  <c r="Y50" i="24"/>
  <c r="X50" i="24"/>
  <c r="W50" i="24"/>
  <c r="V50" i="24"/>
  <c r="U50" i="24"/>
  <c r="T50" i="24"/>
  <c r="S50" i="24"/>
  <c r="R50" i="24"/>
  <c r="Q50" i="24"/>
  <c r="P50" i="24"/>
  <c r="O50" i="24"/>
  <c r="N50" i="24"/>
  <c r="M50" i="24"/>
  <c r="L50" i="24"/>
  <c r="K50" i="24"/>
  <c r="J50" i="24"/>
  <c r="I50" i="24"/>
  <c r="H50" i="24"/>
  <c r="G50" i="24"/>
  <c r="F50" i="24"/>
  <c r="E50" i="24"/>
  <c r="DE49" i="24"/>
  <c r="DD49" i="24"/>
  <c r="DC49" i="24"/>
  <c r="DB49" i="24"/>
  <c r="DA49" i="24"/>
  <c r="CZ49" i="24"/>
  <c r="CY49" i="24"/>
  <c r="CX49" i="24"/>
  <c r="CW49" i="24"/>
  <c r="CV49" i="24"/>
  <c r="CU49" i="24"/>
  <c r="CT49" i="24"/>
  <c r="CS49" i="24"/>
  <c r="CR49" i="24"/>
  <c r="CQ49" i="24"/>
  <c r="CP49" i="24"/>
  <c r="CO49" i="24"/>
  <c r="CN49" i="24"/>
  <c r="CM49" i="24"/>
  <c r="CL49" i="24"/>
  <c r="CK49" i="24"/>
  <c r="CJ49" i="24"/>
  <c r="CI49" i="24"/>
  <c r="CH49" i="24"/>
  <c r="CG49" i="24"/>
  <c r="CF49" i="24"/>
  <c r="CE49" i="24"/>
  <c r="CD49" i="24"/>
  <c r="CC49" i="24"/>
  <c r="CB49" i="24"/>
  <c r="CA49" i="24"/>
  <c r="BZ49" i="24"/>
  <c r="BY49" i="24"/>
  <c r="BX49" i="24"/>
  <c r="BW49" i="24"/>
  <c r="BV49" i="24"/>
  <c r="BU49" i="24"/>
  <c r="BT49" i="24"/>
  <c r="BS49" i="24"/>
  <c r="BR49" i="24"/>
  <c r="BQ49" i="24"/>
  <c r="BP49" i="24"/>
  <c r="BO49" i="24"/>
  <c r="BN49" i="24"/>
  <c r="BM49" i="24"/>
  <c r="BL49" i="24"/>
  <c r="BK49" i="24"/>
  <c r="BJ49" i="24"/>
  <c r="BI49" i="24"/>
  <c r="BH49" i="24"/>
  <c r="BG49" i="24"/>
  <c r="BF49" i="24"/>
  <c r="BE49" i="24"/>
  <c r="BD49" i="24"/>
  <c r="BC49" i="24"/>
  <c r="BB49" i="24"/>
  <c r="BA49" i="24"/>
  <c r="AZ49" i="24"/>
  <c r="AY49" i="24"/>
  <c r="AX49" i="24"/>
  <c r="AW49" i="24"/>
  <c r="AV49" i="24"/>
  <c r="AU49" i="24"/>
  <c r="AT49" i="24"/>
  <c r="AS49" i="24"/>
  <c r="AR49" i="24"/>
  <c r="AQ49" i="24"/>
  <c r="AP49" i="24"/>
  <c r="AO49" i="24"/>
  <c r="AN49" i="24"/>
  <c r="AM49" i="24"/>
  <c r="AL49" i="24"/>
  <c r="AK49" i="24"/>
  <c r="AJ49" i="24"/>
  <c r="AI49" i="24"/>
  <c r="AH49" i="24"/>
  <c r="AG49" i="24"/>
  <c r="AF49" i="24"/>
  <c r="AE49" i="24"/>
  <c r="AD49" i="24"/>
  <c r="AC49" i="24"/>
  <c r="AB49" i="24"/>
  <c r="AA49" i="24"/>
  <c r="Z49" i="24"/>
  <c r="Y49" i="24"/>
  <c r="X49" i="24"/>
  <c r="W49" i="24"/>
  <c r="V49" i="24"/>
  <c r="U49" i="24"/>
  <c r="T49" i="24"/>
  <c r="S49" i="24"/>
  <c r="R49" i="24"/>
  <c r="Q49" i="24"/>
  <c r="P49" i="24"/>
  <c r="O49" i="24"/>
  <c r="N49" i="24"/>
  <c r="M49" i="24"/>
  <c r="L49" i="24"/>
  <c r="K49" i="24"/>
  <c r="J49" i="24"/>
  <c r="I49" i="24"/>
  <c r="H49" i="24"/>
  <c r="G49" i="24"/>
  <c r="F49" i="24"/>
  <c r="E49" i="24"/>
  <c r="DE48" i="24"/>
  <c r="DD48" i="24"/>
  <c r="DC48" i="24"/>
  <c r="DB48" i="24"/>
  <c r="DA48" i="24"/>
  <c r="CZ48" i="24"/>
  <c r="CY48" i="24"/>
  <c r="CX48" i="24"/>
  <c r="CW48" i="24"/>
  <c r="CV48" i="24"/>
  <c r="CU48" i="24"/>
  <c r="CT48" i="24"/>
  <c r="CS48" i="24"/>
  <c r="CR48" i="24"/>
  <c r="CQ48" i="24"/>
  <c r="CP48" i="24"/>
  <c r="CO48" i="24"/>
  <c r="CN48" i="24"/>
  <c r="CM48" i="24"/>
  <c r="CL48" i="24"/>
  <c r="CK48" i="24"/>
  <c r="CJ48" i="24"/>
  <c r="CI48" i="24"/>
  <c r="CH48" i="24"/>
  <c r="CG48" i="24"/>
  <c r="CF48" i="24"/>
  <c r="CE48" i="24"/>
  <c r="CD48" i="24"/>
  <c r="CC48" i="24"/>
  <c r="CB48" i="24"/>
  <c r="CA48" i="24"/>
  <c r="BZ48" i="24"/>
  <c r="BY48" i="24"/>
  <c r="BX48" i="24"/>
  <c r="BW48" i="24"/>
  <c r="BV48" i="24"/>
  <c r="BU48" i="24"/>
  <c r="BT48" i="24"/>
  <c r="BS48" i="24"/>
  <c r="BR48" i="24"/>
  <c r="BQ48" i="24"/>
  <c r="BP48" i="24"/>
  <c r="BO48" i="24"/>
  <c r="BN48" i="24"/>
  <c r="BM48" i="24"/>
  <c r="BL48" i="24"/>
  <c r="BK48" i="24"/>
  <c r="BJ48" i="24"/>
  <c r="BI48" i="24"/>
  <c r="BH48" i="24"/>
  <c r="BG48" i="24"/>
  <c r="BF48" i="24"/>
  <c r="BE48" i="24"/>
  <c r="BD48" i="24"/>
  <c r="BC48" i="24"/>
  <c r="BB48" i="24"/>
  <c r="BA48" i="24"/>
  <c r="AZ48" i="24"/>
  <c r="AY48" i="24"/>
  <c r="AX48" i="24"/>
  <c r="AW48" i="24"/>
  <c r="AV48" i="24"/>
  <c r="AU48" i="24"/>
  <c r="AT48" i="24"/>
  <c r="AS48" i="24"/>
  <c r="AR48" i="24"/>
  <c r="AQ48" i="24"/>
  <c r="AP48" i="24"/>
  <c r="AO48" i="24"/>
  <c r="AN48" i="24"/>
  <c r="AM48" i="24"/>
  <c r="AL48" i="24"/>
  <c r="AK48" i="24"/>
  <c r="AJ48" i="24"/>
  <c r="AI48" i="24"/>
  <c r="AH48" i="24"/>
  <c r="AG48" i="24"/>
  <c r="AF48" i="24"/>
  <c r="AE48" i="24"/>
  <c r="AD48" i="24"/>
  <c r="AC48" i="24"/>
  <c r="AB48" i="24"/>
  <c r="AA48" i="24"/>
  <c r="Z48" i="24"/>
  <c r="Y48" i="24"/>
  <c r="X48" i="24"/>
  <c r="W48" i="24"/>
  <c r="V48" i="24"/>
  <c r="U48" i="24"/>
  <c r="T48" i="24"/>
  <c r="S48" i="24"/>
  <c r="R48" i="24"/>
  <c r="Q48" i="24"/>
  <c r="P48" i="24"/>
  <c r="O48" i="24"/>
  <c r="N48" i="24"/>
  <c r="M48" i="24"/>
  <c r="L48" i="24"/>
  <c r="K48" i="24"/>
  <c r="J48" i="24"/>
  <c r="I48" i="24"/>
  <c r="H48" i="24"/>
  <c r="G48" i="24"/>
  <c r="F48" i="24"/>
  <c r="E48" i="24"/>
  <c r="DE47" i="24"/>
  <c r="DD47" i="24"/>
  <c r="DC47" i="24"/>
  <c r="DB47" i="24"/>
  <c r="DA47" i="24"/>
  <c r="CZ47" i="24"/>
  <c r="CY47" i="24"/>
  <c r="CX47" i="24"/>
  <c r="CW47" i="24"/>
  <c r="CV47" i="24"/>
  <c r="CU47" i="24"/>
  <c r="CT47" i="24"/>
  <c r="CS47" i="24"/>
  <c r="CR47" i="24"/>
  <c r="CQ47" i="24"/>
  <c r="CP47" i="24"/>
  <c r="CO47" i="24"/>
  <c r="CN47" i="24"/>
  <c r="CM47" i="24"/>
  <c r="CL47" i="24"/>
  <c r="CK47" i="24"/>
  <c r="CJ47" i="24"/>
  <c r="CI47" i="24"/>
  <c r="CH47" i="24"/>
  <c r="CG47" i="24"/>
  <c r="CF47" i="24"/>
  <c r="CE47" i="24"/>
  <c r="CD47" i="24"/>
  <c r="CC47" i="24"/>
  <c r="CB47" i="24"/>
  <c r="CA47" i="24"/>
  <c r="BZ47" i="24"/>
  <c r="BY47" i="24"/>
  <c r="BX47" i="24"/>
  <c r="BW47" i="24"/>
  <c r="BV47" i="24"/>
  <c r="BU47" i="24"/>
  <c r="BT47" i="24"/>
  <c r="BS47" i="24"/>
  <c r="BR47" i="24"/>
  <c r="BQ47" i="24"/>
  <c r="BP47" i="24"/>
  <c r="BO47" i="24"/>
  <c r="BN47" i="24"/>
  <c r="BM47" i="24"/>
  <c r="BL47" i="24"/>
  <c r="BK47" i="24"/>
  <c r="BJ47" i="24"/>
  <c r="BI47" i="24"/>
  <c r="BH47" i="24"/>
  <c r="BG47" i="24"/>
  <c r="BF47" i="24"/>
  <c r="BE47" i="24"/>
  <c r="BD47" i="24"/>
  <c r="BC47" i="24"/>
  <c r="BB47" i="24"/>
  <c r="BA47" i="24"/>
  <c r="AZ47" i="24"/>
  <c r="AY47" i="24"/>
  <c r="AX47" i="24"/>
  <c r="AW47" i="24"/>
  <c r="AV47" i="24"/>
  <c r="AU47" i="24"/>
  <c r="AT47" i="24"/>
  <c r="AS47" i="24"/>
  <c r="AR47" i="24"/>
  <c r="AQ47" i="24"/>
  <c r="AP47" i="24"/>
  <c r="AO47" i="24"/>
  <c r="AN47" i="24"/>
  <c r="AM47" i="24"/>
  <c r="AL47" i="24"/>
  <c r="AK47" i="24"/>
  <c r="AJ47" i="24"/>
  <c r="AI47" i="24"/>
  <c r="AH47" i="24"/>
  <c r="AG47" i="24"/>
  <c r="AF47" i="24"/>
  <c r="AE47" i="24"/>
  <c r="AD47" i="24"/>
  <c r="AC47" i="24"/>
  <c r="AB47" i="24"/>
  <c r="AA47" i="24"/>
  <c r="Z47" i="24"/>
  <c r="Y47" i="24"/>
  <c r="X47" i="24"/>
  <c r="W47" i="24"/>
  <c r="V47" i="24"/>
  <c r="U47" i="24"/>
  <c r="T47" i="24"/>
  <c r="S47" i="24"/>
  <c r="R47" i="24"/>
  <c r="Q47" i="24"/>
  <c r="P47" i="24"/>
  <c r="O47" i="24"/>
  <c r="N47" i="24"/>
  <c r="M47" i="24"/>
  <c r="L47" i="24"/>
  <c r="K47" i="24"/>
  <c r="J47" i="24"/>
  <c r="I47" i="24"/>
  <c r="H47" i="24"/>
  <c r="G47" i="24"/>
  <c r="F47" i="24"/>
  <c r="E47" i="24"/>
  <c r="DE46" i="24"/>
  <c r="DD46" i="24"/>
  <c r="DC46" i="24"/>
  <c r="DB46" i="24"/>
  <c r="DA46" i="24"/>
  <c r="CZ46" i="24"/>
  <c r="CY46" i="24"/>
  <c r="CX46" i="24"/>
  <c r="CW46" i="24"/>
  <c r="CV46" i="24"/>
  <c r="CU46" i="24"/>
  <c r="CT46" i="24"/>
  <c r="CS46" i="24"/>
  <c r="CR46" i="24"/>
  <c r="CQ46" i="24"/>
  <c r="CP46" i="24"/>
  <c r="CO46" i="24"/>
  <c r="CN46" i="24"/>
  <c r="CM46" i="24"/>
  <c r="CL46" i="24"/>
  <c r="CK46" i="24"/>
  <c r="CJ46" i="24"/>
  <c r="CI46" i="24"/>
  <c r="CH46" i="24"/>
  <c r="CG46" i="24"/>
  <c r="CF46" i="24"/>
  <c r="CE46" i="24"/>
  <c r="CD46" i="24"/>
  <c r="CC46" i="24"/>
  <c r="CB46" i="24"/>
  <c r="CA46" i="24"/>
  <c r="BZ46" i="24"/>
  <c r="BY46" i="24"/>
  <c r="BX46" i="24"/>
  <c r="BW46" i="24"/>
  <c r="BV46" i="24"/>
  <c r="BU46" i="24"/>
  <c r="BT46" i="24"/>
  <c r="BS46" i="24"/>
  <c r="BR46" i="24"/>
  <c r="BQ46" i="24"/>
  <c r="BP46" i="24"/>
  <c r="BO46" i="24"/>
  <c r="BN46" i="24"/>
  <c r="BM46" i="24"/>
  <c r="BL46" i="24"/>
  <c r="BK46" i="24"/>
  <c r="BJ46" i="24"/>
  <c r="BI46" i="24"/>
  <c r="BH46" i="24"/>
  <c r="BG46" i="24"/>
  <c r="BF46" i="24"/>
  <c r="BE46" i="24"/>
  <c r="BD46" i="24"/>
  <c r="BC46" i="24"/>
  <c r="BB46" i="24"/>
  <c r="BA46" i="24"/>
  <c r="AZ46" i="24"/>
  <c r="AY46" i="24"/>
  <c r="AX46" i="24"/>
  <c r="AW46" i="24"/>
  <c r="AV46" i="24"/>
  <c r="AU46" i="24"/>
  <c r="AT46" i="24"/>
  <c r="AS46" i="24"/>
  <c r="AR46" i="24"/>
  <c r="AQ46" i="24"/>
  <c r="AP46" i="24"/>
  <c r="AO46" i="24"/>
  <c r="AN46" i="24"/>
  <c r="AM46" i="24"/>
  <c r="AL46" i="24"/>
  <c r="AK46" i="24"/>
  <c r="AJ46" i="24"/>
  <c r="AI46" i="24"/>
  <c r="AH46" i="24"/>
  <c r="AG46" i="24"/>
  <c r="AF46" i="24"/>
  <c r="AE46" i="24"/>
  <c r="AD46" i="24"/>
  <c r="AC46" i="24"/>
  <c r="AB46" i="24"/>
  <c r="AA46" i="24"/>
  <c r="Z46" i="24"/>
  <c r="Y46" i="24"/>
  <c r="X46" i="24"/>
  <c r="W46" i="24"/>
  <c r="V46" i="24"/>
  <c r="U46" i="24"/>
  <c r="T46" i="24"/>
  <c r="S46" i="24"/>
  <c r="R46" i="24"/>
  <c r="Q46" i="24"/>
  <c r="P46" i="24"/>
  <c r="O46" i="24"/>
  <c r="N46" i="24"/>
  <c r="M46" i="24"/>
  <c r="L46" i="24"/>
  <c r="K46" i="24"/>
  <c r="J46" i="24"/>
  <c r="I46" i="24"/>
  <c r="H46" i="24"/>
  <c r="G46" i="24"/>
  <c r="F46" i="24"/>
  <c r="E46" i="24"/>
  <c r="DE45" i="24"/>
  <c r="DD45" i="24"/>
  <c r="DC45" i="24"/>
  <c r="DB45" i="24"/>
  <c r="DA45" i="24"/>
  <c r="CZ45" i="24"/>
  <c r="CY45" i="24"/>
  <c r="CX45" i="24"/>
  <c r="CW45" i="24"/>
  <c r="CV45" i="24"/>
  <c r="CU45" i="24"/>
  <c r="CT45" i="24"/>
  <c r="CS45" i="24"/>
  <c r="CR45" i="24"/>
  <c r="CQ45" i="24"/>
  <c r="CP45" i="24"/>
  <c r="CO45" i="24"/>
  <c r="CN45" i="24"/>
  <c r="CM45" i="24"/>
  <c r="CL45" i="24"/>
  <c r="CK45" i="24"/>
  <c r="CJ45" i="24"/>
  <c r="CI45" i="24"/>
  <c r="CH45" i="24"/>
  <c r="CG45" i="24"/>
  <c r="CF45" i="24"/>
  <c r="CE45" i="24"/>
  <c r="CD45" i="24"/>
  <c r="CC45" i="24"/>
  <c r="CB45" i="24"/>
  <c r="CA45" i="24"/>
  <c r="BZ45" i="24"/>
  <c r="BY45" i="24"/>
  <c r="BX45" i="24"/>
  <c r="BW45" i="24"/>
  <c r="BV45" i="24"/>
  <c r="BU45" i="24"/>
  <c r="BT45" i="24"/>
  <c r="BS45" i="24"/>
  <c r="BR45" i="24"/>
  <c r="BQ45" i="24"/>
  <c r="BP45" i="24"/>
  <c r="BO45" i="24"/>
  <c r="BN45" i="24"/>
  <c r="BM45" i="24"/>
  <c r="BL45" i="24"/>
  <c r="BK45" i="24"/>
  <c r="BJ45" i="24"/>
  <c r="BI45" i="24"/>
  <c r="BH45" i="24"/>
  <c r="BG45" i="24"/>
  <c r="BF45" i="24"/>
  <c r="BE45" i="24"/>
  <c r="BD45" i="24"/>
  <c r="BC45" i="24"/>
  <c r="BB45" i="24"/>
  <c r="BA45" i="24"/>
  <c r="AZ45" i="24"/>
  <c r="AY45" i="24"/>
  <c r="AX45" i="24"/>
  <c r="AW45" i="24"/>
  <c r="AV45" i="24"/>
  <c r="AU45" i="24"/>
  <c r="AT45" i="24"/>
  <c r="AS45" i="24"/>
  <c r="AR45" i="24"/>
  <c r="AQ45" i="24"/>
  <c r="AP45" i="24"/>
  <c r="AO45" i="24"/>
  <c r="AN45" i="24"/>
  <c r="AM45" i="24"/>
  <c r="AL45" i="24"/>
  <c r="AK45" i="24"/>
  <c r="AJ45" i="24"/>
  <c r="AI45" i="24"/>
  <c r="AH45" i="24"/>
  <c r="AG45" i="24"/>
  <c r="AF45" i="24"/>
  <c r="AE45" i="24"/>
  <c r="AD45" i="24"/>
  <c r="AC45" i="24"/>
  <c r="AB45" i="24"/>
  <c r="AA45" i="24"/>
  <c r="Z45" i="24"/>
  <c r="Y45" i="24"/>
  <c r="X45" i="24"/>
  <c r="W45" i="24"/>
  <c r="V45" i="24"/>
  <c r="U45" i="24"/>
  <c r="T45" i="24"/>
  <c r="S45" i="24"/>
  <c r="R45" i="24"/>
  <c r="Q45" i="24"/>
  <c r="P45" i="24"/>
  <c r="O45" i="24"/>
  <c r="N45" i="24"/>
  <c r="M45" i="24"/>
  <c r="L45" i="24"/>
  <c r="K45" i="24"/>
  <c r="J45" i="24"/>
  <c r="I45" i="24"/>
  <c r="H45" i="24"/>
  <c r="G45" i="24"/>
  <c r="F45" i="24"/>
  <c r="E45" i="24"/>
  <c r="C60" i="24"/>
  <c r="E25" i="24" l="1"/>
  <c r="E23" i="24"/>
  <c r="D51" i="24"/>
  <c r="D26" i="13"/>
  <c r="D27" i="13"/>
  <c r="D30" i="13"/>
  <c r="D31" i="13"/>
  <c r="D34" i="13"/>
  <c r="D35" i="13"/>
  <c r="D38" i="13"/>
  <c r="D25" i="13"/>
  <c r="D37" i="13"/>
  <c r="D29" i="13"/>
  <c r="D33" i="13"/>
  <c r="D46" i="24"/>
  <c r="D49" i="24"/>
  <c r="D50" i="24"/>
  <c r="D52" i="24"/>
  <c r="D53" i="24"/>
  <c r="D56" i="24"/>
  <c r="D57" i="24"/>
  <c r="D58" i="24"/>
  <c r="D24" i="13"/>
  <c r="D28" i="13"/>
  <c r="D32" i="13"/>
  <c r="D36" i="13"/>
  <c r="D54" i="24"/>
  <c r="D47" i="24"/>
  <c r="D48" i="24"/>
  <c r="D55" i="24"/>
  <c r="D59" i="24"/>
  <c r="D45" i="24"/>
  <c r="E4" i="24"/>
  <c r="F26" i="24"/>
  <c r="F25" i="24" s="1"/>
  <c r="F5" i="24"/>
  <c r="J3" i="10" a="1"/>
  <c r="D60" i="24" l="1"/>
  <c r="F4" i="24"/>
  <c r="G5" i="24"/>
  <c r="G26" i="24"/>
  <c r="G25" i="24" s="1"/>
  <c r="C39" i="13"/>
  <c r="F5" i="13"/>
  <c r="F4" i="13" s="1"/>
  <c r="H26" i="24" l="1"/>
  <c r="H25" i="24" s="1"/>
  <c r="G4" i="24"/>
  <c r="H5" i="24"/>
  <c r="G5" i="13"/>
  <c r="G4" i="13" s="1"/>
  <c r="H4" i="24" l="1"/>
  <c r="I5" i="24"/>
  <c r="I26" i="24"/>
  <c r="I25" i="24" s="1"/>
  <c r="D39" i="13"/>
  <c r="H5" i="13"/>
  <c r="H4" i="13" s="1"/>
  <c r="J26" i="24" l="1"/>
  <c r="J5" i="24"/>
  <c r="J2" i="24" s="1"/>
  <c r="I4" i="24"/>
  <c r="I5" i="13"/>
  <c r="I4" i="13" s="1"/>
  <c r="J23" i="24" l="1"/>
  <c r="J25" i="24"/>
  <c r="K5" i="24"/>
  <c r="J4" i="24"/>
  <c r="K26" i="24"/>
  <c r="K25" i="24" s="1"/>
  <c r="J5" i="13"/>
  <c r="J2" i="13" l="1"/>
  <c r="J4" i="13"/>
  <c r="L26" i="24"/>
  <c r="L25" i="24" s="1"/>
  <c r="K4" i="24"/>
  <c r="L5" i="24"/>
  <c r="K5" i="13"/>
  <c r="K4" i="13" s="1"/>
  <c r="M5" i="24" l="1"/>
  <c r="L4" i="24"/>
  <c r="M26" i="24"/>
  <c r="M25" i="24" s="1"/>
  <c r="L5" i="13"/>
  <c r="L4" i="13" s="1"/>
  <c r="N26" i="24" l="1"/>
  <c r="N25" i="24" s="1"/>
  <c r="M4" i="24"/>
  <c r="N5" i="24"/>
  <c r="M5" i="13"/>
  <c r="M4" i="13" s="1"/>
  <c r="N4" i="24" l="1"/>
  <c r="O5" i="24"/>
  <c r="O2" i="24" s="1"/>
  <c r="O26" i="24"/>
  <c r="N5" i="13"/>
  <c r="N4" i="13" s="1"/>
  <c r="O23" i="24" l="1"/>
  <c r="O25" i="24"/>
  <c r="P26" i="24"/>
  <c r="P25" i="24" s="1"/>
  <c r="O4" i="24"/>
  <c r="P5" i="24"/>
  <c r="O5" i="13"/>
  <c r="O2" i="13" l="1"/>
  <c r="O4" i="13"/>
  <c r="Q5" i="24"/>
  <c r="P4" i="24"/>
  <c r="Q26" i="24"/>
  <c r="Q25" i="24" s="1"/>
  <c r="P5" i="13"/>
  <c r="P4" i="13" s="1"/>
  <c r="R26" i="24" l="1"/>
  <c r="R25" i="24" s="1"/>
  <c r="R5" i="24"/>
  <c r="Q4" i="24"/>
  <c r="Q5" i="13"/>
  <c r="Q4" i="13" s="1"/>
  <c r="R4" i="24" l="1"/>
  <c r="S5" i="24"/>
  <c r="S26" i="24"/>
  <c r="S25" i="24" s="1"/>
  <c r="R5" i="13"/>
  <c r="R4" i="13" s="1"/>
  <c r="T26" i="24" l="1"/>
  <c r="S4" i="24"/>
  <c r="T5" i="24"/>
  <c r="T2" i="24" s="1"/>
  <c r="S5" i="13"/>
  <c r="S4" i="13" s="1"/>
  <c r="T23" i="24" l="1"/>
  <c r="T25" i="24"/>
  <c r="T4" i="24"/>
  <c r="U5" i="24"/>
  <c r="U26" i="24"/>
  <c r="U25" i="24" s="1"/>
  <c r="T5" i="13"/>
  <c r="T2" i="13" l="1"/>
  <c r="T4" i="13"/>
  <c r="V26" i="24"/>
  <c r="V25" i="24" s="1"/>
  <c r="V5" i="24"/>
  <c r="U4" i="24"/>
  <c r="U5" i="13"/>
  <c r="U4" i="13" s="1"/>
  <c r="W5" i="24" l="1"/>
  <c r="V4" i="24"/>
  <c r="W26" i="24"/>
  <c r="W25" i="24" s="1"/>
  <c r="V5" i="13"/>
  <c r="V4" i="13" s="1"/>
  <c r="X26" i="24" l="1"/>
  <c r="X25" i="24" s="1"/>
  <c r="X5" i="24"/>
  <c r="W4" i="24"/>
  <c r="W5" i="13"/>
  <c r="W4" i="13" s="1"/>
  <c r="Y5" i="24" l="1"/>
  <c r="Y2" i="24" s="1"/>
  <c r="X4" i="24"/>
  <c r="Y26" i="24"/>
  <c r="X5" i="13"/>
  <c r="X4" i="13" s="1"/>
  <c r="Y23" i="24" l="1"/>
  <c r="Y25" i="24"/>
  <c r="Z26" i="24"/>
  <c r="Z25" i="24" s="1"/>
  <c r="Z5" i="24"/>
  <c r="Y4" i="24"/>
  <c r="Y5" i="13"/>
  <c r="Y2" i="13" l="1"/>
  <c r="Y4" i="13"/>
  <c r="Z4" i="24"/>
  <c r="AA5" i="24"/>
  <c r="AA26" i="24"/>
  <c r="AA25" i="24" s="1"/>
  <c r="Z5" i="13"/>
  <c r="Z4" i="13" s="1"/>
  <c r="AB26" i="24" l="1"/>
  <c r="AB25" i="24" s="1"/>
  <c r="AB5" i="24"/>
  <c r="AA4" i="24"/>
  <c r="AA5" i="13"/>
  <c r="AA4" i="13" s="1"/>
  <c r="AB4" i="24" l="1"/>
  <c r="AC5" i="24"/>
  <c r="AC26" i="24"/>
  <c r="AC25" i="24" s="1"/>
  <c r="AB5" i="13"/>
  <c r="AB4" i="13" s="1"/>
  <c r="AD26" i="24" l="1"/>
  <c r="AC4" i="24"/>
  <c r="AD5" i="24"/>
  <c r="AD2" i="24" s="1"/>
  <c r="AC5" i="13"/>
  <c r="AC4" i="13" s="1"/>
  <c r="AD23" i="24" l="1"/>
  <c r="AD25" i="24"/>
  <c r="AD4" i="24"/>
  <c r="AE5" i="24"/>
  <c r="AE26" i="24"/>
  <c r="AE25" i="24" s="1"/>
  <c r="AD5" i="13"/>
  <c r="AD2" i="13" l="1"/>
  <c r="AD4" i="13"/>
  <c r="AF26" i="24"/>
  <c r="AF25" i="24" s="1"/>
  <c r="AE4" i="24"/>
  <c r="AF5" i="24"/>
  <c r="AE5" i="13"/>
  <c r="AE4" i="13" s="1"/>
  <c r="AF4" i="24" l="1"/>
  <c r="AG5" i="24"/>
  <c r="AG26" i="24"/>
  <c r="AG25" i="24" s="1"/>
  <c r="AF5" i="13"/>
  <c r="AF4" i="13" s="1"/>
  <c r="AH26" i="24" l="1"/>
  <c r="AH25" i="24" s="1"/>
  <c r="AH5" i="24"/>
  <c r="AG4" i="24"/>
  <c r="AG5" i="13"/>
  <c r="AG4" i="13" s="1"/>
  <c r="AI5" i="24" l="1"/>
  <c r="AI2" i="24" s="1"/>
  <c r="AH4" i="24"/>
  <c r="AI26" i="24"/>
  <c r="AH5" i="13"/>
  <c r="AH4" i="13" s="1"/>
  <c r="AI23" i="24" l="1"/>
  <c r="AI25" i="24"/>
  <c r="AJ26" i="24"/>
  <c r="AJ25" i="24" s="1"/>
  <c r="AI4" i="24"/>
  <c r="AJ5" i="24"/>
  <c r="AI5" i="13"/>
  <c r="AI2" i="13" l="1"/>
  <c r="AI4" i="13"/>
  <c r="AK5" i="24"/>
  <c r="AJ4" i="24"/>
  <c r="AK26" i="24"/>
  <c r="AK25" i="24" s="1"/>
  <c r="AJ5" i="13"/>
  <c r="AJ4" i="13" s="1"/>
  <c r="AL26" i="24" l="1"/>
  <c r="AL25" i="24" s="1"/>
  <c r="AK4" i="24"/>
  <c r="AL5" i="24"/>
  <c r="AK5" i="13"/>
  <c r="AK4" i="13" s="1"/>
  <c r="AL4" i="24" l="1"/>
  <c r="AM5" i="24"/>
  <c r="AM26" i="24"/>
  <c r="AM25" i="24" s="1"/>
  <c r="AL5" i="13"/>
  <c r="AL4" i="13" s="1"/>
  <c r="AN26" i="24" l="1"/>
  <c r="AM4" i="24"/>
  <c r="AN5" i="24"/>
  <c r="AN2" i="24" s="1"/>
  <c r="AM5" i="13"/>
  <c r="AM4" i="13" s="1"/>
  <c r="AN23" i="24" l="1"/>
  <c r="AN25" i="24"/>
  <c r="AN4" i="24"/>
  <c r="AO5" i="24"/>
  <c r="AO26" i="24"/>
  <c r="AO25" i="24" s="1"/>
  <c r="AN5" i="13"/>
  <c r="AN2" i="13" l="1"/>
  <c r="AN4" i="13"/>
  <c r="AP26" i="24"/>
  <c r="AP25" i="24" s="1"/>
  <c r="AP5" i="24"/>
  <c r="AO4" i="24"/>
  <c r="AO5" i="13"/>
  <c r="AO4" i="13" s="1"/>
  <c r="AP4" i="24" l="1"/>
  <c r="AQ5" i="24"/>
  <c r="AQ26" i="24"/>
  <c r="AQ25" i="24" s="1"/>
  <c r="AP5" i="13"/>
  <c r="AP4" i="13" s="1"/>
  <c r="AR26" i="24" l="1"/>
  <c r="AR25" i="24" s="1"/>
  <c r="AQ4" i="24"/>
  <c r="AR5" i="24"/>
  <c r="AQ5" i="13"/>
  <c r="AQ4" i="13" s="1"/>
  <c r="AR4" i="24" l="1"/>
  <c r="AS5" i="24"/>
  <c r="AS2" i="24" s="1"/>
  <c r="AS26" i="24"/>
  <c r="AR5" i="13"/>
  <c r="AR4" i="13" s="1"/>
  <c r="AS23" i="24" l="1"/>
  <c r="AS25" i="24"/>
  <c r="AT26" i="24"/>
  <c r="AT25" i="24" s="1"/>
  <c r="AT5" i="24"/>
  <c r="AS4" i="24"/>
  <c r="AS5" i="13"/>
  <c r="AS2" i="13" l="1"/>
  <c r="AS4" i="13"/>
  <c r="AU5" i="24"/>
  <c r="AT4" i="24"/>
  <c r="AU26" i="24"/>
  <c r="AU25" i="24" s="1"/>
  <c r="AT5" i="13"/>
  <c r="AT4" i="13" s="1"/>
  <c r="AV26" i="24" l="1"/>
  <c r="AV25" i="24" s="1"/>
  <c r="AU4" i="24"/>
  <c r="AV5" i="24"/>
  <c r="AU5" i="13"/>
  <c r="AU4" i="13" s="1"/>
  <c r="AW5" i="24" l="1"/>
  <c r="AV4" i="24"/>
  <c r="AW26" i="24"/>
  <c r="AW25" i="24" s="1"/>
  <c r="AV5" i="13"/>
  <c r="AV4" i="13" s="1"/>
  <c r="AX26" i="24" l="1"/>
  <c r="AX5" i="24"/>
  <c r="AX2" i="24" s="1"/>
  <c r="AW4" i="24"/>
  <c r="AW5" i="13"/>
  <c r="AW4" i="13" s="1"/>
  <c r="AX23" i="24" l="1"/>
  <c r="AX25" i="24"/>
  <c r="AX4" i="24"/>
  <c r="AY5" i="24"/>
  <c r="AY26" i="24"/>
  <c r="AY25" i="24" s="1"/>
  <c r="AX5" i="13"/>
  <c r="AX2" i="13" l="1"/>
  <c r="AX4" i="13"/>
  <c r="AZ26" i="24"/>
  <c r="AZ25" i="24" s="1"/>
  <c r="AY4" i="24"/>
  <c r="AZ5" i="24"/>
  <c r="AY5" i="13"/>
  <c r="AY4" i="13" s="1"/>
  <c r="BA5" i="24" l="1"/>
  <c r="AZ4" i="24"/>
  <c r="BA26" i="24"/>
  <c r="BA25" i="24" s="1"/>
  <c r="AZ5" i="13"/>
  <c r="AZ4" i="13" s="1"/>
  <c r="BB26" i="24" l="1"/>
  <c r="BB25" i="24" s="1"/>
  <c r="BA4" i="24"/>
  <c r="BB5" i="24"/>
  <c r="BA5" i="13"/>
  <c r="BA4" i="13" s="1"/>
  <c r="BB4" i="24" l="1"/>
  <c r="BC5" i="24"/>
  <c r="BC2" i="24" s="1"/>
  <c r="BC26" i="24"/>
  <c r="BB5" i="13"/>
  <c r="BB4" i="13" s="1"/>
  <c r="BC23" i="24" l="1"/>
  <c r="BC25" i="24"/>
  <c r="BD26" i="24"/>
  <c r="BD25" i="24" s="1"/>
  <c r="BC4" i="24"/>
  <c r="BD5" i="24"/>
  <c r="BC5" i="13"/>
  <c r="BC2" i="13" l="1"/>
  <c r="BC4" i="13"/>
  <c r="BD4" i="24"/>
  <c r="BE5" i="24"/>
  <c r="BE26" i="24"/>
  <c r="BE25" i="24" s="1"/>
  <c r="BD5" i="13"/>
  <c r="BD4" i="13" s="1"/>
  <c r="BF26" i="24" l="1"/>
  <c r="BF25" i="24" s="1"/>
  <c r="BF5" i="24"/>
  <c r="BE4" i="24"/>
  <c r="BE5" i="13"/>
  <c r="BE4" i="13" s="1"/>
  <c r="BG5" i="24" l="1"/>
  <c r="BF4" i="24"/>
  <c r="BG26" i="24"/>
  <c r="BG25" i="24" s="1"/>
  <c r="BF5" i="13"/>
  <c r="BF4" i="13" s="1"/>
  <c r="BH26" i="24" l="1"/>
  <c r="BH5" i="24"/>
  <c r="BH2" i="24" s="1"/>
  <c r="BG4" i="24"/>
  <c r="BG5" i="13"/>
  <c r="BG4" i="13" s="1"/>
  <c r="BH23" i="24" l="1"/>
  <c r="BH25" i="24"/>
  <c r="BH4" i="24"/>
  <c r="BI5" i="24"/>
  <c r="BI26" i="24"/>
  <c r="BI25" i="24" s="1"/>
  <c r="BH5" i="13"/>
  <c r="BI5" i="13" l="1"/>
  <c r="BI4" i="13" s="1"/>
  <c r="BH2" i="13"/>
  <c r="BH4" i="13"/>
  <c r="BJ26" i="24"/>
  <c r="BJ25" i="24" s="1"/>
  <c r="BI4" i="24"/>
  <c r="BJ5" i="24"/>
  <c r="BJ4" i="24" l="1"/>
  <c r="BK5" i="24"/>
  <c r="BK26" i="24"/>
  <c r="BK25" i="24" s="1"/>
  <c r="BJ5" i="13"/>
  <c r="BJ4" i="13" s="1"/>
  <c r="BL26" i="24" l="1"/>
  <c r="BL25" i="24" s="1"/>
  <c r="BK4" i="24"/>
  <c r="BL5" i="24"/>
  <c r="BK5" i="13"/>
  <c r="BK4" i="13" s="1"/>
  <c r="BM5" i="24" l="1"/>
  <c r="BM2" i="24" s="1"/>
  <c r="BL4" i="24"/>
  <c r="BM26" i="24"/>
  <c r="BL5" i="13"/>
  <c r="BL4" i="13" s="1"/>
  <c r="BM23" i="24" l="1"/>
  <c r="BM25" i="24"/>
  <c r="BN26" i="24"/>
  <c r="BN25" i="24" s="1"/>
  <c r="BM4" i="24"/>
  <c r="BN5" i="24"/>
  <c r="BM5" i="13"/>
  <c r="BM2" i="13" l="1"/>
  <c r="BM4" i="13"/>
  <c r="BN4" i="24"/>
  <c r="BO5" i="24"/>
  <c r="BO26" i="24"/>
  <c r="BO25" i="24" s="1"/>
  <c r="BN5" i="13"/>
  <c r="BN4" i="13" s="1"/>
  <c r="BP26" i="24" l="1"/>
  <c r="BP25" i="24" s="1"/>
  <c r="BO4" i="24"/>
  <c r="BP5" i="24"/>
  <c r="BO5" i="13"/>
  <c r="BO4" i="13" s="1"/>
  <c r="BP4" i="24" l="1"/>
  <c r="BQ5" i="24"/>
  <c r="BQ26" i="24"/>
  <c r="BQ25" i="24" s="1"/>
  <c r="BP5" i="13"/>
  <c r="BP4" i="13" s="1"/>
  <c r="BR26" i="24" l="1"/>
  <c r="BR5" i="24"/>
  <c r="BR2" i="24" s="1"/>
  <c r="BQ4" i="24"/>
  <c r="BQ5" i="13"/>
  <c r="BQ4" i="13" s="1"/>
  <c r="BR23" i="24" l="1"/>
  <c r="BR25" i="24"/>
  <c r="BS5" i="24"/>
  <c r="BR4" i="24"/>
  <c r="BS26" i="24"/>
  <c r="BS25" i="24" s="1"/>
  <c r="BR5" i="13"/>
  <c r="BR2" i="13" l="1"/>
  <c r="BR4" i="13"/>
  <c r="BT26" i="24"/>
  <c r="BT25" i="24" s="1"/>
  <c r="BT5" i="24"/>
  <c r="BS4" i="24"/>
  <c r="BS5" i="13"/>
  <c r="BS4" i="13" s="1"/>
  <c r="BU5" i="24" l="1"/>
  <c r="BT4" i="24"/>
  <c r="BU26" i="24"/>
  <c r="BU25" i="24" s="1"/>
  <c r="BT5" i="13"/>
  <c r="BT4" i="13" s="1"/>
  <c r="BV26" i="24" l="1"/>
  <c r="BV25" i="24" s="1"/>
  <c r="BU4" i="24"/>
  <c r="BV5" i="24"/>
  <c r="BU5" i="13"/>
  <c r="BU4" i="13" s="1"/>
  <c r="BV4" i="24" l="1"/>
  <c r="BW5" i="24"/>
  <c r="BW2" i="24" s="1"/>
  <c r="BW26" i="24"/>
  <c r="BV5" i="13"/>
  <c r="BV4" i="13" s="1"/>
  <c r="BW23" i="24" l="1"/>
  <c r="BW25" i="24"/>
  <c r="BX26" i="24"/>
  <c r="BX25" i="24" s="1"/>
  <c r="BW4" i="24"/>
  <c r="BX5" i="24"/>
  <c r="BW5" i="13"/>
  <c r="BW2" i="13" l="1"/>
  <c r="BW4" i="13"/>
  <c r="BY5" i="24"/>
  <c r="BX4" i="24"/>
  <c r="BY26" i="24"/>
  <c r="BY25" i="24" s="1"/>
  <c r="BX5" i="13"/>
  <c r="BX4" i="13" s="1"/>
  <c r="BZ26" i="24" l="1"/>
  <c r="BZ25" i="24" s="1"/>
  <c r="BZ5" i="24"/>
  <c r="BY4" i="24"/>
  <c r="BY5" i="13"/>
  <c r="BY4" i="13" s="1"/>
  <c r="BZ4" i="24" l="1"/>
  <c r="CA5" i="24"/>
  <c r="CA26" i="24"/>
  <c r="CA25" i="24" s="1"/>
  <c r="BZ5" i="13"/>
  <c r="BZ4" i="13" s="1"/>
  <c r="CB26" i="24" l="1"/>
  <c r="CA4" i="24"/>
  <c r="CB5" i="24"/>
  <c r="CB2" i="24" s="1"/>
  <c r="CA5" i="13"/>
  <c r="CA4" i="13" s="1"/>
  <c r="CB23" i="24" l="1"/>
  <c r="CB25" i="24"/>
  <c r="CB4" i="24"/>
  <c r="CC5" i="24"/>
  <c r="CC26" i="24"/>
  <c r="CC25" i="24" s="1"/>
  <c r="CB5" i="13"/>
  <c r="CB2" i="13" l="1"/>
  <c r="CB4" i="13"/>
  <c r="CD26" i="24"/>
  <c r="CD25" i="24" s="1"/>
  <c r="CD5" i="24"/>
  <c r="CC4" i="24"/>
  <c r="CC5" i="13"/>
  <c r="CC4" i="13" s="1"/>
  <c r="CE5" i="24" l="1"/>
  <c r="CD4" i="24"/>
  <c r="CE26" i="24"/>
  <c r="CE25" i="24" s="1"/>
  <c r="CD5" i="13"/>
  <c r="CD4" i="13" s="1"/>
  <c r="CF26" i="24" l="1"/>
  <c r="CF25" i="24" s="1"/>
  <c r="CE4" i="24"/>
  <c r="CF5" i="24"/>
  <c r="CE5" i="13"/>
  <c r="CE4" i="13" s="1"/>
  <c r="CG5" i="24" l="1"/>
  <c r="CG2" i="24" s="1"/>
  <c r="CF4" i="24"/>
  <c r="CG26" i="24"/>
  <c r="CF5" i="13"/>
  <c r="CF4" i="13" s="1"/>
  <c r="CG23" i="24" l="1"/>
  <c r="CG25" i="24"/>
  <c r="CH26" i="24"/>
  <c r="CH25" i="24" s="1"/>
  <c r="CH5" i="24"/>
  <c r="CG4" i="24"/>
  <c r="CG5" i="13"/>
  <c r="CG2" i="13" l="1"/>
  <c r="CG4" i="13"/>
  <c r="CH4" i="24"/>
  <c r="CI5" i="24"/>
  <c r="CI26" i="24"/>
  <c r="CI25" i="24" s="1"/>
  <c r="CH5" i="13"/>
  <c r="CH4" i="13" s="1"/>
  <c r="CJ26" i="24" l="1"/>
  <c r="CJ25" i="24" s="1"/>
  <c r="CI4" i="24"/>
  <c r="CJ5" i="24"/>
  <c r="CI5" i="13"/>
  <c r="CI4" i="13" s="1"/>
  <c r="CJ4" i="24" l="1"/>
  <c r="CK5" i="24"/>
  <c r="CK26" i="24"/>
  <c r="CK25" i="24" s="1"/>
  <c r="CJ5" i="13"/>
  <c r="CJ4" i="13" s="1"/>
  <c r="CL26" i="24" l="1"/>
  <c r="CL5" i="24"/>
  <c r="CL2" i="24" s="1"/>
  <c r="CK4" i="24"/>
  <c r="CK5" i="13"/>
  <c r="CK4" i="13" s="1"/>
  <c r="CL23" i="24" l="1"/>
  <c r="CL25" i="24"/>
  <c r="CL4" i="24"/>
  <c r="CM5" i="24"/>
  <c r="CM26" i="24"/>
  <c r="CM25" i="24" s="1"/>
  <c r="CL5" i="13"/>
  <c r="CL2" i="13" l="1"/>
  <c r="CL4" i="13"/>
  <c r="CM4" i="24"/>
  <c r="CN5" i="24"/>
  <c r="CN26" i="24"/>
  <c r="CN25" i="24" s="1"/>
  <c r="CM5" i="13"/>
  <c r="CM4" i="13" s="1"/>
  <c r="CO26" i="24" l="1"/>
  <c r="CO25" i="24" s="1"/>
  <c r="CN4" i="24"/>
  <c r="CO5" i="24"/>
  <c r="CN5" i="13"/>
  <c r="CN4" i="13" s="1"/>
  <c r="CP5" i="24" l="1"/>
  <c r="CO4" i="24"/>
  <c r="CP26" i="24"/>
  <c r="CP25" i="24" s="1"/>
  <c r="CO5" i="13"/>
  <c r="CO4" i="13" s="1"/>
  <c r="CQ26" i="24" l="1"/>
  <c r="CQ5" i="24"/>
  <c r="CQ2" i="24" s="1"/>
  <c r="CP4" i="24"/>
  <c r="CP5" i="13"/>
  <c r="CP4" i="13" s="1"/>
  <c r="CQ23" i="24" l="1"/>
  <c r="CQ25" i="24"/>
  <c r="CQ4" i="24"/>
  <c r="CR5" i="24"/>
  <c r="CR26" i="24"/>
  <c r="CR25" i="24" s="1"/>
  <c r="CQ5" i="13"/>
  <c r="CQ2" i="13" l="1"/>
  <c r="CQ4" i="13"/>
  <c r="CS26" i="24"/>
  <c r="CS25" i="24" s="1"/>
  <c r="CR4" i="24"/>
  <c r="CS5" i="24"/>
  <c r="CR5" i="13"/>
  <c r="CR4" i="13" s="1"/>
  <c r="CS4" i="24" l="1"/>
  <c r="CT5" i="24"/>
  <c r="CT26" i="24"/>
  <c r="CT25" i="24" s="1"/>
  <c r="CS5" i="13"/>
  <c r="CS4" i="13" s="1"/>
  <c r="CU26" i="24" l="1"/>
  <c r="CU25" i="24" s="1"/>
  <c r="CT4" i="24"/>
  <c r="CU5" i="24"/>
  <c r="CT5" i="13"/>
  <c r="CT4" i="13" s="1"/>
  <c r="CV5" i="24" l="1"/>
  <c r="CV2" i="24" s="1"/>
  <c r="CU4" i="24"/>
  <c r="CV26" i="24"/>
  <c r="CU5" i="13"/>
  <c r="CU4" i="13" s="1"/>
  <c r="CV23" i="24" l="1"/>
  <c r="CV25" i="24"/>
  <c r="CW26" i="24"/>
  <c r="CW25" i="24" s="1"/>
  <c r="CW5" i="24"/>
  <c r="CV4" i="24"/>
  <c r="CV5" i="13"/>
  <c r="CV2" i="13" l="1"/>
  <c r="CV4" i="13"/>
  <c r="CX5" i="24"/>
  <c r="CW4" i="24"/>
  <c r="CX26" i="24"/>
  <c r="CX25" i="24" s="1"/>
  <c r="CW5" i="13"/>
  <c r="CW4" i="13" s="1"/>
  <c r="CY26" i="24" l="1"/>
  <c r="CY25" i="24" s="1"/>
  <c r="CX4" i="24"/>
  <c r="CY5" i="24"/>
  <c r="CX5" i="13"/>
  <c r="CX4" i="13" s="1"/>
  <c r="CY4" i="24" l="1"/>
  <c r="CZ5" i="24"/>
  <c r="CZ26" i="24"/>
  <c r="CZ25" i="24" s="1"/>
  <c r="CY5" i="13"/>
  <c r="CY4" i="13" s="1"/>
  <c r="DA26" i="24" l="1"/>
  <c r="CZ4" i="24"/>
  <c r="DA5" i="24"/>
  <c r="DA2" i="24" s="1"/>
  <c r="CZ5" i="13"/>
  <c r="CZ4" i="13" s="1"/>
  <c r="DA23" i="24" l="1"/>
  <c r="DA25" i="24"/>
  <c r="DB5" i="24"/>
  <c r="DA4" i="24"/>
  <c r="DB26" i="24"/>
  <c r="DB25" i="24" s="1"/>
  <c r="DA5" i="13"/>
  <c r="DA2" i="13" l="1"/>
  <c r="DA4" i="13"/>
  <c r="DC26" i="24"/>
  <c r="DC25" i="24" s="1"/>
  <c r="DC5" i="24"/>
  <c r="DB4" i="24"/>
  <c r="DB5" i="13"/>
  <c r="DB4" i="13" s="1"/>
  <c r="DC4" i="24" l="1"/>
  <c r="DD5" i="24"/>
  <c r="DD26" i="24"/>
  <c r="DD25" i="24" s="1"/>
  <c r="DC5" i="13"/>
  <c r="DC4" i="13" s="1"/>
  <c r="DE26" i="24" l="1"/>
  <c r="DE25" i="24" s="1"/>
  <c r="DE5" i="24"/>
  <c r="DE4" i="24" s="1"/>
  <c r="DD4" i="24"/>
  <c r="DD5" i="13"/>
  <c r="DD4" i="13" s="1"/>
  <c r="DE5" i="13" l="1"/>
  <c r="DE4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tc={44214E7E-E4C9-6D4C-8B77-021E0E385C1A}</author>
    <author>tc={FDDD280F-43B0-864C-A39D-24BADC8FE754}</author>
    <author>tc={F5723347-EFA2-FF4B-8DF4-EA49A19FBDDE}</author>
    <author>tc={65D5498C-5C16-CA43-8A8F-7C4F78919C6E}</author>
    <author>tc={66B66C14-3D63-E74E-910A-F514376C847B}</author>
    <author>tc={97DB2F17-D025-C343-AC6B-AD071D7FD632}</author>
    <author>tc={BFEFA94A-9BC8-C44E-82C6-6D289C8B18A2}</author>
    <author>tc={A0A49245-F2C3-F540-9136-D1FE01321234}</author>
    <author>tc={A47328D7-DF44-3D44-88B3-638F3F3FA820}</author>
    <author>tc={2079A174-6152-9F4D-B820-B3D05016FE65}</author>
    <author>tc={8B3B492D-6846-7F4B-A89B-E188C2D323D4}</author>
    <author>tc={30568802-0732-EA4C-866C-14931C47598D}</author>
    <author>tc={F50C0951-DE46-624A-8E14-AFDD27A62FF2}</author>
    <author>tc={CF993207-5C13-4C4E-8364-5BC9E99B3AE5}</author>
  </authors>
  <commentList>
    <comment ref="Z23" authorId="0" shapeId="0" xr:uid="{44214E7E-E4C9-6D4C-8B77-021E0E385C1A}">
      <text>
        <t>[Threaded comment]
Your version of Excel allows you to read this threaded comment; however, any edits to it will get removed if the file is opened in a newer version of Excel. Learn more: https://go.microsoft.com/fwlink/?linkid=870924
Comment:
    Dobbeltholdundervisning</t>
      </text>
    </comment>
    <comment ref="G37" authorId="1" shapeId="0" xr:uid="{FDDD280F-43B0-864C-A39D-24BADC8FE754}">
      <text>
        <t>[Threaded comment]
Your version of Excel allows you to read this threaded comment; however, any edits to it will get removed if the file is opened in a newer version of Excel. Learn more: https://go.microsoft.com/fwlink/?linkid=870924
Comment:
    Afspadsering for ekstraundervisning 3. sem E26</t>
      </text>
    </comment>
    <comment ref="I37" authorId="2" shapeId="0" xr:uid="{F5723347-EFA2-FF4B-8DF4-EA49A19FBDDE}">
      <text>
        <t>[Threaded comment]
Your version of Excel allows you to read this threaded comment; however, any edits to it will get removed if the file is opened in a newer version of Excel. Learn more: https://go.microsoft.com/fwlink/?linkid=870924
Comment:
    IT-sikkerhed EVU</t>
      </text>
    </comment>
    <comment ref="P37" authorId="3" shapeId="0" xr:uid="{65D5498C-5C16-CA43-8A8F-7C4F78919C6E}">
      <text>
        <t>[Threaded comment]
Your version of Excel allows you to read this threaded comment; however, any edits to it will get removed if the file is opened in a newer version of Excel. Learn more: https://go.microsoft.com/fwlink/?linkid=870924
Comment:
    Internationalt valgfag</t>
      </text>
    </comment>
    <comment ref="Q37" authorId="4" shapeId="0" xr:uid="{66B66C14-3D63-E74E-910A-F514376C847B}">
      <text>
        <t>[Threaded comment]
Your version of Excel allows you to read this threaded comment; however, any edits to it will get removed if the file is opened in a newer version of Excel. Learn more: https://go.microsoft.com/fwlink/?linkid=870924
Comment:
    SAP</t>
      </text>
    </comment>
    <comment ref="S37" authorId="5" shapeId="0" xr:uid="{97DB2F17-D025-C343-AC6B-AD071D7FD632}">
      <text>
        <t>[Threaded comment]
Your version of Excel allows you to read this threaded comment; however, any edits to it will get removed if the file is opened in a newer version of Excel. Learn more: https://go.microsoft.com/fwlink/?linkid=870924
Comment:
    SAP</t>
      </text>
    </comment>
    <comment ref="W37" authorId="6" shapeId="0" xr:uid="{BFEFA94A-9BC8-C44E-82C6-6D289C8B18A2}">
      <text>
        <t>[Threaded comment]
Your version of Excel allows you to read this threaded comment; however, any edits to it will get removed if the file is opened in a newer version of Excel. Learn more: https://go.microsoft.com/fwlink/?linkid=870924
Comment:
    IT-sikkerhed EVU</t>
      </text>
    </comment>
    <comment ref="B48" authorId="7" shapeId="0" xr:uid="{A0A49245-F2C3-F540-9136-D1FE01321234}">
      <text>
        <t>[Threaded comment]
Your version of Excel allows you to read this threaded comment; however, any edits to it will get removed if the file is opened in a newer version of Excel. Learn more: https://go.microsoft.com/fwlink/?linkid=870924
Comment:
    Regenerativ ledelse</t>
      </text>
    </comment>
    <comment ref="G48" authorId="8" shapeId="0" xr:uid="{A47328D7-DF44-3D44-88B3-638F3F3FA820}">
      <text>
        <t>[Threaded comment]
Your version of Excel allows you to read this threaded comment; however, any edits to it will get removed if the file is opened in a newer version of Excel. Learn more: https://go.microsoft.com/fwlink/?linkid=870924
Comment:
    Offentlige IT-projekter</t>
      </text>
    </comment>
    <comment ref="L48" authorId="9" shapeId="0" xr:uid="{2079A174-6152-9F4D-B820-B3D05016FE65}">
      <text>
        <t>[Threaded comment]
Your version of Excel allows you to read this threaded comment; however, any edits to it will get removed if the file is opened in a newer version of Excel. Learn more: https://go.microsoft.com/fwlink/?linkid=870924
Comment:
    BIKE</t>
      </text>
    </comment>
    <comment ref="F49" authorId="10" shapeId="0" xr:uid="{8B3B492D-6846-7F4B-A89B-E188C2D323D4}">
      <text>
        <t>[Threaded comment]
Your version of Excel allows you to read this threaded comment; however, any edits to it will get removed if the file is opened in a newer version of Excel. Learn more: https://go.microsoft.com/fwlink/?linkid=870924
Comment:
    +75 til Reboot?</t>
      </text>
    </comment>
    <comment ref="K49" authorId="11" shapeId="0" xr:uid="{30568802-0732-EA4C-866C-14931C47598D}">
      <text>
        <t>[Threaded comment]
Your version of Excel allows you to read this threaded comment; however, any edits to it will get removed if the file is opened in a newer version of Excel. Learn more: https://go.microsoft.com/fwlink/?linkid=870924
Comment:
    +75 til Reboot?</t>
      </text>
    </comment>
    <comment ref="P49" authorId="12" shapeId="0" xr:uid="{F50C0951-DE46-624A-8E14-AFDD27A62FF2}">
      <text>
        <t>[Threaded comment]
Your version of Excel allows you to read this threaded comment; however, any edits to it will get removed if the file is opened in a newer version of Excel. Learn more: https://go.microsoft.com/fwlink/?linkid=870924
Comment:
    +150 til 4BASIC</t>
      </text>
    </comment>
    <comment ref="R53" authorId="13" shapeId="0" xr:uid="{CF993207-5C13-4C4E-8364-5BC9E99B3AE5}">
      <text>
        <t>[Threaded comment]
Your version of Excel allows you to read this threaded comment; however, any edits to it will get removed if the file is opened in a newer version of Excel. Learn more: https://go.microsoft.com/fwlink/?linkid=870924
Comment:
    Kurser og konferencer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<sst xmlns="http://schemas.openxmlformats.org/spreadsheetml/2006/main" count="2425" uniqueCount="396">
  <si>
    <t>ØKIT-GBG-E25</t>
  </si>
  <si>
    <t>Uge</t>
  </si>
  <si>
    <t>2. Sem</t>
  </si>
  <si>
    <t>2.1 SAMFUNDSØKONOMISKE ASPEKTER OG DIGITALE TRENDS</t>
  </si>
  <si>
    <t>2.2 PROJEKTSTYRING OG IT</t>
  </si>
  <si>
    <t>2.3 RELATIONEN MELLEM FORRETNING OG IT</t>
  </si>
  <si>
    <t>2.4 TVÆRFAGLIGT EKSAMENSPROJEKT</t>
  </si>
  <si>
    <t>8.30-9.15</t>
  </si>
  <si>
    <t>CASEPRÆS</t>
  </si>
  <si>
    <t>PROJEKT</t>
  </si>
  <si>
    <t>DATARK</t>
  </si>
  <si>
    <t>DRIFT</t>
  </si>
  <si>
    <t>COACH</t>
  </si>
  <si>
    <t>ARKIT</t>
  </si>
  <si>
    <t>EKSAM</t>
  </si>
  <si>
    <t>9.15-10.00</t>
  </si>
  <si>
    <t>10.15-11.00</t>
  </si>
  <si>
    <t>11.00-11.45</t>
  </si>
  <si>
    <t>Frokost</t>
  </si>
  <si>
    <t>12.30-13.15</t>
  </si>
  <si>
    <t>FEEDBACK</t>
  </si>
  <si>
    <t>13.15-14.00</t>
  </si>
  <si>
    <t>14.15-15.00</t>
  </si>
  <si>
    <t>15.00-15.45</t>
  </si>
  <si>
    <t>Bemanding1</t>
  </si>
  <si>
    <t>JENR</t>
  </si>
  <si>
    <t>MOKJ</t>
  </si>
  <si>
    <t>CLLJ</t>
  </si>
  <si>
    <t>GUIN</t>
  </si>
  <si>
    <t>JEAN</t>
  </si>
  <si>
    <t>Bemanding2</t>
  </si>
  <si>
    <t>Bemanding3</t>
  </si>
  <si>
    <t>Bemanding4</t>
  </si>
  <si>
    <t>Bemanding5</t>
  </si>
  <si>
    <t>Bemanding6</t>
  </si>
  <si>
    <t>x</t>
  </si>
  <si>
    <t>TECH LAB (TBC)</t>
  </si>
  <si>
    <t>Allocated</t>
  </si>
  <si>
    <t>Plotted</t>
  </si>
  <si>
    <t>ØVELSER</t>
  </si>
  <si>
    <t>ACWF</t>
  </si>
  <si>
    <t>AJKS</t>
  </si>
  <si>
    <t>BENI</t>
  </si>
  <si>
    <t>HESS</t>
  </si>
  <si>
    <t>HLLA</t>
  </si>
  <si>
    <t>JAME</t>
  </si>
  <si>
    <t>KAFH</t>
  </si>
  <si>
    <t>LOEH</t>
  </si>
  <si>
    <t>MDEI</t>
  </si>
  <si>
    <t>MIWN</t>
  </si>
  <si>
    <t>MLBR</t>
  </si>
  <si>
    <t>MTAL</t>
  </si>
  <si>
    <t>SEIJ</t>
  </si>
  <si>
    <t>SERY</t>
  </si>
  <si>
    <t>THON</t>
  </si>
  <si>
    <t>TRRI</t>
  </si>
  <si>
    <t>ULPE</t>
  </si>
  <si>
    <t>Sum</t>
  </si>
  <si>
    <t>Arbejdstimer per semester</t>
  </si>
  <si>
    <t>Undervisning og tilrettelæggelse</t>
  </si>
  <si>
    <t>Undervisning ØKIT</t>
  </si>
  <si>
    <t>Undervisning EVU</t>
  </si>
  <si>
    <t>Undervisning på andre uddannelser</t>
  </si>
  <si>
    <t>Udvikling, forskning og viden</t>
  </si>
  <si>
    <t>Udviklings og forskningsopgaver</t>
  </si>
  <si>
    <t>Forskningsprojekter</t>
  </si>
  <si>
    <t>Udviklingsopgaver</t>
  </si>
  <si>
    <t>Egen efteruddannelse</t>
  </si>
  <si>
    <t>International udveksling</t>
  </si>
  <si>
    <t>Individuel kompetenceudvikling</t>
  </si>
  <si>
    <t>Relationsarbejde</t>
  </si>
  <si>
    <t>Relation til studerende</t>
  </si>
  <si>
    <t>Relation til erhvervsliv</t>
  </si>
  <si>
    <t>Andre driftsopgaver</t>
  </si>
  <si>
    <t>Uddannelseskoordinator</t>
  </si>
  <si>
    <t>Semesterlead</t>
  </si>
  <si>
    <t>Adjunktvejleder</t>
  </si>
  <si>
    <t>StartUp Hub</t>
  </si>
  <si>
    <t>TR</t>
  </si>
  <si>
    <t>Personaleforening</t>
  </si>
  <si>
    <t>Kvalitetsudvalg</t>
  </si>
  <si>
    <t>Møder</t>
  </si>
  <si>
    <t>Ikke fordelte timer</t>
  </si>
  <si>
    <t>Tildelte timer</t>
  </si>
  <si>
    <t>Timebudget</t>
  </si>
  <si>
    <t>ECTS</t>
  </si>
  <si>
    <t>Stud per hold</t>
  </si>
  <si>
    <t>Hold</t>
  </si>
  <si>
    <t>Lektioner</t>
  </si>
  <si>
    <t>1. semester</t>
  </si>
  <si>
    <t>Grundlæggende økonomi- og forretningsforståelse</t>
  </si>
  <si>
    <t>Analyse og metode</t>
  </si>
  <si>
    <t>Agile metoder</t>
  </si>
  <si>
    <t>Data- og IT-forståelse</t>
  </si>
  <si>
    <t>2. semester</t>
  </si>
  <si>
    <t>Drift og forretningsanalyse</t>
  </si>
  <si>
    <t>Forretningsarkitektur</t>
  </si>
  <si>
    <t>Projektstyring</t>
  </si>
  <si>
    <t>Datahåndtering og arkitektur</t>
  </si>
  <si>
    <t>3. semester</t>
  </si>
  <si>
    <t>Forretningsstrategi og innovation</t>
  </si>
  <si>
    <t>Processtyring</t>
  </si>
  <si>
    <t>Den digitale organisation</t>
  </si>
  <si>
    <t>Teknologi- og dataintegration</t>
  </si>
  <si>
    <t>4. semester</t>
  </si>
  <si>
    <t>Digital resiliens</t>
  </si>
  <si>
    <t>Digital transformation og ledelse</t>
  </si>
  <si>
    <t>Analyse og specificering af digitale løsninger</t>
  </si>
  <si>
    <t>5. semester</t>
  </si>
  <si>
    <t>Praktikvejledning og eksamen</t>
  </si>
  <si>
    <t>6.  og 7. semester</t>
  </si>
  <si>
    <t>Valgfag: SAP</t>
  </si>
  <si>
    <t>Valgfag: AI i praksis</t>
  </si>
  <si>
    <t>Valgfag: Videnskabsteori og videnskabelig metode</t>
  </si>
  <si>
    <t>Valgfag: E-handel og digital marketing</t>
  </si>
  <si>
    <t>BA</t>
  </si>
  <si>
    <t>Ekstraordinært</t>
  </si>
  <si>
    <t>AI i praksis</t>
  </si>
  <si>
    <t>E-commerce</t>
  </si>
  <si>
    <t>Byggeri og energi</t>
  </si>
  <si>
    <t>Sem</t>
  </si>
  <si>
    <t>Fag</t>
  </si>
  <si>
    <t>Code</t>
  </si>
  <si>
    <t>VALFAG</t>
  </si>
  <si>
    <t>ØKO</t>
  </si>
  <si>
    <t>ANALYSE</t>
  </si>
  <si>
    <t>Påske_Mandag</t>
  </si>
  <si>
    <t>AGILE</t>
  </si>
  <si>
    <t>Påske_Tirsdag</t>
  </si>
  <si>
    <t>DATA</t>
  </si>
  <si>
    <t>Påske_Onsdag</t>
  </si>
  <si>
    <t>Påske_Torsdag</t>
  </si>
  <si>
    <t>Påske_Fredag</t>
  </si>
  <si>
    <t>Anden_Påske</t>
  </si>
  <si>
    <t>INNOV</t>
  </si>
  <si>
    <t>Kristi_Himmelfart</t>
  </si>
  <si>
    <t>PROCES</t>
  </si>
  <si>
    <t>Kristi_Mellemdag</t>
  </si>
  <si>
    <t>DIGORG</t>
  </si>
  <si>
    <t>2. Pinsedag</t>
  </si>
  <si>
    <t>TEKDAT</t>
  </si>
  <si>
    <t>RESIL</t>
  </si>
  <si>
    <t>Udviklingsdag Digital 1</t>
  </si>
  <si>
    <t>DIGTRA</t>
  </si>
  <si>
    <t>Udviklingsdag Digital 2</t>
  </si>
  <si>
    <t>LØSNING</t>
  </si>
  <si>
    <t>Planlægning 1</t>
  </si>
  <si>
    <t>VALGFAG</t>
  </si>
  <si>
    <t>SAP</t>
  </si>
  <si>
    <t>Planlægning 2</t>
  </si>
  <si>
    <t>AIPRAK</t>
  </si>
  <si>
    <t>Planlægning 3</t>
  </si>
  <si>
    <t>VIDEN</t>
  </si>
  <si>
    <t>Planlægning 4</t>
  </si>
  <si>
    <t>KONSUL</t>
  </si>
  <si>
    <t>Planlægning 5</t>
  </si>
  <si>
    <t>DIGMARK</t>
  </si>
  <si>
    <t>Planlægning 6</t>
  </si>
  <si>
    <t>KOMPLKS</t>
  </si>
  <si>
    <t>Klemdage ifm jul</t>
  </si>
  <si>
    <t>Åbent hus</t>
  </si>
  <si>
    <t>ADMIN</t>
  </si>
  <si>
    <t>Vejledning</t>
  </si>
  <si>
    <t>Case Præsentation</t>
  </si>
  <si>
    <t>Årsmøde 1</t>
  </si>
  <si>
    <t>Feedback</t>
  </si>
  <si>
    <t>Årsmøde 2</t>
  </si>
  <si>
    <t>Øvelser</t>
  </si>
  <si>
    <t>Eksamen</t>
  </si>
  <si>
    <t>Efterårsferie</t>
  </si>
  <si>
    <t>Introuge</t>
  </si>
  <si>
    <t>INTRO</t>
  </si>
  <si>
    <t>Efterårsferie 2</t>
  </si>
  <si>
    <t>Efterårsferie 3</t>
  </si>
  <si>
    <t>Efterårsferie 4</t>
  </si>
  <si>
    <t>Efterårsferie 5</t>
  </si>
  <si>
    <t>År</t>
  </si>
  <si>
    <t>Stor 1.</t>
  </si>
  <si>
    <t>Forår</t>
  </si>
  <si>
    <t>Efterår</t>
  </si>
  <si>
    <t>Populate</t>
  </si>
  <si>
    <t>Forløb</t>
  </si>
  <si>
    <t>Navn</t>
  </si>
  <si>
    <t>Uger</t>
  </si>
  <si>
    <t>1.0</t>
  </si>
  <si>
    <t>INTROUGE</t>
  </si>
  <si>
    <t>1.1</t>
  </si>
  <si>
    <t>FORRETNINGS OG DATAFORSTÅELSE</t>
  </si>
  <si>
    <t>1.2</t>
  </si>
  <si>
    <t>DATAHÅNDTERING, ANALYSE OG VISUALISERING</t>
  </si>
  <si>
    <t>1.3</t>
  </si>
  <si>
    <t>FORRETNINGSSTRATEGISKE BESLUTNINGER</t>
  </si>
  <si>
    <t>2.1</t>
  </si>
  <si>
    <t>SAMFUNDSØKONOMISKE ASPEKTER OG DIGITALE TRENDS</t>
  </si>
  <si>
    <t>2.2</t>
  </si>
  <si>
    <t>PROJEKTSTYRING OG IT</t>
  </si>
  <si>
    <t>2.3</t>
  </si>
  <si>
    <t>RELATIONEN MELLEM FORRETNING OG IT</t>
  </si>
  <si>
    <t>2.4</t>
  </si>
  <si>
    <t>TVÆRFAGLIGT EKSAMENSPROJEKT</t>
  </si>
  <si>
    <t>3.0</t>
  </si>
  <si>
    <t>3.1</t>
  </si>
  <si>
    <t>TEKNOLOGI &amp; DATA</t>
  </si>
  <si>
    <t>3.2</t>
  </si>
  <si>
    <t>FORRETNINGSUDVIKLING &amp; INNOVATION</t>
  </si>
  <si>
    <t>3.3</t>
  </si>
  <si>
    <t>DEN DIGITALE ORGANISATION</t>
  </si>
  <si>
    <t>3.4</t>
  </si>
  <si>
    <t>4.1</t>
  </si>
  <si>
    <t>DIGITAL TRANSFORMATION OG LEDELSE</t>
  </si>
  <si>
    <t>4.2</t>
  </si>
  <si>
    <t>4.3</t>
  </si>
  <si>
    <t>DIGITAL RESILIENS</t>
  </si>
  <si>
    <t>4.4</t>
  </si>
  <si>
    <t>TimeEdit</t>
  </si>
  <si>
    <t>timeedit</t>
  </si>
  <si>
    <t>ØKIT-GBG-E25A, ØKIT-GBG-E25B</t>
  </si>
  <si>
    <t xml:space="preserve">01.04.2026 - 01.04.2027 </t>
  </si>
  <si>
    <t>Hverdag</t>
  </si>
  <si>
    <t>Startdato</t>
  </si>
  <si>
    <t>Starttid</t>
  </si>
  <si>
    <t>Slutdato</t>
  </si>
  <si>
    <t>Sluttid</t>
  </si>
  <si>
    <t>Underviser</t>
  </si>
  <si>
    <t>Lokale</t>
  </si>
  <si>
    <t>Aktivitet</t>
  </si>
  <si>
    <t>Tag</t>
  </si>
  <si>
    <t>Længde minutter</t>
  </si>
  <si>
    <t>u 15</t>
  </si>
  <si>
    <t>Onsdag</t>
  </si>
  <si>
    <t>08.04.2026</t>
  </si>
  <si>
    <t>08:30</t>
  </si>
  <si>
    <t>10:00</t>
  </si>
  <si>
    <t>2.3. Relationen mellem forretning og IT</t>
  </si>
  <si>
    <t>BENI, GUIN</t>
  </si>
  <si>
    <t>GBG.A367/A370</t>
  </si>
  <si>
    <t/>
  </si>
  <si>
    <t>10:15</t>
  </si>
  <si>
    <t>11:45</t>
  </si>
  <si>
    <t>12:30</t>
  </si>
  <si>
    <t>14:00</t>
  </si>
  <si>
    <t>14:15</t>
  </si>
  <si>
    <t>15:45</t>
  </si>
  <si>
    <t>Torsdag</t>
  </si>
  <si>
    <t>09.04.2026</t>
  </si>
  <si>
    <t>CLLJ, JEAN, MOKJ</t>
  </si>
  <si>
    <t>Fredag</t>
  </si>
  <si>
    <t>10.04.2026</t>
  </si>
  <si>
    <t>GBG.E148</t>
  </si>
  <si>
    <t>u 16</t>
  </si>
  <si>
    <t>Mandag</t>
  </si>
  <si>
    <t>13.04.2026</t>
  </si>
  <si>
    <t>Tirsdag</t>
  </si>
  <si>
    <t>14.04.2026</t>
  </si>
  <si>
    <t>15.04.2026</t>
  </si>
  <si>
    <t>JAME, JENR</t>
  </si>
  <si>
    <t>16.04.2026</t>
  </si>
  <si>
    <t>17.04.2026</t>
  </si>
  <si>
    <t>ØKIT-GBG-E25B</t>
  </si>
  <si>
    <t>ØKIT-GBG-E25A</t>
  </si>
  <si>
    <t>u 17</t>
  </si>
  <si>
    <t>20.04.2026</t>
  </si>
  <si>
    <t>21.04.2026</t>
  </si>
  <si>
    <t>23.04.2026</t>
  </si>
  <si>
    <t>24.04.2026</t>
  </si>
  <si>
    <t>u 18</t>
  </si>
  <si>
    <t>27.04.2026</t>
  </si>
  <si>
    <t>BENI, CLLJ, GUIN, JEAN, JENR, MOKJ</t>
  </si>
  <si>
    <t>28.04.2026</t>
  </si>
  <si>
    <t>GUIN, JEAN</t>
  </si>
  <si>
    <t>29.04.2026</t>
  </si>
  <si>
    <t>CLLJ, JENR</t>
  </si>
  <si>
    <t>30.04.2026</t>
  </si>
  <si>
    <t>CLLJ, GUIN, JEAN, MOKJ</t>
  </si>
  <si>
    <t>01.05.2026</t>
  </si>
  <si>
    <t>BENI, JENR</t>
  </si>
  <si>
    <t>u 19</t>
  </si>
  <si>
    <t>04.05.2026</t>
  </si>
  <si>
    <t>BENI, CLLJ, GUIN, JEAN, JENR</t>
  </si>
  <si>
    <t>05.05.2026</t>
  </si>
  <si>
    <t>07.05.2026</t>
  </si>
  <si>
    <t>08.05.2026</t>
  </si>
  <si>
    <t>u 20</t>
  </si>
  <si>
    <t>11.05.2026</t>
  </si>
  <si>
    <t>2.4. Eksamen</t>
  </si>
  <si>
    <t>12.05.2026</t>
  </si>
  <si>
    <t>CLLJ, MOKJ</t>
  </si>
  <si>
    <t>13.05.2026</t>
  </si>
  <si>
    <t>u 21</t>
  </si>
  <si>
    <t>18.05.2026</t>
  </si>
  <si>
    <t>BENI, CLLJ, JEAN, MOKJ</t>
  </si>
  <si>
    <t>19.05.2026</t>
  </si>
  <si>
    <t>GUIN, JENR</t>
  </si>
  <si>
    <t>20.05.2026</t>
  </si>
  <si>
    <t>BENI, CLLJ, MOKJ</t>
  </si>
  <si>
    <t>21.05.2026</t>
  </si>
  <si>
    <t>22.05.2026</t>
  </si>
  <si>
    <t>BENI, CLLJ, JENR, MOKJ</t>
  </si>
  <si>
    <t>u 22</t>
  </si>
  <si>
    <t>26.05.2026</t>
  </si>
  <si>
    <t>BENI, CLLJ, GUIN</t>
  </si>
  <si>
    <t>27.05.2026</t>
  </si>
  <si>
    <t>BENI, GUIN, JENR</t>
  </si>
  <si>
    <t>28.05.2026</t>
  </si>
  <si>
    <t>CLLJ, JEAN</t>
  </si>
  <si>
    <t>Samlet længde</t>
  </si>
  <si>
    <t>https://cloud.timeedit.net/kea/web/1/ri1YQXYZQXwZ1fQv1x0540y5y0YQ7Zvg7585371Q667YZ406QbZZAbm6ZvlqQQ0nbQ0nyQcr4Zobucu4nQrQuZcogZZoyrc.html</t>
  </si>
  <si>
    <t>1. Sem A</t>
  </si>
  <si>
    <t>1. Sem B</t>
  </si>
  <si>
    <t>3. Sem A</t>
  </si>
  <si>
    <t>3. Sem B</t>
  </si>
  <si>
    <t>4. Sem</t>
  </si>
  <si>
    <t>2. sem</t>
  </si>
  <si>
    <t>ANALYSE OG SPECIFICERING AF DIGITALE LØSNINGER​</t>
  </si>
  <si>
    <t>L16.A114</t>
  </si>
  <si>
    <t>08:30-10:00</t>
  </si>
  <si>
    <t>10:15-11:45</t>
  </si>
  <si>
    <t>12:30-14:00</t>
  </si>
  <si>
    <t>14:15-15:45</t>
  </si>
  <si>
    <t>1. sem A+B</t>
  </si>
  <si>
    <t>1. sem A</t>
  </si>
  <si>
    <t>1. sem B</t>
  </si>
  <si>
    <t>4. sem</t>
  </si>
  <si>
    <t>3. sem A</t>
  </si>
  <si>
    <t>3. sem B</t>
  </si>
  <si>
    <t>Valgfag videnskab</t>
  </si>
  <si>
    <t>Videnskabsteori</t>
  </si>
  <si>
    <t>Små lokaler i E-bygningen</t>
  </si>
  <si>
    <t>Valgfag SAP</t>
  </si>
  <si>
    <t>A129</t>
  </si>
  <si>
    <t>Valgfag AI</t>
  </si>
  <si>
    <t>Valgfag e-handel</t>
  </si>
  <si>
    <t>6. sem</t>
  </si>
  <si>
    <t>6. semester og valgfag</t>
  </si>
  <si>
    <t>Drop-down:</t>
  </si>
  <si>
    <t>3. sem fælles</t>
  </si>
  <si>
    <t>7. sem A+B</t>
  </si>
  <si>
    <t>1. sem</t>
  </si>
  <si>
    <t>3. Sem</t>
  </si>
  <si>
    <t xml:space="preserve">Lokale </t>
  </si>
  <si>
    <t>Kapacitet</t>
  </si>
  <si>
    <t>Slot</t>
  </si>
  <si>
    <t>Antal studerende</t>
  </si>
  <si>
    <t>5. Sem</t>
  </si>
  <si>
    <t>6. Sem</t>
  </si>
  <si>
    <t>7. Sem</t>
  </si>
  <si>
    <t>E312</t>
  </si>
  <si>
    <t>UV start dato</t>
  </si>
  <si>
    <t>A213</t>
  </si>
  <si>
    <t>A367</t>
  </si>
  <si>
    <t>E148</t>
  </si>
  <si>
    <t>Valgfag: Internationalt valgfag</t>
  </si>
  <si>
    <t>Design, konstruktion og implementering af digitale løsninger</t>
  </si>
  <si>
    <t>Forår 2027</t>
  </si>
  <si>
    <t>INDLÅN</t>
  </si>
  <si>
    <t>Hackathon</t>
  </si>
  <si>
    <t>Udvikling af nye forløb og andet ekstraordinært</t>
  </si>
  <si>
    <t>IT-sikkerhed</t>
  </si>
  <si>
    <t>Akademi eller diplom i ledelse</t>
  </si>
  <si>
    <t>Digital marketing</t>
  </si>
  <si>
    <t>Kompetenceudvikling</t>
  </si>
  <si>
    <t>Adjunktforløb</t>
  </si>
  <si>
    <t>1. Pinsedag</t>
  </si>
  <si>
    <t>ØIT-GBG-DA-E26</t>
  </si>
  <si>
    <t>1. Sem</t>
  </si>
  <si>
    <t>1.0 INTROUGE</t>
  </si>
  <si>
    <t>1.1 FORRETNINGS OG DATAFORSTÅELSE</t>
  </si>
  <si>
    <t>1.2 DATAHÅNDTERING, ANALYSE OG VISUALISERING</t>
  </si>
  <si>
    <t>1.3 FORRETNINGSSTRATEGISKE BESLUTNINGER</t>
  </si>
  <si>
    <t>ØIT-GBG-DA-F25A</t>
  </si>
  <si>
    <t>ØIT-GBG-DA-F25B</t>
  </si>
  <si>
    <t>2. Sem A</t>
  </si>
  <si>
    <t>2. Sem B</t>
  </si>
  <si>
    <t>ØIT-GBG-DA-E25</t>
  </si>
  <si>
    <t>3.0 INTROUGE</t>
  </si>
  <si>
    <t>3.1 TEKNOLOGI &amp; DATA</t>
  </si>
  <si>
    <t>3.2 FORRETNINGSUDVIKLING &amp; INNOVATION</t>
  </si>
  <si>
    <t>3.3 DEN DIGITALE ORGANISATION</t>
  </si>
  <si>
    <t>3.4 TVÆRFAGLIGT EKSAMENSPROJEKT</t>
  </si>
  <si>
    <t>ØIT-GBG-DA-F24A</t>
  </si>
  <si>
    <t>ØIT-GBG-DA-F24B</t>
  </si>
  <si>
    <t>4. Sem A</t>
  </si>
  <si>
    <t>4. Sem B</t>
  </si>
  <si>
    <t>4.1 DIGITAL TRANSFORMATION OG LEDELSE</t>
  </si>
  <si>
    <t>4.2 ANALYSE OG SPECIFICERING AF DIGITALE LØSNINGER​</t>
  </si>
  <si>
    <t>4.3 DIGITAL RESILIENS</t>
  </si>
  <si>
    <t>4.4 TVÆRFAGLIGT EKSAMENSPROJEKT</t>
  </si>
  <si>
    <t>GBG.A367</t>
  </si>
  <si>
    <t>a</t>
  </si>
  <si>
    <t>???</t>
  </si>
  <si>
    <t>1. Sem / ???</t>
  </si>
  <si>
    <t>2. Sem A / GBG.A367</t>
  </si>
  <si>
    <t>2. Sem B / GBG.A367</t>
  </si>
  <si>
    <t>3. Sem / ???</t>
  </si>
  <si>
    <t>4. Sem A / GBG.A367</t>
  </si>
  <si>
    <t>4. Sem B / GBG.A367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</si>
</sst>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dddd"/>
    <numFmt numFmtId="166" formatCode="dd\/mm"/>
    <numFmt numFmtId="167" formatCode="[$-406]dddd"/>
  </numFmts>
  <fonts count="3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 tint="0.499984740745262"/>
      <name val="Calibri"/>
      <family val="2"/>
    </font>
    <font>
      <b/>
      <sz val="11"/>
      <color theme="1" tint="0.499984740745262"/>
      <name val="Calibri"/>
      <family val="2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rial"/>
      <family val="2"/>
    </font>
    <font>
      <b/>
      <sz val="24"/>
      <color theme="1"/>
      <name val="Arial"/>
      <family val="2"/>
    </font>
    <font>
      <b/>
      <sz val="12"/>
      <name val="Arial"/>
      <family val="2"/>
    </font>
    <font>
      <b/>
      <sz val="12"/>
      <color rgb="FF000000"/>
      <name val="Arial"/>
      <family val="2"/>
    </font>
    <font>
      <b/>
      <sz val="11"/>
      <color rgb="FF000000"/>
      <name val="Aptos Narrow"/>
      <family val="2"/>
      <scheme val="minor"/>
    </font>
    <font>
      <sz val="8"/>
      <name val="Aptos Narrow"/>
      <family val="2"/>
      <scheme val="minor"/>
    </font>
    <font>
      <i/>
      <sz val="11"/>
      <color theme="1"/>
      <name val="Calibri"/>
      <family val="2"/>
    </font>
    <font>
      <b/>
      <sz val="12"/>
      <color rgb="FF000000"/>
      <name val="Aptos Narrow"/>
    </font>
    <font>
      <b/>
      <sz val="16"/>
      <color rgb="FF000000"/>
      <name val="Aptos Narrow"/>
    </font>
    <font>
      <b/>
      <sz val="10"/>
      <color theme="1"/>
      <name val="Arial"/>
      <family val="2"/>
    </font>
    <font>
      <b/>
      <sz val="20"/>
      <color theme="1"/>
      <name val="Aptos Narrow"/>
      <scheme val="minor"/>
    </font>
    <font>
      <b/>
      <sz val="11"/>
      <color theme="1"/>
      <name val="Aptos Narrow"/>
      <scheme val="minor"/>
    </font>
    <font>
      <sz val="11"/>
      <color rgb="FF000000"/>
      <name val="Aptos Narrow"/>
      <family val="2"/>
    </font>
    <font>
      <sz val="11"/>
      <color theme="1"/>
      <name val="Aptos Narrow"/>
      <scheme val="minor"/>
    </font>
    <font>
      <b/>
      <sz val="12"/>
      <color theme="1"/>
      <name val="Aptos Narrow"/>
      <scheme val="minor"/>
    </font>
    <font>
      <b/>
      <sz val="24"/>
      <color rgb="FF000000"/>
      <name val="Arial"/>
      <family val="2"/>
    </font>
    <font>
      <b/>
      <sz val="20"/>
      <color rgb="FF000000"/>
      <name val="Arial"/>
      <family val="2"/>
    </font>
    <font>
      <b/>
      <sz val="11"/>
      <name val="Calibri"/>
      <family val="2"/>
    </font>
    <font>
      <sz val="11"/>
      <name val="Calibri"/>
      <family val="2"/>
    </font>
    <font>
      <i/>
      <sz val="11"/>
      <color theme="1" tint="0.499984740745262"/>
      <name val="Calibri"/>
      <family val="2"/>
    </font>
    <font>
      <sz val="11"/>
      <color rgb="FFFF0000"/>
      <name val="Calibri"/>
      <family val="2"/>
    </font>
    <font>
      <b/>
      <sz val="28"/>
      <color theme="1"/>
      <name val="Arial"/>
      <family val="2"/>
    </font>
    <font>
      <b/>
      <sz val="22"/>
      <color theme="1"/>
      <name val="Arial"/>
      <family val="2"/>
    </font>
  </fonts>
  <fills count="4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darkUp"/>
    </fill>
    <fill>
      <patternFill patternType="darkUp">
        <bgColor theme="0" tint="-4.9989318521683403E-2"/>
      </patternFill>
    </fill>
    <fill>
      <patternFill patternType="solid">
        <fgColor rgb="FF92D050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A6C9EC"/>
        <bgColor indexed="64"/>
      </patternFill>
    </fill>
    <fill>
      <patternFill patternType="solid">
        <fgColor rgb="FF64B5F6"/>
        <bgColor indexed="64"/>
      </patternFill>
    </fill>
    <fill>
      <patternFill patternType="solid">
        <fgColor rgb="FF81C784"/>
        <bgColor indexed="64"/>
      </patternFill>
    </fill>
    <fill>
      <patternFill patternType="solid">
        <fgColor rgb="FFFFCA28"/>
        <bgColor indexed="64"/>
      </patternFill>
    </fill>
    <fill>
      <patternFill patternType="solid">
        <fgColor rgb="FFFF8A65"/>
        <bgColor indexed="64"/>
      </patternFill>
    </fill>
    <fill>
      <patternFill patternType="solid">
        <fgColor rgb="FFBA68C8"/>
        <bgColor indexed="64"/>
      </patternFill>
    </fill>
    <fill>
      <patternFill patternType="solid">
        <fgColor rgb="FFFF8A80"/>
        <bgColor indexed="64"/>
      </patternFill>
    </fill>
    <fill>
      <patternFill patternType="solid">
        <fgColor rgb="FFA5D6A7"/>
        <bgColor indexed="64"/>
      </patternFill>
    </fill>
    <fill>
      <patternFill patternType="solid">
        <fgColor rgb="FF80CBC4"/>
        <bgColor indexed="64"/>
      </patternFill>
    </fill>
    <fill>
      <patternFill patternType="solid">
        <fgColor rgb="FFCE93D8"/>
        <bgColor indexed="64"/>
      </patternFill>
    </fill>
    <fill>
      <patternFill patternType="solid">
        <fgColor rgb="FF9FA8DA"/>
        <bgColor indexed="64"/>
      </patternFill>
    </fill>
    <fill>
      <patternFill patternType="solid">
        <fgColor rgb="FF4FC3F7"/>
        <bgColor indexed="64"/>
      </patternFill>
    </fill>
    <fill>
      <patternFill patternType="solid">
        <fgColor rgb="FFFFF59D"/>
        <bgColor indexed="64"/>
      </patternFill>
    </fill>
    <fill>
      <patternFill patternType="solid">
        <fgColor rgb="FFFF2F92"/>
        <bgColor indexed="64"/>
      </patternFill>
    </fill>
    <fill>
      <patternFill patternType="solid">
        <fgColor theme="0" tint="-0.14996795556505021"/>
        <bgColor auto="1"/>
      </patternFill>
    </fill>
    <fill>
      <patternFill patternType="solid">
        <fgColor rgb="FFC00000"/>
        <bgColor indexed="64"/>
      </patternFill>
    </fill>
    <fill>
      <patternFill patternType="darkUp">
        <bgColor rgb="FFC000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A26"/>
        <bgColor indexed="64"/>
      </patternFill>
    </fill>
    <fill>
      <patternFill patternType="solid">
        <fgColor rgb="FFFF8A64"/>
        <bgColor indexed="64"/>
      </patternFill>
    </fill>
    <fill>
      <patternFill patternType="solid">
        <fgColor rgb="FFBA68C9"/>
        <bgColor indexed="64"/>
      </patternFill>
    </fill>
    <fill>
      <patternFill patternType="solid">
        <fgColor rgb="FF80CBC5"/>
        <bgColor indexed="64"/>
      </patternFill>
    </fill>
    <fill>
      <patternFill patternType="solid">
        <fgColor rgb="FFFF2F93"/>
        <bgColor indexed="64"/>
      </patternFill>
    </fill>
    <fill>
      <patternFill patternType="solid">
        <fgColor rgb="FF0A61F2"/>
        <bgColor indexed="64"/>
      </patternFill>
    </fill>
    <fill>
      <patternFill patternType="solid">
        <fgColor rgb="FF0AB306"/>
        <bgColor indexed="64"/>
      </patternFill>
    </fill>
    <fill>
      <patternFill patternType="solid">
        <fgColor rgb="FF945200"/>
        <bgColor indexed="64"/>
      </patternFill>
    </fill>
    <fill>
      <patternFill patternType="solid">
        <fgColor rgb="FFFAC913"/>
        <bgColor indexed="64"/>
      </patternFill>
    </fill>
    <fill>
      <patternFill patternType="solid">
        <fgColor rgb="FFFF9B27"/>
        <bgColor indexed="64"/>
      </patternFill>
    </fill>
    <fill>
      <patternFill patternType="solid">
        <fgColor rgb="FFBD3AFF"/>
        <bgColor indexed="64"/>
      </patternFill>
    </fill>
    <fill>
      <patternFill patternType="solid">
        <fgColor rgb="FF75DBFB"/>
        <bgColor indexed="64"/>
      </patternFill>
    </fill>
    <fill>
      <patternFill patternType="solid">
        <fgColor rgb="FFD9D9D9"/>
        <bgColor indexed="64"/>
      </patternFill>
    </fill>
  </fills>
  <borders count="6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0" fontId="7" fillId="0" borderId="0"/>
  </cellStyleXfs>
  <cellXfs count="654">
    <xf numFmtId="0" fontId="0" fillId="0" borderId="0" xfId="0"/>
    <xf numFmtId="0" fontId="3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0" borderId="0" xfId="0" applyFont="1"/>
    <xf numFmtId="0" fontId="5" fillId="2" borderId="0" xfId="0" applyFont="1" applyFill="1"/>
    <xf numFmtId="1" fontId="5" fillId="2" borderId="0" xfId="0" applyNumberFormat="1" applyFont="1" applyFill="1"/>
    <xf numFmtId="9" fontId="3" fillId="0" borderId="1" xfId="0" applyNumberFormat="1" applyFont="1" applyBorder="1" applyAlignment="1">
      <alignment horizontal="center"/>
    </xf>
    <xf numFmtId="9" fontId="3" fillId="0" borderId="2" xfId="0" applyNumberFormat="1" applyFont="1" applyBorder="1" applyAlignment="1">
      <alignment horizontal="center"/>
    </xf>
    <xf numFmtId="9" fontId="3" fillId="0" borderId="3" xfId="0" applyNumberFormat="1" applyFont="1" applyBorder="1" applyAlignment="1">
      <alignment horizontal="center"/>
    </xf>
    <xf numFmtId="1" fontId="3" fillId="0" borderId="1" xfId="1" applyNumberFormat="1" applyFont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11" fillId="6" borderId="16" xfId="0" applyFont="1" applyFill="1" applyBorder="1" applyAlignment="1">
      <alignment horizontal="right" vertical="center"/>
    </xf>
    <xf numFmtId="0" fontId="11" fillId="6" borderId="26" xfId="0" applyFont="1" applyFill="1" applyBorder="1" applyAlignment="1">
      <alignment horizontal="left"/>
    </xf>
    <xf numFmtId="0" fontId="11" fillId="6" borderId="26" xfId="0" applyFont="1" applyFill="1" applyBorder="1"/>
    <xf numFmtId="0" fontId="11" fillId="6" borderId="24" xfId="0" applyFont="1" applyFill="1" applyBorder="1"/>
    <xf numFmtId="0" fontId="11" fillId="6" borderId="4" xfId="0" applyFont="1" applyFill="1" applyBorder="1" applyAlignment="1">
      <alignment horizontal="right" vertical="center"/>
    </xf>
    <xf numFmtId="0" fontId="11" fillId="6" borderId="19" xfId="0" applyFont="1" applyFill="1" applyBorder="1" applyAlignment="1">
      <alignment horizontal="left"/>
    </xf>
    <xf numFmtId="0" fontId="11" fillId="6" borderId="19" xfId="0" applyFont="1" applyFill="1" applyBorder="1"/>
    <xf numFmtId="0" fontId="11" fillId="6" borderId="7" xfId="0" applyFont="1" applyFill="1" applyBorder="1"/>
    <xf numFmtId="165" fontId="11" fillId="3" borderId="28" xfId="0" applyNumberFormat="1" applyFont="1" applyFill="1" applyBorder="1" applyAlignment="1">
      <alignment horizontal="center" vertical="center"/>
    </xf>
    <xf numFmtId="165" fontId="11" fillId="3" borderId="19" xfId="0" applyNumberFormat="1" applyFont="1" applyFill="1" applyBorder="1" applyAlignment="1">
      <alignment horizontal="center" vertical="center"/>
    </xf>
    <xf numFmtId="165" fontId="11" fillId="3" borderId="6" xfId="0" applyNumberFormat="1" applyFont="1" applyFill="1" applyBorder="1" applyAlignment="1">
      <alignment horizontal="center" vertical="center"/>
    </xf>
    <xf numFmtId="165" fontId="11" fillId="3" borderId="7" xfId="0" applyNumberFormat="1" applyFont="1" applyFill="1" applyBorder="1" applyAlignment="1">
      <alignment horizontal="center" vertical="center"/>
    </xf>
    <xf numFmtId="165" fontId="11" fillId="8" borderId="28" xfId="0" applyNumberFormat="1" applyFont="1" applyFill="1" applyBorder="1" applyAlignment="1">
      <alignment horizontal="center" vertical="center"/>
    </xf>
    <xf numFmtId="165" fontId="11" fillId="8" borderId="19" xfId="0" applyNumberFormat="1" applyFont="1" applyFill="1" applyBorder="1" applyAlignment="1">
      <alignment horizontal="center" vertical="center"/>
    </xf>
    <xf numFmtId="165" fontId="11" fillId="8" borderId="6" xfId="0" applyNumberFormat="1" applyFont="1" applyFill="1" applyBorder="1" applyAlignment="1">
      <alignment horizontal="center" vertical="center"/>
    </xf>
    <xf numFmtId="165" fontId="11" fillId="8" borderId="7" xfId="0" applyNumberFormat="1" applyFont="1" applyFill="1" applyBorder="1" applyAlignment="1">
      <alignment horizontal="center" vertical="center"/>
    </xf>
    <xf numFmtId="165" fontId="11" fillId="3" borderId="13" xfId="0" applyNumberFormat="1" applyFont="1" applyFill="1" applyBorder="1" applyAlignment="1">
      <alignment horizontal="center" vertical="center"/>
    </xf>
    <xf numFmtId="165" fontId="11" fillId="8" borderId="13" xfId="0" applyNumberFormat="1" applyFont="1" applyFill="1" applyBorder="1" applyAlignment="1">
      <alignment horizontal="center" vertical="center"/>
    </xf>
    <xf numFmtId="16" fontId="11" fillId="3" borderId="29" xfId="0" applyNumberFormat="1" applyFont="1" applyFill="1" applyBorder="1" applyAlignment="1">
      <alignment horizontal="center" vertical="center"/>
    </xf>
    <xf numFmtId="16" fontId="11" fillId="3" borderId="20" xfId="0" applyNumberFormat="1" applyFont="1" applyFill="1" applyBorder="1" applyAlignment="1">
      <alignment horizontal="center" vertical="center"/>
    </xf>
    <xf numFmtId="16" fontId="11" fillId="3" borderId="12" xfId="0" applyNumberFormat="1" applyFont="1" applyFill="1" applyBorder="1" applyAlignment="1">
      <alignment horizontal="center" vertical="center"/>
    </xf>
    <xf numFmtId="16" fontId="11" fillId="3" borderId="11" xfId="0" applyNumberFormat="1" applyFont="1" applyFill="1" applyBorder="1" applyAlignment="1">
      <alignment horizontal="center" vertical="center"/>
    </xf>
    <xf numFmtId="16" fontId="11" fillId="8" borderId="29" xfId="0" applyNumberFormat="1" applyFont="1" applyFill="1" applyBorder="1" applyAlignment="1">
      <alignment horizontal="center" vertical="center"/>
    </xf>
    <xf numFmtId="16" fontId="11" fillId="8" borderId="20" xfId="0" applyNumberFormat="1" applyFont="1" applyFill="1" applyBorder="1" applyAlignment="1">
      <alignment horizontal="center" vertical="center"/>
    </xf>
    <xf numFmtId="16" fontId="11" fillId="8" borderId="12" xfId="0" applyNumberFormat="1" applyFont="1" applyFill="1" applyBorder="1" applyAlignment="1">
      <alignment horizontal="center" vertical="center"/>
    </xf>
    <xf numFmtId="16" fontId="11" fillId="8" borderId="11" xfId="0" applyNumberFormat="1" applyFont="1" applyFill="1" applyBorder="1" applyAlignment="1">
      <alignment horizontal="center" vertical="center"/>
    </xf>
    <xf numFmtId="16" fontId="11" fillId="3" borderId="15" xfId="0" applyNumberFormat="1" applyFont="1" applyFill="1" applyBorder="1" applyAlignment="1">
      <alignment horizontal="center" vertical="center"/>
    </xf>
    <xf numFmtId="16" fontId="11" fillId="8" borderId="15" xfId="0" applyNumberFormat="1" applyFont="1" applyFill="1" applyBorder="1" applyAlignment="1">
      <alignment horizontal="center" vertical="center"/>
    </xf>
    <xf numFmtId="0" fontId="11" fillId="3" borderId="30" xfId="0" applyFont="1" applyFill="1" applyBorder="1" applyAlignment="1">
      <alignment horizontal="center" vertical="center"/>
    </xf>
    <xf numFmtId="16" fontId="13" fillId="0" borderId="31" xfId="0" applyNumberFormat="1" applyFont="1" applyBorder="1" applyAlignment="1" applyProtection="1">
      <alignment horizontal="center"/>
      <protection locked="0"/>
    </xf>
    <xf numFmtId="16" fontId="13" fillId="0" borderId="32" xfId="0" applyNumberFormat="1" applyFont="1" applyBorder="1" applyAlignment="1" applyProtection="1">
      <alignment horizontal="center"/>
      <protection locked="0"/>
    </xf>
    <xf numFmtId="0" fontId="11" fillId="8" borderId="34" xfId="0" applyFont="1" applyFill="1" applyBorder="1" applyAlignment="1">
      <alignment horizontal="center" vertical="center"/>
    </xf>
    <xf numFmtId="0" fontId="11" fillId="8" borderId="36" xfId="0" applyFont="1" applyFill="1" applyBorder="1" applyAlignment="1">
      <alignment horizontal="center" vertical="center"/>
    </xf>
    <xf numFmtId="0" fontId="11" fillId="0" borderId="31" xfId="0" applyFont="1" applyBorder="1" applyAlignment="1">
      <alignment horizontal="center" vertical="center"/>
    </xf>
    <xf numFmtId="16" fontId="14" fillId="8" borderId="31" xfId="0" applyNumberFormat="1" applyFont="1" applyFill="1" applyBorder="1" applyAlignment="1" applyProtection="1">
      <alignment horizontal="center"/>
      <protection locked="0"/>
    </xf>
    <xf numFmtId="0" fontId="11" fillId="8" borderId="8" xfId="0" applyFont="1" applyFill="1" applyBorder="1" applyAlignment="1">
      <alignment horizontal="left"/>
    </xf>
    <xf numFmtId="0" fontId="11" fillId="8" borderId="9" xfId="0" applyFont="1" applyFill="1" applyBorder="1" applyAlignment="1">
      <alignment horizontal="left"/>
    </xf>
    <xf numFmtId="0" fontId="11" fillId="3" borderId="38" xfId="0" applyFont="1" applyFill="1" applyBorder="1" applyAlignment="1">
      <alignment horizontal="center" vertical="center"/>
    </xf>
    <xf numFmtId="16" fontId="13" fillId="0" borderId="35" xfId="0" applyNumberFormat="1" applyFont="1" applyBorder="1" applyAlignment="1" applyProtection="1">
      <alignment horizontal="center"/>
      <protection locked="0"/>
    </xf>
    <xf numFmtId="16" fontId="13" fillId="0" borderId="37" xfId="0" applyNumberFormat="1" applyFont="1" applyBorder="1" applyAlignment="1" applyProtection="1">
      <alignment horizontal="center"/>
      <protection locked="0"/>
    </xf>
    <xf numFmtId="0" fontId="11" fillId="8" borderId="39" xfId="0" applyFont="1" applyFill="1" applyBorder="1" applyAlignment="1">
      <alignment horizontal="center" vertical="center"/>
    </xf>
    <xf numFmtId="0" fontId="11" fillId="3" borderId="40" xfId="0" applyFont="1" applyFill="1" applyBorder="1" applyAlignment="1">
      <alignment horizontal="center" vertical="center"/>
    </xf>
    <xf numFmtId="0" fontId="11" fillId="0" borderId="35" xfId="0" applyFont="1" applyBorder="1" applyAlignment="1">
      <alignment horizontal="center" vertical="center"/>
    </xf>
    <xf numFmtId="16" fontId="14" fillId="8" borderId="35" xfId="0" applyNumberFormat="1" applyFont="1" applyFill="1" applyBorder="1" applyAlignment="1" applyProtection="1">
      <alignment horizontal="center"/>
      <protection locked="0"/>
    </xf>
    <xf numFmtId="0" fontId="11" fillId="0" borderId="40" xfId="0" applyFont="1" applyBorder="1" applyAlignment="1">
      <alignment horizontal="center" vertical="center"/>
    </xf>
    <xf numFmtId="0" fontId="11" fillId="0" borderId="37" xfId="0" applyFont="1" applyBorder="1" applyAlignment="1">
      <alignment horizontal="center" vertical="center"/>
    </xf>
    <xf numFmtId="0" fontId="11" fillId="0" borderId="4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44" xfId="0" applyFont="1" applyBorder="1" applyAlignment="1">
      <alignment horizontal="center" vertical="center"/>
    </xf>
    <xf numFmtId="16" fontId="13" fillId="8" borderId="31" xfId="0" applyNumberFormat="1" applyFont="1" applyFill="1" applyBorder="1" applyAlignment="1" applyProtection="1">
      <alignment horizontal="center"/>
      <protection locked="0"/>
    </xf>
    <xf numFmtId="16" fontId="14" fillId="8" borderId="34" xfId="0" applyNumberFormat="1" applyFont="1" applyFill="1" applyBorder="1" applyAlignment="1" applyProtection="1">
      <alignment horizontal="center"/>
      <protection locked="0"/>
    </xf>
    <xf numFmtId="16" fontId="13" fillId="8" borderId="35" xfId="0" applyNumberFormat="1" applyFont="1" applyFill="1" applyBorder="1" applyAlignment="1" applyProtection="1">
      <alignment horizontal="center"/>
      <protection locked="0"/>
    </xf>
    <xf numFmtId="16" fontId="14" fillId="0" borderId="35" xfId="0" applyNumberFormat="1" applyFont="1" applyBorder="1" applyAlignment="1" applyProtection="1">
      <alignment horizontal="center"/>
      <protection locked="0"/>
    </xf>
    <xf numFmtId="16" fontId="14" fillId="8" borderId="36" xfId="0" applyNumberFormat="1" applyFont="1" applyFill="1" applyBorder="1" applyAlignment="1" applyProtection="1">
      <alignment horizontal="center"/>
      <protection locked="0"/>
    </xf>
    <xf numFmtId="16" fontId="14" fillId="8" borderId="41" xfId="0" applyNumberFormat="1" applyFont="1" applyFill="1" applyBorder="1" applyAlignment="1" applyProtection="1">
      <alignment horizontal="center"/>
      <protection locked="0"/>
    </xf>
    <xf numFmtId="16" fontId="13" fillId="0" borderId="40" xfId="0" applyNumberFormat="1" applyFont="1" applyBorder="1" applyAlignment="1" applyProtection="1">
      <alignment horizontal="center"/>
      <protection locked="0"/>
    </xf>
    <xf numFmtId="16" fontId="13" fillId="8" borderId="41" xfId="0" applyNumberFormat="1" applyFont="1" applyFill="1" applyBorder="1" applyAlignment="1" applyProtection="1">
      <alignment horizontal="center"/>
      <protection locked="0"/>
    </xf>
    <xf numFmtId="16" fontId="14" fillId="0" borderId="37" xfId="0" applyNumberFormat="1" applyFont="1" applyBorder="1" applyAlignment="1" applyProtection="1">
      <alignment horizontal="center"/>
      <protection locked="0"/>
    </xf>
    <xf numFmtId="16" fontId="13" fillId="0" borderId="42" xfId="0" applyNumberFormat="1" applyFont="1" applyBorder="1" applyAlignment="1" applyProtection="1">
      <alignment horizontal="center"/>
      <protection locked="0"/>
    </xf>
    <xf numFmtId="16" fontId="14" fillId="0" borderId="43" xfId="0" applyNumberFormat="1" applyFont="1" applyBorder="1" applyAlignment="1" applyProtection="1">
      <alignment horizontal="center"/>
      <protection locked="0"/>
    </xf>
    <xf numFmtId="16" fontId="14" fillId="0" borderId="44" xfId="0" applyNumberFormat="1" applyFont="1" applyBorder="1" applyAlignment="1" applyProtection="1">
      <alignment horizontal="center"/>
      <protection locked="0"/>
    </xf>
    <xf numFmtId="16" fontId="14" fillId="8" borderId="45" xfId="0" applyNumberFormat="1" applyFont="1" applyFill="1" applyBorder="1" applyAlignment="1" applyProtection="1">
      <alignment horizontal="center"/>
      <protection locked="0"/>
    </xf>
    <xf numFmtId="16" fontId="14" fillId="8" borderId="43" xfId="0" applyNumberFormat="1" applyFont="1" applyFill="1" applyBorder="1" applyAlignment="1" applyProtection="1">
      <alignment horizontal="center"/>
      <protection locked="0"/>
    </xf>
    <xf numFmtId="16" fontId="14" fillId="8" borderId="46" xfId="0" applyNumberFormat="1" applyFont="1" applyFill="1" applyBorder="1" applyAlignment="1" applyProtection="1">
      <alignment horizontal="center"/>
      <protection locked="0"/>
    </xf>
    <xf numFmtId="16" fontId="13" fillId="8" borderId="33" xfId="0" applyNumberFormat="1" applyFont="1" applyFill="1" applyBorder="1" applyAlignment="1" applyProtection="1">
      <alignment horizontal="center"/>
      <protection locked="0"/>
    </xf>
    <xf numFmtId="0" fontId="11" fillId="0" borderId="32" xfId="0" applyFont="1" applyBorder="1" applyAlignment="1">
      <alignment horizontal="center" vertical="center"/>
    </xf>
    <xf numFmtId="0" fontId="11" fillId="0" borderId="40" xfId="0" applyFont="1" applyBorder="1" applyAlignment="1">
      <alignment horizontal="center"/>
    </xf>
    <xf numFmtId="0" fontId="11" fillId="0" borderId="38" xfId="0" applyFont="1" applyBorder="1" applyAlignment="1">
      <alignment horizontal="center"/>
    </xf>
    <xf numFmtId="0" fontId="11" fillId="0" borderId="30" xfId="0" applyFont="1" applyBorder="1" applyAlignment="1">
      <alignment horizontal="center" vertical="center"/>
    </xf>
    <xf numFmtId="0" fontId="11" fillId="8" borderId="0" xfId="0" applyFont="1" applyFill="1" applyAlignment="1">
      <alignment horizontal="left"/>
    </xf>
    <xf numFmtId="0" fontId="11" fillId="0" borderId="47" xfId="0" applyFont="1" applyBorder="1"/>
    <xf numFmtId="0" fontId="11" fillId="0" borderId="48" xfId="0" applyFont="1" applyBorder="1"/>
    <xf numFmtId="0" fontId="11" fillId="0" borderId="49" xfId="0" applyFont="1" applyBorder="1"/>
    <xf numFmtId="0" fontId="11" fillId="0" borderId="51" xfId="0" applyFont="1" applyBorder="1" applyAlignment="1">
      <alignment horizontal="center"/>
    </xf>
    <xf numFmtId="0" fontId="11" fillId="3" borderId="50" xfId="0" applyFont="1" applyFill="1" applyBorder="1" applyAlignment="1">
      <alignment horizontal="center"/>
    </xf>
    <xf numFmtId="0" fontId="11" fillId="3" borderId="18" xfId="0" applyFont="1" applyFill="1" applyBorder="1" applyAlignment="1">
      <alignment horizontal="center"/>
    </xf>
    <xf numFmtId="0" fontId="11" fillId="3" borderId="51" xfId="0" applyFont="1" applyFill="1" applyBorder="1" applyAlignment="1">
      <alignment horizontal="center" vertical="center"/>
    </xf>
    <xf numFmtId="16" fontId="13" fillId="0" borderId="52" xfId="0" applyNumberFormat="1" applyFont="1" applyBorder="1" applyAlignment="1" applyProtection="1">
      <alignment horizontal="center"/>
      <protection locked="0"/>
    </xf>
    <xf numFmtId="16" fontId="13" fillId="0" borderId="53" xfId="0" applyNumberFormat="1" applyFont="1" applyBorder="1" applyAlignment="1" applyProtection="1">
      <alignment horizontal="center"/>
      <protection locked="0"/>
    </xf>
    <xf numFmtId="16" fontId="13" fillId="8" borderId="54" xfId="0" applyNumberFormat="1" applyFont="1" applyFill="1" applyBorder="1" applyAlignment="1" applyProtection="1">
      <alignment horizontal="center"/>
      <protection locked="0"/>
    </xf>
    <xf numFmtId="16" fontId="13" fillId="8" borderId="52" xfId="0" applyNumberFormat="1" applyFont="1" applyFill="1" applyBorder="1" applyAlignment="1" applyProtection="1">
      <alignment horizontal="center"/>
      <protection locked="0"/>
    </xf>
    <xf numFmtId="0" fontId="11" fillId="8" borderId="55" xfId="0" applyFont="1" applyFill="1" applyBorder="1" applyAlignment="1">
      <alignment horizontal="center" vertical="center"/>
    </xf>
    <xf numFmtId="16" fontId="13" fillId="0" borderId="30" xfId="0" applyNumberFormat="1" applyFont="1" applyBorder="1" applyAlignment="1" applyProtection="1">
      <alignment horizontal="center"/>
      <protection locked="0"/>
    </xf>
    <xf numFmtId="16" fontId="14" fillId="0" borderId="31" xfId="0" applyNumberFormat="1" applyFont="1" applyBorder="1" applyAlignment="1" applyProtection="1">
      <alignment horizontal="center"/>
      <protection locked="0"/>
    </xf>
    <xf numFmtId="16" fontId="14" fillId="0" borderId="32" xfId="0" applyNumberFormat="1" applyFont="1" applyBorder="1" applyAlignment="1" applyProtection="1">
      <alignment horizontal="center"/>
      <protection locked="0"/>
    </xf>
    <xf numFmtId="16" fontId="14" fillId="8" borderId="33" xfId="0" applyNumberFormat="1" applyFont="1" applyFill="1" applyBorder="1" applyAlignment="1" applyProtection="1">
      <alignment horizontal="center"/>
      <protection locked="0"/>
    </xf>
    <xf numFmtId="0" fontId="13" fillId="0" borderId="0" xfId="0" applyFont="1"/>
    <xf numFmtId="0" fontId="11" fillId="9" borderId="50" xfId="0" applyFont="1" applyFill="1" applyBorder="1" applyAlignment="1">
      <alignment horizontal="center" vertical="center"/>
    </xf>
    <xf numFmtId="0" fontId="11" fillId="9" borderId="25" xfId="0" applyFont="1" applyFill="1" applyBorder="1" applyAlignment="1">
      <alignment horizontal="center" vertical="center"/>
    </xf>
    <xf numFmtId="0" fontId="11" fillId="9" borderId="18" xfId="0" applyFont="1" applyFill="1" applyBorder="1" applyAlignment="1">
      <alignment horizontal="center" vertical="center"/>
    </xf>
    <xf numFmtId="0" fontId="11" fillId="10" borderId="27" xfId="0" applyFont="1" applyFill="1" applyBorder="1" applyAlignment="1">
      <alignment horizontal="center" vertical="center"/>
    </xf>
    <xf numFmtId="0" fontId="11" fillId="10" borderId="25" xfId="0" applyFont="1" applyFill="1" applyBorder="1" applyAlignment="1">
      <alignment horizontal="center" vertical="center"/>
    </xf>
    <xf numFmtId="0" fontId="11" fillId="10" borderId="17" xfId="0" applyFont="1" applyFill="1" applyBorder="1" applyAlignment="1">
      <alignment horizontal="center" vertical="center"/>
    </xf>
    <xf numFmtId="0" fontId="11" fillId="0" borderId="56" xfId="0" applyFont="1" applyBorder="1" applyAlignment="1">
      <alignment horizontal="center"/>
    </xf>
    <xf numFmtId="0" fontId="0" fillId="2" borderId="0" xfId="0" applyFill="1"/>
    <xf numFmtId="0" fontId="8" fillId="2" borderId="0" xfId="0" applyFont="1" applyFill="1"/>
    <xf numFmtId="1" fontId="15" fillId="2" borderId="0" xfId="0" applyNumberFormat="1" applyFont="1" applyFill="1" applyAlignment="1">
      <alignment horizontal="center" vertical="center"/>
    </xf>
    <xf numFmtId="0" fontId="0" fillId="0" borderId="35" xfId="0" applyBorder="1"/>
    <xf numFmtId="0" fontId="0" fillId="0" borderId="43" xfId="0" applyBorder="1"/>
    <xf numFmtId="0" fontId="0" fillId="0" borderId="57" xfId="0" applyBorder="1"/>
    <xf numFmtId="0" fontId="0" fillId="0" borderId="31" xfId="0" applyBorder="1"/>
    <xf numFmtId="0" fontId="8" fillId="0" borderId="35" xfId="0" applyFont="1" applyBorder="1" applyAlignment="1">
      <alignment horizontal="center" vertical="center"/>
    </xf>
    <xf numFmtId="0" fontId="8" fillId="0" borderId="35" xfId="0" applyFont="1" applyBorder="1"/>
    <xf numFmtId="0" fontId="8" fillId="0" borderId="37" xfId="0" applyFont="1" applyBorder="1" applyAlignment="1">
      <alignment horizontal="center"/>
    </xf>
    <xf numFmtId="0" fontId="8" fillId="0" borderId="43" xfId="0" applyFont="1" applyBorder="1"/>
    <xf numFmtId="0" fontId="8" fillId="0" borderId="44" xfId="0" applyFont="1" applyBorder="1" applyAlignment="1">
      <alignment horizontal="center"/>
    </xf>
    <xf numFmtId="0" fontId="8" fillId="15" borderId="35" xfId="0" applyFont="1" applyFill="1" applyBorder="1"/>
    <xf numFmtId="0" fontId="8" fillId="16" borderId="35" xfId="0" applyFont="1" applyFill="1" applyBorder="1"/>
    <xf numFmtId="0" fontId="8" fillId="17" borderId="35" xfId="0" applyFont="1" applyFill="1" applyBorder="1"/>
    <xf numFmtId="0" fontId="8" fillId="6" borderId="50" xfId="0" applyFont="1" applyFill="1" applyBorder="1" applyAlignment="1">
      <alignment horizontal="center"/>
    </xf>
    <xf numFmtId="0" fontId="8" fillId="6" borderId="25" xfId="0" applyFont="1" applyFill="1" applyBorder="1" applyAlignment="1">
      <alignment horizontal="center"/>
    </xf>
    <xf numFmtId="0" fontId="8" fillId="6" borderId="18" xfId="0" applyFont="1" applyFill="1" applyBorder="1" applyAlignment="1">
      <alignment horizontal="center"/>
    </xf>
    <xf numFmtId="0" fontId="8" fillId="6" borderId="28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13" xfId="0" applyFont="1" applyFill="1" applyBorder="1" applyAlignment="1">
      <alignment horizontal="center" vertical="center"/>
    </xf>
    <xf numFmtId="1" fontId="15" fillId="6" borderId="30" xfId="0" applyNumberFormat="1" applyFont="1" applyFill="1" applyBorder="1" applyAlignment="1">
      <alignment horizontal="center" vertical="center"/>
    </xf>
    <xf numFmtId="1" fontId="15" fillId="6" borderId="42" xfId="0" applyNumberFormat="1" applyFont="1" applyFill="1" applyBorder="1" applyAlignment="1">
      <alignment horizontal="center" vertical="center"/>
    </xf>
    <xf numFmtId="2" fontId="8" fillId="7" borderId="38" xfId="0" applyNumberFormat="1" applyFont="1" applyFill="1" applyBorder="1" applyAlignment="1">
      <alignment horizontal="center"/>
    </xf>
    <xf numFmtId="2" fontId="8" fillId="7" borderId="40" xfId="0" applyNumberFormat="1" applyFont="1" applyFill="1" applyBorder="1" applyAlignment="1">
      <alignment horizontal="center"/>
    </xf>
    <xf numFmtId="2" fontId="8" fillId="7" borderId="42" xfId="0" applyNumberFormat="1" applyFont="1" applyFill="1" applyBorder="1" applyAlignment="1">
      <alignment horizontal="center"/>
    </xf>
    <xf numFmtId="0" fontId="8" fillId="6" borderId="18" xfId="0" applyFont="1" applyFill="1" applyBorder="1" applyAlignment="1">
      <alignment horizontal="center" vertical="center"/>
    </xf>
    <xf numFmtId="0" fontId="11" fillId="2" borderId="0" xfId="0" applyFont="1" applyFill="1"/>
    <xf numFmtId="0" fontId="11" fillId="2" borderId="0" xfId="0" applyFont="1" applyFill="1" applyAlignment="1">
      <alignment horizontal="center" vertical="center"/>
    </xf>
    <xf numFmtId="49" fontId="11" fillId="2" borderId="0" xfId="0" applyNumberFormat="1" applyFont="1" applyFill="1" applyAlignment="1">
      <alignment horizontal="center" vertical="center"/>
    </xf>
    <xf numFmtId="0" fontId="11" fillId="2" borderId="19" xfId="0" applyFont="1" applyFill="1" applyBorder="1" applyAlignment="1">
      <alignment horizontal="center" vertical="center"/>
    </xf>
    <xf numFmtId="0" fontId="11" fillId="2" borderId="26" xfId="0" applyFont="1" applyFill="1" applyBorder="1"/>
    <xf numFmtId="0" fontId="0" fillId="2" borderId="0" xfId="0" applyFill="1" applyAlignment="1">
      <alignment horizontal="left" vertical="top"/>
    </xf>
    <xf numFmtId="0" fontId="0" fillId="2" borderId="0" xfId="0" applyFill="1" applyAlignment="1">
      <alignment horizontal="center" vertical="top"/>
    </xf>
    <xf numFmtId="0" fontId="0" fillId="2" borderId="0" xfId="0" quotePrefix="1" applyFill="1" applyAlignment="1">
      <alignment vertical="top"/>
    </xf>
    <xf numFmtId="0" fontId="0" fillId="2" borderId="0" xfId="0" applyFill="1" applyAlignment="1">
      <alignment vertical="top"/>
    </xf>
    <xf numFmtId="0" fontId="8" fillId="6" borderId="47" xfId="0" applyFont="1" applyFill="1" applyBorder="1" applyAlignment="1">
      <alignment horizontal="center" vertical="center"/>
    </xf>
    <xf numFmtId="0" fontId="8" fillId="0" borderId="58" xfId="0" applyFont="1" applyBorder="1" applyAlignment="1">
      <alignment horizontal="center"/>
    </xf>
    <xf numFmtId="2" fontId="8" fillId="7" borderId="30" xfId="0" applyNumberFormat="1" applyFont="1" applyFill="1" applyBorder="1" applyAlignment="1">
      <alignment horizontal="center"/>
    </xf>
    <xf numFmtId="0" fontId="8" fillId="14" borderId="31" xfId="0" applyFont="1" applyFill="1" applyBorder="1" applyAlignment="1">
      <alignment horizontal="left"/>
    </xf>
    <xf numFmtId="0" fontId="8" fillId="17" borderId="43" xfId="0" applyFont="1" applyFill="1" applyBorder="1"/>
    <xf numFmtId="0" fontId="8" fillId="18" borderId="43" xfId="0" applyFont="1" applyFill="1" applyBorder="1"/>
    <xf numFmtId="0" fontId="8" fillId="0" borderId="57" xfId="0" applyFont="1" applyBorder="1"/>
    <xf numFmtId="0" fontId="3" fillId="2" borderId="0" xfId="0" applyFont="1" applyFill="1"/>
    <xf numFmtId="0" fontId="3" fillId="2" borderId="0" xfId="0" applyFont="1" applyFill="1" applyAlignment="1">
      <alignment horizontal="center"/>
    </xf>
    <xf numFmtId="0" fontId="6" fillId="2" borderId="0" xfId="0" applyFont="1" applyFill="1"/>
    <xf numFmtId="0" fontId="4" fillId="2" borderId="0" xfId="0" applyFont="1" applyFill="1"/>
    <xf numFmtId="0" fontId="4" fillId="2" borderId="0" xfId="0" applyFont="1" applyFill="1" applyAlignment="1">
      <alignment horizontal="center"/>
    </xf>
    <xf numFmtId="0" fontId="0" fillId="5" borderId="44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19" borderId="9" xfId="0" applyFont="1" applyFill="1" applyBorder="1" applyAlignment="1">
      <alignment horizontal="center" vertical="center"/>
    </xf>
    <xf numFmtId="0" fontId="8" fillId="16" borderId="9" xfId="0" applyFont="1" applyFill="1" applyBorder="1" applyAlignment="1">
      <alignment horizontal="center" vertical="center"/>
    </xf>
    <xf numFmtId="0" fontId="8" fillId="14" borderId="9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0" fontId="8" fillId="20" borderId="37" xfId="0" applyFont="1" applyFill="1" applyBorder="1" applyAlignment="1">
      <alignment horizontal="center" vertical="center"/>
    </xf>
    <xf numFmtId="0" fontId="8" fillId="22" borderId="37" xfId="0" applyFont="1" applyFill="1" applyBorder="1" applyAlignment="1">
      <alignment horizontal="center" vertical="center"/>
    </xf>
    <xf numFmtId="0" fontId="8" fillId="23" borderId="37" xfId="0" applyFont="1" applyFill="1" applyBorder="1" applyAlignment="1">
      <alignment horizontal="center" vertical="center"/>
    </xf>
    <xf numFmtId="0" fontId="8" fillId="24" borderId="37" xfId="0" applyFont="1" applyFill="1" applyBorder="1" applyAlignment="1">
      <alignment horizontal="center" vertical="center"/>
    </xf>
    <xf numFmtId="0" fontId="8" fillId="25" borderId="37" xfId="0" applyFont="1" applyFill="1" applyBorder="1" applyAlignment="1">
      <alignment horizontal="center" vertical="center"/>
    </xf>
    <xf numFmtId="0" fontId="8" fillId="11" borderId="37" xfId="0" applyFont="1" applyFill="1" applyBorder="1" applyAlignment="1">
      <alignment horizontal="center" vertical="center"/>
    </xf>
    <xf numFmtId="0" fontId="8" fillId="26" borderId="37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 vertical="center"/>
    </xf>
    <xf numFmtId="0" fontId="8" fillId="0" borderId="44" xfId="0" applyFont="1" applyBorder="1" applyAlignment="1">
      <alignment horizontal="center" vertical="center"/>
    </xf>
    <xf numFmtId="0" fontId="8" fillId="19" borderId="30" xfId="0" applyFont="1" applyFill="1" applyBorder="1" applyAlignment="1">
      <alignment horizontal="center" vertical="center"/>
    </xf>
    <xf numFmtId="0" fontId="8" fillId="19" borderId="31" xfId="0" applyFont="1" applyFill="1" applyBorder="1" applyAlignment="1">
      <alignment horizontal="center" vertical="center"/>
    </xf>
    <xf numFmtId="0" fontId="8" fillId="21" borderId="32" xfId="0" applyFont="1" applyFill="1" applyBorder="1" applyAlignment="1">
      <alignment horizontal="center" vertical="center"/>
    </xf>
    <xf numFmtId="0" fontId="8" fillId="16" borderId="40" xfId="0" applyFont="1" applyFill="1" applyBorder="1" applyAlignment="1">
      <alignment horizontal="center" vertical="center"/>
    </xf>
    <xf numFmtId="0" fontId="8" fillId="16" borderId="35" xfId="0" applyFont="1" applyFill="1" applyBorder="1" applyAlignment="1">
      <alignment horizontal="center" vertical="center"/>
    </xf>
    <xf numFmtId="0" fontId="8" fillId="13" borderId="35" xfId="0" applyFont="1" applyFill="1" applyBorder="1" applyAlignment="1">
      <alignment horizontal="center" vertical="center"/>
    </xf>
    <xf numFmtId="0" fontId="8" fillId="14" borderId="40" xfId="0" applyFont="1" applyFill="1" applyBorder="1" applyAlignment="1">
      <alignment horizontal="center" vertical="center"/>
    </xf>
    <xf numFmtId="0" fontId="8" fillId="14" borderId="35" xfId="0" applyFont="1" applyFill="1" applyBorder="1" applyAlignment="1">
      <alignment horizontal="center" vertical="center"/>
    </xf>
    <xf numFmtId="0" fontId="8" fillId="11" borderId="35" xfId="0" applyFont="1" applyFill="1" applyBorder="1" applyAlignment="1">
      <alignment horizontal="center" vertical="center"/>
    </xf>
    <xf numFmtId="0" fontId="8" fillId="11" borderId="40" xfId="0" applyFont="1" applyFill="1" applyBorder="1" applyAlignment="1">
      <alignment horizontal="center" vertical="center"/>
    </xf>
    <xf numFmtId="0" fontId="8" fillId="26" borderId="35" xfId="0" applyFont="1" applyFill="1" applyBorder="1" applyAlignment="1">
      <alignment horizontal="center" vertical="center"/>
    </xf>
    <xf numFmtId="0" fontId="8" fillId="26" borderId="40" xfId="0" applyFont="1" applyFill="1" applyBorder="1" applyAlignment="1">
      <alignment horizontal="center" vertical="center"/>
    </xf>
    <xf numFmtId="0" fontId="8" fillId="12" borderId="35" xfId="0" applyFont="1" applyFill="1" applyBorder="1" applyAlignment="1">
      <alignment horizontal="center" vertical="center"/>
    </xf>
    <xf numFmtId="0" fontId="8" fillId="12" borderId="40" xfId="0" applyFont="1" applyFill="1" applyBorder="1" applyAlignment="1">
      <alignment horizontal="center" vertical="center"/>
    </xf>
    <xf numFmtId="0" fontId="8" fillId="0" borderId="40" xfId="0" applyFont="1" applyBorder="1" applyAlignment="1">
      <alignment horizontal="center" vertical="center"/>
    </xf>
    <xf numFmtId="0" fontId="8" fillId="12" borderId="37" xfId="0" applyFont="1" applyFill="1" applyBorder="1" applyAlignment="1">
      <alignment horizontal="center" vertical="center"/>
    </xf>
    <xf numFmtId="0" fontId="8" fillId="0" borderId="42" xfId="0" applyFont="1" applyBorder="1" applyAlignment="1">
      <alignment horizontal="center" vertical="center"/>
    </xf>
    <xf numFmtId="0" fontId="8" fillId="0" borderId="43" xfId="0" applyFont="1" applyBorder="1" applyAlignment="1">
      <alignment horizontal="center" vertical="center"/>
    </xf>
    <xf numFmtId="0" fontId="8" fillId="19" borderId="7" xfId="0" applyFont="1" applyFill="1" applyBorder="1" applyAlignment="1">
      <alignment horizontal="center" vertical="center"/>
    </xf>
    <xf numFmtId="0" fontId="8" fillId="14" borderId="11" xfId="0" applyFont="1" applyFill="1" applyBorder="1" applyAlignment="1">
      <alignment horizontal="center" vertical="center"/>
    </xf>
    <xf numFmtId="0" fontId="0" fillId="0" borderId="52" xfId="0" applyBorder="1"/>
    <xf numFmtId="0" fontId="8" fillId="0" borderId="53" xfId="0" applyFont="1" applyBorder="1" applyAlignment="1">
      <alignment horizontal="center" vertical="center"/>
    </xf>
    <xf numFmtId="0" fontId="8" fillId="11" borderId="58" xfId="0" applyFont="1" applyFill="1" applyBorder="1" applyAlignment="1">
      <alignment horizontal="center" vertical="center"/>
    </xf>
    <xf numFmtId="0" fontId="8" fillId="0" borderId="31" xfId="0" applyFont="1" applyBorder="1"/>
    <xf numFmtId="0" fontId="8" fillId="0" borderId="52" xfId="0" applyFont="1" applyBorder="1"/>
    <xf numFmtId="1" fontId="15" fillId="6" borderId="28" xfId="0" applyNumberFormat="1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/>
    </xf>
    <xf numFmtId="0" fontId="0" fillId="5" borderId="32" xfId="0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7" borderId="50" xfId="0" applyFont="1" applyFill="1" applyBorder="1" applyAlignment="1">
      <alignment horizontal="center"/>
    </xf>
    <xf numFmtId="0" fontId="11" fillId="7" borderId="18" xfId="0" applyFont="1" applyFill="1" applyBorder="1" applyAlignment="1">
      <alignment horizontal="center"/>
    </xf>
    <xf numFmtId="16" fontId="13" fillId="28" borderId="31" xfId="0" applyNumberFormat="1" applyFont="1" applyFill="1" applyBorder="1" applyAlignment="1" applyProtection="1">
      <alignment horizontal="center"/>
      <protection locked="0"/>
    </xf>
    <xf numFmtId="16" fontId="13" fillId="28" borderId="35" xfId="0" applyNumberFormat="1" applyFont="1" applyFill="1" applyBorder="1" applyAlignment="1" applyProtection="1">
      <alignment horizontal="center"/>
      <protection locked="0"/>
    </xf>
    <xf numFmtId="16" fontId="13" fillId="28" borderId="52" xfId="0" applyNumberFormat="1" applyFont="1" applyFill="1" applyBorder="1" applyAlignment="1" applyProtection="1">
      <alignment horizontal="center"/>
      <protection locked="0"/>
    </xf>
    <xf numFmtId="0" fontId="8" fillId="27" borderId="0" xfId="0" applyFont="1" applyFill="1"/>
    <xf numFmtId="0" fontId="9" fillId="0" borderId="40" xfId="2" applyFont="1" applyBorder="1"/>
    <xf numFmtId="16" fontId="10" fillId="0" borderId="37" xfId="0" applyNumberFormat="1" applyFont="1" applyBorder="1" applyAlignment="1" applyProtection="1">
      <alignment horizontal="center"/>
      <protection locked="0"/>
    </xf>
    <xf numFmtId="0" fontId="9" fillId="0" borderId="42" xfId="2" applyFont="1" applyBorder="1"/>
    <xf numFmtId="16" fontId="10" fillId="0" borderId="44" xfId="0" applyNumberFormat="1" applyFont="1" applyBorder="1" applyAlignment="1" applyProtection="1">
      <alignment horizontal="center"/>
      <protection locked="0"/>
    </xf>
    <xf numFmtId="0" fontId="11" fillId="29" borderId="25" xfId="0" applyFont="1" applyFill="1" applyBorder="1" applyAlignment="1">
      <alignment horizontal="center" vertical="center"/>
    </xf>
    <xf numFmtId="0" fontId="11" fillId="28" borderId="34" xfId="0" applyFont="1" applyFill="1" applyBorder="1" applyAlignment="1">
      <alignment horizontal="center" vertical="center"/>
    </xf>
    <xf numFmtId="0" fontId="11" fillId="28" borderId="39" xfId="0" applyFont="1" applyFill="1" applyBorder="1" applyAlignment="1">
      <alignment horizontal="center" vertical="center"/>
    </xf>
    <xf numFmtId="0" fontId="11" fillId="28" borderId="36" xfId="0" applyFont="1" applyFill="1" applyBorder="1" applyAlignment="1">
      <alignment horizontal="center" vertical="center"/>
    </xf>
    <xf numFmtId="0" fontId="11" fillId="29" borderId="17" xfId="0" applyFont="1" applyFill="1" applyBorder="1" applyAlignment="1">
      <alignment horizontal="center" vertical="center"/>
    </xf>
    <xf numFmtId="0" fontId="11" fillId="28" borderId="55" xfId="0" applyFont="1" applyFill="1" applyBorder="1" applyAlignment="1">
      <alignment horizontal="center" vertical="center"/>
    </xf>
    <xf numFmtId="0" fontId="11" fillId="0" borderId="38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9" fillId="0" borderId="38" xfId="2" applyFont="1" applyBorder="1"/>
    <xf numFmtId="16" fontId="9" fillId="0" borderId="58" xfId="0" applyNumberFormat="1" applyFont="1" applyBorder="1" applyAlignment="1" applyProtection="1">
      <alignment horizontal="center"/>
      <protection locked="0"/>
    </xf>
    <xf numFmtId="0" fontId="9" fillId="6" borderId="50" xfId="2" applyFont="1" applyFill="1" applyBorder="1"/>
    <xf numFmtId="16" fontId="13" fillId="28" borderId="33" xfId="0" applyNumberFormat="1" applyFont="1" applyFill="1" applyBorder="1" applyAlignment="1" applyProtection="1">
      <alignment horizontal="center"/>
      <protection locked="0"/>
    </xf>
    <xf numFmtId="16" fontId="13" fillId="28" borderId="41" xfId="0" applyNumberFormat="1" applyFont="1" applyFill="1" applyBorder="1" applyAlignment="1" applyProtection="1">
      <alignment horizontal="center"/>
      <protection locked="0"/>
    </xf>
    <xf numFmtId="0" fontId="11" fillId="29" borderId="27" xfId="0" applyFont="1" applyFill="1" applyBorder="1" applyAlignment="1">
      <alignment horizontal="center" vertical="center"/>
    </xf>
    <xf numFmtId="16" fontId="13" fillId="28" borderId="54" xfId="0" applyNumberFormat="1" applyFont="1" applyFill="1" applyBorder="1" applyAlignment="1" applyProtection="1">
      <alignment horizontal="center"/>
      <protection locked="0"/>
    </xf>
    <xf numFmtId="0" fontId="11" fillId="28" borderId="30" xfId="0" applyFont="1" applyFill="1" applyBorder="1" applyAlignment="1">
      <alignment horizontal="center" vertical="center"/>
    </xf>
    <xf numFmtId="16" fontId="13" fillId="28" borderId="32" xfId="0" applyNumberFormat="1" applyFont="1" applyFill="1" applyBorder="1" applyAlignment="1" applyProtection="1">
      <alignment horizontal="center"/>
      <protection locked="0"/>
    </xf>
    <xf numFmtId="0" fontId="11" fillId="28" borderId="38" xfId="0" applyFont="1" applyFill="1" applyBorder="1" applyAlignment="1">
      <alignment horizontal="center" vertical="center"/>
    </xf>
    <xf numFmtId="16" fontId="13" fillId="28" borderId="37" xfId="0" applyNumberFormat="1" applyFont="1" applyFill="1" applyBorder="1" applyAlignment="1" applyProtection="1">
      <alignment horizontal="center"/>
      <protection locked="0"/>
    </xf>
    <xf numFmtId="0" fontId="11" fillId="28" borderId="40" xfId="0" applyFont="1" applyFill="1" applyBorder="1" applyAlignment="1">
      <alignment horizontal="center" vertical="center"/>
    </xf>
    <xf numFmtId="0" fontId="11" fillId="29" borderId="50" xfId="0" applyFont="1" applyFill="1" applyBorder="1" applyAlignment="1">
      <alignment horizontal="center" vertical="center"/>
    </xf>
    <xf numFmtId="0" fontId="11" fillId="29" borderId="18" xfId="0" applyFont="1" applyFill="1" applyBorder="1" applyAlignment="1">
      <alignment horizontal="center" vertical="center"/>
    </xf>
    <xf numFmtId="0" fontId="11" fillId="28" borderId="51" xfId="0" applyFont="1" applyFill="1" applyBorder="1" applyAlignment="1">
      <alignment horizontal="center" vertical="center"/>
    </xf>
    <xf numFmtId="16" fontId="13" fillId="28" borderId="53" xfId="0" applyNumberFormat="1" applyFont="1" applyFill="1" applyBorder="1" applyAlignment="1" applyProtection="1">
      <alignment horizontal="center"/>
      <protection locked="0"/>
    </xf>
    <xf numFmtId="0" fontId="3" fillId="2" borderId="2" xfId="0" applyFont="1" applyFill="1" applyBorder="1" applyAlignment="1">
      <alignment horizontal="center"/>
    </xf>
    <xf numFmtId="1" fontId="11" fillId="0" borderId="38" xfId="0" applyNumberFormat="1" applyFont="1" applyBorder="1" applyAlignment="1">
      <alignment horizontal="center"/>
    </xf>
    <xf numFmtId="16" fontId="13" fillId="30" borderId="31" xfId="0" applyNumberFormat="1" applyFont="1" applyFill="1" applyBorder="1" applyAlignment="1" applyProtection="1">
      <alignment horizontal="center"/>
      <protection locked="0"/>
    </xf>
    <xf numFmtId="16" fontId="13" fillId="30" borderId="35" xfId="0" applyNumberFormat="1" applyFont="1" applyFill="1" applyBorder="1" applyAlignment="1" applyProtection="1">
      <alignment horizontal="center"/>
      <protection locked="0"/>
    </xf>
    <xf numFmtId="0" fontId="2" fillId="2" borderId="0" xfId="0" applyFont="1" applyFill="1"/>
    <xf numFmtId="0" fontId="8" fillId="5" borderId="32" xfId="0" applyFont="1" applyFill="1" applyBorder="1" applyAlignment="1">
      <alignment horizontal="center" vertical="center"/>
    </xf>
    <xf numFmtId="0" fontId="8" fillId="5" borderId="37" xfId="0" applyFont="1" applyFill="1" applyBorder="1" applyAlignment="1">
      <alignment horizontal="center"/>
    </xf>
    <xf numFmtId="0" fontId="8" fillId="5" borderId="44" xfId="0" applyFont="1" applyFill="1" applyBorder="1" applyAlignment="1">
      <alignment horizontal="center"/>
    </xf>
    <xf numFmtId="0" fontId="8" fillId="5" borderId="32" xfId="0" applyFont="1" applyFill="1" applyBorder="1" applyAlignment="1">
      <alignment horizontal="center"/>
    </xf>
    <xf numFmtId="0" fontId="8" fillId="6" borderId="4" xfId="0" applyFont="1" applyFill="1" applyBorder="1" applyAlignment="1">
      <alignment horizontal="center"/>
    </xf>
    <xf numFmtId="16" fontId="9" fillId="5" borderId="18" xfId="0" applyNumberFormat="1" applyFont="1" applyFill="1" applyBorder="1" applyAlignment="1" applyProtection="1">
      <alignment horizontal="center"/>
      <protection locked="0"/>
    </xf>
    <xf numFmtId="0" fontId="8" fillId="0" borderId="0" xfId="0" applyFont="1"/>
    <xf numFmtId="0" fontId="8" fillId="0" borderId="35" xfId="0" applyFont="1" applyBorder="1" applyAlignment="1">
      <alignment horizontal="center" vertical="top"/>
    </xf>
    <xf numFmtId="0" fontId="0" fillId="0" borderId="30" xfId="0" applyBorder="1"/>
    <xf numFmtId="0" fontId="0" fillId="0" borderId="32" xfId="0" applyBorder="1"/>
    <xf numFmtId="0" fontId="0" fillId="0" borderId="40" xfId="0" applyBorder="1"/>
    <xf numFmtId="0" fontId="0" fillId="0" borderId="37" xfId="0" applyBorder="1"/>
    <xf numFmtId="0" fontId="0" fillId="0" borderId="42" xfId="0" applyBorder="1"/>
    <xf numFmtId="0" fontId="0" fillId="0" borderId="44" xfId="0" applyBorder="1"/>
    <xf numFmtId="0" fontId="8" fillId="0" borderId="40" xfId="0" applyFont="1" applyBorder="1" applyAlignment="1">
      <alignment horizontal="center" vertical="top"/>
    </xf>
    <xf numFmtId="0" fontId="8" fillId="0" borderId="37" xfId="0" applyFont="1" applyBorder="1" applyAlignment="1">
      <alignment horizontal="center" vertical="top"/>
    </xf>
    <xf numFmtId="166" fontId="8" fillId="0" borderId="42" xfId="0" applyNumberFormat="1" applyFont="1" applyBorder="1" applyAlignment="1">
      <alignment horizontal="center" vertical="top"/>
    </xf>
    <xf numFmtId="166" fontId="8" fillId="0" borderId="43" xfId="0" applyNumberFormat="1" applyFont="1" applyBorder="1" applyAlignment="1">
      <alignment horizontal="center" vertical="top"/>
    </xf>
    <xf numFmtId="166" fontId="8" fillId="0" borderId="44" xfId="0" applyNumberFormat="1" applyFont="1" applyBorder="1" applyAlignment="1">
      <alignment horizontal="center" vertical="top"/>
    </xf>
    <xf numFmtId="0" fontId="8" fillId="0" borderId="36" xfId="0" applyFont="1" applyBorder="1" applyAlignment="1">
      <alignment horizontal="center" vertical="top"/>
    </xf>
    <xf numFmtId="166" fontId="8" fillId="0" borderId="46" xfId="0" applyNumberFormat="1" applyFont="1" applyBorder="1" applyAlignment="1">
      <alignment horizontal="center" vertical="top"/>
    </xf>
    <xf numFmtId="0" fontId="0" fillId="28" borderId="35" xfId="0" applyFill="1" applyBorder="1"/>
    <xf numFmtId="0" fontId="0" fillId="28" borderId="43" xfId="0" applyFill="1" applyBorder="1"/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30" xfId="0" applyBorder="1" applyAlignment="1">
      <alignment horizontal="left" vertical="center"/>
    </xf>
    <xf numFmtId="0" fontId="0" fillId="0" borderId="31" xfId="0" applyBorder="1" applyAlignment="1">
      <alignment horizontal="left" vertical="center"/>
    </xf>
    <xf numFmtId="0" fontId="0" fillId="0" borderId="32" xfId="0" applyBorder="1" applyAlignment="1">
      <alignment horizontal="left" vertical="center"/>
    </xf>
    <xf numFmtId="0" fontId="0" fillId="0" borderId="40" xfId="0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7" xfId="0" applyBorder="1" applyAlignment="1">
      <alignment horizontal="left" vertical="center"/>
    </xf>
    <xf numFmtId="0" fontId="0" fillId="28" borderId="35" xfId="0" applyFill="1" applyBorder="1" applyAlignment="1">
      <alignment horizontal="left" vertical="center"/>
    </xf>
    <xf numFmtId="0" fontId="0" fillId="0" borderId="42" xfId="0" applyBorder="1" applyAlignment="1">
      <alignment horizontal="left" vertical="center"/>
    </xf>
    <xf numFmtId="0" fontId="0" fillId="0" borderId="43" xfId="0" applyBorder="1" applyAlignment="1">
      <alignment horizontal="left" vertical="center"/>
    </xf>
    <xf numFmtId="0" fontId="0" fillId="28" borderId="43" xfId="0" applyFill="1" applyBorder="1" applyAlignment="1">
      <alignment horizontal="left" vertical="center"/>
    </xf>
    <xf numFmtId="0" fontId="0" fillId="0" borderId="44" xfId="0" applyBorder="1" applyAlignment="1">
      <alignment horizontal="left" vertical="center"/>
    </xf>
    <xf numFmtId="0" fontId="0" fillId="0" borderId="63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8" fillId="3" borderId="0" xfId="0" applyFont="1" applyFill="1"/>
    <xf numFmtId="0" fontId="0" fillId="3" borderId="0" xfId="0" applyFill="1"/>
    <xf numFmtId="0" fontId="8" fillId="3" borderId="0" xfId="0" applyFont="1" applyFill="1" applyAlignment="1">
      <alignment horizontal="center" vertical="top"/>
    </xf>
    <xf numFmtId="0" fontId="0" fillId="3" borderId="0" xfId="0" applyFill="1" applyAlignment="1">
      <alignment horizontal="center" vertical="center"/>
    </xf>
    <xf numFmtId="0" fontId="23" fillId="3" borderId="0" xfId="0" applyFont="1" applyFill="1" applyAlignment="1">
      <alignment horizontal="center" vertical="center"/>
    </xf>
    <xf numFmtId="0" fontId="23" fillId="3" borderId="0" xfId="0" applyFont="1" applyFill="1"/>
    <xf numFmtId="0" fontId="24" fillId="3" borderId="0" xfId="0" applyFont="1" applyFill="1"/>
    <xf numFmtId="0" fontId="0" fillId="3" borderId="59" xfId="0" applyFill="1" applyBorder="1"/>
    <xf numFmtId="0" fontId="11" fillId="2" borderId="0" xfId="0" applyFont="1" applyFill="1" applyAlignment="1">
      <alignment horizontal="center"/>
    </xf>
    <xf numFmtId="0" fontId="20" fillId="2" borderId="0" xfId="0" applyFont="1" applyFill="1"/>
    <xf numFmtId="0" fontId="20" fillId="2" borderId="0" xfId="0" applyFont="1" applyFill="1" applyAlignment="1">
      <alignment horizontal="center"/>
    </xf>
    <xf numFmtId="0" fontId="20" fillId="2" borderId="0" xfId="0" applyFont="1" applyFill="1" applyAlignment="1">
      <alignment horizontal="center" vertical="center"/>
    </xf>
    <xf numFmtId="16" fontId="20" fillId="3" borderId="29" xfId="0" applyNumberFormat="1" applyFont="1" applyFill="1" applyBorder="1" applyAlignment="1">
      <alignment horizontal="center" vertical="center"/>
    </xf>
    <xf numFmtId="16" fontId="20" fillId="3" borderId="20" xfId="0" applyNumberFormat="1" applyFont="1" applyFill="1" applyBorder="1" applyAlignment="1">
      <alignment horizontal="center" vertical="center"/>
    </xf>
    <xf numFmtId="16" fontId="20" fillId="3" borderId="12" xfId="0" applyNumberFormat="1" applyFont="1" applyFill="1" applyBorder="1" applyAlignment="1">
      <alignment horizontal="center" vertical="center"/>
    </xf>
    <xf numFmtId="16" fontId="20" fillId="3" borderId="11" xfId="0" applyNumberFormat="1" applyFont="1" applyFill="1" applyBorder="1" applyAlignment="1">
      <alignment horizontal="center" vertical="center"/>
    </xf>
    <xf numFmtId="16" fontId="20" fillId="8" borderId="29" xfId="0" applyNumberFormat="1" applyFont="1" applyFill="1" applyBorder="1" applyAlignment="1">
      <alignment horizontal="center" vertical="center"/>
    </xf>
    <xf numFmtId="16" fontId="20" fillId="8" borderId="20" xfId="0" applyNumberFormat="1" applyFont="1" applyFill="1" applyBorder="1" applyAlignment="1">
      <alignment horizontal="center" vertical="center"/>
    </xf>
    <xf numFmtId="16" fontId="20" fillId="8" borderId="12" xfId="0" applyNumberFormat="1" applyFont="1" applyFill="1" applyBorder="1" applyAlignment="1">
      <alignment horizontal="center" vertical="center"/>
    </xf>
    <xf numFmtId="16" fontId="20" fillId="8" borderId="11" xfId="0" applyNumberFormat="1" applyFont="1" applyFill="1" applyBorder="1" applyAlignment="1">
      <alignment horizontal="center" vertical="center"/>
    </xf>
    <xf numFmtId="16" fontId="20" fillId="3" borderId="15" xfId="0" applyNumberFormat="1" applyFont="1" applyFill="1" applyBorder="1" applyAlignment="1">
      <alignment horizontal="center" vertical="center"/>
    </xf>
    <xf numFmtId="16" fontId="20" fillId="8" borderId="1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top"/>
    </xf>
    <xf numFmtId="166" fontId="8" fillId="0" borderId="0" xfId="0" applyNumberFormat="1" applyFont="1" applyAlignment="1">
      <alignment horizontal="center" vertical="top"/>
    </xf>
    <xf numFmtId="0" fontId="24" fillId="0" borderId="0" xfId="0" applyFont="1"/>
    <xf numFmtId="0" fontId="0" fillId="0" borderId="0" xfId="0" applyAlignment="1">
      <alignment horizontal="center" vertical="center"/>
    </xf>
    <xf numFmtId="0" fontId="22" fillId="0" borderId="0" xfId="0" applyFont="1"/>
    <xf numFmtId="167" fontId="20" fillId="3" borderId="28" xfId="0" applyNumberFormat="1" applyFont="1" applyFill="1" applyBorder="1" applyAlignment="1">
      <alignment horizontal="center" vertical="center"/>
    </xf>
    <xf numFmtId="167" fontId="20" fillId="3" borderId="19" xfId="0" applyNumberFormat="1" applyFont="1" applyFill="1" applyBorder="1" applyAlignment="1">
      <alignment horizontal="center" vertical="center"/>
    </xf>
    <xf numFmtId="167" fontId="20" fillId="3" borderId="6" xfId="0" applyNumberFormat="1" applyFont="1" applyFill="1" applyBorder="1" applyAlignment="1">
      <alignment horizontal="center" vertical="center"/>
    </xf>
    <xf numFmtId="167" fontId="20" fillId="3" borderId="7" xfId="0" applyNumberFormat="1" applyFont="1" applyFill="1" applyBorder="1" applyAlignment="1">
      <alignment horizontal="center" vertical="center"/>
    </xf>
    <xf numFmtId="167" fontId="20" fillId="8" borderId="28" xfId="0" applyNumberFormat="1" applyFont="1" applyFill="1" applyBorder="1" applyAlignment="1">
      <alignment horizontal="center" vertical="center"/>
    </xf>
    <xf numFmtId="167" fontId="20" fillId="8" borderId="19" xfId="0" applyNumberFormat="1" applyFont="1" applyFill="1" applyBorder="1" applyAlignment="1">
      <alignment horizontal="center" vertical="center"/>
    </xf>
    <xf numFmtId="167" fontId="20" fillId="8" borderId="6" xfId="0" applyNumberFormat="1" applyFont="1" applyFill="1" applyBorder="1" applyAlignment="1">
      <alignment horizontal="center" vertical="center"/>
    </xf>
    <xf numFmtId="167" fontId="20" fillId="8" borderId="7" xfId="0" applyNumberFormat="1" applyFont="1" applyFill="1" applyBorder="1" applyAlignment="1">
      <alignment horizontal="center" vertical="center"/>
    </xf>
    <xf numFmtId="167" fontId="20" fillId="3" borderId="13" xfId="0" applyNumberFormat="1" applyFont="1" applyFill="1" applyBorder="1" applyAlignment="1">
      <alignment horizontal="center" vertical="center"/>
    </xf>
    <xf numFmtId="167" fontId="20" fillId="8" borderId="13" xfId="0" applyNumberFormat="1" applyFont="1" applyFill="1" applyBorder="1" applyAlignment="1">
      <alignment horizontal="center" vertical="center"/>
    </xf>
    <xf numFmtId="167" fontId="11" fillId="3" borderId="28" xfId="0" applyNumberFormat="1" applyFont="1" applyFill="1" applyBorder="1" applyAlignment="1">
      <alignment horizontal="center" vertical="center"/>
    </xf>
    <xf numFmtId="167" fontId="11" fillId="3" borderId="19" xfId="0" applyNumberFormat="1" applyFont="1" applyFill="1" applyBorder="1" applyAlignment="1">
      <alignment horizontal="center" vertical="center"/>
    </xf>
    <xf numFmtId="167" fontId="11" fillId="3" borderId="6" xfId="0" applyNumberFormat="1" applyFont="1" applyFill="1" applyBorder="1" applyAlignment="1">
      <alignment horizontal="center" vertical="center"/>
    </xf>
    <xf numFmtId="167" fontId="11" fillId="3" borderId="7" xfId="0" applyNumberFormat="1" applyFont="1" applyFill="1" applyBorder="1" applyAlignment="1">
      <alignment horizontal="center" vertical="center"/>
    </xf>
    <xf numFmtId="167" fontId="11" fillId="8" borderId="28" xfId="0" applyNumberFormat="1" applyFont="1" applyFill="1" applyBorder="1" applyAlignment="1">
      <alignment horizontal="center" vertical="center"/>
    </xf>
    <xf numFmtId="167" fontId="11" fillId="8" borderId="19" xfId="0" applyNumberFormat="1" applyFont="1" applyFill="1" applyBorder="1" applyAlignment="1">
      <alignment horizontal="center" vertical="center"/>
    </xf>
    <xf numFmtId="167" fontId="11" fillId="8" borderId="6" xfId="0" applyNumberFormat="1" applyFont="1" applyFill="1" applyBorder="1" applyAlignment="1">
      <alignment horizontal="center" vertical="center"/>
    </xf>
    <xf numFmtId="167" fontId="11" fillId="8" borderId="7" xfId="0" applyNumberFormat="1" applyFont="1" applyFill="1" applyBorder="1" applyAlignment="1">
      <alignment horizontal="center" vertical="center"/>
    </xf>
    <xf numFmtId="167" fontId="11" fillId="3" borderId="13" xfId="0" applyNumberFormat="1" applyFont="1" applyFill="1" applyBorder="1" applyAlignment="1">
      <alignment horizontal="center" vertical="center"/>
    </xf>
    <xf numFmtId="167" fontId="11" fillId="8" borderId="13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5" borderId="8" xfId="0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5" borderId="10" xfId="0" applyFont="1" applyFill="1" applyBorder="1" applyAlignment="1">
      <alignment horizontal="center" vertical="center"/>
    </xf>
    <xf numFmtId="0" fontId="25" fillId="2" borderId="0" xfId="0" applyFont="1" applyFill="1" applyAlignment="1">
      <alignment horizontal="center" vertical="center"/>
    </xf>
    <xf numFmtId="0" fontId="11" fillId="14" borderId="32" xfId="0" applyFont="1" applyFill="1" applyBorder="1" applyAlignment="1">
      <alignment horizontal="center"/>
    </xf>
    <xf numFmtId="0" fontId="11" fillId="15" borderId="37" xfId="0" applyFont="1" applyFill="1" applyBorder="1" applyAlignment="1">
      <alignment horizontal="center"/>
    </xf>
    <xf numFmtId="0" fontId="14" fillId="32" borderId="37" xfId="0" applyFont="1" applyFill="1" applyBorder="1" applyAlignment="1">
      <alignment horizontal="center"/>
    </xf>
    <xf numFmtId="0" fontId="14" fillId="33" borderId="37" xfId="0" applyFont="1" applyFill="1" applyBorder="1" applyAlignment="1">
      <alignment horizontal="center"/>
    </xf>
    <xf numFmtId="0" fontId="11" fillId="34" borderId="37" xfId="0" applyFont="1" applyFill="1" applyBorder="1" applyAlignment="1">
      <alignment horizontal="center"/>
    </xf>
    <xf numFmtId="0" fontId="14" fillId="35" borderId="37" xfId="0" applyFont="1" applyFill="1" applyBorder="1" applyAlignment="1">
      <alignment horizontal="center"/>
    </xf>
    <xf numFmtId="0" fontId="11" fillId="36" borderId="37" xfId="0" applyFont="1" applyFill="1" applyBorder="1" applyAlignment="1">
      <alignment horizontal="center"/>
    </xf>
    <xf numFmtId="0" fontId="11" fillId="23" borderId="37" xfId="0" applyFont="1" applyFill="1" applyBorder="1" applyAlignment="1">
      <alignment horizontal="center"/>
    </xf>
    <xf numFmtId="0" fontId="14" fillId="25" borderId="37" xfId="0" applyFont="1" applyFill="1" applyBorder="1" applyAlignment="1">
      <alignment horizontal="center"/>
    </xf>
    <xf numFmtId="0" fontId="14" fillId="39" borderId="44" xfId="0" quotePrefix="1" applyFont="1" applyFill="1" applyBorder="1" applyAlignment="1">
      <alignment horizont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0" fontId="11" fillId="2" borderId="0" xfId="0" applyFont="1" applyFill="1" applyAlignment="1">
      <alignment horizontal="center" shrinkToFit="1"/>
    </xf>
    <xf numFmtId="0" fontId="12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 wrapText="1"/>
    </xf>
    <xf numFmtId="0" fontId="14" fillId="2" borderId="37" xfId="0" quotePrefix="1" applyFont="1" applyFill="1" applyBorder="1" applyAlignment="1">
      <alignment horizontal="center"/>
    </xf>
    <xf numFmtId="0" fontId="14" fillId="6" borderId="65" xfId="0" applyFont="1" applyFill="1" applyBorder="1" applyAlignment="1">
      <alignment horizontal="center" wrapText="1" shrinkToFit="1"/>
    </xf>
    <xf numFmtId="0" fontId="14" fillId="6" borderId="4" xfId="0" applyFont="1" applyFill="1" applyBorder="1" applyAlignment="1">
      <alignment horizontal="center" wrapText="1" shrinkToFit="1"/>
    </xf>
    <xf numFmtId="0" fontId="14" fillId="6" borderId="19" xfId="0" applyFont="1" applyFill="1" applyBorder="1" applyAlignment="1">
      <alignment horizontal="center" wrapText="1" shrinkToFit="1"/>
    </xf>
    <xf numFmtId="0" fontId="14" fillId="6" borderId="7" xfId="0" applyFont="1" applyFill="1" applyBorder="1" applyAlignment="1">
      <alignment horizontal="center" wrapText="1" shrinkToFit="1"/>
    </xf>
    <xf numFmtId="0" fontId="11" fillId="28" borderId="35" xfId="0" applyFont="1" applyFill="1" applyBorder="1" applyAlignment="1">
      <alignment horizontal="center" vertical="center"/>
    </xf>
    <xf numFmtId="0" fontId="11" fillId="28" borderId="43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1" fillId="14" borderId="30" xfId="0" applyFont="1" applyFill="1" applyBorder="1" applyAlignment="1">
      <alignment horizontal="center" vertical="center"/>
    </xf>
    <xf numFmtId="0" fontId="11" fillId="36" borderId="40" xfId="0" applyFont="1" applyFill="1" applyBorder="1" applyAlignment="1">
      <alignment horizontal="center" vertical="center"/>
    </xf>
    <xf numFmtId="0" fontId="14" fillId="32" borderId="40" xfId="0" applyFont="1" applyFill="1" applyBorder="1" applyAlignment="1">
      <alignment horizontal="center" vertical="center"/>
    </xf>
    <xf numFmtId="0" fontId="14" fillId="33" borderId="40" xfId="0" applyFont="1" applyFill="1" applyBorder="1" applyAlignment="1">
      <alignment horizontal="center" vertical="center"/>
    </xf>
    <xf numFmtId="0" fontId="11" fillId="34" borderId="40" xfId="0" applyFont="1" applyFill="1" applyBorder="1" applyAlignment="1">
      <alignment horizontal="center" vertical="center"/>
    </xf>
    <xf numFmtId="0" fontId="14" fillId="35" borderId="40" xfId="0" applyFont="1" applyFill="1" applyBorder="1" applyAlignment="1">
      <alignment horizontal="center" vertical="center"/>
    </xf>
    <xf numFmtId="0" fontId="11" fillId="15" borderId="40" xfId="0" applyFont="1" applyFill="1" applyBorder="1" applyAlignment="1">
      <alignment horizontal="center" vertical="center"/>
    </xf>
    <xf numFmtId="0" fontId="11" fillId="23" borderId="40" xfId="0" applyFont="1" applyFill="1" applyBorder="1" applyAlignment="1">
      <alignment horizontal="center" vertical="center"/>
    </xf>
    <xf numFmtId="0" fontId="14" fillId="25" borderId="40" xfId="0" applyFont="1" applyFill="1" applyBorder="1" applyAlignment="1">
      <alignment horizontal="center" vertical="center"/>
    </xf>
    <xf numFmtId="0" fontId="14" fillId="2" borderId="40" xfId="0" quotePrefix="1" applyFont="1" applyFill="1" applyBorder="1" applyAlignment="1">
      <alignment horizontal="center" vertical="center"/>
    </xf>
    <xf numFmtId="0" fontId="14" fillId="39" borderId="42" xfId="0" quotePrefix="1" applyFont="1" applyFill="1" applyBorder="1" applyAlignment="1">
      <alignment horizontal="center" vertical="center"/>
    </xf>
    <xf numFmtId="0" fontId="4" fillId="11" borderId="0" xfId="0" applyFont="1" applyFill="1"/>
    <xf numFmtId="0" fontId="4" fillId="11" borderId="2" xfId="0" applyFont="1" applyFill="1" applyBorder="1" applyAlignment="1">
      <alignment horizontal="center"/>
    </xf>
    <xf numFmtId="0" fontId="4" fillId="11" borderId="1" xfId="0" applyFont="1" applyFill="1" applyBorder="1" applyAlignment="1">
      <alignment horizontal="center"/>
    </xf>
    <xf numFmtId="0" fontId="4" fillId="11" borderId="3" xfId="0" applyFont="1" applyFill="1" applyBorder="1" applyAlignment="1">
      <alignment horizontal="center"/>
    </xf>
    <xf numFmtId="0" fontId="28" fillId="11" borderId="1" xfId="0" applyFont="1" applyFill="1" applyBorder="1" applyAlignment="1">
      <alignment horizontal="center"/>
    </xf>
    <xf numFmtId="0" fontId="4" fillId="11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3" fillId="0" borderId="0" xfId="0" applyFont="1"/>
    <xf numFmtId="9" fontId="29" fillId="0" borderId="1" xfId="0" applyNumberFormat="1" applyFont="1" applyBorder="1" applyAlignment="1">
      <alignment horizontal="center"/>
    </xf>
    <xf numFmtId="9" fontId="3" fillId="2" borderId="0" xfId="0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30" fillId="0" borderId="0" xfId="0" applyFont="1"/>
    <xf numFmtId="1" fontId="3" fillId="2" borderId="2" xfId="0" applyNumberFormat="1" applyFont="1" applyFill="1" applyBorder="1" applyAlignment="1">
      <alignment horizontal="center"/>
    </xf>
    <xf numFmtId="1" fontId="3" fillId="2" borderId="1" xfId="0" applyNumberFormat="1" applyFont="1" applyFill="1" applyBorder="1" applyAlignment="1">
      <alignment horizontal="center"/>
    </xf>
    <xf numFmtId="1" fontId="29" fillId="2" borderId="1" xfId="0" applyNumberFormat="1" applyFont="1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9" fontId="6" fillId="2" borderId="0" xfId="1" applyFont="1" applyFill="1" applyBorder="1" applyAlignment="1">
      <alignment horizontal="center"/>
    </xf>
    <xf numFmtId="0" fontId="4" fillId="0" borderId="0" xfId="0" applyFont="1"/>
    <xf numFmtId="0" fontId="6" fillId="0" borderId="0" xfId="0" applyFont="1"/>
    <xf numFmtId="0" fontId="29" fillId="2" borderId="2" xfId="0" applyFont="1" applyFill="1" applyBorder="1" applyAlignment="1">
      <alignment horizontal="center"/>
    </xf>
    <xf numFmtId="0" fontId="29" fillId="2" borderId="1" xfId="0" applyFont="1" applyFill="1" applyBorder="1" applyAlignment="1">
      <alignment horizontal="center"/>
    </xf>
    <xf numFmtId="0" fontId="29" fillId="0" borderId="2" xfId="0" applyFont="1" applyBorder="1" applyAlignment="1">
      <alignment horizontal="center"/>
    </xf>
    <xf numFmtId="1" fontId="5" fillId="0" borderId="0" xfId="0" applyNumberFormat="1" applyFont="1"/>
    <xf numFmtId="0" fontId="17" fillId="0" borderId="0" xfId="0" applyFont="1" applyAlignment="1">
      <alignment horizontal="center"/>
    </xf>
    <xf numFmtId="0" fontId="3" fillId="31" borderId="0" xfId="0" applyFont="1" applyFill="1"/>
    <xf numFmtId="0" fontId="31" fillId="0" borderId="0" xfId="0" applyFont="1" applyAlignment="1">
      <alignment horizontal="center"/>
    </xf>
    <xf numFmtId="0" fontId="31" fillId="2" borderId="2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31" fillId="0" borderId="2" xfId="0" applyFont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28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29" fillId="0" borderId="1" xfId="0" applyFont="1" applyBorder="1" applyAlignment="1">
      <alignment horizontal="center"/>
    </xf>
    <xf numFmtId="0" fontId="31" fillId="0" borderId="1" xfId="0" applyFont="1" applyBorder="1" applyAlignment="1">
      <alignment horizontal="center"/>
    </xf>
    <xf numFmtId="1" fontId="4" fillId="11" borderId="2" xfId="1" applyNumberFormat="1" applyFont="1" applyFill="1" applyBorder="1" applyAlignment="1">
      <alignment horizontal="center"/>
    </xf>
    <xf numFmtId="1" fontId="4" fillId="11" borderId="1" xfId="1" applyNumberFormat="1" applyFont="1" applyFill="1" applyBorder="1" applyAlignment="1">
      <alignment horizontal="center"/>
    </xf>
    <xf numFmtId="1" fontId="28" fillId="11" borderId="1" xfId="1" applyNumberFormat="1" applyFont="1" applyFill="1" applyBorder="1" applyAlignment="1">
      <alignment horizontal="center"/>
    </xf>
    <xf numFmtId="1" fontId="4" fillId="2" borderId="0" xfId="1" applyNumberFormat="1" applyFont="1" applyFill="1" applyBorder="1" applyAlignment="1">
      <alignment horizontal="center"/>
    </xf>
    <xf numFmtId="1" fontId="3" fillId="0" borderId="2" xfId="1" applyNumberFormat="1" applyFont="1" applyBorder="1" applyAlignment="1">
      <alignment horizontal="center"/>
    </xf>
    <xf numFmtId="1" fontId="29" fillId="0" borderId="1" xfId="1" applyNumberFormat="1" applyFont="1" applyBorder="1" applyAlignment="1">
      <alignment horizontal="center"/>
    </xf>
    <xf numFmtId="1" fontId="3" fillId="0" borderId="0" xfId="1" applyNumberFormat="1" applyFont="1" applyBorder="1" applyAlignment="1">
      <alignment horizontal="center"/>
    </xf>
    <xf numFmtId="1" fontId="5" fillId="0" borderId="0" xfId="1" applyNumberFormat="1" applyFont="1" applyBorder="1" applyAlignment="1">
      <alignment horizontal="center"/>
    </xf>
    <xf numFmtId="1" fontId="4" fillId="11" borderId="2" xfId="0" applyNumberFormat="1" applyFont="1" applyFill="1" applyBorder="1" applyAlignment="1">
      <alignment horizontal="center"/>
    </xf>
    <xf numFmtId="1" fontId="4" fillId="11" borderId="1" xfId="0" applyNumberFormat="1" applyFont="1" applyFill="1" applyBorder="1" applyAlignment="1">
      <alignment horizontal="center"/>
    </xf>
    <xf numFmtId="1" fontId="28" fillId="11" borderId="1" xfId="0" applyNumberFormat="1" applyFont="1" applyFill="1" applyBorder="1" applyAlignment="1">
      <alignment horizontal="center"/>
    </xf>
    <xf numFmtId="1" fontId="4" fillId="0" borderId="0" xfId="0" applyNumberFormat="1" applyFont="1" applyAlignment="1">
      <alignment horizontal="center"/>
    </xf>
    <xf numFmtId="1" fontId="6" fillId="0" borderId="0" xfId="0" applyNumberFormat="1" applyFont="1" applyAlignment="1">
      <alignment horizontal="center"/>
    </xf>
    <xf numFmtId="0" fontId="29" fillId="0" borderId="0" xfId="0" applyFont="1" applyAlignment="1">
      <alignment horizontal="center"/>
    </xf>
    <xf numFmtId="49" fontId="20" fillId="2" borderId="0" xfId="0" applyNumberFormat="1" applyFont="1" applyFill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20" fillId="8" borderId="4" xfId="0" applyFont="1" applyFill="1" applyBorder="1" applyAlignment="1">
      <alignment horizontal="left"/>
    </xf>
    <xf numFmtId="0" fontId="20" fillId="8" borderId="8" xfId="0" applyFont="1" applyFill="1" applyBorder="1" applyAlignment="1">
      <alignment horizontal="left"/>
    </xf>
    <xf numFmtId="0" fontId="20" fillId="8" borderId="10" xfId="0" applyFont="1" applyFill="1" applyBorder="1" applyAlignment="1">
      <alignment horizontal="left"/>
    </xf>
    <xf numFmtId="0" fontId="3" fillId="19" borderId="0" xfId="0" applyFont="1" applyFill="1"/>
    <xf numFmtId="0" fontId="3" fillId="16" borderId="0" xfId="0" applyFont="1" applyFill="1"/>
    <xf numFmtId="0" fontId="3" fillId="14" borderId="0" xfId="0" applyFont="1" applyFill="1"/>
    <xf numFmtId="0" fontId="3" fillId="13" borderId="0" xfId="0" applyFont="1" applyFill="1"/>
    <xf numFmtId="0" fontId="3" fillId="21" borderId="0" xfId="0" applyFont="1" applyFill="1"/>
    <xf numFmtId="0" fontId="3" fillId="20" borderId="0" xfId="0" applyFont="1" applyFill="1"/>
    <xf numFmtId="0" fontId="3" fillId="22" borderId="0" xfId="0" applyFont="1" applyFill="1"/>
    <xf numFmtId="0" fontId="3" fillId="23" borderId="0" xfId="0" applyFont="1" applyFill="1"/>
    <xf numFmtId="0" fontId="3" fillId="24" borderId="0" xfId="0" applyFont="1" applyFill="1"/>
    <xf numFmtId="0" fontId="3" fillId="25" borderId="0" xfId="0" applyFont="1" applyFill="1"/>
    <xf numFmtId="0" fontId="1" fillId="2" borderId="0" xfId="0" applyFont="1" applyFill="1"/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35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5" borderId="42" xfId="0" applyFont="1" applyFill="1" applyBorder="1" applyAlignment="1">
      <alignment horizontal="center" vertical="center"/>
    </xf>
    <xf numFmtId="0" fontId="1" fillId="5" borderId="43" xfId="0" applyFont="1" applyFill="1" applyBorder="1" applyAlignment="1">
      <alignment horizontal="center" vertical="center"/>
    </xf>
    <xf numFmtId="0" fontId="1" fillId="5" borderId="4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left"/>
    </xf>
    <xf numFmtId="0" fontId="11" fillId="8" borderId="8" xfId="0" applyFont="1" applyFill="1" applyBorder="1" applyAlignment="1">
      <alignment horizontal="left"/>
    </xf>
    <xf numFmtId="0" fontId="11" fillId="8" borderId="0" xfId="0" applyFont="1" applyFill="1" applyAlignment="1">
      <alignment horizontal="left"/>
    </xf>
    <xf numFmtId="0" fontId="11" fillId="8" borderId="9" xfId="0" applyFont="1" applyFill="1" applyBorder="1" applyAlignment="1">
      <alignment horizontal="left"/>
    </xf>
    <xf numFmtId="0" fontId="11" fillId="8" borderId="10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0" fontId="11" fillId="8" borderId="11" xfId="0" applyFont="1" applyFill="1" applyBorder="1" applyAlignment="1">
      <alignment horizontal="left"/>
    </xf>
    <xf numFmtId="0" fontId="11" fillId="18" borderId="16" xfId="0" applyFont="1" applyFill="1" applyBorder="1" applyAlignment="1">
      <alignment horizontal="left"/>
    </xf>
    <xf numFmtId="0" fontId="11" fillId="0" borderId="26" xfId="0" applyFont="1" applyBorder="1" applyAlignment="1">
      <alignment horizontal="left"/>
    </xf>
    <xf numFmtId="0" fontId="11" fillId="0" borderId="24" xfId="0" applyFont="1" applyBorder="1" applyAlignment="1">
      <alignment horizontal="left"/>
    </xf>
    <xf numFmtId="0" fontId="11" fillId="2" borderId="0" xfId="0" applyFont="1" applyFill="1" applyAlignment="1">
      <alignment horizontal="left"/>
    </xf>
    <xf numFmtId="0" fontId="11" fillId="8" borderId="4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11" fillId="16" borderId="16" xfId="0" applyFont="1" applyFill="1" applyBorder="1" applyAlignment="1">
      <alignment horizontal="left"/>
    </xf>
    <xf numFmtId="0" fontId="11" fillId="17" borderId="16" xfId="0" applyFont="1" applyFill="1" applyBorder="1" applyAlignment="1">
      <alignment horizontal="left"/>
    </xf>
    <xf numFmtId="0" fontId="11" fillId="15" borderId="16" xfId="0" applyFont="1" applyFill="1" applyBorder="1" applyAlignment="1">
      <alignment horizontal="left"/>
    </xf>
    <xf numFmtId="0" fontId="11" fillId="6" borderId="16" xfId="0" applyFont="1" applyFill="1" applyBorder="1" applyAlignment="1">
      <alignment horizontal="center" vertical="center"/>
    </xf>
    <xf numFmtId="0" fontId="11" fillId="6" borderId="26" xfId="0" applyFont="1" applyFill="1" applyBorder="1" applyAlignment="1">
      <alignment horizontal="center" vertical="center"/>
    </xf>
    <xf numFmtId="0" fontId="11" fillId="6" borderId="24" xfId="0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0" fontId="12" fillId="7" borderId="19" xfId="0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/>
    </xf>
    <xf numFmtId="0" fontId="12" fillId="7" borderId="8" xfId="0" applyFont="1" applyFill="1" applyBorder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12" fillId="7" borderId="9" xfId="0" applyFont="1" applyFill="1" applyBorder="1" applyAlignment="1">
      <alignment horizontal="center" vertical="center"/>
    </xf>
    <xf numFmtId="0" fontId="12" fillId="7" borderId="10" xfId="0" applyFont="1" applyFill="1" applyBorder="1" applyAlignment="1">
      <alignment horizontal="center" vertical="center"/>
    </xf>
    <xf numFmtId="0" fontId="12" fillId="7" borderId="20" xfId="0" applyFont="1" applyFill="1" applyBorder="1" applyAlignment="1">
      <alignment horizontal="center" vertical="center"/>
    </xf>
    <xf numFmtId="0" fontId="12" fillId="7" borderId="11" xfId="0" applyFont="1" applyFill="1" applyBorder="1" applyAlignment="1">
      <alignment horizontal="center" vertical="center"/>
    </xf>
    <xf numFmtId="0" fontId="11" fillId="14" borderId="16" xfId="0" applyFont="1" applyFill="1" applyBorder="1" applyAlignment="1">
      <alignment horizontal="left"/>
    </xf>
    <xf numFmtId="0" fontId="11" fillId="2" borderId="0" xfId="0" applyFont="1" applyFill="1" applyAlignment="1">
      <alignment horizontal="center"/>
    </xf>
    <xf numFmtId="49" fontId="11" fillId="2" borderId="19" xfId="0" applyNumberFormat="1" applyFont="1" applyFill="1" applyBorder="1" applyAlignment="1">
      <alignment horizontal="center" vertical="center"/>
    </xf>
    <xf numFmtId="0" fontId="8" fillId="7" borderId="30" xfId="0" applyFont="1" applyFill="1" applyBorder="1" applyAlignment="1">
      <alignment horizontal="center" vertical="center"/>
    </xf>
    <xf numFmtId="0" fontId="8" fillId="7" borderId="42" xfId="0" applyFont="1" applyFill="1" applyBorder="1" applyAlignment="1">
      <alignment horizontal="center" vertical="center"/>
    </xf>
    <xf numFmtId="0" fontId="8" fillId="7" borderId="38" xfId="0" applyFont="1" applyFill="1" applyBorder="1" applyAlignment="1">
      <alignment horizontal="center" vertical="center"/>
    </xf>
    <xf numFmtId="0" fontId="8" fillId="7" borderId="51" xfId="0" applyFon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49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3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5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5" borderId="14" xfId="0" applyFill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1" fontId="15" fillId="7" borderId="30" xfId="0" applyNumberFormat="1" applyFont="1" applyFill="1" applyBorder="1" applyAlignment="1">
      <alignment horizontal="center" vertical="center"/>
    </xf>
    <xf numFmtId="1" fontId="15" fillId="7" borderId="40" xfId="0" applyNumberFormat="1" applyFont="1" applyFill="1" applyBorder="1" applyAlignment="1">
      <alignment horizontal="center" vertical="center"/>
    </xf>
    <xf numFmtId="1" fontId="15" fillId="7" borderId="42" xfId="0" applyNumberFormat="1" applyFont="1" applyFill="1" applyBorder="1" applyAlignment="1">
      <alignment horizontal="center" vertical="center"/>
    </xf>
    <xf numFmtId="1" fontId="15" fillId="7" borderId="38" xfId="0" applyNumberFormat="1" applyFont="1" applyFill="1" applyBorder="1" applyAlignment="1">
      <alignment horizontal="center" vertical="center"/>
    </xf>
    <xf numFmtId="1" fontId="8" fillId="7" borderId="30" xfId="0" applyNumberFormat="1" applyFont="1" applyFill="1" applyBorder="1" applyAlignment="1">
      <alignment horizontal="center" vertical="center"/>
    </xf>
    <xf numFmtId="1" fontId="8" fillId="7" borderId="40" xfId="0" applyNumberFormat="1" applyFont="1" applyFill="1" applyBorder="1" applyAlignment="1">
      <alignment horizontal="center" vertical="center"/>
    </xf>
    <xf numFmtId="1" fontId="8" fillId="7" borderId="42" xfId="0" applyNumberFormat="1" applyFont="1" applyFill="1" applyBorder="1" applyAlignment="1">
      <alignment horizontal="center" vertical="center"/>
    </xf>
    <xf numFmtId="1" fontId="8" fillId="7" borderId="38" xfId="0" applyNumberFormat="1" applyFont="1" applyFill="1" applyBorder="1" applyAlignment="1">
      <alignment horizontal="center" vertical="center"/>
    </xf>
    <xf numFmtId="1" fontId="8" fillId="7" borderId="51" xfId="0" applyNumberFormat="1" applyFont="1" applyFill="1" applyBorder="1" applyAlignment="1">
      <alignment horizontal="center" vertical="center"/>
    </xf>
    <xf numFmtId="1" fontId="15" fillId="7" borderId="51" xfId="0" applyNumberFormat="1" applyFont="1" applyFill="1" applyBorder="1" applyAlignment="1">
      <alignment horizontal="center" vertical="center"/>
    </xf>
    <xf numFmtId="0" fontId="8" fillId="6" borderId="4" xfId="0" applyFont="1" applyFill="1" applyBorder="1" applyAlignment="1">
      <alignment horizontal="center"/>
    </xf>
    <xf numFmtId="0" fontId="8" fillId="6" borderId="19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21" fillId="2" borderId="31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 vertical="center"/>
    </xf>
    <xf numFmtId="0" fontId="21" fillId="2" borderId="43" xfId="0" applyFont="1" applyFill="1" applyBorder="1" applyAlignment="1">
      <alignment horizontal="center" vertical="center"/>
    </xf>
    <xf numFmtId="0" fontId="21" fillId="2" borderId="44" xfId="0" applyFont="1" applyFill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0" fillId="0" borderId="22" xfId="0" applyBorder="1"/>
    <xf numFmtId="0" fontId="0" fillId="0" borderId="23" xfId="0" applyBorder="1"/>
    <xf numFmtId="0" fontId="26" fillId="43" borderId="65" xfId="0" applyFont="1" applyFill="1" applyBorder="1" applyAlignment="1">
      <alignment horizontal="center" vertical="center"/>
    </xf>
    <xf numFmtId="0" fontId="26" fillId="38" borderId="65" xfId="0" applyFont="1" applyFill="1" applyBorder="1" applyAlignment="1">
      <alignment horizontal="center" vertical="center"/>
    </xf>
    <xf numFmtId="0" fontId="26" fillId="40" borderId="65" xfId="0" applyFont="1" applyFill="1" applyBorder="1" applyAlignment="1">
      <alignment horizontal="center" vertical="center"/>
    </xf>
    <xf numFmtId="0" fontId="26" fillId="41" borderId="65" xfId="0" applyFont="1" applyFill="1" applyBorder="1" applyAlignment="1">
      <alignment horizontal="center" vertical="center"/>
    </xf>
    <xf numFmtId="0" fontId="26" fillId="37" borderId="23" xfId="0" applyFont="1" applyFill="1" applyBorder="1" applyAlignment="1">
      <alignment horizontal="center" vertical="center"/>
    </xf>
    <xf numFmtId="0" fontId="26" fillId="0" borderId="23" xfId="0" applyFont="1" applyBorder="1" applyAlignment="1">
      <alignment horizontal="center" vertical="center"/>
    </xf>
    <xf numFmtId="0" fontId="26" fillId="42" borderId="65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top"/>
    </xf>
    <xf numFmtId="0" fontId="8" fillId="6" borderId="31" xfId="0" applyFont="1" applyFill="1" applyBorder="1" applyAlignment="1">
      <alignment horizontal="center" vertical="top"/>
    </xf>
    <xf numFmtId="0" fontId="8" fillId="6" borderId="32" xfId="0" applyFont="1" applyFill="1" applyBorder="1" applyAlignment="1">
      <alignment horizontal="center" vertical="top"/>
    </xf>
    <xf numFmtId="0" fontId="8" fillId="6" borderId="34" xfId="0" applyFont="1" applyFill="1" applyBorder="1" applyAlignment="1">
      <alignment horizontal="center" vertical="top"/>
    </xf>
    <xf numFmtId="0" fontId="11" fillId="3" borderId="16" xfId="0" applyFont="1" applyFill="1" applyBorder="1" applyAlignment="1">
      <alignment horizontal="left"/>
    </xf>
    <xf numFmtId="0" fontId="11" fillId="3" borderId="26" xfId="0" applyFont="1" applyFill="1" applyBorder="1" applyAlignment="1">
      <alignment horizontal="left"/>
    </xf>
    <xf numFmtId="0" fontId="11" fillId="3" borderId="24" xfId="0" applyFont="1" applyFill="1" applyBorder="1" applyAlignment="1">
      <alignment horizontal="left"/>
    </xf>
    <xf numFmtId="0" fontId="32" fillId="2" borderId="9" xfId="0" applyFont="1" applyFill="1" applyBorder="1" applyAlignment="1">
      <alignment horizontal="center" vertical="center" textRotation="90"/>
    </xf>
    <xf numFmtId="0" fontId="20" fillId="6" borderId="16" xfId="0" applyFont="1" applyFill="1" applyBorder="1" applyAlignment="1">
      <alignment horizontal="center" vertical="center"/>
    </xf>
    <xf numFmtId="0" fontId="20" fillId="6" borderId="26" xfId="0" applyFont="1" applyFill="1" applyBorder="1" applyAlignment="1">
      <alignment horizontal="center" vertical="center"/>
    </xf>
    <xf numFmtId="0" fontId="20" fillId="6" borderId="24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0" borderId="16" xfId="0" applyFont="1" applyFill="1" applyBorder="1" applyAlignment="1">
      <alignment horizontal="left"/>
    </xf>
    <xf numFmtId="0" fontId="11" fillId="0" borderId="26" xfId="0" applyFont="1" applyFill="1" applyBorder="1" applyAlignment="1">
      <alignment horizontal="left"/>
    </xf>
    <xf numFmtId="0" fontId="11" fillId="0" borderId="24" xfId="0" applyFont="1" applyFill="1" applyBorder="1" applyAlignment="1">
      <alignment horizontal="left"/>
    </xf>
    <xf numFmtId="0" fontId="20" fillId="2" borderId="0" xfId="0" applyFont="1" applyFill="1" applyProtection="1"/>
    <xf numFmtId="0" fontId="0" fillId="0" borderId="0" xfId="0" applyProtection="1"/>
    <xf numFmtId="0" fontId="20" fillId="2" borderId="0" xfId="0" applyFont="1" applyFill="1" applyAlignment="1" applyProtection="1">
      <alignment horizontal="center"/>
    </xf>
    <xf numFmtId="0" fontId="20" fillId="6" borderId="16" xfId="0" applyFont="1" applyFill="1" applyBorder="1" applyAlignment="1" applyProtection="1">
      <alignment horizontal="center" vertical="center"/>
    </xf>
    <xf numFmtId="0" fontId="20" fillId="6" borderId="26" xfId="0" applyFont="1" applyFill="1" applyBorder="1" applyAlignment="1" applyProtection="1">
      <alignment horizontal="center" vertical="center"/>
    </xf>
    <xf numFmtId="0" fontId="20" fillId="6" borderId="24" xfId="0" applyFont="1" applyFill="1" applyBorder="1" applyAlignment="1" applyProtection="1">
      <alignment horizontal="center" vertical="center"/>
    </xf>
    <xf numFmtId="0" fontId="20" fillId="2" borderId="0" xfId="0" applyFont="1" applyFill="1" applyAlignment="1" applyProtection="1">
      <alignment horizontal="center" vertical="center"/>
    </xf>
    <xf numFmtId="0" fontId="20" fillId="2" borderId="0" xfId="0" applyFont="1" applyFill="1" applyAlignment="1" applyProtection="1">
      <alignment horizontal="center" vertical="center"/>
    </xf>
    <xf numFmtId="167" fontId="20" fillId="3" borderId="28" xfId="0" applyNumberFormat="1" applyFont="1" applyFill="1" applyBorder="1" applyAlignment="1" applyProtection="1">
      <alignment horizontal="center" vertical="center"/>
    </xf>
    <xf numFmtId="167" fontId="20" fillId="3" borderId="19" xfId="0" applyNumberFormat="1" applyFont="1" applyFill="1" applyBorder="1" applyAlignment="1" applyProtection="1">
      <alignment horizontal="center" vertical="center"/>
    </xf>
    <xf numFmtId="167" fontId="20" fillId="3" borderId="6" xfId="0" applyNumberFormat="1" applyFont="1" applyFill="1" applyBorder="1" applyAlignment="1" applyProtection="1">
      <alignment horizontal="center" vertical="center"/>
    </xf>
    <xf numFmtId="167" fontId="20" fillId="3" borderId="7" xfId="0" applyNumberFormat="1" applyFont="1" applyFill="1" applyBorder="1" applyAlignment="1" applyProtection="1">
      <alignment horizontal="center" vertical="center"/>
    </xf>
    <xf numFmtId="167" fontId="20" fillId="8" borderId="28" xfId="0" applyNumberFormat="1" applyFont="1" applyFill="1" applyBorder="1" applyAlignment="1" applyProtection="1">
      <alignment horizontal="center" vertical="center"/>
    </xf>
    <xf numFmtId="167" fontId="20" fillId="8" borderId="19" xfId="0" applyNumberFormat="1" applyFont="1" applyFill="1" applyBorder="1" applyAlignment="1" applyProtection="1">
      <alignment horizontal="center" vertical="center"/>
    </xf>
    <xf numFmtId="167" fontId="20" fillId="8" borderId="6" xfId="0" applyNumberFormat="1" applyFont="1" applyFill="1" applyBorder="1" applyAlignment="1" applyProtection="1">
      <alignment horizontal="center" vertical="center"/>
    </xf>
    <xf numFmtId="167" fontId="20" fillId="8" borderId="7" xfId="0" applyNumberFormat="1" applyFont="1" applyFill="1" applyBorder="1" applyAlignment="1" applyProtection="1">
      <alignment horizontal="center" vertical="center"/>
    </xf>
    <xf numFmtId="167" fontId="20" fillId="3" borderId="13" xfId="0" applyNumberFormat="1" applyFont="1" applyFill="1" applyBorder="1" applyAlignment="1" applyProtection="1">
      <alignment horizontal="center" vertical="center"/>
    </xf>
    <xf numFmtId="167" fontId="20" fillId="8" borderId="13" xfId="0" applyNumberFormat="1" applyFont="1" applyFill="1" applyBorder="1" applyAlignment="1" applyProtection="1">
      <alignment horizontal="center" vertical="center"/>
    </xf>
    <xf numFmtId="16" fontId="20" fillId="3" borderId="29" xfId="0" applyNumberFormat="1" applyFont="1" applyFill="1" applyBorder="1" applyAlignment="1" applyProtection="1">
      <alignment horizontal="center" vertical="center"/>
    </xf>
    <xf numFmtId="16" fontId="20" fillId="3" borderId="20" xfId="0" applyNumberFormat="1" applyFont="1" applyFill="1" applyBorder="1" applyAlignment="1" applyProtection="1">
      <alignment horizontal="center" vertical="center"/>
    </xf>
    <xf numFmtId="16" fontId="20" fillId="3" borderId="12" xfId="0" applyNumberFormat="1" applyFont="1" applyFill="1" applyBorder="1" applyAlignment="1" applyProtection="1">
      <alignment horizontal="center" vertical="center"/>
    </xf>
    <xf numFmtId="16" fontId="20" fillId="3" borderId="11" xfId="0" applyNumberFormat="1" applyFont="1" applyFill="1" applyBorder="1" applyAlignment="1" applyProtection="1">
      <alignment horizontal="center" vertical="center"/>
    </xf>
    <xf numFmtId="16" fontId="20" fillId="8" borderId="29" xfId="0" applyNumberFormat="1" applyFont="1" applyFill="1" applyBorder="1" applyAlignment="1" applyProtection="1">
      <alignment horizontal="center" vertical="center"/>
    </xf>
    <xf numFmtId="16" fontId="20" fillId="8" borderId="20" xfId="0" applyNumberFormat="1" applyFont="1" applyFill="1" applyBorder="1" applyAlignment="1" applyProtection="1">
      <alignment horizontal="center" vertical="center"/>
    </xf>
    <xf numFmtId="16" fontId="20" fillId="8" borderId="12" xfId="0" applyNumberFormat="1" applyFont="1" applyFill="1" applyBorder="1" applyAlignment="1" applyProtection="1">
      <alignment horizontal="center" vertical="center"/>
    </xf>
    <xf numFmtId="16" fontId="20" fillId="8" borderId="11" xfId="0" applyNumberFormat="1" applyFont="1" applyFill="1" applyBorder="1" applyAlignment="1" applyProtection="1">
      <alignment horizontal="center" vertical="center"/>
    </xf>
    <xf numFmtId="16" fontId="20" fillId="3" borderId="15" xfId="0" applyNumberFormat="1" applyFont="1" applyFill="1" applyBorder="1" applyAlignment="1" applyProtection="1">
      <alignment horizontal="center" vertical="center"/>
    </xf>
    <xf numFmtId="16" fontId="20" fillId="8" borderId="15" xfId="0" applyNumberFormat="1" applyFont="1" applyFill="1" applyBorder="1" applyAlignment="1" applyProtection="1">
      <alignment horizontal="center" vertical="center"/>
    </xf>
    <xf numFmtId="0" fontId="0" fillId="44" borderId="0" xfId="0" applyFill="1" applyProtection="1"/>
    <xf numFmtId="0" fontId="11" fillId="2" borderId="19" xfId="0" applyFont="1" applyFill="1" applyBorder="1" applyAlignment="1" applyProtection="1">
      <alignment horizontal="center" vertical="center"/>
    </xf>
    <xf numFmtId="49" fontId="11" fillId="2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 applyProtection="1">
      <alignment horizontal="center" vertical="center"/>
    </xf>
    <xf numFmtId="0" fontId="32" fillId="2" borderId="9" xfId="0" applyFont="1" applyFill="1" applyBorder="1" applyAlignment="1" applyProtection="1">
      <alignment horizontal="center" vertical="center" textRotation="90"/>
    </xf>
    <xf numFmtId="0" fontId="11" fillId="8" borderId="4" xfId="0" applyFont="1" applyFill="1" applyBorder="1" applyAlignment="1" applyProtection="1">
      <alignment horizontal="left"/>
    </xf>
    <xf numFmtId="0" fontId="11" fillId="0" borderId="30" xfId="0" applyFont="1" applyBorder="1" applyAlignment="1" applyProtection="1">
      <alignment horizontal="center" vertical="center"/>
    </xf>
    <xf numFmtId="16" fontId="13" fillId="0" borderId="31" xfId="0" applyNumberFormat="1" applyFont="1" applyBorder="1" applyAlignment="1" applyProtection="1">
      <alignment horizontal="center"/>
    </xf>
    <xf numFmtId="16" fontId="13" fillId="0" borderId="32" xfId="0" applyNumberFormat="1" applyFont="1" applyBorder="1" applyAlignment="1" applyProtection="1">
      <alignment horizontal="center"/>
    </xf>
    <xf numFmtId="16" fontId="13" fillId="8" borderId="33" xfId="0" applyNumberFormat="1" applyFont="1" applyFill="1" applyBorder="1" applyAlignment="1" applyProtection="1">
      <alignment horizontal="center"/>
    </xf>
    <xf numFmtId="16" fontId="13" fillId="8" borderId="31" xfId="0" applyNumberFormat="1" applyFont="1" applyFill="1" applyBorder="1" applyAlignment="1" applyProtection="1">
      <alignment horizontal="center"/>
    </xf>
    <xf numFmtId="0" fontId="11" fillId="8" borderId="34" xfId="0" applyFont="1" applyFill="1" applyBorder="1" applyAlignment="1" applyProtection="1">
      <alignment horizontal="center" vertical="center"/>
    </xf>
    <xf numFmtId="0" fontId="11" fillId="3" borderId="30" xfId="0" applyFont="1" applyFill="1" applyBorder="1" applyAlignment="1" applyProtection="1">
      <alignment horizontal="center" vertical="center"/>
    </xf>
    <xf numFmtId="0" fontId="11" fillId="28" borderId="30" xfId="0" applyFont="1" applyFill="1" applyBorder="1" applyAlignment="1" applyProtection="1">
      <alignment horizontal="center" vertical="center"/>
    </xf>
    <xf numFmtId="16" fontId="13" fillId="28" borderId="31" xfId="0" applyNumberFormat="1" applyFont="1" applyFill="1" applyBorder="1" applyAlignment="1" applyProtection="1">
      <alignment horizontal="center"/>
    </xf>
    <xf numFmtId="0" fontId="11" fillId="28" borderId="34" xfId="0" applyFont="1" applyFill="1" applyBorder="1" applyAlignment="1" applyProtection="1">
      <alignment horizontal="center" vertical="center"/>
    </xf>
    <xf numFmtId="16" fontId="13" fillId="28" borderId="33" xfId="0" applyNumberFormat="1" applyFont="1" applyFill="1" applyBorder="1" applyAlignment="1" applyProtection="1">
      <alignment horizontal="center"/>
    </xf>
    <xf numFmtId="0" fontId="11" fillId="8" borderId="8" xfId="0" applyFont="1" applyFill="1" applyBorder="1" applyAlignment="1" applyProtection="1">
      <alignment horizontal="left"/>
    </xf>
    <xf numFmtId="0" fontId="11" fillId="0" borderId="38" xfId="0" applyFont="1" applyBorder="1" applyAlignment="1" applyProtection="1">
      <alignment horizontal="center" vertical="center"/>
    </xf>
    <xf numFmtId="16" fontId="13" fillId="0" borderId="35" xfId="0" applyNumberFormat="1" applyFont="1" applyBorder="1" applyAlignment="1" applyProtection="1">
      <alignment horizontal="center"/>
    </xf>
    <xf numFmtId="16" fontId="13" fillId="0" borderId="37" xfId="0" applyNumberFormat="1" applyFont="1" applyBorder="1" applyAlignment="1" applyProtection="1">
      <alignment horizontal="center"/>
    </xf>
    <xf numFmtId="16" fontId="13" fillId="8" borderId="41" xfId="0" applyNumberFormat="1" applyFont="1" applyFill="1" applyBorder="1" applyAlignment="1" applyProtection="1">
      <alignment horizontal="center"/>
    </xf>
    <xf numFmtId="16" fontId="13" fillId="8" borderId="35" xfId="0" applyNumberFormat="1" applyFont="1" applyFill="1" applyBorder="1" applyAlignment="1" applyProtection="1">
      <alignment horizontal="center"/>
    </xf>
    <xf numFmtId="0" fontId="11" fillId="8" borderId="39" xfId="0" applyFont="1" applyFill="1" applyBorder="1" applyAlignment="1" applyProtection="1">
      <alignment horizontal="center" vertical="center"/>
    </xf>
    <xf numFmtId="0" fontId="11" fillId="3" borderId="38" xfId="0" applyFont="1" applyFill="1" applyBorder="1" applyAlignment="1" applyProtection="1">
      <alignment horizontal="center" vertical="center"/>
    </xf>
    <xf numFmtId="0" fontId="11" fillId="28" borderId="38" xfId="0" applyFont="1" applyFill="1" applyBorder="1" applyAlignment="1" applyProtection="1">
      <alignment horizontal="center" vertical="center"/>
    </xf>
    <xf numFmtId="16" fontId="13" fillId="28" borderId="35" xfId="0" applyNumberFormat="1" applyFont="1" applyFill="1" applyBorder="1" applyAlignment="1" applyProtection="1">
      <alignment horizontal="center"/>
    </xf>
    <xf numFmtId="0" fontId="11" fillId="28" borderId="39" xfId="0" applyFont="1" applyFill="1" applyBorder="1" applyAlignment="1" applyProtection="1">
      <alignment horizontal="center" vertical="center"/>
    </xf>
    <xf numFmtId="16" fontId="13" fillId="28" borderId="41" xfId="0" applyNumberFormat="1" applyFont="1" applyFill="1" applyBorder="1" applyAlignment="1" applyProtection="1">
      <alignment horizontal="center"/>
    </xf>
    <xf numFmtId="0" fontId="11" fillId="0" borderId="40" xfId="0" applyFont="1" applyBorder="1" applyAlignment="1" applyProtection="1">
      <alignment horizontal="center" vertical="center"/>
    </xf>
    <xf numFmtId="0" fontId="11" fillId="8" borderId="36" xfId="0" applyFont="1" applyFill="1" applyBorder="1" applyAlignment="1" applyProtection="1">
      <alignment horizontal="center" vertical="center"/>
    </xf>
    <xf numFmtId="0" fontId="11" fillId="3" borderId="40" xfId="0" applyFont="1" applyFill="1" applyBorder="1" applyAlignment="1" applyProtection="1">
      <alignment horizontal="center" vertical="center"/>
    </xf>
    <xf numFmtId="0" fontId="11" fillId="28" borderId="40" xfId="0" applyFont="1" applyFill="1" applyBorder="1" applyAlignment="1" applyProtection="1">
      <alignment horizontal="center" vertical="center"/>
    </xf>
    <xf numFmtId="0" fontId="11" fillId="28" borderId="36" xfId="0" applyFont="1" applyFill="1" applyBorder="1" applyAlignment="1" applyProtection="1">
      <alignment horizontal="center" vertical="center"/>
    </xf>
    <xf numFmtId="0" fontId="11" fillId="9" borderId="50" xfId="0" applyFont="1" applyFill="1" applyBorder="1" applyAlignment="1" applyProtection="1">
      <alignment horizontal="center" vertical="center"/>
    </xf>
    <xf numFmtId="0" fontId="11" fillId="9" borderId="25" xfId="0" applyFont="1" applyFill="1" applyBorder="1" applyAlignment="1" applyProtection="1">
      <alignment horizontal="center" vertical="center"/>
    </xf>
    <xf numFmtId="0" fontId="11" fillId="9" borderId="18" xfId="0" applyFont="1" applyFill="1" applyBorder="1" applyAlignment="1" applyProtection="1">
      <alignment horizontal="center" vertical="center"/>
    </xf>
    <xf numFmtId="0" fontId="11" fillId="10" borderId="27" xfId="0" applyFont="1" applyFill="1" applyBorder="1" applyAlignment="1" applyProtection="1">
      <alignment horizontal="center" vertical="center"/>
    </xf>
    <xf numFmtId="0" fontId="11" fillId="10" borderId="25" xfId="0" applyFont="1" applyFill="1" applyBorder="1" applyAlignment="1" applyProtection="1">
      <alignment horizontal="center" vertical="center"/>
    </xf>
    <xf numFmtId="0" fontId="11" fillId="10" borderId="17" xfId="0" applyFont="1" applyFill="1" applyBorder="1" applyAlignment="1" applyProtection="1">
      <alignment horizontal="center" vertical="center"/>
    </xf>
    <xf numFmtId="0" fontId="11" fillId="29" borderId="50" xfId="0" applyFont="1" applyFill="1" applyBorder="1" applyAlignment="1" applyProtection="1">
      <alignment horizontal="center" vertical="center"/>
    </xf>
    <xf numFmtId="0" fontId="11" fillId="29" borderId="25" xfId="0" applyFont="1" applyFill="1" applyBorder="1" applyAlignment="1" applyProtection="1">
      <alignment horizontal="center" vertical="center"/>
    </xf>
    <xf numFmtId="0" fontId="11" fillId="29" borderId="17" xfId="0" applyFont="1" applyFill="1" applyBorder="1" applyAlignment="1" applyProtection="1">
      <alignment horizontal="center" vertical="center"/>
    </xf>
    <xf numFmtId="0" fontId="11" fillId="29" borderId="27" xfId="0" applyFont="1" applyFill="1" applyBorder="1" applyAlignment="1" applyProtection="1">
      <alignment horizontal="center" vertical="center"/>
    </xf>
    <xf numFmtId="0" fontId="11" fillId="0" borderId="51" xfId="0" applyFont="1" applyBorder="1" applyAlignment="1" applyProtection="1">
      <alignment horizontal="center" vertical="center"/>
    </xf>
    <xf numFmtId="16" fontId="13" fillId="0" borderId="52" xfId="0" applyNumberFormat="1" applyFont="1" applyBorder="1" applyAlignment="1" applyProtection="1">
      <alignment horizontal="center"/>
    </xf>
    <xf numFmtId="16" fontId="13" fillId="28" borderId="52" xfId="0" applyNumberFormat="1" applyFont="1" applyFill="1" applyBorder="1" applyAlignment="1" applyProtection="1">
      <alignment horizontal="center"/>
    </xf>
    <xf numFmtId="16" fontId="13" fillId="0" borderId="53" xfId="0" applyNumberFormat="1" applyFont="1" applyBorder="1" applyAlignment="1" applyProtection="1">
      <alignment horizontal="center"/>
    </xf>
    <xf numFmtId="16" fontId="13" fillId="8" borderId="54" xfId="0" applyNumberFormat="1" applyFont="1" applyFill="1" applyBorder="1" applyAlignment="1" applyProtection="1">
      <alignment horizontal="center"/>
    </xf>
    <xf numFmtId="16" fontId="13" fillId="8" borderId="52" xfId="0" applyNumberFormat="1" applyFont="1" applyFill="1" applyBorder="1" applyAlignment="1" applyProtection="1">
      <alignment horizontal="center"/>
    </xf>
    <xf numFmtId="0" fontId="11" fillId="8" borderId="55" xfId="0" applyFont="1" applyFill="1" applyBorder="1" applyAlignment="1" applyProtection="1">
      <alignment horizontal="center" vertical="center"/>
    </xf>
    <xf numFmtId="0" fontId="11" fillId="3" borderId="51" xfId="0" applyFont="1" applyFill="1" applyBorder="1" applyAlignment="1" applyProtection="1">
      <alignment horizontal="center" vertical="center"/>
    </xf>
    <xf numFmtId="0" fontId="11" fillId="28" borderId="51" xfId="0" applyFont="1" applyFill="1" applyBorder="1" applyAlignment="1" applyProtection="1">
      <alignment horizontal="center" vertical="center"/>
    </xf>
    <xf numFmtId="0" fontId="11" fillId="28" borderId="55" xfId="0" applyFont="1" applyFill="1" applyBorder="1" applyAlignment="1" applyProtection="1">
      <alignment horizontal="center" vertical="center"/>
    </xf>
    <xf numFmtId="16" fontId="13" fillId="28" borderId="54" xfId="0" applyNumberFormat="1" applyFont="1" applyFill="1" applyBorder="1" applyAlignment="1" applyProtection="1">
      <alignment horizontal="center"/>
    </xf>
    <xf numFmtId="16" fontId="13" fillId="0" borderId="30" xfId="0" applyNumberFormat="1" applyFont="1" applyBorder="1" applyAlignment="1" applyProtection="1">
      <alignment horizontal="center"/>
    </xf>
    <xf numFmtId="16" fontId="14" fillId="0" borderId="31" xfId="0" applyNumberFormat="1" applyFont="1" applyBorder="1" applyAlignment="1" applyProtection="1">
      <alignment horizontal="center"/>
    </xf>
    <xf numFmtId="16" fontId="14" fillId="0" borderId="32" xfId="0" applyNumberFormat="1" applyFont="1" applyBorder="1" applyAlignment="1" applyProtection="1">
      <alignment horizontal="center"/>
    </xf>
    <xf numFmtId="16" fontId="14" fillId="8" borderId="33" xfId="0" applyNumberFormat="1" applyFont="1" applyFill="1" applyBorder="1" applyAlignment="1" applyProtection="1">
      <alignment horizontal="center"/>
    </xf>
    <xf numFmtId="16" fontId="14" fillId="8" borderId="31" xfId="0" applyNumberFormat="1" applyFont="1" applyFill="1" applyBorder="1" applyAlignment="1" applyProtection="1">
      <alignment horizontal="center"/>
    </xf>
    <xf numFmtId="16" fontId="14" fillId="8" borderId="34" xfId="0" applyNumberFormat="1" applyFont="1" applyFill="1" applyBorder="1" applyAlignment="1" applyProtection="1">
      <alignment horizontal="center"/>
    </xf>
    <xf numFmtId="16" fontId="13" fillId="0" borderId="40" xfId="0" applyNumberFormat="1" applyFont="1" applyBorder="1" applyAlignment="1" applyProtection="1">
      <alignment horizontal="center"/>
    </xf>
    <xf numFmtId="16" fontId="14" fillId="0" borderId="35" xfId="0" applyNumberFormat="1" applyFont="1" applyBorder="1" applyAlignment="1" applyProtection="1">
      <alignment horizontal="center"/>
    </xf>
    <xf numFmtId="16" fontId="14" fillId="0" borderId="37" xfId="0" applyNumberFormat="1" applyFont="1" applyBorder="1" applyAlignment="1" applyProtection="1">
      <alignment horizontal="center"/>
    </xf>
    <xf numFmtId="16" fontId="14" fillId="8" borderId="41" xfId="0" applyNumberFormat="1" applyFont="1" applyFill="1" applyBorder="1" applyAlignment="1" applyProtection="1">
      <alignment horizontal="center"/>
    </xf>
    <xf numFmtId="16" fontId="14" fillId="8" borderId="35" xfId="0" applyNumberFormat="1" applyFont="1" applyFill="1" applyBorder="1" applyAlignment="1" applyProtection="1">
      <alignment horizontal="center"/>
    </xf>
    <xf numFmtId="16" fontId="14" fillId="8" borderId="36" xfId="0" applyNumberFormat="1" applyFont="1" applyFill="1" applyBorder="1" applyAlignment="1" applyProtection="1">
      <alignment horizontal="center"/>
    </xf>
    <xf numFmtId="0" fontId="11" fillId="8" borderId="10" xfId="0" applyFont="1" applyFill="1" applyBorder="1" applyAlignment="1" applyProtection="1">
      <alignment horizontal="left"/>
    </xf>
    <xf numFmtId="16" fontId="13" fillId="0" borderId="42" xfId="0" applyNumberFormat="1" applyFont="1" applyBorder="1" applyAlignment="1" applyProtection="1">
      <alignment horizontal="center"/>
    </xf>
    <xf numFmtId="16" fontId="14" fillId="0" borderId="43" xfId="0" applyNumberFormat="1" applyFont="1" applyBorder="1" applyAlignment="1" applyProtection="1">
      <alignment horizontal="center"/>
    </xf>
    <xf numFmtId="16" fontId="14" fillId="0" borderId="44" xfId="0" applyNumberFormat="1" applyFont="1" applyBorder="1" applyAlignment="1" applyProtection="1">
      <alignment horizontal="center"/>
    </xf>
    <xf numFmtId="16" fontId="14" fillId="8" borderId="45" xfId="0" applyNumberFormat="1" applyFont="1" applyFill="1" applyBorder="1" applyAlignment="1" applyProtection="1">
      <alignment horizontal="center"/>
    </xf>
    <xf numFmtId="16" fontId="14" fillId="8" borderId="43" xfId="0" applyNumberFormat="1" applyFont="1" applyFill="1" applyBorder="1" applyAlignment="1" applyProtection="1">
      <alignment horizontal="center"/>
    </xf>
    <xf numFmtId="16" fontId="14" fillId="8" borderId="46" xfId="0" applyNumberFormat="1" applyFont="1" applyFill="1" applyBorder="1" applyAlignment="1" applyProtection="1">
      <alignment horizontal="center"/>
    </xf>
    <xf numFmtId="0" fontId="8" fillId="7" borderId="60" xfId="0" applyFont="1" applyFill="1" applyBorder="1" applyAlignment="1">
      <alignment horizontal="center" vertical="center"/>
    </xf>
    <xf numFmtId="0" fontId="8" fillId="7" borderId="62" xfId="0" applyFont="1" applyFill="1" applyBorder="1" applyAlignment="1">
      <alignment horizontal="center" vertical="center"/>
    </xf>
    <xf numFmtId="0" fontId="21" fillId="2" borderId="30" xfId="0" applyFont="1" applyFill="1" applyBorder="1" applyAlignment="1">
      <alignment horizontal="center" vertical="center"/>
    </xf>
    <xf numFmtId="0" fontId="21" fillId="2" borderId="42" xfId="0" applyFont="1" applyFill="1" applyBorder="1" applyAlignment="1">
      <alignment horizontal="center" vertical="center"/>
    </xf>
    <xf numFmtId="0" fontId="8" fillId="7" borderId="63" xfId="0" applyFont="1" applyFill="1" applyBorder="1" applyAlignment="1">
      <alignment horizontal="center" vertical="center"/>
    </xf>
    <xf numFmtId="0" fontId="8" fillId="7" borderId="64" xfId="0" applyFont="1" applyFill="1" applyBorder="1" applyAlignment="1">
      <alignment horizontal="center" vertical="center"/>
    </xf>
    <xf numFmtId="0" fontId="21" fillId="2" borderId="35" xfId="0" applyFont="1" applyFill="1" applyBorder="1" applyAlignment="1">
      <alignment horizontal="center" vertical="center"/>
    </xf>
    <xf numFmtId="0" fontId="21" fillId="2" borderId="40" xfId="0" applyFont="1" applyFill="1" applyBorder="1" applyAlignment="1">
      <alignment horizontal="center" vertical="center"/>
    </xf>
    <xf numFmtId="0" fontId="21" fillId="2" borderId="37" xfId="0" applyFont="1" applyFill="1" applyBorder="1" applyAlignment="1">
      <alignment horizontal="center" vertical="center"/>
    </xf>
    <xf numFmtId="0" fontId="33" fillId="7" borderId="4" xfId="0" applyFont="1" applyFill="1" applyBorder="1" applyAlignment="1">
      <alignment horizontal="center" vertical="center"/>
    </xf>
    <xf numFmtId="0" fontId="33" fillId="7" borderId="19" xfId="0" applyFont="1" applyFill="1" applyBorder="1" applyAlignment="1">
      <alignment horizontal="center" vertical="center"/>
    </xf>
    <xf numFmtId="0" fontId="33" fillId="7" borderId="7" xfId="0" applyFont="1" applyFill="1" applyBorder="1" applyAlignment="1">
      <alignment horizontal="center" vertical="center"/>
    </xf>
    <xf numFmtId="0" fontId="33" fillId="7" borderId="8" xfId="0" applyFont="1" applyFill="1" applyBorder="1" applyAlignment="1">
      <alignment horizontal="center" vertical="center"/>
    </xf>
    <xf numFmtId="0" fontId="33" fillId="7" borderId="0" xfId="0" applyFont="1" applyFill="1" applyAlignment="1">
      <alignment horizontal="center" vertical="center"/>
    </xf>
    <xf numFmtId="0" fontId="33" fillId="7" borderId="9" xfId="0" applyFont="1" applyFill="1" applyBorder="1" applyAlignment="1">
      <alignment horizontal="center" vertical="center"/>
    </xf>
    <xf numFmtId="0" fontId="33" fillId="7" borderId="10" xfId="0" applyFont="1" applyFill="1" applyBorder="1" applyAlignment="1">
      <alignment horizontal="center" vertical="center"/>
    </xf>
    <xf numFmtId="0" fontId="33" fillId="7" borderId="20" xfId="0" applyFont="1" applyFill="1" applyBorder="1" applyAlignment="1">
      <alignment horizontal="center" vertical="center"/>
    </xf>
    <xf numFmtId="0" fontId="33" fillId="7" borderId="11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775A6D9E-4A7E-9040-BF97-5429F3135C30}"/>
    <cellStyle name="Per cent" xfId="1" builtinId="5"/>
  </cellStyles>
  <dxfs count="1165"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A6C9EC"/>
        </patternFill>
      </fill>
    </dxf>
    <dxf>
      <font>
        <color rgb="FF000000"/>
      </font>
      <fill>
        <patternFill>
          <bgColor rgb="FFA6C9EC"/>
        </patternFill>
      </fill>
    </dxf>
    <dxf>
      <font>
        <color rgb="FF000000"/>
      </font>
      <fill>
        <patternFill>
          <bgColor rgb="FFFF8A8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A6C9EC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A6C9EC"/>
        </patternFill>
      </fill>
    </dxf>
    <dxf>
      <font>
        <color rgb="FF000000"/>
      </font>
      <fill>
        <patternFill>
          <bgColor rgb="FFFF8A8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A6C9EC"/>
        </patternFill>
      </fill>
    </dxf>
    <dxf>
      <font>
        <color rgb="FF000000"/>
      </font>
      <fill>
        <patternFill>
          <bgColor rgb="FFA6C9EC"/>
        </patternFill>
      </fill>
    </dxf>
    <dxf>
      <font>
        <color rgb="FF000000"/>
      </font>
      <fill>
        <patternFill>
          <bgColor rgb="FFFF8A80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A6C9EC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A6C9EC"/>
        </patternFill>
      </fill>
    </dxf>
    <dxf>
      <font>
        <color rgb="FF000000"/>
      </font>
      <fill>
        <patternFill>
          <bgColor rgb="FFFF8A8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color rgb="FF7A1E1E"/>
      </font>
      <fill>
        <patternFill>
          <bgColor rgb="FFF4C7C3"/>
        </patternFill>
      </fill>
    </dxf>
    <dxf>
      <font>
        <b/>
        <i val="0"/>
        <color rgb="FF7A1E1E"/>
      </font>
      <fill>
        <patternFill>
          <bgColor rgb="FFF4C7C3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DAE9F8"/>
        </patternFill>
      </fill>
    </dxf>
    <dxf>
      <fill>
        <patternFill>
          <bgColor rgb="FFFF2F92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FFF59D"/>
        </patternFill>
      </fill>
    </dxf>
    <dxf>
      <fill>
        <patternFill>
          <bgColor rgb="FF4FC3F7"/>
        </patternFill>
      </fill>
    </dxf>
    <dxf>
      <fill>
        <patternFill>
          <bgColor rgb="FF9FA8DA"/>
        </patternFill>
      </fill>
    </dxf>
    <dxf>
      <fill>
        <patternFill>
          <bgColor rgb="FFCE93D8"/>
        </patternFill>
      </fill>
    </dxf>
    <dxf>
      <fill>
        <patternFill>
          <bgColor rgb="FFA5D6A7"/>
        </patternFill>
      </fill>
    </dxf>
    <dxf>
      <fill>
        <patternFill>
          <bgColor rgb="FF80CBC4"/>
        </patternFill>
      </fill>
    </dxf>
    <dxf>
      <fill>
        <patternFill>
          <bgColor rgb="FFA6C9EC"/>
        </patternFill>
      </fill>
    </dxf>
    <dxf>
      <fill>
        <patternFill>
          <bgColor rgb="FFA6C9EC"/>
        </patternFill>
      </fill>
    </dxf>
    <dxf>
      <fill>
        <patternFill>
          <bgColor rgb="FFFF8A80"/>
        </patternFill>
      </fill>
    </dxf>
    <dxf>
      <fill>
        <patternFill>
          <bgColor rgb="FF64B5F6"/>
        </patternFill>
      </fill>
    </dxf>
    <dxf>
      <fill>
        <patternFill>
          <bgColor rgb="FFFFCA28"/>
        </patternFill>
      </fill>
    </dxf>
    <dxf>
      <fill>
        <patternFill>
          <bgColor rgb="FFFFCA28"/>
        </patternFill>
      </fill>
    </dxf>
    <dxf>
      <fill>
        <patternFill>
          <bgColor rgb="FFFF8A80"/>
        </patternFill>
      </fill>
    </dxf>
    <dxf>
      <fill>
        <patternFill>
          <bgColor rgb="FF64B5F6"/>
        </patternFill>
      </fill>
    </dxf>
    <dxf>
      <fill>
        <patternFill>
          <bgColor rgb="FFFFCA28"/>
        </patternFill>
      </fill>
    </dxf>
    <dxf>
      <fill>
        <patternFill>
          <bgColor rgb="FFFFCA28"/>
        </patternFill>
      </fill>
    </dxf>
    <dxf>
      <fill>
        <patternFill>
          <bgColor rgb="FFFF8A80"/>
        </patternFill>
      </fill>
    </dxf>
    <dxf>
      <fill>
        <patternFill>
          <bgColor rgb="FF64B5F6"/>
        </patternFill>
      </fill>
    </dxf>
    <dxf>
      <fill>
        <patternFill>
          <bgColor rgb="FFFFCA28"/>
        </patternFill>
      </fill>
    </dxf>
    <dxf>
      <fill>
        <patternFill>
          <bgColor rgb="FFFFCA28"/>
        </patternFill>
      </fill>
    </dxf>
    <dxf>
      <fill>
        <patternFill>
          <bgColor rgb="FFFF8A8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0000"/>
      </font>
      <fill>
        <patternFill>
          <bgColor rgb="FFDAE9F8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FF2F92"/>
        </patternFill>
      </fill>
    </dxf>
    <dxf>
      <font>
        <color rgb="FF000000"/>
      </font>
      <fill>
        <patternFill>
          <bgColor rgb="FF92D050"/>
        </patternFill>
      </fill>
    </dxf>
    <dxf>
      <font>
        <color rgb="FF000000"/>
      </font>
      <fill>
        <patternFill>
          <bgColor rgb="FF64B5F6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CA28"/>
        </patternFill>
      </fill>
    </dxf>
    <dxf>
      <font>
        <color rgb="FF000000"/>
      </font>
      <fill>
        <patternFill>
          <bgColor rgb="FFFF8A8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FF7E79"/>
        </patternFill>
      </fill>
    </dxf>
    <dxf>
      <font>
        <b/>
        <i val="0"/>
        <strike val="0"/>
      </font>
      <fill>
        <patternFill>
          <bgColor rgb="FF00B0F0"/>
        </patternFill>
      </fill>
    </dxf>
    <dxf>
      <font>
        <b/>
        <i val="0"/>
        <strike val="0"/>
      </font>
      <fill>
        <patternFill>
          <bgColor rgb="FFFFC000"/>
        </patternFill>
      </fill>
    </dxf>
    <dxf>
      <font>
        <b/>
        <i val="0"/>
        <strike val="0"/>
      </font>
      <fill>
        <patternFill>
          <bgColor rgb="FF92D050"/>
        </patternFill>
      </fill>
    </dxf>
    <dxf>
      <font>
        <b/>
        <i val="0"/>
        <strike val="0"/>
      </font>
      <fill>
        <patternFill>
          <bgColor theme="8" tint="0.39994506668294322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945200"/>
      <color rgb="FF941651"/>
      <color rgb="FFC00000"/>
      <color rgb="FFCE94D9"/>
      <color rgb="FF0AB306"/>
      <color rgb="FFFFF59D"/>
      <color rgb="FF9FA8DA"/>
      <color rgb="FF0A61F2"/>
      <color rgb="FF81C784"/>
      <color rgb="FFFF2F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393700</xdr:colOff>
      <xdr:row>0</xdr:row>
      <xdr:rowOff>190500</xdr:rowOff>
    </xdr:from>
    <xdr:to>
      <xdr:col>17</xdr:col>
      <xdr:colOff>698500</xdr:colOff>
      <xdr:row>19</xdr:row>
      <xdr:rowOff>101600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5F38271-D164-1885-871A-7A3BC31BA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81100" y="190500"/>
          <a:ext cx="3606800" cy="3606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812800</xdr:colOff>
          <xdr:row>40</xdr:row>
          <xdr:rowOff>139700</xdr:rowOff>
        </xdr:from>
        <xdr:to>
          <xdr:col>10</xdr:col>
          <xdr:colOff>12700</xdr:colOff>
          <xdr:row>43</xdr:row>
          <xdr:rowOff>12700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MATCH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9</xdr:row>
          <xdr:rowOff>38100</xdr:rowOff>
        </xdr:from>
        <xdr:to>
          <xdr:col>15</xdr:col>
          <xdr:colOff>279400</xdr:colOff>
          <xdr:row>14</xdr:row>
          <xdr:rowOff>12700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2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RESET!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812800</xdr:colOff>
          <xdr:row>9</xdr:row>
          <xdr:rowOff>38100</xdr:rowOff>
        </xdr:from>
        <xdr:to>
          <xdr:col>17</xdr:col>
          <xdr:colOff>76200</xdr:colOff>
          <xdr:row>14</xdr:row>
          <xdr:rowOff>12700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2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Aptos Narrow" charset="0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609600</xdr:colOff>
          <xdr:row>15</xdr:row>
          <xdr:rowOff>76200</xdr:rowOff>
        </xdr:from>
        <xdr:to>
          <xdr:col>16</xdr:col>
          <xdr:colOff>482600</xdr:colOff>
          <xdr:row>17</xdr:row>
          <xdr:rowOff>76200</xdr:rowOff>
        </xdr:to>
        <xdr:sp macro="" textlink="">
          <xdr:nvSpPr>
            <xdr:cNvPr id="7175" name="Button 7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2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Aptos Narrow" charset="0"/>
                </a:rPr>
                <a:t>IMPORT VBA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>
  <person displayName="Bård Blytt Sandstad" id="{61F8E284-F048-4F2D-9971-F234819E9041}" userId="S::BARD@ek.dk::c02e3949-210d-45ed-8586-b595cb2fb8fb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Z23" dT="2026-09-28T12:02:35.69" personId="{61F8E284-F048-4F2D-9971-F234819E9041}" id="{44214E7E-E4C9-6D4C-8B77-021E0E385C1A}">
    <text>Dobbeltholdundervisning</text>
  </threadedComment>
  <threadedComment ref="G37" dT="2026-09-09T11:27:20.33" personId="{61F8E284-F048-4F2D-9971-F234819E9041}" id="{FDDD280F-43B0-864C-A39D-24BADC8FE754}">
    <text>Afspadsering for ekstraundervisning 3. sem E26</text>
  </threadedComment>
  <threadedComment ref="I37" dT="2026-09-28T12:04:21.88" personId="{61F8E284-F048-4F2D-9971-F234819E9041}" id="{F5723347-EFA2-FF4B-8DF4-EA49A19FBDDE}">
    <text>IT-sikkerhed EVU</text>
  </threadedComment>
  <threadedComment ref="P37" dT="2026-08-10T11:59:03.47" personId="{61F8E284-F048-4F2D-9971-F234819E9041}" id="{65D5498C-5C16-CA43-8A8F-7C4F78919C6E}">
    <text>Internationalt valgfag</text>
  </threadedComment>
  <threadedComment ref="Q37" dT="2026-09-28T12:03:44.64" personId="{61F8E284-F048-4F2D-9971-F234819E9041}" id="{66B66C14-3D63-E74E-910A-F514376C847B}">
    <text>SAP</text>
  </threadedComment>
  <threadedComment ref="S37" dT="2026-09-28T12:03:52.22" personId="{61F8E284-F048-4F2D-9971-F234819E9041}" id="{97DB2F17-D025-C343-AC6B-AD071D7FD632}">
    <text>SAP</text>
  </threadedComment>
  <threadedComment ref="W37" dT="2026-09-28T12:04:14.93" personId="{61F8E284-F048-4F2D-9971-F234819E9041}" id="{BFEFA94A-9BC8-C44E-82C6-6D289C8B18A2}">
    <text>IT-sikkerhed EVU</text>
  </threadedComment>
  <threadedComment ref="B48" dT="2026-01-07T16:05:00.84" personId="{61F8E284-F048-4F2D-9971-F234819E9041}" id="{A0A49245-F2C3-F540-9136-D1FE01321234}">
    <text>Regenerativ ledelse</text>
  </threadedComment>
  <threadedComment ref="G48" dT="2026-01-07T16:05:25.14" personId="{61F8E284-F048-4F2D-9971-F234819E9041}" id="{A47328D7-DF44-3D44-88B3-638F3F3FA820}">
    <text>Offentlige IT-projekter</text>
  </threadedComment>
  <threadedComment ref="L48" dT="2026-08-21T13:43:23.91" personId="{61F8E284-F048-4F2D-9971-F234819E9041}" id="{2079A174-6152-9F4D-B820-B3D05016FE65}">
    <text>BIKE</text>
  </threadedComment>
  <threadedComment ref="F49" dT="2026-09-17T11:10:13.83" personId="{61F8E284-F048-4F2D-9971-F234819E9041}" id="{8B3B492D-6846-7F4B-A89B-E188C2D323D4}">
    <text>+75 til Reboot?</text>
  </threadedComment>
  <threadedComment ref="K49" dT="2026-09-17T11:10:21.76" personId="{61F8E284-F048-4F2D-9971-F234819E9041}" id="{30568802-0732-EA4C-866C-14931C47598D}">
    <text>+75 til Reboot?</text>
  </threadedComment>
  <threadedComment ref="P49" dT="2026-05-28T11:03:52.10" personId="{61F8E284-F048-4F2D-9971-F234819E9041}" id="{F50C0951-DE46-624A-8E14-AFDD27A62FF2}">
    <text>+150 til 4BASIC</text>
  </threadedComment>
  <threadedComment ref="R53" dT="2026-08-28T07:40:55.25" personId="{61F8E284-F048-4F2D-9971-F234819E9041}" id="{CF993207-5C13-4C4E-8364-5BC9E99B3AE5}">
    <text>Kurser og konferencer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A2E5F-E1DA-B147-9DC3-82267B353905}">
  <sheetPr codeName="Sheet16"/>
  <dimension ref="A1:FI49"/>
  <sheetViews>
    <sheetView workbookViewId="0">
      <selection activeCell="E6" sqref="E6:DE21"/>
    </sheetView>
  </sheetViews>
  <sheetFormatPr baseColWidth="10" defaultColWidth="10.83203125" defaultRowHeight="16" x14ac:dyDescent="0.2"/>
  <cols>
    <col min="1" max="1" width="3.83203125" style="134" customWidth="1"/>
    <col min="2" max="109" width="12.83203125" style="134" customWidth="1"/>
    <col min="110" max="16384" width="10.83203125" style="134"/>
  </cols>
  <sheetData>
    <row r="1" spans="1:165" ht="17" thickBot="1" x14ac:dyDescent="0.25"/>
    <row r="2" spans="1:165" ht="17" thickBot="1" x14ac:dyDescent="0.25">
      <c r="B2" s="477" t="s">
        <v>0</v>
      </c>
      <c r="C2" s="477"/>
      <c r="D2" s="477"/>
      <c r="E2" s="13" t="s">
        <v>1</v>
      </c>
      <c r="F2" s="14">
        <f>WEEKNUM(E5)</f>
        <v>6</v>
      </c>
      <c r="G2" s="15"/>
      <c r="H2" s="15"/>
      <c r="I2" s="16"/>
      <c r="J2" s="13" t="s">
        <v>1</v>
      </c>
      <c r="K2" s="14">
        <f>WEEKNUM(J5)</f>
        <v>7</v>
      </c>
      <c r="L2" s="15"/>
      <c r="M2" s="15"/>
      <c r="N2" s="16"/>
      <c r="O2" s="13" t="s">
        <v>1</v>
      </c>
      <c r="P2" s="14">
        <f>WEEKNUM(O5)</f>
        <v>8</v>
      </c>
      <c r="Q2" s="15"/>
      <c r="R2" s="15"/>
      <c r="S2" s="16"/>
      <c r="T2" s="17" t="s">
        <v>1</v>
      </c>
      <c r="U2" s="18">
        <f>WEEKNUM(T5)</f>
        <v>9</v>
      </c>
      <c r="V2" s="19"/>
      <c r="W2" s="19"/>
      <c r="X2" s="20"/>
      <c r="Y2" s="17" t="s">
        <v>1</v>
      </c>
      <c r="Z2" s="18">
        <f>WEEKNUM(Y5)</f>
        <v>10</v>
      </c>
      <c r="AA2" s="19"/>
      <c r="AB2" s="19"/>
      <c r="AC2" s="20"/>
      <c r="AD2" s="17" t="s">
        <v>1</v>
      </c>
      <c r="AE2" s="18">
        <f>WEEKNUM(AD5)</f>
        <v>11</v>
      </c>
      <c r="AF2" s="19"/>
      <c r="AG2" s="19"/>
      <c r="AH2" s="20"/>
      <c r="AI2" s="17" t="s">
        <v>1</v>
      </c>
      <c r="AJ2" s="18">
        <f>WEEKNUM(AI5)</f>
        <v>12</v>
      </c>
      <c r="AK2" s="19"/>
      <c r="AL2" s="19"/>
      <c r="AM2" s="20"/>
      <c r="AN2" s="17" t="s">
        <v>1</v>
      </c>
      <c r="AO2" s="18">
        <f>WEEKNUM(AN5)</f>
        <v>13</v>
      </c>
      <c r="AP2" s="19"/>
      <c r="AQ2" s="19"/>
      <c r="AR2" s="20"/>
      <c r="AS2" s="13" t="s">
        <v>1</v>
      </c>
      <c r="AT2" s="14">
        <f>WEEKNUM(AS5)</f>
        <v>14</v>
      </c>
      <c r="AU2" s="15"/>
      <c r="AV2" s="15"/>
      <c r="AW2" s="16"/>
      <c r="AX2" s="13" t="s">
        <v>1</v>
      </c>
      <c r="AY2" s="14">
        <f>WEEKNUM(AX5)</f>
        <v>15</v>
      </c>
      <c r="AZ2" s="15"/>
      <c r="BA2" s="15"/>
      <c r="BB2" s="16"/>
      <c r="BC2" s="13" t="s">
        <v>1</v>
      </c>
      <c r="BD2" s="14">
        <f>WEEKNUM(BC5)</f>
        <v>16</v>
      </c>
      <c r="BE2" s="15"/>
      <c r="BF2" s="15"/>
      <c r="BG2" s="16"/>
      <c r="BH2" s="13" t="s">
        <v>1</v>
      </c>
      <c r="BI2" s="14">
        <f>WEEKNUM(BH5)</f>
        <v>17</v>
      </c>
      <c r="BJ2" s="15"/>
      <c r="BK2" s="15"/>
      <c r="BL2" s="16"/>
      <c r="BM2" s="13" t="s">
        <v>1</v>
      </c>
      <c r="BN2" s="14">
        <f>WEEKNUM(BM5)</f>
        <v>18</v>
      </c>
      <c r="BO2" s="15"/>
      <c r="BP2" s="15"/>
      <c r="BQ2" s="16"/>
      <c r="BR2" s="13" t="s">
        <v>1</v>
      </c>
      <c r="BS2" s="14">
        <f>WEEKNUM(BR5)</f>
        <v>19</v>
      </c>
      <c r="BT2" s="15"/>
      <c r="BU2" s="15"/>
      <c r="BV2" s="16"/>
      <c r="BW2" s="13" t="s">
        <v>1</v>
      </c>
      <c r="BX2" s="14">
        <f>WEEKNUM(BW5)</f>
        <v>20</v>
      </c>
      <c r="BY2" s="15"/>
      <c r="BZ2" s="15"/>
      <c r="CA2" s="16"/>
      <c r="CB2" s="13" t="s">
        <v>1</v>
      </c>
      <c r="CC2" s="14">
        <f>WEEKNUM(CB5)</f>
        <v>21</v>
      </c>
      <c r="CD2" s="15"/>
      <c r="CE2" s="15"/>
      <c r="CF2" s="16"/>
      <c r="CG2" s="13" t="s">
        <v>1</v>
      </c>
      <c r="CH2" s="14">
        <f>WEEKNUM(CG5)</f>
        <v>22</v>
      </c>
      <c r="CI2" s="15"/>
      <c r="CJ2" s="15"/>
      <c r="CK2" s="16"/>
      <c r="CL2" s="13" t="s">
        <v>1</v>
      </c>
      <c r="CM2" s="14">
        <f>WEEKNUM(CL5)</f>
        <v>23</v>
      </c>
      <c r="CN2" s="15"/>
      <c r="CO2" s="15"/>
      <c r="CP2" s="16"/>
      <c r="CQ2" s="13" t="s">
        <v>1</v>
      </c>
      <c r="CR2" s="14">
        <f>WEEKNUM(CQ5)</f>
        <v>24</v>
      </c>
      <c r="CS2" s="15"/>
      <c r="CT2" s="15"/>
      <c r="CU2" s="16"/>
      <c r="CV2" s="13" t="s">
        <v>1</v>
      </c>
      <c r="CW2" s="14">
        <f>WEEKNUM(CV5)</f>
        <v>25</v>
      </c>
      <c r="CX2" s="15"/>
      <c r="CY2" s="15"/>
      <c r="CZ2" s="16"/>
      <c r="DA2" s="13" t="s">
        <v>1</v>
      </c>
      <c r="DB2" s="14">
        <f>WEEKNUM(DA5)</f>
        <v>26</v>
      </c>
      <c r="DC2" s="15"/>
      <c r="DD2" s="15"/>
      <c r="DE2" s="16"/>
    </row>
    <row r="3" spans="1:165" ht="17" thickBot="1" x14ac:dyDescent="0.25">
      <c r="B3" s="467" t="s">
        <v>2</v>
      </c>
      <c r="C3" s="468"/>
      <c r="D3" s="469"/>
      <c r="E3" s="476" t="s">
        <v>3</v>
      </c>
      <c r="F3" s="455"/>
      <c r="G3" s="455"/>
      <c r="H3" s="455"/>
      <c r="I3" s="456"/>
      <c r="J3" s="476" t="s">
        <v>3</v>
      </c>
      <c r="K3" s="455"/>
      <c r="L3" s="455"/>
      <c r="M3" s="455"/>
      <c r="N3" s="456"/>
      <c r="O3" s="476" t="s">
        <v>3</v>
      </c>
      <c r="P3" s="455"/>
      <c r="Q3" s="455"/>
      <c r="R3" s="455"/>
      <c r="S3" s="456"/>
      <c r="T3" s="463" t="s">
        <v>4</v>
      </c>
      <c r="U3" s="455"/>
      <c r="V3" s="455"/>
      <c r="W3" s="455"/>
      <c r="X3" s="456"/>
      <c r="Y3" s="463" t="s">
        <v>4</v>
      </c>
      <c r="Z3" s="455"/>
      <c r="AA3" s="455"/>
      <c r="AB3" s="455"/>
      <c r="AC3" s="456"/>
      <c r="AD3" s="463" t="s">
        <v>4</v>
      </c>
      <c r="AE3" s="455"/>
      <c r="AF3" s="455"/>
      <c r="AG3" s="455"/>
      <c r="AH3" s="456"/>
      <c r="AI3" s="463" t="s">
        <v>4</v>
      </c>
      <c r="AJ3" s="455"/>
      <c r="AK3" s="455"/>
      <c r="AL3" s="455"/>
      <c r="AM3" s="456"/>
      <c r="AN3" s="463" t="s">
        <v>4</v>
      </c>
      <c r="AO3" s="455"/>
      <c r="AP3" s="455"/>
      <c r="AQ3" s="455"/>
      <c r="AR3" s="456"/>
      <c r="AS3" s="463" t="s">
        <v>4</v>
      </c>
      <c r="AT3" s="455"/>
      <c r="AU3" s="455"/>
      <c r="AV3" s="455"/>
      <c r="AW3" s="456"/>
      <c r="AX3" s="461" t="s">
        <v>5</v>
      </c>
      <c r="AY3" s="455"/>
      <c r="AZ3" s="455"/>
      <c r="BA3" s="455"/>
      <c r="BB3" s="456"/>
      <c r="BC3" s="461" t="s">
        <v>5</v>
      </c>
      <c r="BD3" s="455"/>
      <c r="BE3" s="455"/>
      <c r="BF3" s="455"/>
      <c r="BG3" s="456"/>
      <c r="BH3" s="461" t="s">
        <v>5</v>
      </c>
      <c r="BI3" s="455"/>
      <c r="BJ3" s="455"/>
      <c r="BK3" s="455"/>
      <c r="BL3" s="456"/>
      <c r="BM3" s="461" t="s">
        <v>5</v>
      </c>
      <c r="BN3" s="455"/>
      <c r="BO3" s="455"/>
      <c r="BP3" s="455"/>
      <c r="BQ3" s="456"/>
      <c r="BR3" s="461" t="s">
        <v>5</v>
      </c>
      <c r="BS3" s="455"/>
      <c r="BT3" s="455"/>
      <c r="BU3" s="455"/>
      <c r="BV3" s="456"/>
      <c r="BW3" s="461" t="s">
        <v>5</v>
      </c>
      <c r="BX3" s="455"/>
      <c r="BY3" s="455"/>
      <c r="BZ3" s="455"/>
      <c r="CA3" s="456"/>
      <c r="CB3" s="462" t="s">
        <v>6</v>
      </c>
      <c r="CC3" s="455"/>
      <c r="CD3" s="455"/>
      <c r="CE3" s="455"/>
      <c r="CF3" s="456"/>
      <c r="CG3" s="462" t="s">
        <v>6</v>
      </c>
      <c r="CH3" s="455"/>
      <c r="CI3" s="455"/>
      <c r="CJ3" s="455"/>
      <c r="CK3" s="456"/>
      <c r="CL3" s="462" t="s">
        <v>6</v>
      </c>
      <c r="CM3" s="455"/>
      <c r="CN3" s="455"/>
      <c r="CO3" s="455"/>
      <c r="CP3" s="456"/>
      <c r="CQ3" s="462" t="s">
        <v>6</v>
      </c>
      <c r="CR3" s="455"/>
      <c r="CS3" s="455"/>
      <c r="CT3" s="455"/>
      <c r="CU3" s="456"/>
      <c r="CV3" s="462" t="s">
        <v>6</v>
      </c>
      <c r="CW3" s="455"/>
      <c r="CX3" s="455"/>
      <c r="CY3" s="455"/>
      <c r="CZ3" s="456"/>
      <c r="DA3" s="462" t="s">
        <v>6</v>
      </c>
      <c r="DB3" s="455"/>
      <c r="DC3" s="455"/>
      <c r="DD3" s="455"/>
      <c r="DE3" s="456"/>
    </row>
    <row r="4" spans="1:165" s="135" customFormat="1" x14ac:dyDescent="0.2">
      <c r="B4" s="470"/>
      <c r="C4" s="471"/>
      <c r="D4" s="472"/>
      <c r="E4" s="21">
        <f>E5</f>
        <v>46419</v>
      </c>
      <c r="F4" s="22">
        <f t="shared" ref="F4:BQ4" si="0">F5</f>
        <v>46420</v>
      </c>
      <c r="G4" s="23">
        <f t="shared" si="0"/>
        <v>46421</v>
      </c>
      <c r="H4" s="23">
        <f t="shared" si="0"/>
        <v>46422</v>
      </c>
      <c r="I4" s="24">
        <f t="shared" si="0"/>
        <v>46423</v>
      </c>
      <c r="J4" s="25">
        <f t="shared" si="0"/>
        <v>46426</v>
      </c>
      <c r="K4" s="26">
        <f t="shared" si="0"/>
        <v>46427</v>
      </c>
      <c r="L4" s="27">
        <f t="shared" si="0"/>
        <v>46428</v>
      </c>
      <c r="M4" s="27">
        <f t="shared" si="0"/>
        <v>46429</v>
      </c>
      <c r="N4" s="28">
        <f t="shared" si="0"/>
        <v>46430</v>
      </c>
      <c r="O4" s="21">
        <f t="shared" si="0"/>
        <v>46433</v>
      </c>
      <c r="P4" s="22">
        <f t="shared" si="0"/>
        <v>46434</v>
      </c>
      <c r="Q4" s="23">
        <f t="shared" si="0"/>
        <v>46435</v>
      </c>
      <c r="R4" s="23">
        <f t="shared" si="0"/>
        <v>46436</v>
      </c>
      <c r="S4" s="24">
        <f t="shared" si="0"/>
        <v>46437</v>
      </c>
      <c r="T4" s="25">
        <f t="shared" si="0"/>
        <v>46440</v>
      </c>
      <c r="U4" s="27">
        <f t="shared" si="0"/>
        <v>46441</v>
      </c>
      <c r="V4" s="27">
        <f t="shared" si="0"/>
        <v>46442</v>
      </c>
      <c r="W4" s="27">
        <f t="shared" si="0"/>
        <v>46443</v>
      </c>
      <c r="X4" s="28">
        <f t="shared" si="0"/>
        <v>46444</v>
      </c>
      <c r="Y4" s="21">
        <f t="shared" si="0"/>
        <v>46447</v>
      </c>
      <c r="Z4" s="23">
        <f t="shared" si="0"/>
        <v>46448</v>
      </c>
      <c r="AA4" s="23">
        <f t="shared" si="0"/>
        <v>46449</v>
      </c>
      <c r="AB4" s="23">
        <f t="shared" si="0"/>
        <v>46450</v>
      </c>
      <c r="AC4" s="24">
        <f t="shared" si="0"/>
        <v>46451</v>
      </c>
      <c r="AD4" s="25">
        <f t="shared" si="0"/>
        <v>46454</v>
      </c>
      <c r="AE4" s="27">
        <f t="shared" si="0"/>
        <v>46455</v>
      </c>
      <c r="AF4" s="27">
        <f t="shared" si="0"/>
        <v>46456</v>
      </c>
      <c r="AG4" s="27">
        <f t="shared" si="0"/>
        <v>46457</v>
      </c>
      <c r="AH4" s="28">
        <f t="shared" si="0"/>
        <v>46458</v>
      </c>
      <c r="AI4" s="21">
        <f t="shared" si="0"/>
        <v>46461</v>
      </c>
      <c r="AJ4" s="23">
        <f t="shared" si="0"/>
        <v>46462</v>
      </c>
      <c r="AK4" s="23">
        <f t="shared" si="0"/>
        <v>46463</v>
      </c>
      <c r="AL4" s="23">
        <f t="shared" si="0"/>
        <v>46464</v>
      </c>
      <c r="AM4" s="24">
        <f t="shared" si="0"/>
        <v>46465</v>
      </c>
      <c r="AN4" s="25">
        <f t="shared" si="0"/>
        <v>46468</v>
      </c>
      <c r="AO4" s="27">
        <f t="shared" si="0"/>
        <v>46469</v>
      </c>
      <c r="AP4" s="27">
        <f t="shared" si="0"/>
        <v>46470</v>
      </c>
      <c r="AQ4" s="27">
        <f t="shared" si="0"/>
        <v>46471</v>
      </c>
      <c r="AR4" s="28">
        <f t="shared" si="0"/>
        <v>46472</v>
      </c>
      <c r="AS4" s="21">
        <f t="shared" si="0"/>
        <v>46475</v>
      </c>
      <c r="AT4" s="23">
        <f t="shared" si="0"/>
        <v>46476</v>
      </c>
      <c r="AU4" s="23">
        <f t="shared" si="0"/>
        <v>46477</v>
      </c>
      <c r="AV4" s="23">
        <f t="shared" si="0"/>
        <v>46478</v>
      </c>
      <c r="AW4" s="29">
        <f t="shared" si="0"/>
        <v>46479</v>
      </c>
      <c r="AX4" s="25">
        <f t="shared" si="0"/>
        <v>46482</v>
      </c>
      <c r="AY4" s="27">
        <f t="shared" si="0"/>
        <v>46483</v>
      </c>
      <c r="AZ4" s="27">
        <f t="shared" si="0"/>
        <v>46484</v>
      </c>
      <c r="BA4" s="27">
        <f t="shared" si="0"/>
        <v>46485</v>
      </c>
      <c r="BB4" s="30">
        <f t="shared" si="0"/>
        <v>46486</v>
      </c>
      <c r="BC4" s="21">
        <f t="shared" si="0"/>
        <v>46489</v>
      </c>
      <c r="BD4" s="23">
        <f t="shared" si="0"/>
        <v>46490</v>
      </c>
      <c r="BE4" s="23">
        <f t="shared" si="0"/>
        <v>46491</v>
      </c>
      <c r="BF4" s="23">
        <f t="shared" si="0"/>
        <v>46492</v>
      </c>
      <c r="BG4" s="29">
        <f t="shared" si="0"/>
        <v>46493</v>
      </c>
      <c r="BH4" s="25">
        <f t="shared" si="0"/>
        <v>46496</v>
      </c>
      <c r="BI4" s="27">
        <f t="shared" si="0"/>
        <v>46497</v>
      </c>
      <c r="BJ4" s="27">
        <f t="shared" si="0"/>
        <v>46498</v>
      </c>
      <c r="BK4" s="27">
        <f t="shared" si="0"/>
        <v>46499</v>
      </c>
      <c r="BL4" s="30">
        <f t="shared" si="0"/>
        <v>46500</v>
      </c>
      <c r="BM4" s="21">
        <f t="shared" si="0"/>
        <v>46503</v>
      </c>
      <c r="BN4" s="23">
        <f t="shared" si="0"/>
        <v>46504</v>
      </c>
      <c r="BO4" s="23">
        <f t="shared" si="0"/>
        <v>46505</v>
      </c>
      <c r="BP4" s="23">
        <f t="shared" si="0"/>
        <v>46506</v>
      </c>
      <c r="BQ4" s="29">
        <f t="shared" si="0"/>
        <v>46507</v>
      </c>
      <c r="BR4" s="25">
        <f t="shared" ref="BR4:DE4" si="1">BR5</f>
        <v>46510</v>
      </c>
      <c r="BS4" s="27">
        <f t="shared" si="1"/>
        <v>46511</v>
      </c>
      <c r="BT4" s="27">
        <f t="shared" si="1"/>
        <v>46512</v>
      </c>
      <c r="BU4" s="27">
        <f t="shared" si="1"/>
        <v>46513</v>
      </c>
      <c r="BV4" s="30">
        <f t="shared" si="1"/>
        <v>46514</v>
      </c>
      <c r="BW4" s="21">
        <f t="shared" si="1"/>
        <v>46517</v>
      </c>
      <c r="BX4" s="23">
        <f t="shared" si="1"/>
        <v>46518</v>
      </c>
      <c r="BY4" s="23">
        <f t="shared" si="1"/>
        <v>46519</v>
      </c>
      <c r="BZ4" s="23">
        <f t="shared" si="1"/>
        <v>46520</v>
      </c>
      <c r="CA4" s="29">
        <f t="shared" si="1"/>
        <v>46521</v>
      </c>
      <c r="CB4" s="25">
        <f t="shared" si="1"/>
        <v>46524</v>
      </c>
      <c r="CC4" s="27">
        <f t="shared" si="1"/>
        <v>46525</v>
      </c>
      <c r="CD4" s="27">
        <f t="shared" si="1"/>
        <v>46526</v>
      </c>
      <c r="CE4" s="27">
        <f t="shared" si="1"/>
        <v>46527</v>
      </c>
      <c r="CF4" s="30">
        <f t="shared" si="1"/>
        <v>46528</v>
      </c>
      <c r="CG4" s="21">
        <f t="shared" si="1"/>
        <v>46531</v>
      </c>
      <c r="CH4" s="23">
        <f t="shared" si="1"/>
        <v>46532</v>
      </c>
      <c r="CI4" s="23">
        <f t="shared" si="1"/>
        <v>46533</v>
      </c>
      <c r="CJ4" s="23">
        <f t="shared" si="1"/>
        <v>46534</v>
      </c>
      <c r="CK4" s="29">
        <f t="shared" si="1"/>
        <v>46535</v>
      </c>
      <c r="CL4" s="25">
        <f t="shared" si="1"/>
        <v>46538</v>
      </c>
      <c r="CM4" s="27">
        <f t="shared" si="1"/>
        <v>46539</v>
      </c>
      <c r="CN4" s="27">
        <f t="shared" si="1"/>
        <v>46540</v>
      </c>
      <c r="CO4" s="27">
        <f t="shared" si="1"/>
        <v>46541</v>
      </c>
      <c r="CP4" s="30">
        <f t="shared" si="1"/>
        <v>46542</v>
      </c>
      <c r="CQ4" s="21">
        <f t="shared" si="1"/>
        <v>46545</v>
      </c>
      <c r="CR4" s="23">
        <f t="shared" si="1"/>
        <v>46546</v>
      </c>
      <c r="CS4" s="23">
        <f t="shared" si="1"/>
        <v>46547</v>
      </c>
      <c r="CT4" s="23">
        <f t="shared" si="1"/>
        <v>46548</v>
      </c>
      <c r="CU4" s="24">
        <f t="shared" si="1"/>
        <v>46549</v>
      </c>
      <c r="CV4" s="25">
        <f t="shared" si="1"/>
        <v>46552</v>
      </c>
      <c r="CW4" s="27">
        <f t="shared" si="1"/>
        <v>46553</v>
      </c>
      <c r="CX4" s="27">
        <f t="shared" si="1"/>
        <v>46554</v>
      </c>
      <c r="CY4" s="27">
        <f t="shared" si="1"/>
        <v>46555</v>
      </c>
      <c r="CZ4" s="28">
        <f t="shared" si="1"/>
        <v>46556</v>
      </c>
      <c r="DA4" s="21">
        <f t="shared" si="1"/>
        <v>46559</v>
      </c>
      <c r="DB4" s="23">
        <f t="shared" si="1"/>
        <v>46560</v>
      </c>
      <c r="DC4" s="23">
        <f t="shared" si="1"/>
        <v>46561</v>
      </c>
      <c r="DD4" s="23">
        <f t="shared" si="1"/>
        <v>46562</v>
      </c>
      <c r="DE4" s="24">
        <f t="shared" si="1"/>
        <v>46563</v>
      </c>
    </row>
    <row r="5" spans="1:165" s="135" customFormat="1" ht="17" thickBot="1" x14ac:dyDescent="0.25">
      <c r="B5" s="473"/>
      <c r="C5" s="474"/>
      <c r="D5" s="475"/>
      <c r="E5" s="31">
        <f>Data!M2</f>
        <v>46419</v>
      </c>
      <c r="F5" s="32">
        <f>E5+1</f>
        <v>46420</v>
      </c>
      <c r="G5" s="33">
        <f>F5+1</f>
        <v>46421</v>
      </c>
      <c r="H5" s="33">
        <f>G5+1</f>
        <v>46422</v>
      </c>
      <c r="I5" s="34">
        <f>H5+1</f>
        <v>46423</v>
      </c>
      <c r="J5" s="35">
        <f>I5+3</f>
        <v>46426</v>
      </c>
      <c r="K5" s="36">
        <f>J5+1</f>
        <v>46427</v>
      </c>
      <c r="L5" s="37">
        <f>K5+1</f>
        <v>46428</v>
      </c>
      <c r="M5" s="37">
        <f>L5+1</f>
        <v>46429</v>
      </c>
      <c r="N5" s="38">
        <f>M5+1</f>
        <v>46430</v>
      </c>
      <c r="O5" s="31">
        <f>N5+3</f>
        <v>46433</v>
      </c>
      <c r="P5" s="32">
        <f>O5+1</f>
        <v>46434</v>
      </c>
      <c r="Q5" s="33">
        <f>P5+1</f>
        <v>46435</v>
      </c>
      <c r="R5" s="33">
        <f>Q5+1</f>
        <v>46436</v>
      </c>
      <c r="S5" s="34">
        <f>R5+1</f>
        <v>46437</v>
      </c>
      <c r="T5" s="35">
        <f>S5+3</f>
        <v>46440</v>
      </c>
      <c r="U5" s="37">
        <f>T5+1</f>
        <v>46441</v>
      </c>
      <c r="V5" s="37">
        <f>U5+1</f>
        <v>46442</v>
      </c>
      <c r="W5" s="37">
        <f>V5+1</f>
        <v>46443</v>
      </c>
      <c r="X5" s="38">
        <f>W5+1</f>
        <v>46444</v>
      </c>
      <c r="Y5" s="31">
        <f>X5+3</f>
        <v>46447</v>
      </c>
      <c r="Z5" s="33">
        <f>Y5+1</f>
        <v>46448</v>
      </c>
      <c r="AA5" s="33">
        <f>Z5+1</f>
        <v>46449</v>
      </c>
      <c r="AB5" s="33">
        <f>AA5+1</f>
        <v>46450</v>
      </c>
      <c r="AC5" s="34">
        <f>AB5+1</f>
        <v>46451</v>
      </c>
      <c r="AD5" s="35">
        <f>AC5+3</f>
        <v>46454</v>
      </c>
      <c r="AE5" s="37">
        <f>AD5+1</f>
        <v>46455</v>
      </c>
      <c r="AF5" s="37">
        <f>AE5+1</f>
        <v>46456</v>
      </c>
      <c r="AG5" s="37">
        <f>AF5+1</f>
        <v>46457</v>
      </c>
      <c r="AH5" s="38">
        <f>AG5+1</f>
        <v>46458</v>
      </c>
      <c r="AI5" s="31">
        <f>AH5+3</f>
        <v>46461</v>
      </c>
      <c r="AJ5" s="33">
        <f>AI5+1</f>
        <v>46462</v>
      </c>
      <c r="AK5" s="33">
        <f>AJ5+1</f>
        <v>46463</v>
      </c>
      <c r="AL5" s="33">
        <f>AK5+1</f>
        <v>46464</v>
      </c>
      <c r="AM5" s="34">
        <f>AL5+1</f>
        <v>46465</v>
      </c>
      <c r="AN5" s="35">
        <f>AM5+3</f>
        <v>46468</v>
      </c>
      <c r="AO5" s="37">
        <f>AN5+1</f>
        <v>46469</v>
      </c>
      <c r="AP5" s="37">
        <f>AO5+1</f>
        <v>46470</v>
      </c>
      <c r="AQ5" s="37">
        <f>AP5+1</f>
        <v>46471</v>
      </c>
      <c r="AR5" s="38">
        <f>AQ5+1</f>
        <v>46472</v>
      </c>
      <c r="AS5" s="31">
        <f>AR5+3</f>
        <v>46475</v>
      </c>
      <c r="AT5" s="33">
        <f>AS5+1</f>
        <v>46476</v>
      </c>
      <c r="AU5" s="33">
        <f>AT5+1</f>
        <v>46477</v>
      </c>
      <c r="AV5" s="33">
        <f>AU5+1</f>
        <v>46478</v>
      </c>
      <c r="AW5" s="39">
        <f>AV5+1</f>
        <v>46479</v>
      </c>
      <c r="AX5" s="35">
        <f>AW5+3</f>
        <v>46482</v>
      </c>
      <c r="AY5" s="37">
        <f>AX5+1</f>
        <v>46483</v>
      </c>
      <c r="AZ5" s="37">
        <f>AY5+1</f>
        <v>46484</v>
      </c>
      <c r="BA5" s="37">
        <f>AZ5+1</f>
        <v>46485</v>
      </c>
      <c r="BB5" s="40">
        <f>BA5+1</f>
        <v>46486</v>
      </c>
      <c r="BC5" s="31">
        <f>BB5+3</f>
        <v>46489</v>
      </c>
      <c r="BD5" s="33">
        <f>BC5+1</f>
        <v>46490</v>
      </c>
      <c r="BE5" s="33">
        <f>BD5+1</f>
        <v>46491</v>
      </c>
      <c r="BF5" s="33">
        <f>BE5+1</f>
        <v>46492</v>
      </c>
      <c r="BG5" s="39">
        <f>BF5+1</f>
        <v>46493</v>
      </c>
      <c r="BH5" s="35">
        <f>BG5+3</f>
        <v>46496</v>
      </c>
      <c r="BI5" s="37">
        <f>BH5+1</f>
        <v>46497</v>
      </c>
      <c r="BJ5" s="37">
        <f>BI5+1</f>
        <v>46498</v>
      </c>
      <c r="BK5" s="37">
        <f>BJ5+1</f>
        <v>46499</v>
      </c>
      <c r="BL5" s="40">
        <f>BK5+1</f>
        <v>46500</v>
      </c>
      <c r="BM5" s="31">
        <f>BL5+3</f>
        <v>46503</v>
      </c>
      <c r="BN5" s="33">
        <f>BM5+1</f>
        <v>46504</v>
      </c>
      <c r="BO5" s="33">
        <f>BN5+1</f>
        <v>46505</v>
      </c>
      <c r="BP5" s="33">
        <f>BO5+1</f>
        <v>46506</v>
      </c>
      <c r="BQ5" s="39">
        <f>BP5+1</f>
        <v>46507</v>
      </c>
      <c r="BR5" s="35">
        <f>BQ5+3</f>
        <v>46510</v>
      </c>
      <c r="BS5" s="37">
        <f>BR5+1</f>
        <v>46511</v>
      </c>
      <c r="BT5" s="37">
        <f>BS5+1</f>
        <v>46512</v>
      </c>
      <c r="BU5" s="37">
        <f>BT5+1</f>
        <v>46513</v>
      </c>
      <c r="BV5" s="40">
        <f>BU5+1</f>
        <v>46514</v>
      </c>
      <c r="BW5" s="31">
        <f>BV5+3</f>
        <v>46517</v>
      </c>
      <c r="BX5" s="33">
        <f>BW5+1</f>
        <v>46518</v>
      </c>
      <c r="BY5" s="33">
        <f>BX5+1</f>
        <v>46519</v>
      </c>
      <c r="BZ5" s="33">
        <f>BY5+1</f>
        <v>46520</v>
      </c>
      <c r="CA5" s="39">
        <f>BZ5+1</f>
        <v>46521</v>
      </c>
      <c r="CB5" s="35">
        <f>CA5+3</f>
        <v>46524</v>
      </c>
      <c r="CC5" s="37">
        <f>CB5+1</f>
        <v>46525</v>
      </c>
      <c r="CD5" s="37">
        <f>CC5+1</f>
        <v>46526</v>
      </c>
      <c r="CE5" s="37">
        <f>CD5+1</f>
        <v>46527</v>
      </c>
      <c r="CF5" s="40">
        <f>CE5+1</f>
        <v>46528</v>
      </c>
      <c r="CG5" s="31">
        <f>CF5+3</f>
        <v>46531</v>
      </c>
      <c r="CH5" s="33">
        <f>CG5+1</f>
        <v>46532</v>
      </c>
      <c r="CI5" s="33">
        <f>CH5+1</f>
        <v>46533</v>
      </c>
      <c r="CJ5" s="33">
        <f>CI5+1</f>
        <v>46534</v>
      </c>
      <c r="CK5" s="39">
        <f>CJ5+1</f>
        <v>46535</v>
      </c>
      <c r="CL5" s="35">
        <f>CK5+3</f>
        <v>46538</v>
      </c>
      <c r="CM5" s="37">
        <f>CL5+1</f>
        <v>46539</v>
      </c>
      <c r="CN5" s="37">
        <f>CM5+1</f>
        <v>46540</v>
      </c>
      <c r="CO5" s="37">
        <f>CN5+1</f>
        <v>46541</v>
      </c>
      <c r="CP5" s="40">
        <f>CO5+1</f>
        <v>46542</v>
      </c>
      <c r="CQ5" s="31">
        <f>CP5+3</f>
        <v>46545</v>
      </c>
      <c r="CR5" s="33">
        <f>CQ5+1</f>
        <v>46546</v>
      </c>
      <c r="CS5" s="33">
        <f>CR5+1</f>
        <v>46547</v>
      </c>
      <c r="CT5" s="33">
        <f>CS5+1</f>
        <v>46548</v>
      </c>
      <c r="CU5" s="34">
        <f>CT5+1</f>
        <v>46549</v>
      </c>
      <c r="CV5" s="35">
        <f>CU5+3</f>
        <v>46552</v>
      </c>
      <c r="CW5" s="37">
        <f>CV5+1</f>
        <v>46553</v>
      </c>
      <c r="CX5" s="37">
        <f>CW5+1</f>
        <v>46554</v>
      </c>
      <c r="CY5" s="37">
        <f>CX5+1</f>
        <v>46555</v>
      </c>
      <c r="CZ5" s="38">
        <f>CY5+1</f>
        <v>46556</v>
      </c>
      <c r="DA5" s="31">
        <f>CZ5+3</f>
        <v>46559</v>
      </c>
      <c r="DB5" s="33">
        <f>DA5+1</f>
        <v>46560</v>
      </c>
      <c r="DC5" s="33">
        <f>DB5+1</f>
        <v>46561</v>
      </c>
      <c r="DD5" s="33">
        <f>DC5+1</f>
        <v>46562</v>
      </c>
      <c r="DE5" s="34">
        <f>DD5+1</f>
        <v>46563</v>
      </c>
    </row>
    <row r="6" spans="1:165" s="138" customFormat="1" ht="17" thickBot="1" x14ac:dyDescent="0.25">
      <c r="A6" s="134"/>
      <c r="B6" s="457"/>
      <c r="C6" s="457"/>
      <c r="D6" s="45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6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5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</row>
    <row r="7" spans="1:165" x14ac:dyDescent="0.2">
      <c r="B7" s="458" t="s">
        <v>7</v>
      </c>
      <c r="C7" s="459"/>
      <c r="D7" s="460"/>
      <c r="E7" s="81" t="s">
        <v>8</v>
      </c>
      <c r="F7" s="42" t="s">
        <v>9</v>
      </c>
      <c r="G7" s="42" t="s">
        <v>10</v>
      </c>
      <c r="H7" s="42"/>
      <c r="I7" s="43"/>
      <c r="J7" s="77" t="s">
        <v>9</v>
      </c>
      <c r="K7" s="62" t="s">
        <v>11</v>
      </c>
      <c r="L7" s="234"/>
      <c r="M7" s="62"/>
      <c r="N7" s="44"/>
      <c r="O7" s="41" t="s">
        <v>12</v>
      </c>
      <c r="P7" s="42" t="s">
        <v>12</v>
      </c>
      <c r="Q7" s="42" t="s">
        <v>12</v>
      </c>
      <c r="R7" s="42"/>
      <c r="S7" s="43"/>
      <c r="T7" s="77" t="s">
        <v>8</v>
      </c>
      <c r="U7" s="62" t="s">
        <v>11</v>
      </c>
      <c r="V7" s="234"/>
      <c r="W7" s="62"/>
      <c r="X7" s="44"/>
      <c r="Y7" s="41" t="s">
        <v>9</v>
      </c>
      <c r="Z7" s="42" t="s">
        <v>11</v>
      </c>
      <c r="AA7" s="42" t="s">
        <v>9</v>
      </c>
      <c r="AB7" s="42"/>
      <c r="AC7" s="43"/>
      <c r="AD7" s="77" t="s">
        <v>9</v>
      </c>
      <c r="AE7" s="62" t="s">
        <v>10</v>
      </c>
      <c r="AF7" s="234"/>
      <c r="AG7" s="62"/>
      <c r="AH7" s="44"/>
      <c r="AI7" s="41" t="s">
        <v>12</v>
      </c>
      <c r="AJ7" s="42" t="s">
        <v>12</v>
      </c>
      <c r="AK7" s="200"/>
      <c r="AL7" s="42" t="s">
        <v>12</v>
      </c>
      <c r="AM7" s="43" t="s">
        <v>12</v>
      </c>
      <c r="AN7" s="219"/>
      <c r="AO7" s="200"/>
      <c r="AP7" s="200"/>
      <c r="AQ7" s="200"/>
      <c r="AR7" s="209"/>
      <c r="AS7" s="41" t="s">
        <v>12</v>
      </c>
      <c r="AT7" s="42"/>
      <c r="AU7" s="234"/>
      <c r="AV7" s="42"/>
      <c r="AW7" s="43"/>
      <c r="AX7" s="77" t="s">
        <v>8</v>
      </c>
      <c r="AY7" s="62" t="s">
        <v>11</v>
      </c>
      <c r="AZ7" s="62" t="s">
        <v>13</v>
      </c>
      <c r="BA7" s="62"/>
      <c r="BB7" s="44"/>
      <c r="BC7" s="41" t="s">
        <v>11</v>
      </c>
      <c r="BD7" s="42" t="s">
        <v>13</v>
      </c>
      <c r="BE7" s="200"/>
      <c r="BF7" s="42"/>
      <c r="BG7" s="43"/>
      <c r="BH7" s="77" t="s">
        <v>13</v>
      </c>
      <c r="BI7" s="62" t="s">
        <v>13</v>
      </c>
      <c r="BJ7" s="62" t="s">
        <v>11</v>
      </c>
      <c r="BK7" s="200"/>
      <c r="BL7" s="209"/>
      <c r="BM7" s="41" t="s">
        <v>11</v>
      </c>
      <c r="BN7" s="42" t="s">
        <v>13</v>
      </c>
      <c r="BO7" s="234"/>
      <c r="BP7" s="42"/>
      <c r="BQ7" s="43"/>
      <c r="BR7" s="77" t="s">
        <v>8</v>
      </c>
      <c r="BS7" s="62" t="s">
        <v>12</v>
      </c>
      <c r="BT7" s="62" t="s">
        <v>12</v>
      </c>
      <c r="BU7" s="62" t="s">
        <v>12</v>
      </c>
      <c r="BV7" s="44" t="s">
        <v>12</v>
      </c>
      <c r="BW7" s="41"/>
      <c r="BX7" s="42"/>
      <c r="BY7" s="234"/>
      <c r="BZ7" s="42"/>
      <c r="CA7" s="43"/>
      <c r="CB7" s="77" t="s">
        <v>8</v>
      </c>
      <c r="CC7" s="62" t="s">
        <v>12</v>
      </c>
      <c r="CD7" s="62" t="s">
        <v>12</v>
      </c>
      <c r="CE7" s="62" t="s">
        <v>12</v>
      </c>
      <c r="CF7" s="44" t="s">
        <v>12</v>
      </c>
      <c r="CG7" s="41" t="s">
        <v>12</v>
      </c>
      <c r="CH7" s="42" t="s">
        <v>12</v>
      </c>
      <c r="CI7" s="42" t="s">
        <v>12</v>
      </c>
      <c r="CJ7" s="42" t="s">
        <v>12</v>
      </c>
      <c r="CK7" s="43" t="s">
        <v>12</v>
      </c>
      <c r="CL7" s="219"/>
      <c r="CM7" s="200"/>
      <c r="CN7" s="200"/>
      <c r="CO7" s="200"/>
      <c r="CP7" s="209"/>
      <c r="CQ7" s="223"/>
      <c r="CR7" s="200"/>
      <c r="CS7" s="200"/>
      <c r="CT7" s="200"/>
      <c r="CU7" s="224"/>
      <c r="CV7" s="77" t="s">
        <v>14</v>
      </c>
      <c r="CW7" s="62"/>
      <c r="CX7" s="62" t="s">
        <v>14</v>
      </c>
      <c r="CY7" s="62"/>
      <c r="CZ7" s="44" t="s">
        <v>14</v>
      </c>
      <c r="DA7" s="41"/>
      <c r="DB7" s="42"/>
      <c r="DC7" s="42"/>
      <c r="DD7" s="42"/>
      <c r="DE7" s="43"/>
    </row>
    <row r="8" spans="1:165" x14ac:dyDescent="0.2">
      <c r="B8" s="48" t="s">
        <v>15</v>
      </c>
      <c r="C8" s="82"/>
      <c r="D8" s="49"/>
      <c r="E8" s="214" t="s">
        <v>8</v>
      </c>
      <c r="F8" s="51" t="s">
        <v>9</v>
      </c>
      <c r="G8" s="51" t="s">
        <v>10</v>
      </c>
      <c r="H8" s="51"/>
      <c r="I8" s="52"/>
      <c r="J8" s="69" t="s">
        <v>9</v>
      </c>
      <c r="K8" s="64" t="s">
        <v>11</v>
      </c>
      <c r="L8" s="235"/>
      <c r="M8" s="64"/>
      <c r="N8" s="53"/>
      <c r="O8" s="50" t="s">
        <v>12</v>
      </c>
      <c r="P8" s="51" t="s">
        <v>12</v>
      </c>
      <c r="Q8" s="51" t="s">
        <v>12</v>
      </c>
      <c r="R8" s="51"/>
      <c r="S8" s="52"/>
      <c r="T8" s="69" t="s">
        <v>8</v>
      </c>
      <c r="U8" s="64" t="s">
        <v>11</v>
      </c>
      <c r="V8" s="235"/>
      <c r="W8" s="64"/>
      <c r="X8" s="53"/>
      <c r="Y8" s="50" t="s">
        <v>9</v>
      </c>
      <c r="Z8" s="51" t="s">
        <v>11</v>
      </c>
      <c r="AA8" s="51" t="s">
        <v>9</v>
      </c>
      <c r="AB8" s="51"/>
      <c r="AC8" s="52"/>
      <c r="AD8" s="69" t="s">
        <v>9</v>
      </c>
      <c r="AE8" s="64" t="s">
        <v>10</v>
      </c>
      <c r="AF8" s="235"/>
      <c r="AG8" s="64"/>
      <c r="AH8" s="53"/>
      <c r="AI8" s="50" t="s">
        <v>12</v>
      </c>
      <c r="AJ8" s="51" t="s">
        <v>12</v>
      </c>
      <c r="AK8" s="201"/>
      <c r="AL8" s="51" t="s">
        <v>12</v>
      </c>
      <c r="AM8" s="52" t="s">
        <v>12</v>
      </c>
      <c r="AN8" s="220"/>
      <c r="AO8" s="201"/>
      <c r="AP8" s="201"/>
      <c r="AQ8" s="201"/>
      <c r="AR8" s="210"/>
      <c r="AS8" s="50" t="s">
        <v>12</v>
      </c>
      <c r="AT8" s="51"/>
      <c r="AU8" s="235"/>
      <c r="AV8" s="51"/>
      <c r="AW8" s="52"/>
      <c r="AX8" s="69" t="s">
        <v>8</v>
      </c>
      <c r="AY8" s="64" t="s">
        <v>11</v>
      </c>
      <c r="AZ8" s="64" t="s">
        <v>13</v>
      </c>
      <c r="BA8" s="64"/>
      <c r="BB8" s="53"/>
      <c r="BC8" s="50" t="s">
        <v>11</v>
      </c>
      <c r="BD8" s="51" t="s">
        <v>13</v>
      </c>
      <c r="BE8" s="201"/>
      <c r="BF8" s="51"/>
      <c r="BG8" s="52"/>
      <c r="BH8" s="69" t="s">
        <v>13</v>
      </c>
      <c r="BI8" s="64" t="s">
        <v>13</v>
      </c>
      <c r="BJ8" s="64" t="s">
        <v>11</v>
      </c>
      <c r="BK8" s="201"/>
      <c r="BL8" s="210"/>
      <c r="BM8" s="50" t="s">
        <v>11</v>
      </c>
      <c r="BN8" s="51" t="s">
        <v>13</v>
      </c>
      <c r="BO8" s="235"/>
      <c r="BP8" s="51"/>
      <c r="BQ8" s="52"/>
      <c r="BR8" s="69" t="s">
        <v>8</v>
      </c>
      <c r="BS8" s="64" t="s">
        <v>12</v>
      </c>
      <c r="BT8" s="64" t="s">
        <v>12</v>
      </c>
      <c r="BU8" s="64" t="s">
        <v>12</v>
      </c>
      <c r="BV8" s="53" t="s">
        <v>12</v>
      </c>
      <c r="BW8" s="50"/>
      <c r="BX8" s="51"/>
      <c r="BY8" s="235"/>
      <c r="BZ8" s="51"/>
      <c r="CA8" s="52"/>
      <c r="CB8" s="69" t="s">
        <v>8</v>
      </c>
      <c r="CC8" s="64" t="s">
        <v>12</v>
      </c>
      <c r="CD8" s="64" t="s">
        <v>12</v>
      </c>
      <c r="CE8" s="64" t="s">
        <v>12</v>
      </c>
      <c r="CF8" s="53" t="s">
        <v>12</v>
      </c>
      <c r="CG8" s="50" t="s">
        <v>12</v>
      </c>
      <c r="CH8" s="51" t="s">
        <v>12</v>
      </c>
      <c r="CI8" s="51" t="s">
        <v>12</v>
      </c>
      <c r="CJ8" s="51" t="s">
        <v>12</v>
      </c>
      <c r="CK8" s="52" t="s">
        <v>12</v>
      </c>
      <c r="CL8" s="220"/>
      <c r="CM8" s="201"/>
      <c r="CN8" s="201"/>
      <c r="CO8" s="201"/>
      <c r="CP8" s="210"/>
      <c r="CQ8" s="225"/>
      <c r="CR8" s="201"/>
      <c r="CS8" s="201"/>
      <c r="CT8" s="201"/>
      <c r="CU8" s="226"/>
      <c r="CV8" s="69" t="s">
        <v>14</v>
      </c>
      <c r="CW8" s="64"/>
      <c r="CX8" s="64" t="s">
        <v>14</v>
      </c>
      <c r="CY8" s="64"/>
      <c r="CZ8" s="53" t="s">
        <v>14</v>
      </c>
      <c r="DA8" s="50"/>
      <c r="DB8" s="51"/>
      <c r="DC8" s="51"/>
      <c r="DD8" s="51"/>
      <c r="DE8" s="52"/>
    </row>
    <row r="9" spans="1:165" x14ac:dyDescent="0.2">
      <c r="B9" s="448" t="s">
        <v>16</v>
      </c>
      <c r="C9" s="449"/>
      <c r="D9" s="450"/>
      <c r="E9" s="57" t="s">
        <v>8</v>
      </c>
      <c r="F9" s="51" t="s">
        <v>9</v>
      </c>
      <c r="G9" s="51" t="s">
        <v>10</v>
      </c>
      <c r="H9" s="51"/>
      <c r="I9" s="52"/>
      <c r="J9" s="69" t="s">
        <v>9</v>
      </c>
      <c r="K9" s="64" t="s">
        <v>11</v>
      </c>
      <c r="L9" s="235"/>
      <c r="M9" s="64"/>
      <c r="N9" s="45"/>
      <c r="O9" s="54" t="s">
        <v>12</v>
      </c>
      <c r="P9" s="51" t="s">
        <v>12</v>
      </c>
      <c r="Q9" s="51" t="s">
        <v>12</v>
      </c>
      <c r="R9" s="51"/>
      <c r="S9" s="52"/>
      <c r="T9" s="69" t="s">
        <v>8</v>
      </c>
      <c r="U9" s="64" t="s">
        <v>11</v>
      </c>
      <c r="V9" s="235"/>
      <c r="W9" s="64"/>
      <c r="X9" s="45"/>
      <c r="Y9" s="54" t="s">
        <v>9</v>
      </c>
      <c r="Z9" s="51" t="s">
        <v>11</v>
      </c>
      <c r="AA9" s="51" t="s">
        <v>9</v>
      </c>
      <c r="AB9" s="51"/>
      <c r="AC9" s="52"/>
      <c r="AD9" s="69" t="s">
        <v>9</v>
      </c>
      <c r="AE9" s="64" t="s">
        <v>10</v>
      </c>
      <c r="AF9" s="235"/>
      <c r="AG9" s="64"/>
      <c r="AH9" s="45"/>
      <c r="AI9" s="54" t="s">
        <v>12</v>
      </c>
      <c r="AJ9" s="51" t="s">
        <v>12</v>
      </c>
      <c r="AK9" s="201"/>
      <c r="AL9" s="51" t="s">
        <v>12</v>
      </c>
      <c r="AM9" s="52" t="s">
        <v>12</v>
      </c>
      <c r="AN9" s="220"/>
      <c r="AO9" s="201"/>
      <c r="AP9" s="201"/>
      <c r="AQ9" s="201"/>
      <c r="AR9" s="211"/>
      <c r="AS9" s="54" t="s">
        <v>12</v>
      </c>
      <c r="AT9" s="51"/>
      <c r="AU9" s="235"/>
      <c r="AV9" s="51"/>
      <c r="AW9" s="52"/>
      <c r="AX9" s="69" t="s">
        <v>8</v>
      </c>
      <c r="AY9" s="64" t="s">
        <v>11</v>
      </c>
      <c r="AZ9" s="64" t="s">
        <v>13</v>
      </c>
      <c r="BA9" s="64"/>
      <c r="BB9" s="45"/>
      <c r="BC9" s="54" t="s">
        <v>11</v>
      </c>
      <c r="BD9" s="51" t="s">
        <v>13</v>
      </c>
      <c r="BE9" s="201"/>
      <c r="BF9" s="51"/>
      <c r="BG9" s="52"/>
      <c r="BH9" s="69" t="s">
        <v>13</v>
      </c>
      <c r="BI9" s="64" t="s">
        <v>13</v>
      </c>
      <c r="BJ9" s="64" t="s">
        <v>11</v>
      </c>
      <c r="BK9" s="201"/>
      <c r="BL9" s="211"/>
      <c r="BM9" s="54" t="s">
        <v>11</v>
      </c>
      <c r="BN9" s="51" t="s">
        <v>13</v>
      </c>
      <c r="BO9" s="235"/>
      <c r="BP9" s="51"/>
      <c r="BQ9" s="52"/>
      <c r="BR9" s="69" t="s">
        <v>8</v>
      </c>
      <c r="BS9" s="64" t="s">
        <v>12</v>
      </c>
      <c r="BT9" s="64" t="s">
        <v>12</v>
      </c>
      <c r="BU9" s="64" t="s">
        <v>12</v>
      </c>
      <c r="BV9" s="45" t="s">
        <v>12</v>
      </c>
      <c r="BW9" s="54"/>
      <c r="BX9" s="51"/>
      <c r="BY9" s="235"/>
      <c r="BZ9" s="51"/>
      <c r="CA9" s="52"/>
      <c r="CB9" s="69" t="s">
        <v>8</v>
      </c>
      <c r="CC9" s="64" t="s">
        <v>12</v>
      </c>
      <c r="CD9" s="64" t="s">
        <v>12</v>
      </c>
      <c r="CE9" s="64" t="s">
        <v>12</v>
      </c>
      <c r="CF9" s="45" t="s">
        <v>12</v>
      </c>
      <c r="CG9" s="54" t="s">
        <v>12</v>
      </c>
      <c r="CH9" s="51" t="s">
        <v>12</v>
      </c>
      <c r="CI9" s="51" t="s">
        <v>12</v>
      </c>
      <c r="CJ9" s="51" t="s">
        <v>12</v>
      </c>
      <c r="CK9" s="52" t="s">
        <v>12</v>
      </c>
      <c r="CL9" s="220"/>
      <c r="CM9" s="201"/>
      <c r="CN9" s="201"/>
      <c r="CO9" s="201"/>
      <c r="CP9" s="211"/>
      <c r="CQ9" s="227"/>
      <c r="CR9" s="201"/>
      <c r="CS9" s="201"/>
      <c r="CT9" s="201"/>
      <c r="CU9" s="226"/>
      <c r="CV9" s="69" t="s">
        <v>14</v>
      </c>
      <c r="CW9" s="64"/>
      <c r="CX9" s="64" t="s">
        <v>14</v>
      </c>
      <c r="CY9" s="64"/>
      <c r="CZ9" s="45" t="s">
        <v>14</v>
      </c>
      <c r="DA9" s="54"/>
      <c r="DB9" s="51"/>
      <c r="DC9" s="51"/>
      <c r="DD9" s="51"/>
      <c r="DE9" s="52"/>
    </row>
    <row r="10" spans="1:165" ht="17" thickBot="1" x14ac:dyDescent="0.25">
      <c r="B10" s="448" t="s">
        <v>17</v>
      </c>
      <c r="C10" s="449"/>
      <c r="D10" s="450"/>
      <c r="E10" s="57" t="s">
        <v>8</v>
      </c>
      <c r="F10" s="51" t="s">
        <v>9</v>
      </c>
      <c r="G10" s="51" t="s">
        <v>10</v>
      </c>
      <c r="H10" s="51"/>
      <c r="I10" s="52"/>
      <c r="J10" s="69" t="s">
        <v>9</v>
      </c>
      <c r="K10" s="64" t="s">
        <v>11</v>
      </c>
      <c r="L10" s="235"/>
      <c r="M10" s="64"/>
      <c r="N10" s="45"/>
      <c r="O10" s="54" t="s">
        <v>12</v>
      </c>
      <c r="P10" s="51" t="s">
        <v>12</v>
      </c>
      <c r="Q10" s="51" t="s">
        <v>12</v>
      </c>
      <c r="R10" s="51"/>
      <c r="S10" s="52"/>
      <c r="T10" s="69" t="s">
        <v>8</v>
      </c>
      <c r="U10" s="64" t="s">
        <v>11</v>
      </c>
      <c r="V10" s="235"/>
      <c r="W10" s="64"/>
      <c r="X10" s="45"/>
      <c r="Y10" s="54" t="s">
        <v>9</v>
      </c>
      <c r="Z10" s="51" t="s">
        <v>11</v>
      </c>
      <c r="AA10" s="51" t="s">
        <v>9</v>
      </c>
      <c r="AB10" s="51"/>
      <c r="AC10" s="52"/>
      <c r="AD10" s="69" t="s">
        <v>9</v>
      </c>
      <c r="AE10" s="64" t="s">
        <v>10</v>
      </c>
      <c r="AF10" s="235"/>
      <c r="AG10" s="64"/>
      <c r="AH10" s="45"/>
      <c r="AI10" s="54" t="s">
        <v>12</v>
      </c>
      <c r="AJ10" s="51" t="s">
        <v>12</v>
      </c>
      <c r="AK10" s="201"/>
      <c r="AL10" s="51" t="s">
        <v>12</v>
      </c>
      <c r="AM10" s="52" t="s">
        <v>12</v>
      </c>
      <c r="AN10" s="220"/>
      <c r="AO10" s="201"/>
      <c r="AP10" s="201"/>
      <c r="AQ10" s="201"/>
      <c r="AR10" s="211"/>
      <c r="AS10" s="54" t="s">
        <v>12</v>
      </c>
      <c r="AT10" s="51"/>
      <c r="AU10" s="235"/>
      <c r="AV10" s="51"/>
      <c r="AW10" s="52"/>
      <c r="AX10" s="69" t="s">
        <v>8</v>
      </c>
      <c r="AY10" s="64" t="s">
        <v>11</v>
      </c>
      <c r="AZ10" s="64" t="s">
        <v>13</v>
      </c>
      <c r="BA10" s="64"/>
      <c r="BB10" s="45"/>
      <c r="BC10" s="54" t="s">
        <v>11</v>
      </c>
      <c r="BD10" s="51" t="s">
        <v>13</v>
      </c>
      <c r="BE10" s="201"/>
      <c r="BF10" s="51"/>
      <c r="BG10" s="52"/>
      <c r="BH10" s="69" t="s">
        <v>13</v>
      </c>
      <c r="BI10" s="64" t="s">
        <v>13</v>
      </c>
      <c r="BJ10" s="64" t="s">
        <v>11</v>
      </c>
      <c r="BK10" s="201"/>
      <c r="BL10" s="211"/>
      <c r="BM10" s="54" t="s">
        <v>11</v>
      </c>
      <c r="BN10" s="51" t="s">
        <v>13</v>
      </c>
      <c r="BO10" s="235"/>
      <c r="BP10" s="51"/>
      <c r="BQ10" s="52"/>
      <c r="BR10" s="69" t="s">
        <v>8</v>
      </c>
      <c r="BS10" s="64" t="s">
        <v>12</v>
      </c>
      <c r="BT10" s="64" t="s">
        <v>12</v>
      </c>
      <c r="BU10" s="64" t="s">
        <v>12</v>
      </c>
      <c r="BV10" s="45" t="s">
        <v>12</v>
      </c>
      <c r="BW10" s="54"/>
      <c r="BX10" s="51"/>
      <c r="BY10" s="235"/>
      <c r="BZ10" s="51"/>
      <c r="CA10" s="52"/>
      <c r="CB10" s="69" t="s">
        <v>8</v>
      </c>
      <c r="CC10" s="64" t="s">
        <v>12</v>
      </c>
      <c r="CD10" s="64" t="s">
        <v>12</v>
      </c>
      <c r="CE10" s="64" t="s">
        <v>12</v>
      </c>
      <c r="CF10" s="45" t="s">
        <v>12</v>
      </c>
      <c r="CG10" s="54" t="s">
        <v>12</v>
      </c>
      <c r="CH10" s="51" t="s">
        <v>12</v>
      </c>
      <c r="CI10" s="51" t="s">
        <v>12</v>
      </c>
      <c r="CJ10" s="51" t="s">
        <v>12</v>
      </c>
      <c r="CK10" s="52" t="s">
        <v>12</v>
      </c>
      <c r="CL10" s="220"/>
      <c r="CM10" s="201"/>
      <c r="CN10" s="201"/>
      <c r="CO10" s="201"/>
      <c r="CP10" s="211"/>
      <c r="CQ10" s="227"/>
      <c r="CR10" s="201"/>
      <c r="CS10" s="201"/>
      <c r="CT10" s="201"/>
      <c r="CU10" s="226"/>
      <c r="CV10" s="69" t="s">
        <v>14</v>
      </c>
      <c r="CW10" s="64"/>
      <c r="CX10" s="64" t="s">
        <v>14</v>
      </c>
      <c r="CY10" s="64"/>
      <c r="CZ10" s="45" t="s">
        <v>14</v>
      </c>
      <c r="DA10" s="54"/>
      <c r="DB10" s="51"/>
      <c r="DC10" s="51"/>
      <c r="DD10" s="51"/>
      <c r="DE10" s="52"/>
    </row>
    <row r="11" spans="1:165" ht="17" thickBot="1" x14ac:dyDescent="0.25">
      <c r="B11" s="48" t="s">
        <v>18</v>
      </c>
      <c r="C11" s="82"/>
      <c r="D11" s="49"/>
      <c r="E11" s="100"/>
      <c r="F11" s="101"/>
      <c r="G11" s="101"/>
      <c r="H11" s="101"/>
      <c r="I11" s="102"/>
      <c r="J11" s="103"/>
      <c r="K11" s="104"/>
      <c r="L11" s="104"/>
      <c r="M11" s="104"/>
      <c r="N11" s="105"/>
      <c r="O11" s="100"/>
      <c r="P11" s="101"/>
      <c r="Q11" s="101"/>
      <c r="R11" s="101"/>
      <c r="S11" s="102"/>
      <c r="T11" s="103"/>
      <c r="U11" s="104"/>
      <c r="V11" s="104"/>
      <c r="W11" s="104"/>
      <c r="X11" s="105"/>
      <c r="Y11" s="100"/>
      <c r="Z11" s="101"/>
      <c r="AA11" s="101"/>
      <c r="AB11" s="101"/>
      <c r="AC11" s="102"/>
      <c r="AD11" s="103"/>
      <c r="AE11" s="104"/>
      <c r="AF11" s="104"/>
      <c r="AG11" s="104"/>
      <c r="AH11" s="105"/>
      <c r="AI11" s="100"/>
      <c r="AJ11" s="101"/>
      <c r="AK11" s="208"/>
      <c r="AL11" s="101"/>
      <c r="AM11" s="102"/>
      <c r="AN11" s="221"/>
      <c r="AO11" s="208"/>
      <c r="AP11" s="208"/>
      <c r="AQ11" s="208"/>
      <c r="AR11" s="212"/>
      <c r="AS11" s="100"/>
      <c r="AT11" s="101"/>
      <c r="AU11" s="101"/>
      <c r="AV11" s="101"/>
      <c r="AW11" s="102"/>
      <c r="AX11" s="103"/>
      <c r="AY11" s="104"/>
      <c r="AZ11" s="104"/>
      <c r="BA11" s="104"/>
      <c r="BB11" s="105"/>
      <c r="BC11" s="100"/>
      <c r="BD11" s="101"/>
      <c r="BE11" s="208"/>
      <c r="BF11" s="101"/>
      <c r="BG11" s="102"/>
      <c r="BH11" s="103"/>
      <c r="BI11" s="104"/>
      <c r="BJ11" s="104"/>
      <c r="BK11" s="208"/>
      <c r="BL11" s="212"/>
      <c r="BM11" s="100"/>
      <c r="BN11" s="101"/>
      <c r="BO11" s="101"/>
      <c r="BP11" s="101"/>
      <c r="BQ11" s="102"/>
      <c r="BR11" s="103"/>
      <c r="BS11" s="104"/>
      <c r="BT11" s="104"/>
      <c r="BU11" s="104"/>
      <c r="BV11" s="105"/>
      <c r="BW11" s="100"/>
      <c r="BX11" s="101"/>
      <c r="BY11" s="101"/>
      <c r="BZ11" s="101"/>
      <c r="CA11" s="102"/>
      <c r="CB11" s="103"/>
      <c r="CC11" s="104"/>
      <c r="CD11" s="104"/>
      <c r="CE11" s="104"/>
      <c r="CF11" s="105"/>
      <c r="CG11" s="100"/>
      <c r="CH11" s="101"/>
      <c r="CI11" s="101"/>
      <c r="CJ11" s="101"/>
      <c r="CK11" s="102"/>
      <c r="CL11" s="221"/>
      <c r="CM11" s="208"/>
      <c r="CN11" s="208"/>
      <c r="CO11" s="208"/>
      <c r="CP11" s="212"/>
      <c r="CQ11" s="228"/>
      <c r="CR11" s="208"/>
      <c r="CS11" s="208"/>
      <c r="CT11" s="208"/>
      <c r="CU11" s="229"/>
      <c r="CV11" s="103"/>
      <c r="CW11" s="104"/>
      <c r="CX11" s="104"/>
      <c r="CY11" s="104"/>
      <c r="CZ11" s="105"/>
      <c r="DA11" s="100"/>
      <c r="DB11" s="101"/>
      <c r="DC11" s="101"/>
      <c r="DD11" s="101"/>
      <c r="DE11" s="102"/>
    </row>
    <row r="12" spans="1:165" x14ac:dyDescent="0.2">
      <c r="B12" s="48" t="s">
        <v>19</v>
      </c>
      <c r="C12" s="82"/>
      <c r="D12" s="49"/>
      <c r="E12" s="81"/>
      <c r="F12" s="42"/>
      <c r="G12" s="200"/>
      <c r="H12" s="42" t="s">
        <v>10</v>
      </c>
      <c r="I12" s="43" t="s">
        <v>11</v>
      </c>
      <c r="J12" s="77"/>
      <c r="K12" s="62"/>
      <c r="L12" s="200"/>
      <c r="M12" s="62" t="s">
        <v>10</v>
      </c>
      <c r="N12" s="44" t="s">
        <v>8</v>
      </c>
      <c r="O12" s="41"/>
      <c r="P12" s="42"/>
      <c r="Q12" s="200"/>
      <c r="R12" s="42"/>
      <c r="S12" s="43" t="s">
        <v>20</v>
      </c>
      <c r="T12" s="77"/>
      <c r="U12" s="62"/>
      <c r="V12" s="200"/>
      <c r="W12" s="62" t="s">
        <v>10</v>
      </c>
      <c r="X12" s="44" t="s">
        <v>10</v>
      </c>
      <c r="Y12" s="41"/>
      <c r="Z12" s="42"/>
      <c r="AA12" s="200"/>
      <c r="AB12" s="42" t="s">
        <v>11</v>
      </c>
      <c r="AC12" s="43" t="s">
        <v>10</v>
      </c>
      <c r="AD12" s="77"/>
      <c r="AE12" s="62"/>
      <c r="AF12" s="200"/>
      <c r="AG12" s="62" t="s">
        <v>10</v>
      </c>
      <c r="AH12" s="44" t="s">
        <v>8</v>
      </c>
      <c r="AI12" s="41"/>
      <c r="AJ12" s="42"/>
      <c r="AK12" s="200"/>
      <c r="AL12" s="42"/>
      <c r="AM12" s="43"/>
      <c r="AN12" s="219"/>
      <c r="AO12" s="200"/>
      <c r="AP12" s="200"/>
      <c r="AQ12" s="200"/>
      <c r="AR12" s="209"/>
      <c r="AS12" s="41"/>
      <c r="AT12" s="42"/>
      <c r="AU12" s="200"/>
      <c r="AV12" s="42"/>
      <c r="AW12" s="43" t="s">
        <v>20</v>
      </c>
      <c r="AX12" s="77"/>
      <c r="AY12" s="62"/>
      <c r="AZ12" s="200"/>
      <c r="BA12" s="62" t="s">
        <v>13</v>
      </c>
      <c r="BB12" s="44" t="s">
        <v>8</v>
      </c>
      <c r="BC12" s="41"/>
      <c r="BD12" s="42"/>
      <c r="BE12" s="200"/>
      <c r="BF12" s="42" t="s">
        <v>11</v>
      </c>
      <c r="BG12" s="43" t="s">
        <v>10</v>
      </c>
      <c r="BH12" s="77"/>
      <c r="BI12" s="62"/>
      <c r="BJ12" s="200"/>
      <c r="BK12" s="200"/>
      <c r="BL12" s="209"/>
      <c r="BM12" s="41"/>
      <c r="BN12" s="42"/>
      <c r="BO12" s="200"/>
      <c r="BP12" s="42" t="s">
        <v>10</v>
      </c>
      <c r="BQ12" s="43" t="s">
        <v>10</v>
      </c>
      <c r="BR12" s="77"/>
      <c r="BS12" s="62"/>
      <c r="BT12" s="200"/>
      <c r="BU12" s="62"/>
      <c r="BV12" s="44"/>
      <c r="BW12" s="41"/>
      <c r="BX12" s="42"/>
      <c r="BY12" s="200"/>
      <c r="BZ12" s="42"/>
      <c r="CA12" s="43" t="s">
        <v>20</v>
      </c>
      <c r="CB12" s="77"/>
      <c r="CC12" s="62"/>
      <c r="CD12" s="200"/>
      <c r="CE12" s="62"/>
      <c r="CF12" s="44"/>
      <c r="CG12" s="41"/>
      <c r="CH12" s="42"/>
      <c r="CI12" s="200"/>
      <c r="CJ12" s="42"/>
      <c r="CK12" s="43"/>
      <c r="CL12" s="219"/>
      <c r="CM12" s="200"/>
      <c r="CN12" s="200"/>
      <c r="CO12" s="200"/>
      <c r="CP12" s="209"/>
      <c r="CQ12" s="223"/>
      <c r="CR12" s="200"/>
      <c r="CS12" s="200"/>
      <c r="CT12" s="200"/>
      <c r="CU12" s="224"/>
      <c r="CV12" s="77" t="s">
        <v>14</v>
      </c>
      <c r="CW12" s="62"/>
      <c r="CX12" s="42" t="s">
        <v>14</v>
      </c>
      <c r="CY12" s="62"/>
      <c r="CZ12" s="44" t="s">
        <v>14</v>
      </c>
      <c r="DA12" s="41"/>
      <c r="DB12" s="42"/>
      <c r="DC12" s="42"/>
      <c r="DD12" s="42"/>
      <c r="DE12" s="43"/>
    </row>
    <row r="13" spans="1:165" x14ac:dyDescent="0.2">
      <c r="B13" s="448" t="s">
        <v>21</v>
      </c>
      <c r="C13" s="449"/>
      <c r="D13" s="450"/>
      <c r="E13" s="214"/>
      <c r="F13" s="51"/>
      <c r="G13" s="201"/>
      <c r="H13" s="51" t="s">
        <v>10</v>
      </c>
      <c r="I13" s="52" t="s">
        <v>11</v>
      </c>
      <c r="J13" s="69"/>
      <c r="K13" s="64"/>
      <c r="L13" s="201"/>
      <c r="M13" s="64" t="s">
        <v>10</v>
      </c>
      <c r="N13" s="53" t="s">
        <v>8</v>
      </c>
      <c r="O13" s="50"/>
      <c r="P13" s="51"/>
      <c r="Q13" s="201"/>
      <c r="R13" s="51"/>
      <c r="S13" s="52" t="s">
        <v>20</v>
      </c>
      <c r="T13" s="69"/>
      <c r="U13" s="64"/>
      <c r="V13" s="201"/>
      <c r="W13" s="64" t="s">
        <v>10</v>
      </c>
      <c r="X13" s="53" t="s">
        <v>10</v>
      </c>
      <c r="Y13" s="50"/>
      <c r="Z13" s="51"/>
      <c r="AA13" s="201"/>
      <c r="AB13" s="51" t="s">
        <v>11</v>
      </c>
      <c r="AC13" s="52" t="s">
        <v>10</v>
      </c>
      <c r="AD13" s="69"/>
      <c r="AE13" s="64"/>
      <c r="AF13" s="201"/>
      <c r="AG13" s="64" t="s">
        <v>10</v>
      </c>
      <c r="AH13" s="53" t="s">
        <v>8</v>
      </c>
      <c r="AI13" s="50"/>
      <c r="AJ13" s="51"/>
      <c r="AK13" s="201"/>
      <c r="AL13" s="51"/>
      <c r="AM13" s="52"/>
      <c r="AN13" s="220"/>
      <c r="AO13" s="201"/>
      <c r="AP13" s="201"/>
      <c r="AQ13" s="201"/>
      <c r="AR13" s="210"/>
      <c r="AS13" s="50"/>
      <c r="AT13" s="51"/>
      <c r="AU13" s="201"/>
      <c r="AV13" s="51"/>
      <c r="AW13" s="52" t="s">
        <v>20</v>
      </c>
      <c r="AX13" s="69"/>
      <c r="AY13" s="64"/>
      <c r="AZ13" s="201"/>
      <c r="BA13" s="64" t="s">
        <v>13</v>
      </c>
      <c r="BB13" s="53" t="s">
        <v>8</v>
      </c>
      <c r="BC13" s="50"/>
      <c r="BD13" s="51"/>
      <c r="BE13" s="201"/>
      <c r="BF13" s="51" t="s">
        <v>11</v>
      </c>
      <c r="BG13" s="52" t="s">
        <v>10</v>
      </c>
      <c r="BH13" s="69"/>
      <c r="BI13" s="64"/>
      <c r="BJ13" s="201"/>
      <c r="BK13" s="201"/>
      <c r="BL13" s="210"/>
      <c r="BM13" s="50"/>
      <c r="BN13" s="51"/>
      <c r="BO13" s="201"/>
      <c r="BP13" s="51" t="s">
        <v>10</v>
      </c>
      <c r="BQ13" s="52" t="s">
        <v>10</v>
      </c>
      <c r="BR13" s="69"/>
      <c r="BS13" s="64"/>
      <c r="BT13" s="201"/>
      <c r="BU13" s="64"/>
      <c r="BV13" s="53"/>
      <c r="BW13" s="50"/>
      <c r="BX13" s="51"/>
      <c r="BY13" s="201"/>
      <c r="BZ13" s="51"/>
      <c r="CA13" s="52" t="s">
        <v>20</v>
      </c>
      <c r="CB13" s="69"/>
      <c r="CC13" s="64"/>
      <c r="CD13" s="201"/>
      <c r="CE13" s="64"/>
      <c r="CF13" s="53"/>
      <c r="CG13" s="50"/>
      <c r="CH13" s="51"/>
      <c r="CI13" s="201"/>
      <c r="CJ13" s="51"/>
      <c r="CK13" s="52"/>
      <c r="CL13" s="220"/>
      <c r="CM13" s="201"/>
      <c r="CN13" s="201"/>
      <c r="CO13" s="201"/>
      <c r="CP13" s="210"/>
      <c r="CQ13" s="225"/>
      <c r="CR13" s="201"/>
      <c r="CS13" s="201"/>
      <c r="CT13" s="201"/>
      <c r="CU13" s="226"/>
      <c r="CV13" s="69" t="s">
        <v>14</v>
      </c>
      <c r="CW13" s="64"/>
      <c r="CX13" s="51" t="s">
        <v>14</v>
      </c>
      <c r="CY13" s="64"/>
      <c r="CZ13" s="53" t="s">
        <v>14</v>
      </c>
      <c r="DA13" s="50"/>
      <c r="DB13" s="51"/>
      <c r="DC13" s="51"/>
      <c r="DD13" s="51"/>
      <c r="DE13" s="52"/>
    </row>
    <row r="14" spans="1:165" x14ac:dyDescent="0.2">
      <c r="B14" s="448" t="s">
        <v>22</v>
      </c>
      <c r="C14" s="449"/>
      <c r="D14" s="450"/>
      <c r="E14" s="57"/>
      <c r="F14" s="51"/>
      <c r="G14" s="201"/>
      <c r="H14" s="51" t="s">
        <v>10</v>
      </c>
      <c r="I14" s="52" t="s">
        <v>11</v>
      </c>
      <c r="J14" s="69"/>
      <c r="K14" s="64"/>
      <c r="L14" s="201"/>
      <c r="M14" s="64" t="s">
        <v>10</v>
      </c>
      <c r="N14" s="45" t="s">
        <v>8</v>
      </c>
      <c r="O14" s="54"/>
      <c r="P14" s="51"/>
      <c r="Q14" s="201"/>
      <c r="R14" s="51"/>
      <c r="S14" s="52" t="s">
        <v>20</v>
      </c>
      <c r="T14" s="69"/>
      <c r="U14" s="64"/>
      <c r="V14" s="201"/>
      <c r="W14" s="64" t="s">
        <v>10</v>
      </c>
      <c r="X14" s="45" t="s">
        <v>10</v>
      </c>
      <c r="Y14" s="54"/>
      <c r="Z14" s="51"/>
      <c r="AA14" s="201"/>
      <c r="AB14" s="51" t="s">
        <v>11</v>
      </c>
      <c r="AC14" s="52" t="s">
        <v>10</v>
      </c>
      <c r="AD14" s="69"/>
      <c r="AE14" s="64"/>
      <c r="AF14" s="201"/>
      <c r="AG14" s="64" t="s">
        <v>10</v>
      </c>
      <c r="AH14" s="45" t="s">
        <v>8</v>
      </c>
      <c r="AI14" s="54"/>
      <c r="AJ14" s="51"/>
      <c r="AK14" s="201"/>
      <c r="AL14" s="51"/>
      <c r="AM14" s="52"/>
      <c r="AN14" s="220"/>
      <c r="AO14" s="201"/>
      <c r="AP14" s="201"/>
      <c r="AQ14" s="201"/>
      <c r="AR14" s="211"/>
      <c r="AS14" s="54"/>
      <c r="AT14" s="51"/>
      <c r="AU14" s="201"/>
      <c r="AV14" s="51"/>
      <c r="AW14" s="52" t="s">
        <v>20</v>
      </c>
      <c r="AX14" s="69"/>
      <c r="AY14" s="64"/>
      <c r="AZ14" s="201"/>
      <c r="BA14" s="64" t="s">
        <v>13</v>
      </c>
      <c r="BB14" s="45" t="s">
        <v>8</v>
      </c>
      <c r="BC14" s="54"/>
      <c r="BD14" s="51"/>
      <c r="BE14" s="201"/>
      <c r="BF14" s="51" t="s">
        <v>11</v>
      </c>
      <c r="BG14" s="52" t="s">
        <v>10</v>
      </c>
      <c r="BH14" s="69"/>
      <c r="BI14" s="64"/>
      <c r="BJ14" s="201"/>
      <c r="BK14" s="201"/>
      <c r="BL14" s="211"/>
      <c r="BM14" s="54"/>
      <c r="BN14" s="51"/>
      <c r="BO14" s="201"/>
      <c r="BP14" s="51" t="s">
        <v>10</v>
      </c>
      <c r="BQ14" s="52" t="s">
        <v>10</v>
      </c>
      <c r="BR14" s="69"/>
      <c r="BS14" s="64"/>
      <c r="BT14" s="201"/>
      <c r="BU14" s="64"/>
      <c r="BV14" s="45"/>
      <c r="BW14" s="54"/>
      <c r="BX14" s="51"/>
      <c r="BY14" s="201"/>
      <c r="BZ14" s="51"/>
      <c r="CA14" s="52" t="s">
        <v>20</v>
      </c>
      <c r="CB14" s="69"/>
      <c r="CC14" s="64"/>
      <c r="CD14" s="201"/>
      <c r="CE14" s="64"/>
      <c r="CF14" s="45"/>
      <c r="CG14" s="54"/>
      <c r="CH14" s="51"/>
      <c r="CI14" s="201"/>
      <c r="CJ14" s="51"/>
      <c r="CK14" s="52"/>
      <c r="CL14" s="220"/>
      <c r="CM14" s="201"/>
      <c r="CN14" s="201"/>
      <c r="CO14" s="201"/>
      <c r="CP14" s="211"/>
      <c r="CQ14" s="227"/>
      <c r="CR14" s="201"/>
      <c r="CS14" s="201"/>
      <c r="CT14" s="201"/>
      <c r="CU14" s="226"/>
      <c r="CV14" s="69"/>
      <c r="CW14" s="64"/>
      <c r="CX14" s="51"/>
      <c r="CY14" s="64"/>
      <c r="CZ14" s="45"/>
      <c r="DA14" s="54"/>
      <c r="DB14" s="51"/>
      <c r="DC14" s="51"/>
      <c r="DD14" s="51"/>
      <c r="DE14" s="52"/>
    </row>
    <row r="15" spans="1:165" ht="17" thickBot="1" x14ac:dyDescent="0.25">
      <c r="B15" s="448" t="s">
        <v>23</v>
      </c>
      <c r="C15" s="449"/>
      <c r="D15" s="450"/>
      <c r="E15" s="215"/>
      <c r="F15" s="90"/>
      <c r="G15" s="202"/>
      <c r="H15" s="90" t="s">
        <v>10</v>
      </c>
      <c r="I15" s="91" t="s">
        <v>11</v>
      </c>
      <c r="J15" s="92"/>
      <c r="K15" s="93"/>
      <c r="L15" s="202"/>
      <c r="M15" s="93" t="s">
        <v>10</v>
      </c>
      <c r="N15" s="94" t="s">
        <v>8</v>
      </c>
      <c r="O15" s="89"/>
      <c r="P15" s="90"/>
      <c r="Q15" s="202"/>
      <c r="R15" s="90"/>
      <c r="S15" s="91" t="s">
        <v>20</v>
      </c>
      <c r="T15" s="92"/>
      <c r="U15" s="93"/>
      <c r="V15" s="202"/>
      <c r="W15" s="93" t="s">
        <v>10</v>
      </c>
      <c r="X15" s="94" t="s">
        <v>10</v>
      </c>
      <c r="Y15" s="89"/>
      <c r="Z15" s="90"/>
      <c r="AA15" s="202"/>
      <c r="AB15" s="90" t="s">
        <v>11</v>
      </c>
      <c r="AC15" s="91" t="s">
        <v>10</v>
      </c>
      <c r="AD15" s="92"/>
      <c r="AE15" s="93"/>
      <c r="AF15" s="202"/>
      <c r="AG15" s="93" t="s">
        <v>10</v>
      </c>
      <c r="AH15" s="94" t="s">
        <v>8</v>
      </c>
      <c r="AI15" s="89"/>
      <c r="AJ15" s="90"/>
      <c r="AK15" s="202"/>
      <c r="AL15" s="90"/>
      <c r="AM15" s="91"/>
      <c r="AN15" s="222"/>
      <c r="AO15" s="202"/>
      <c r="AP15" s="202"/>
      <c r="AQ15" s="202"/>
      <c r="AR15" s="213"/>
      <c r="AS15" s="89"/>
      <c r="AT15" s="90"/>
      <c r="AU15" s="202"/>
      <c r="AV15" s="90"/>
      <c r="AW15" s="91" t="s">
        <v>20</v>
      </c>
      <c r="AX15" s="92"/>
      <c r="AY15" s="93"/>
      <c r="AZ15" s="202"/>
      <c r="BA15" s="93" t="s">
        <v>13</v>
      </c>
      <c r="BB15" s="94" t="s">
        <v>8</v>
      </c>
      <c r="BC15" s="89"/>
      <c r="BD15" s="90"/>
      <c r="BE15" s="202"/>
      <c r="BF15" s="90" t="s">
        <v>11</v>
      </c>
      <c r="BG15" s="91" t="s">
        <v>10</v>
      </c>
      <c r="BH15" s="92"/>
      <c r="BI15" s="93"/>
      <c r="BJ15" s="202"/>
      <c r="BK15" s="202"/>
      <c r="BL15" s="213"/>
      <c r="BM15" s="89"/>
      <c r="BN15" s="90"/>
      <c r="BO15" s="202"/>
      <c r="BP15" s="90" t="s">
        <v>10</v>
      </c>
      <c r="BQ15" s="91" t="s">
        <v>10</v>
      </c>
      <c r="BR15" s="92"/>
      <c r="BS15" s="93"/>
      <c r="BT15" s="202"/>
      <c r="BU15" s="93"/>
      <c r="BV15" s="94"/>
      <c r="BW15" s="89"/>
      <c r="BX15" s="90"/>
      <c r="BY15" s="202"/>
      <c r="BZ15" s="90"/>
      <c r="CA15" s="91" t="s">
        <v>20</v>
      </c>
      <c r="CB15" s="92"/>
      <c r="CC15" s="93"/>
      <c r="CD15" s="202"/>
      <c r="CE15" s="93"/>
      <c r="CF15" s="94"/>
      <c r="CG15" s="89"/>
      <c r="CH15" s="90"/>
      <c r="CI15" s="202"/>
      <c r="CJ15" s="90"/>
      <c r="CK15" s="91"/>
      <c r="CL15" s="222"/>
      <c r="CM15" s="202"/>
      <c r="CN15" s="202"/>
      <c r="CO15" s="202"/>
      <c r="CP15" s="213"/>
      <c r="CQ15" s="230"/>
      <c r="CR15" s="202"/>
      <c r="CS15" s="202"/>
      <c r="CT15" s="202"/>
      <c r="CU15" s="231"/>
      <c r="CV15" s="92"/>
      <c r="CW15" s="93"/>
      <c r="CX15" s="90"/>
      <c r="CY15" s="93"/>
      <c r="CZ15" s="94"/>
      <c r="DA15" s="89"/>
      <c r="DB15" s="90"/>
      <c r="DC15" s="90"/>
      <c r="DD15" s="90"/>
      <c r="DE15" s="91"/>
    </row>
    <row r="16" spans="1:165" x14ac:dyDescent="0.2">
      <c r="B16" s="448" t="s">
        <v>24</v>
      </c>
      <c r="C16" s="449"/>
      <c r="D16" s="450"/>
      <c r="E16" s="95" t="s">
        <v>25</v>
      </c>
      <c r="F16" s="96" t="s">
        <v>26</v>
      </c>
      <c r="G16" s="96" t="s">
        <v>25</v>
      </c>
      <c r="H16" s="96" t="s">
        <v>25</v>
      </c>
      <c r="I16" s="97" t="s">
        <v>27</v>
      </c>
      <c r="J16" s="98" t="s">
        <v>28</v>
      </c>
      <c r="K16" s="47" t="s">
        <v>27</v>
      </c>
      <c r="L16" s="47"/>
      <c r="M16" s="47" t="s">
        <v>25</v>
      </c>
      <c r="N16" s="63" t="s">
        <v>25</v>
      </c>
      <c r="O16" s="95" t="s">
        <v>26</v>
      </c>
      <c r="P16" s="96" t="s">
        <v>28</v>
      </c>
      <c r="Q16" s="96" t="s">
        <v>25</v>
      </c>
      <c r="R16" s="96"/>
      <c r="S16" s="97" t="s">
        <v>25</v>
      </c>
      <c r="T16" s="98" t="s">
        <v>25</v>
      </c>
      <c r="U16" s="47" t="s">
        <v>26</v>
      </c>
      <c r="V16" s="47"/>
      <c r="W16" s="47" t="s">
        <v>28</v>
      </c>
      <c r="X16" s="63" t="s">
        <v>28</v>
      </c>
      <c r="Y16" s="95" t="s">
        <v>28</v>
      </c>
      <c r="Z16" s="96" t="s">
        <v>27</v>
      </c>
      <c r="AA16" s="96" t="s">
        <v>28</v>
      </c>
      <c r="AB16" s="96" t="s">
        <v>26</v>
      </c>
      <c r="AC16" s="97" t="s">
        <v>25</v>
      </c>
      <c r="AD16" s="98" t="s">
        <v>28</v>
      </c>
      <c r="AE16" s="47" t="s">
        <v>25</v>
      </c>
      <c r="AF16" s="47"/>
      <c r="AG16" s="47" t="s">
        <v>25</v>
      </c>
      <c r="AH16" s="63" t="s">
        <v>25</v>
      </c>
      <c r="AI16" s="95" t="s">
        <v>29</v>
      </c>
      <c r="AJ16" s="96" t="s">
        <v>26</v>
      </c>
      <c r="AK16" s="96"/>
      <c r="AL16" s="96" t="s">
        <v>25</v>
      </c>
      <c r="AM16" s="97" t="s">
        <v>28</v>
      </c>
      <c r="AN16" s="98"/>
      <c r="AO16" s="47"/>
      <c r="AP16" s="47"/>
      <c r="AQ16" s="47"/>
      <c r="AR16" s="63"/>
      <c r="AS16" s="95" t="s">
        <v>28</v>
      </c>
      <c r="AT16" s="96"/>
      <c r="AU16" s="96"/>
      <c r="AV16" s="96"/>
      <c r="AW16" s="97" t="s">
        <v>25</v>
      </c>
      <c r="AX16" s="98" t="s">
        <v>28</v>
      </c>
      <c r="AY16" s="47" t="s">
        <v>27</v>
      </c>
      <c r="AZ16" s="47" t="s">
        <v>28</v>
      </c>
      <c r="BA16" s="47" t="s">
        <v>28</v>
      </c>
      <c r="BB16" s="63" t="s">
        <v>28</v>
      </c>
      <c r="BC16" s="95" t="s">
        <v>29</v>
      </c>
      <c r="BD16" s="96" t="s">
        <v>28</v>
      </c>
      <c r="BE16" s="96"/>
      <c r="BF16" s="96" t="s">
        <v>29</v>
      </c>
      <c r="BG16" s="97" t="s">
        <v>25</v>
      </c>
      <c r="BH16" s="98" t="s">
        <v>28</v>
      </c>
      <c r="BI16" s="47" t="s">
        <v>28</v>
      </c>
      <c r="BJ16" s="47" t="s">
        <v>29</v>
      </c>
      <c r="BK16" s="47"/>
      <c r="BL16" s="63"/>
      <c r="BM16" s="95" t="s">
        <v>29</v>
      </c>
      <c r="BN16" s="96" t="s">
        <v>28</v>
      </c>
      <c r="BO16" s="96"/>
      <c r="BP16" s="96" t="s">
        <v>25</v>
      </c>
      <c r="BQ16" s="97" t="s">
        <v>25</v>
      </c>
      <c r="BR16" s="98" t="s">
        <v>25</v>
      </c>
      <c r="BS16" s="47" t="s">
        <v>29</v>
      </c>
      <c r="BT16" s="47" t="s">
        <v>28</v>
      </c>
      <c r="BU16" s="47" t="s">
        <v>28</v>
      </c>
      <c r="BV16" s="63" t="s">
        <v>25</v>
      </c>
      <c r="BW16" s="95"/>
      <c r="BX16" s="96"/>
      <c r="BY16" s="96"/>
      <c r="BZ16" s="96"/>
      <c r="CA16" s="97" t="s">
        <v>25</v>
      </c>
      <c r="CB16" s="98" t="s">
        <v>25</v>
      </c>
      <c r="CC16" s="47" t="s">
        <v>28</v>
      </c>
      <c r="CD16" s="47" t="s">
        <v>25</v>
      </c>
      <c r="CE16" s="47" t="s">
        <v>28</v>
      </c>
      <c r="CF16" s="63" t="s">
        <v>29</v>
      </c>
      <c r="CG16" s="95" t="s">
        <v>25</v>
      </c>
      <c r="CH16" s="96" t="s">
        <v>28</v>
      </c>
      <c r="CI16" s="96" t="s">
        <v>28</v>
      </c>
      <c r="CJ16" s="96" t="s">
        <v>28</v>
      </c>
      <c r="CK16" s="97"/>
      <c r="CL16" s="98"/>
      <c r="CM16" s="47"/>
      <c r="CN16" s="47"/>
      <c r="CO16" s="47"/>
      <c r="CP16" s="63"/>
      <c r="CQ16" s="95"/>
      <c r="CR16" s="96"/>
      <c r="CS16" s="96"/>
      <c r="CT16" s="96"/>
      <c r="CU16" s="97"/>
      <c r="CV16" s="98" t="s">
        <v>28</v>
      </c>
      <c r="CW16" s="47"/>
      <c r="CX16" s="47" t="s">
        <v>28</v>
      </c>
      <c r="CY16" s="47"/>
      <c r="CZ16" s="63" t="s">
        <v>28</v>
      </c>
      <c r="DA16" s="95"/>
      <c r="DB16" s="96"/>
      <c r="DC16" s="96"/>
      <c r="DD16" s="96"/>
      <c r="DE16" s="97"/>
    </row>
    <row r="17" spans="2:109" x14ac:dyDescent="0.2">
      <c r="B17" s="448" t="s">
        <v>30</v>
      </c>
      <c r="C17" s="449"/>
      <c r="D17" s="450"/>
      <c r="E17" s="68" t="s">
        <v>28</v>
      </c>
      <c r="F17" s="65" t="s">
        <v>28</v>
      </c>
      <c r="G17" s="65"/>
      <c r="H17" s="65"/>
      <c r="I17" s="70"/>
      <c r="J17" s="67" t="s">
        <v>26</v>
      </c>
      <c r="K17" s="56"/>
      <c r="L17" s="56"/>
      <c r="M17" s="56"/>
      <c r="N17" s="66" t="s">
        <v>28</v>
      </c>
      <c r="O17" s="68" t="s">
        <v>28</v>
      </c>
      <c r="P17" s="65" t="s">
        <v>27</v>
      </c>
      <c r="Q17" s="65" t="s">
        <v>27</v>
      </c>
      <c r="R17" s="65"/>
      <c r="S17" s="70" t="s">
        <v>28</v>
      </c>
      <c r="T17" s="67" t="s">
        <v>28</v>
      </c>
      <c r="U17" s="56" t="s">
        <v>27</v>
      </c>
      <c r="V17" s="56"/>
      <c r="W17" s="56"/>
      <c r="X17" s="66"/>
      <c r="Y17" s="68" t="s">
        <v>26</v>
      </c>
      <c r="Z17" s="65" t="s">
        <v>26</v>
      </c>
      <c r="AA17" s="65"/>
      <c r="AB17" s="65"/>
      <c r="AC17" s="70"/>
      <c r="AD17" s="67"/>
      <c r="AE17" s="56"/>
      <c r="AF17" s="56"/>
      <c r="AG17" s="56"/>
      <c r="AH17" s="66" t="s">
        <v>28</v>
      </c>
      <c r="AI17" s="68"/>
      <c r="AJ17" s="65" t="s">
        <v>28</v>
      </c>
      <c r="AK17" s="65"/>
      <c r="AL17" s="65"/>
      <c r="AM17" s="70"/>
      <c r="AN17" s="67"/>
      <c r="AO17" s="56"/>
      <c r="AP17" s="56"/>
      <c r="AQ17" s="56"/>
      <c r="AR17" s="66"/>
      <c r="AS17" s="68"/>
      <c r="AT17" s="65"/>
      <c r="AU17" s="65"/>
      <c r="AV17" s="65"/>
      <c r="AW17" s="70" t="s">
        <v>28</v>
      </c>
      <c r="AX17" s="67" t="s">
        <v>26</v>
      </c>
      <c r="AY17" s="56"/>
      <c r="AZ17" s="56"/>
      <c r="BA17" s="56"/>
      <c r="BB17" s="66" t="s">
        <v>29</v>
      </c>
      <c r="BC17" s="68"/>
      <c r="BD17" s="65"/>
      <c r="BE17" s="65"/>
      <c r="BF17" s="65"/>
      <c r="BG17" s="70"/>
      <c r="BH17" s="67"/>
      <c r="BI17" s="56"/>
      <c r="BJ17" s="56"/>
      <c r="BK17" s="56"/>
      <c r="BL17" s="66"/>
      <c r="BM17" s="68"/>
      <c r="BN17" s="65"/>
      <c r="BO17" s="65"/>
      <c r="BP17" s="65"/>
      <c r="BQ17" s="70"/>
      <c r="BR17" s="67" t="s">
        <v>28</v>
      </c>
      <c r="BS17" s="56"/>
      <c r="BT17" s="56"/>
      <c r="BU17" s="56"/>
      <c r="BV17" s="66" t="s">
        <v>28</v>
      </c>
      <c r="BW17" s="68"/>
      <c r="BX17" s="65"/>
      <c r="BY17" s="65"/>
      <c r="BZ17" s="65"/>
      <c r="CA17" s="70" t="s">
        <v>28</v>
      </c>
      <c r="CB17" s="67" t="s">
        <v>28</v>
      </c>
      <c r="CC17" s="56"/>
      <c r="CD17" s="56" t="s">
        <v>28</v>
      </c>
      <c r="CE17" s="56"/>
      <c r="CF17" s="66"/>
      <c r="CG17" s="68"/>
      <c r="CH17" s="65"/>
      <c r="CI17" s="65"/>
      <c r="CJ17" s="65" t="s">
        <v>29</v>
      </c>
      <c r="CK17" s="70"/>
      <c r="CL17" s="67"/>
      <c r="CM17" s="56"/>
      <c r="CN17" s="56"/>
      <c r="CO17" s="56"/>
      <c r="CP17" s="66"/>
      <c r="CQ17" s="68"/>
      <c r="CR17" s="65"/>
      <c r="CS17" s="65"/>
      <c r="CT17" s="65"/>
      <c r="CU17" s="70"/>
      <c r="CV17" s="67" t="s">
        <v>29</v>
      </c>
      <c r="CW17" s="56"/>
      <c r="CX17" s="56" t="s">
        <v>29</v>
      </c>
      <c r="CY17" s="56"/>
      <c r="CZ17" s="66" t="s">
        <v>29</v>
      </c>
      <c r="DA17" s="68"/>
      <c r="DB17" s="65"/>
      <c r="DC17" s="65"/>
      <c r="DD17" s="65"/>
      <c r="DE17" s="70"/>
    </row>
    <row r="18" spans="2:109" x14ac:dyDescent="0.2">
      <c r="B18" s="448" t="s">
        <v>31</v>
      </c>
      <c r="C18" s="449"/>
      <c r="D18" s="450"/>
      <c r="E18" s="68" t="s">
        <v>26</v>
      </c>
      <c r="F18" s="65"/>
      <c r="G18" s="65"/>
      <c r="H18" s="65"/>
      <c r="I18" s="70"/>
      <c r="J18" s="67"/>
      <c r="K18" s="56"/>
      <c r="L18" s="56"/>
      <c r="M18" s="56"/>
      <c r="N18" s="66"/>
      <c r="O18" s="68"/>
      <c r="P18" s="65"/>
      <c r="Q18" s="65" t="s">
        <v>28</v>
      </c>
      <c r="R18" s="65"/>
      <c r="S18" s="70" t="s">
        <v>27</v>
      </c>
      <c r="T18" s="67"/>
      <c r="U18" s="56"/>
      <c r="V18" s="56"/>
      <c r="W18" s="56"/>
      <c r="X18" s="66"/>
      <c r="Y18" s="68"/>
      <c r="Z18" s="65"/>
      <c r="AA18" s="65"/>
      <c r="AB18" s="65"/>
      <c r="AC18" s="70"/>
      <c r="AD18" s="67"/>
      <c r="AE18" s="56"/>
      <c r="AF18" s="56"/>
      <c r="AG18" s="56"/>
      <c r="AH18" s="66"/>
      <c r="AI18" s="68"/>
      <c r="AJ18" s="65"/>
      <c r="AK18" s="65"/>
      <c r="AL18" s="65"/>
      <c r="AM18" s="70"/>
      <c r="AN18" s="67"/>
      <c r="AO18" s="56"/>
      <c r="AP18" s="56"/>
      <c r="AQ18" s="56"/>
      <c r="AR18" s="66"/>
      <c r="AS18" s="68"/>
      <c r="AT18" s="65"/>
      <c r="AU18" s="65"/>
      <c r="AV18" s="65"/>
      <c r="AW18" s="70" t="s">
        <v>29</v>
      </c>
      <c r="AX18" s="67"/>
      <c r="AY18" s="56"/>
      <c r="AZ18" s="56"/>
      <c r="BA18" s="56"/>
      <c r="BB18" s="66"/>
      <c r="BC18" s="68"/>
      <c r="BD18" s="65"/>
      <c r="BE18" s="65"/>
      <c r="BF18" s="65"/>
      <c r="BG18" s="70"/>
      <c r="BH18" s="67"/>
      <c r="BI18" s="56"/>
      <c r="BJ18" s="56"/>
      <c r="BK18" s="56"/>
      <c r="BL18" s="66"/>
      <c r="BM18" s="68"/>
      <c r="BN18" s="65"/>
      <c r="BO18" s="65"/>
      <c r="BP18" s="65"/>
      <c r="BQ18" s="70"/>
      <c r="BR18" s="67"/>
      <c r="BS18" s="56"/>
      <c r="BT18" s="56"/>
      <c r="BU18" s="56"/>
      <c r="BV18" s="66"/>
      <c r="BW18" s="68"/>
      <c r="BX18" s="65"/>
      <c r="BY18" s="65"/>
      <c r="BZ18" s="65"/>
      <c r="CA18" s="70" t="s">
        <v>29</v>
      </c>
      <c r="CB18" s="67" t="s">
        <v>29</v>
      </c>
      <c r="CC18" s="56"/>
      <c r="CD18" s="56"/>
      <c r="CE18" s="56"/>
      <c r="CF18" s="66"/>
      <c r="CG18" s="68"/>
      <c r="CH18" s="65"/>
      <c r="CI18" s="65"/>
      <c r="CJ18" s="65"/>
      <c r="CK18" s="70"/>
      <c r="CL18" s="67"/>
      <c r="CM18" s="56"/>
      <c r="CN18" s="56"/>
      <c r="CO18" s="56"/>
      <c r="CP18" s="66"/>
      <c r="CQ18" s="68"/>
      <c r="CR18" s="65"/>
      <c r="CS18" s="65"/>
      <c r="CT18" s="65"/>
      <c r="CU18" s="70"/>
      <c r="CV18" s="67" t="s">
        <v>27</v>
      </c>
      <c r="CW18" s="56"/>
      <c r="CX18" s="56" t="s">
        <v>27</v>
      </c>
      <c r="CY18" s="56"/>
      <c r="CZ18" s="66" t="s">
        <v>27</v>
      </c>
      <c r="DA18" s="68"/>
      <c r="DB18" s="65"/>
      <c r="DC18" s="65"/>
      <c r="DD18" s="65"/>
      <c r="DE18" s="70"/>
    </row>
    <row r="19" spans="2:109" x14ac:dyDescent="0.2">
      <c r="B19" s="448" t="s">
        <v>32</v>
      </c>
      <c r="C19" s="449"/>
      <c r="D19" s="450"/>
      <c r="E19" s="68"/>
      <c r="F19" s="65"/>
      <c r="G19" s="65"/>
      <c r="H19" s="65"/>
      <c r="I19" s="70"/>
      <c r="J19" s="67"/>
      <c r="K19" s="56"/>
      <c r="L19" s="56"/>
      <c r="M19" s="56"/>
      <c r="N19" s="66"/>
      <c r="O19" s="68"/>
      <c r="P19" s="65"/>
      <c r="Q19" s="65"/>
      <c r="R19" s="65"/>
      <c r="S19" s="70" t="s">
        <v>29</v>
      </c>
      <c r="T19" s="67"/>
      <c r="U19" s="56"/>
      <c r="V19" s="56"/>
      <c r="W19" s="56"/>
      <c r="X19" s="66"/>
      <c r="Y19" s="68"/>
      <c r="Z19" s="65"/>
      <c r="AA19" s="65"/>
      <c r="AB19" s="65"/>
      <c r="AC19" s="70"/>
      <c r="AD19" s="67"/>
      <c r="AE19" s="56"/>
      <c r="AF19" s="56"/>
      <c r="AG19" s="56"/>
      <c r="AH19" s="66"/>
      <c r="AI19" s="68"/>
      <c r="AJ19" s="65"/>
      <c r="AK19" s="65"/>
      <c r="AL19" s="65"/>
      <c r="AM19" s="70"/>
      <c r="AN19" s="67"/>
      <c r="AO19" s="56"/>
      <c r="AP19" s="56"/>
      <c r="AQ19" s="56"/>
      <c r="AR19" s="66"/>
      <c r="AS19" s="68"/>
      <c r="AT19" s="65"/>
      <c r="AU19" s="65"/>
      <c r="AV19" s="65"/>
      <c r="AW19" s="70" t="s">
        <v>26</v>
      </c>
      <c r="AX19" s="67"/>
      <c r="AY19" s="56"/>
      <c r="AZ19" s="56"/>
      <c r="BA19" s="56"/>
      <c r="BB19" s="66"/>
      <c r="BC19" s="68"/>
      <c r="BD19" s="65"/>
      <c r="BE19" s="65"/>
      <c r="BF19" s="65"/>
      <c r="BG19" s="70"/>
      <c r="BH19" s="67"/>
      <c r="BI19" s="56"/>
      <c r="BJ19" s="56"/>
      <c r="BK19" s="56"/>
      <c r="BL19" s="66"/>
      <c r="BM19" s="68"/>
      <c r="BN19" s="65"/>
      <c r="BO19" s="65"/>
      <c r="BP19" s="65"/>
      <c r="BQ19" s="70"/>
      <c r="BR19" s="67"/>
      <c r="BS19" s="56"/>
      <c r="BT19" s="56"/>
      <c r="BU19" s="56"/>
      <c r="BV19" s="66"/>
      <c r="BW19" s="68"/>
      <c r="BX19" s="65"/>
      <c r="BY19" s="65"/>
      <c r="BZ19" s="65"/>
      <c r="CA19" s="70" t="s">
        <v>26</v>
      </c>
      <c r="CB19" s="67"/>
      <c r="CC19" s="56"/>
      <c r="CD19" s="56"/>
      <c r="CE19" s="56"/>
      <c r="CF19" s="66"/>
      <c r="CG19" s="68"/>
      <c r="CH19" s="65"/>
      <c r="CI19" s="65"/>
      <c r="CJ19" s="65"/>
      <c r="CK19" s="70"/>
      <c r="CL19" s="67"/>
      <c r="CM19" s="56"/>
      <c r="CN19" s="56"/>
      <c r="CO19" s="56"/>
      <c r="CP19" s="66"/>
      <c r="CQ19" s="68"/>
      <c r="CR19" s="65"/>
      <c r="CS19" s="65"/>
      <c r="CT19" s="65"/>
      <c r="CU19" s="70"/>
      <c r="CV19" s="67" t="s">
        <v>25</v>
      </c>
      <c r="CW19" s="56"/>
      <c r="CX19" s="56" t="s">
        <v>25</v>
      </c>
      <c r="CY19" s="56"/>
      <c r="CZ19" s="66" t="s">
        <v>25</v>
      </c>
      <c r="DA19" s="68"/>
      <c r="DB19" s="65"/>
      <c r="DC19" s="65"/>
      <c r="DD19" s="65"/>
      <c r="DE19" s="70"/>
    </row>
    <row r="20" spans="2:109" x14ac:dyDescent="0.2">
      <c r="B20" s="448" t="s">
        <v>33</v>
      </c>
      <c r="C20" s="449"/>
      <c r="D20" s="450"/>
      <c r="E20" s="68"/>
      <c r="F20" s="65"/>
      <c r="G20" s="65"/>
      <c r="H20" s="65"/>
      <c r="I20" s="70"/>
      <c r="J20" s="67"/>
      <c r="K20" s="56"/>
      <c r="L20" s="56"/>
      <c r="M20" s="56"/>
      <c r="N20" s="66"/>
      <c r="O20" s="68"/>
      <c r="P20" s="65"/>
      <c r="Q20" s="65"/>
      <c r="R20" s="65"/>
      <c r="S20" s="70"/>
      <c r="T20" s="67"/>
      <c r="U20" s="56"/>
      <c r="V20" s="56"/>
      <c r="W20" s="56"/>
      <c r="X20" s="66"/>
      <c r="Y20" s="68"/>
      <c r="Z20" s="65"/>
      <c r="AA20" s="65"/>
      <c r="AB20" s="65"/>
      <c r="AC20" s="70"/>
      <c r="AD20" s="67"/>
      <c r="AE20" s="56"/>
      <c r="AF20" s="56"/>
      <c r="AG20" s="56"/>
      <c r="AH20" s="66"/>
      <c r="AI20" s="68"/>
      <c r="AJ20" s="65"/>
      <c r="AK20" s="65"/>
      <c r="AL20" s="65"/>
      <c r="AM20" s="70"/>
      <c r="AN20" s="67"/>
      <c r="AO20" s="56"/>
      <c r="AP20" s="56"/>
      <c r="AQ20" s="56"/>
      <c r="AR20" s="66"/>
      <c r="AS20" s="68"/>
      <c r="AT20" s="65"/>
      <c r="AU20" s="65"/>
      <c r="AV20" s="65"/>
      <c r="AW20" s="70"/>
      <c r="AX20" s="67"/>
      <c r="AY20" s="56"/>
      <c r="AZ20" s="56"/>
      <c r="BA20" s="56"/>
      <c r="BB20" s="66"/>
      <c r="BC20" s="68"/>
      <c r="BD20" s="65"/>
      <c r="BE20" s="65"/>
      <c r="BF20" s="65"/>
      <c r="BG20" s="70"/>
      <c r="BH20" s="67"/>
      <c r="BI20" s="56"/>
      <c r="BJ20" s="56"/>
      <c r="BK20" s="56"/>
      <c r="BL20" s="66"/>
      <c r="BM20" s="68"/>
      <c r="BN20" s="65"/>
      <c r="BO20" s="65"/>
      <c r="BP20" s="65"/>
      <c r="BQ20" s="70"/>
      <c r="BR20" s="67"/>
      <c r="BS20" s="56"/>
      <c r="BT20" s="56"/>
      <c r="BU20" s="56"/>
      <c r="BV20" s="66"/>
      <c r="BW20" s="68"/>
      <c r="BX20" s="65"/>
      <c r="BY20" s="65"/>
      <c r="BZ20" s="65"/>
      <c r="CA20" s="70"/>
      <c r="CB20" s="67"/>
      <c r="CC20" s="56"/>
      <c r="CD20" s="56"/>
      <c r="CE20" s="56"/>
      <c r="CF20" s="66"/>
      <c r="CG20" s="68"/>
      <c r="CH20" s="65"/>
      <c r="CI20" s="65"/>
      <c r="CJ20" s="65"/>
      <c r="CK20" s="70"/>
      <c r="CL20" s="67"/>
      <c r="CM20" s="56"/>
      <c r="CN20" s="56"/>
      <c r="CO20" s="56"/>
      <c r="CP20" s="66"/>
      <c r="CQ20" s="68"/>
      <c r="CR20" s="65"/>
      <c r="CS20" s="65"/>
      <c r="CT20" s="65"/>
      <c r="CU20" s="70"/>
      <c r="CV20" s="67"/>
      <c r="CW20" s="56"/>
      <c r="CX20" s="56"/>
      <c r="CY20" s="56"/>
      <c r="CZ20" s="66"/>
      <c r="DA20" s="68"/>
      <c r="DB20" s="65"/>
      <c r="DC20" s="65"/>
      <c r="DD20" s="65"/>
      <c r="DE20" s="70"/>
    </row>
    <row r="21" spans="2:109" ht="17" thickBot="1" x14ac:dyDescent="0.25">
      <c r="B21" s="451" t="s">
        <v>34</v>
      </c>
      <c r="C21" s="452"/>
      <c r="D21" s="453"/>
      <c r="E21" s="71"/>
      <c r="F21" s="72"/>
      <c r="G21" s="72"/>
      <c r="H21" s="72"/>
      <c r="I21" s="73"/>
      <c r="J21" s="74"/>
      <c r="K21" s="75"/>
      <c r="L21" s="75"/>
      <c r="M21" s="75"/>
      <c r="N21" s="76"/>
      <c r="O21" s="71"/>
      <c r="P21" s="72"/>
      <c r="Q21" s="72"/>
      <c r="R21" s="72"/>
      <c r="S21" s="73"/>
      <c r="T21" s="74"/>
      <c r="U21" s="75"/>
      <c r="V21" s="75"/>
      <c r="W21" s="75"/>
      <c r="X21" s="76"/>
      <c r="Y21" s="71"/>
      <c r="Z21" s="72"/>
      <c r="AA21" s="72"/>
      <c r="AB21" s="72"/>
      <c r="AC21" s="73"/>
      <c r="AD21" s="74"/>
      <c r="AE21" s="75"/>
      <c r="AF21" s="75"/>
      <c r="AG21" s="75"/>
      <c r="AH21" s="76"/>
      <c r="AI21" s="71"/>
      <c r="AJ21" s="72"/>
      <c r="AK21" s="72"/>
      <c r="AL21" s="72"/>
      <c r="AM21" s="73"/>
      <c r="AN21" s="74"/>
      <c r="AO21" s="75"/>
      <c r="AP21" s="75"/>
      <c r="AQ21" s="75"/>
      <c r="AR21" s="76"/>
      <c r="AS21" s="71"/>
      <c r="AT21" s="72"/>
      <c r="AU21" s="72"/>
      <c r="AV21" s="72"/>
      <c r="AW21" s="73"/>
      <c r="AX21" s="74"/>
      <c r="AY21" s="75"/>
      <c r="AZ21" s="75"/>
      <c r="BA21" s="75"/>
      <c r="BB21" s="76"/>
      <c r="BC21" s="71"/>
      <c r="BD21" s="72"/>
      <c r="BE21" s="72"/>
      <c r="BF21" s="72"/>
      <c r="BG21" s="73"/>
      <c r="BH21" s="74"/>
      <c r="BI21" s="75"/>
      <c r="BJ21" s="75"/>
      <c r="BK21" s="75"/>
      <c r="BL21" s="76"/>
      <c r="BM21" s="71"/>
      <c r="BN21" s="72"/>
      <c r="BO21" s="72"/>
      <c r="BP21" s="72"/>
      <c r="BQ21" s="73"/>
      <c r="BR21" s="74"/>
      <c r="BS21" s="75"/>
      <c r="BT21" s="75"/>
      <c r="BU21" s="75"/>
      <c r="BV21" s="76"/>
      <c r="BW21" s="71"/>
      <c r="BX21" s="72"/>
      <c r="BY21" s="72"/>
      <c r="BZ21" s="72"/>
      <c r="CA21" s="73"/>
      <c r="CB21" s="74"/>
      <c r="CC21" s="75"/>
      <c r="CD21" s="75"/>
      <c r="CE21" s="75"/>
      <c r="CF21" s="76"/>
      <c r="CG21" s="71"/>
      <c r="CH21" s="72"/>
      <c r="CI21" s="72"/>
      <c r="CJ21" s="72"/>
      <c r="CK21" s="73"/>
      <c r="CL21" s="74"/>
      <c r="CM21" s="75"/>
      <c r="CN21" s="75"/>
      <c r="CO21" s="75"/>
      <c r="CP21" s="76"/>
      <c r="CQ21" s="71"/>
      <c r="CR21" s="72"/>
      <c r="CS21" s="72"/>
      <c r="CT21" s="72"/>
      <c r="CU21" s="73"/>
      <c r="CV21" s="74"/>
      <c r="CW21" s="75"/>
      <c r="CX21" s="75"/>
      <c r="CY21" s="75"/>
      <c r="CZ21" s="76"/>
      <c r="DA21" s="71"/>
      <c r="DB21" s="72"/>
      <c r="DC21" s="72"/>
      <c r="DD21" s="72"/>
      <c r="DE21" s="73"/>
    </row>
    <row r="22" spans="2:109" s="136" customFormat="1" ht="17" thickBot="1" x14ac:dyDescent="0.25">
      <c r="G22" s="136" t="s">
        <v>35</v>
      </c>
      <c r="Q22" s="136" t="s">
        <v>35</v>
      </c>
      <c r="W22" s="478" t="s">
        <v>36</v>
      </c>
      <c r="X22" s="478"/>
      <c r="AA22" s="136" t="s">
        <v>35</v>
      </c>
      <c r="AK22" s="136" t="s">
        <v>35</v>
      </c>
      <c r="AZ22" s="136" t="s">
        <v>35</v>
      </c>
      <c r="BJ22" s="136" t="s">
        <v>35</v>
      </c>
      <c r="BT22" s="136" t="s">
        <v>35</v>
      </c>
      <c r="CD22" s="136" t="s">
        <v>35</v>
      </c>
      <c r="CN22" s="136" t="s">
        <v>35</v>
      </c>
      <c r="CX22" s="136" t="s">
        <v>35</v>
      </c>
    </row>
    <row r="23" spans="2:109" ht="17" thickBot="1" x14ac:dyDescent="0.25">
      <c r="C23" s="198" t="s">
        <v>37</v>
      </c>
      <c r="D23" s="199" t="s">
        <v>38</v>
      </c>
    </row>
    <row r="24" spans="2:109" x14ac:dyDescent="0.2">
      <c r="B24" s="83" t="str" cm="1">
        <f t="array" ref="B24">IFERROR(_xlfn.SINGLE(INDEX(_xlfn._xlws.FILTER(Ressourcer!$B$1:$X$1,_xlfn.BYCOL(Ressourcer!$B$12:$X$15,_xlfn.LAMBDA(_xlpm.c,COUNTIF(_xlpm.c,"&lt;&gt;" )&gt;0))),ROWS($B$2:B2))),"")</f>
        <v>CLLJ</v>
      </c>
      <c r="C24" s="233" cm="1">
        <f t="array" ref="C24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)&gt;0))),_xlfn.LAMBDA(_xlpm.col,SUM(INDEX(Ressourcer!$B$12:$X$15,,_xlfn.SINGLE(_xlpm.col)-_xlfn.SINGLE(COLUMN(Ressourcer!$B$12:$X$15))+1)))),ROWS($B$2:B2))),"")/2</f>
        <v>125</v>
      </c>
      <c r="D24" s="106">
        <f t="shared" ref="D24:D36" si="2">IF(SUM(E24:DE24)=0,"",SUM(E24:DE24))</f>
        <v>50</v>
      </c>
      <c r="E24" s="81">
        <f t="shared" ref="E24:T38" si="3">IF($B24="","",IF(COUNTIF(E$16:E$21,$B24)&gt;0,COUNTA(E$7:E$15),0))</f>
        <v>0</v>
      </c>
      <c r="F24" s="46">
        <f t="shared" si="3"/>
        <v>0</v>
      </c>
      <c r="G24" s="46">
        <f t="shared" si="3"/>
        <v>0</v>
      </c>
      <c r="H24" s="46">
        <f t="shared" si="3"/>
        <v>0</v>
      </c>
      <c r="I24" s="46">
        <f t="shared" si="3"/>
        <v>4</v>
      </c>
      <c r="J24" s="46">
        <f t="shared" si="3"/>
        <v>0</v>
      </c>
      <c r="K24" s="46">
        <f t="shared" si="3"/>
        <v>4</v>
      </c>
      <c r="L24" s="46">
        <f t="shared" si="3"/>
        <v>0</v>
      </c>
      <c r="M24" s="46">
        <f t="shared" si="3"/>
        <v>0</v>
      </c>
      <c r="N24" s="46">
        <f t="shared" si="3"/>
        <v>0</v>
      </c>
      <c r="O24" s="46">
        <f t="shared" si="3"/>
        <v>0</v>
      </c>
      <c r="P24" s="46">
        <f t="shared" si="3"/>
        <v>4</v>
      </c>
      <c r="Q24" s="46">
        <f t="shared" si="3"/>
        <v>4</v>
      </c>
      <c r="R24" s="46">
        <f t="shared" si="3"/>
        <v>0</v>
      </c>
      <c r="S24" s="46">
        <f t="shared" si="3"/>
        <v>4</v>
      </c>
      <c r="T24" s="46">
        <f t="shared" si="3"/>
        <v>0</v>
      </c>
      <c r="U24" s="46">
        <f t="shared" ref="U24:AJ38" si="4">IF($B24="","",IF(COUNTIF(U$16:U$21,$B24)&gt;0,COUNTA(U$7:U$15),0))</f>
        <v>4</v>
      </c>
      <c r="V24" s="46">
        <f t="shared" si="4"/>
        <v>0</v>
      </c>
      <c r="W24" s="46">
        <f t="shared" si="4"/>
        <v>0</v>
      </c>
      <c r="X24" s="46">
        <f t="shared" si="4"/>
        <v>0</v>
      </c>
      <c r="Y24" s="46">
        <f t="shared" si="4"/>
        <v>0</v>
      </c>
      <c r="Z24" s="46">
        <f t="shared" si="4"/>
        <v>4</v>
      </c>
      <c r="AA24" s="46">
        <f t="shared" si="4"/>
        <v>0</v>
      </c>
      <c r="AB24" s="46">
        <f t="shared" si="4"/>
        <v>0</v>
      </c>
      <c r="AC24" s="46">
        <f t="shared" si="4"/>
        <v>0</v>
      </c>
      <c r="AD24" s="46">
        <f t="shared" si="4"/>
        <v>0</v>
      </c>
      <c r="AE24" s="46">
        <f t="shared" si="4"/>
        <v>0</v>
      </c>
      <c r="AF24" s="46">
        <f t="shared" si="4"/>
        <v>0</v>
      </c>
      <c r="AG24" s="46">
        <f t="shared" si="4"/>
        <v>0</v>
      </c>
      <c r="AH24" s="46">
        <f t="shared" si="4"/>
        <v>0</v>
      </c>
      <c r="AI24" s="46">
        <f t="shared" si="4"/>
        <v>0</v>
      </c>
      <c r="AJ24" s="46">
        <f t="shared" si="4"/>
        <v>0</v>
      </c>
      <c r="AK24" s="46">
        <f t="shared" ref="AK24:AZ38" si="5">IF($B24="","",IF(COUNTIF(AK$16:AK$21,$B24)&gt;0,COUNTA(AK$7:AK$15),0))</f>
        <v>0</v>
      </c>
      <c r="AL24" s="46">
        <f t="shared" si="5"/>
        <v>0</v>
      </c>
      <c r="AM24" s="46">
        <f t="shared" si="5"/>
        <v>0</v>
      </c>
      <c r="AN24" s="46">
        <f t="shared" si="5"/>
        <v>0</v>
      </c>
      <c r="AO24" s="46">
        <f t="shared" si="5"/>
        <v>0</v>
      </c>
      <c r="AP24" s="46">
        <f t="shared" si="5"/>
        <v>0</v>
      </c>
      <c r="AQ24" s="46">
        <f t="shared" si="5"/>
        <v>0</v>
      </c>
      <c r="AR24" s="46">
        <f t="shared" si="5"/>
        <v>0</v>
      </c>
      <c r="AS24" s="46">
        <f t="shared" si="5"/>
        <v>0</v>
      </c>
      <c r="AT24" s="46">
        <f t="shared" si="5"/>
        <v>0</v>
      </c>
      <c r="AU24" s="46">
        <f t="shared" si="5"/>
        <v>0</v>
      </c>
      <c r="AV24" s="46">
        <f t="shared" si="5"/>
        <v>0</v>
      </c>
      <c r="AW24" s="46">
        <f t="shared" si="5"/>
        <v>0</v>
      </c>
      <c r="AX24" s="46">
        <f t="shared" si="5"/>
        <v>0</v>
      </c>
      <c r="AY24" s="46">
        <f t="shared" si="5"/>
        <v>4</v>
      </c>
      <c r="AZ24" s="46">
        <f t="shared" si="5"/>
        <v>0</v>
      </c>
      <c r="BA24" s="46">
        <f t="shared" ref="BA24:BP38" si="6">IF($B24="","",IF(COUNTIF(BA$16:BA$21,$B24)&gt;0,COUNTA(BA$7:BA$15),0))</f>
        <v>0</v>
      </c>
      <c r="BB24" s="46">
        <f t="shared" si="6"/>
        <v>0</v>
      </c>
      <c r="BC24" s="46">
        <f t="shared" si="6"/>
        <v>0</v>
      </c>
      <c r="BD24" s="46">
        <f t="shared" si="6"/>
        <v>0</v>
      </c>
      <c r="BE24" s="46">
        <f t="shared" si="6"/>
        <v>0</v>
      </c>
      <c r="BF24" s="46">
        <f t="shared" si="6"/>
        <v>0</v>
      </c>
      <c r="BG24" s="46">
        <f t="shared" si="6"/>
        <v>0</v>
      </c>
      <c r="BH24" s="46">
        <f t="shared" si="6"/>
        <v>0</v>
      </c>
      <c r="BI24" s="46">
        <f t="shared" si="6"/>
        <v>0</v>
      </c>
      <c r="BJ24" s="46">
        <f t="shared" si="6"/>
        <v>0</v>
      </c>
      <c r="BK24" s="46">
        <f t="shared" si="6"/>
        <v>0</v>
      </c>
      <c r="BL24" s="46">
        <f t="shared" si="6"/>
        <v>0</v>
      </c>
      <c r="BM24" s="46">
        <f t="shared" si="6"/>
        <v>0</v>
      </c>
      <c r="BN24" s="46">
        <f t="shared" si="6"/>
        <v>0</v>
      </c>
      <c r="BO24" s="46">
        <f t="shared" si="6"/>
        <v>0</v>
      </c>
      <c r="BP24" s="46">
        <f t="shared" si="6"/>
        <v>0</v>
      </c>
      <c r="BQ24" s="46">
        <f t="shared" ref="BQ24:CF38" si="7">IF($B24="","",IF(COUNTIF(BQ$16:BQ$21,$B24)&gt;0,COUNTA(BQ$7:BQ$15),0))</f>
        <v>0</v>
      </c>
      <c r="BR24" s="46">
        <f t="shared" si="7"/>
        <v>0</v>
      </c>
      <c r="BS24" s="46">
        <f t="shared" si="7"/>
        <v>0</v>
      </c>
      <c r="BT24" s="46">
        <f t="shared" si="7"/>
        <v>0</v>
      </c>
      <c r="BU24" s="46">
        <f t="shared" si="7"/>
        <v>0</v>
      </c>
      <c r="BV24" s="46">
        <f t="shared" si="7"/>
        <v>0</v>
      </c>
      <c r="BW24" s="46">
        <f t="shared" si="7"/>
        <v>0</v>
      </c>
      <c r="BX24" s="46">
        <f t="shared" si="7"/>
        <v>0</v>
      </c>
      <c r="BY24" s="46">
        <f t="shared" si="7"/>
        <v>0</v>
      </c>
      <c r="BZ24" s="46">
        <f t="shared" si="7"/>
        <v>0</v>
      </c>
      <c r="CA24" s="46">
        <f t="shared" si="7"/>
        <v>0</v>
      </c>
      <c r="CB24" s="46">
        <f t="shared" si="7"/>
        <v>0</v>
      </c>
      <c r="CC24" s="46">
        <f t="shared" si="7"/>
        <v>0</v>
      </c>
      <c r="CD24" s="46">
        <f t="shared" si="7"/>
        <v>0</v>
      </c>
      <c r="CE24" s="46">
        <f t="shared" si="7"/>
        <v>0</v>
      </c>
      <c r="CF24" s="46">
        <f t="shared" si="7"/>
        <v>0</v>
      </c>
      <c r="CG24" s="46">
        <f t="shared" ref="CG24:CV38" si="8">IF($B24="","",IF(COUNTIF(CG$16:CG$21,$B24)&gt;0,COUNTA(CG$7:CG$15),0))</f>
        <v>0</v>
      </c>
      <c r="CH24" s="46">
        <f t="shared" si="8"/>
        <v>0</v>
      </c>
      <c r="CI24" s="46">
        <f t="shared" si="8"/>
        <v>0</v>
      </c>
      <c r="CJ24" s="46">
        <f t="shared" si="8"/>
        <v>0</v>
      </c>
      <c r="CK24" s="46">
        <f t="shared" si="8"/>
        <v>0</v>
      </c>
      <c r="CL24" s="46">
        <f t="shared" si="8"/>
        <v>0</v>
      </c>
      <c r="CM24" s="46">
        <f t="shared" si="8"/>
        <v>0</v>
      </c>
      <c r="CN24" s="46">
        <f t="shared" si="8"/>
        <v>0</v>
      </c>
      <c r="CO24" s="46">
        <f t="shared" si="8"/>
        <v>0</v>
      </c>
      <c r="CP24" s="46">
        <f t="shared" si="8"/>
        <v>0</v>
      </c>
      <c r="CQ24" s="46">
        <f t="shared" si="8"/>
        <v>0</v>
      </c>
      <c r="CR24" s="46">
        <f t="shared" si="8"/>
        <v>0</v>
      </c>
      <c r="CS24" s="46">
        <f t="shared" si="8"/>
        <v>0</v>
      </c>
      <c r="CT24" s="46">
        <f t="shared" si="8"/>
        <v>0</v>
      </c>
      <c r="CU24" s="46">
        <f t="shared" si="8"/>
        <v>0</v>
      </c>
      <c r="CV24" s="46">
        <f t="shared" si="8"/>
        <v>6</v>
      </c>
      <c r="CW24" s="46">
        <f t="shared" ref="CW24:DE38" si="9">IF($B24="","",IF(COUNTIF(CW$16:CW$21,$B24)&gt;0,COUNTA(CW$7:CW$15),0))</f>
        <v>0</v>
      </c>
      <c r="CX24" s="46">
        <f t="shared" si="9"/>
        <v>6</v>
      </c>
      <c r="CY24" s="46">
        <f t="shared" si="9"/>
        <v>0</v>
      </c>
      <c r="CZ24" s="46">
        <f t="shared" si="9"/>
        <v>6</v>
      </c>
      <c r="DA24" s="46">
        <f t="shared" si="9"/>
        <v>0</v>
      </c>
      <c r="DB24" s="46">
        <f t="shared" si="9"/>
        <v>0</v>
      </c>
      <c r="DC24" s="46">
        <f t="shared" si="9"/>
        <v>0</v>
      </c>
      <c r="DD24" s="46">
        <f t="shared" si="9"/>
        <v>0</v>
      </c>
      <c r="DE24" s="78">
        <f t="shared" si="9"/>
        <v>0</v>
      </c>
    </row>
    <row r="25" spans="2:109" x14ac:dyDescent="0.2">
      <c r="B25" s="84" t="str" cm="1">
        <f t="array" ref="B25">IFERROR(_xlfn.SINGLE(INDEX(_xlfn._xlws.FILTER(Ressourcer!$B$1:$X$1,_xlfn.BYCOL(Ressourcer!$B$12:$X$15,_xlfn.LAMBDA(_xlpm.c,COUNTIF(_xlpm.c,"&lt;&gt;" )&gt;0))),ROWS($B$2:B3))),"")</f>
        <v>GUIN</v>
      </c>
      <c r="C25" s="233" cm="1">
        <f t="array" ref="C25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)&gt;0))),_xlfn.LAMBDA(_xlpm.col,SUM(INDEX(Ressourcer!$B$12:$X$15,,_xlfn.SINGLE(_xlpm.col)-_xlfn.SINGLE(COLUMN(Ressourcer!$B$12:$X$15))+1)))),ROWS($B$2:B3))),"")/2</f>
        <v>125</v>
      </c>
      <c r="D25" s="106">
        <f t="shared" si="2"/>
        <v>174</v>
      </c>
      <c r="E25" s="57">
        <f t="shared" si="3"/>
        <v>4</v>
      </c>
      <c r="F25" s="55">
        <f t="shared" si="3"/>
        <v>4</v>
      </c>
      <c r="G25" s="55">
        <f t="shared" si="3"/>
        <v>0</v>
      </c>
      <c r="H25" s="55">
        <f t="shared" si="3"/>
        <v>0</v>
      </c>
      <c r="I25" s="55">
        <f t="shared" si="3"/>
        <v>0</v>
      </c>
      <c r="J25" s="55">
        <f t="shared" si="3"/>
        <v>4</v>
      </c>
      <c r="K25" s="55">
        <f t="shared" si="3"/>
        <v>0</v>
      </c>
      <c r="L25" s="55">
        <f t="shared" si="3"/>
        <v>0</v>
      </c>
      <c r="M25" s="55">
        <f t="shared" si="3"/>
        <v>0</v>
      </c>
      <c r="N25" s="55">
        <f t="shared" si="3"/>
        <v>4</v>
      </c>
      <c r="O25" s="55">
        <f t="shared" si="3"/>
        <v>4</v>
      </c>
      <c r="P25" s="55">
        <f t="shared" si="3"/>
        <v>4</v>
      </c>
      <c r="Q25" s="55">
        <f t="shared" si="3"/>
        <v>4</v>
      </c>
      <c r="R25" s="55">
        <f t="shared" si="3"/>
        <v>0</v>
      </c>
      <c r="S25" s="55">
        <f t="shared" si="3"/>
        <v>4</v>
      </c>
      <c r="T25" s="55">
        <f t="shared" si="3"/>
        <v>4</v>
      </c>
      <c r="U25" s="55">
        <f t="shared" si="4"/>
        <v>0</v>
      </c>
      <c r="V25" s="55">
        <f t="shared" si="4"/>
        <v>0</v>
      </c>
      <c r="W25" s="55">
        <f t="shared" si="4"/>
        <v>4</v>
      </c>
      <c r="X25" s="55">
        <f t="shared" si="4"/>
        <v>4</v>
      </c>
      <c r="Y25" s="55">
        <f t="shared" si="4"/>
        <v>4</v>
      </c>
      <c r="Z25" s="55">
        <f t="shared" si="4"/>
        <v>0</v>
      </c>
      <c r="AA25" s="55">
        <f t="shared" si="4"/>
        <v>4</v>
      </c>
      <c r="AB25" s="55">
        <f t="shared" si="4"/>
        <v>0</v>
      </c>
      <c r="AC25" s="55">
        <f t="shared" si="4"/>
        <v>0</v>
      </c>
      <c r="AD25" s="55">
        <f t="shared" si="4"/>
        <v>4</v>
      </c>
      <c r="AE25" s="55">
        <f t="shared" si="4"/>
        <v>0</v>
      </c>
      <c r="AF25" s="55">
        <f t="shared" si="4"/>
        <v>0</v>
      </c>
      <c r="AG25" s="55">
        <f t="shared" si="4"/>
        <v>0</v>
      </c>
      <c r="AH25" s="55">
        <f t="shared" si="4"/>
        <v>4</v>
      </c>
      <c r="AI25" s="55">
        <f t="shared" si="4"/>
        <v>0</v>
      </c>
      <c r="AJ25" s="55">
        <f t="shared" si="4"/>
        <v>4</v>
      </c>
      <c r="AK25" s="55">
        <f t="shared" si="5"/>
        <v>0</v>
      </c>
      <c r="AL25" s="55">
        <f t="shared" si="5"/>
        <v>0</v>
      </c>
      <c r="AM25" s="55">
        <f t="shared" si="5"/>
        <v>4</v>
      </c>
      <c r="AN25" s="55">
        <f t="shared" si="5"/>
        <v>0</v>
      </c>
      <c r="AO25" s="55">
        <f t="shared" si="5"/>
        <v>0</v>
      </c>
      <c r="AP25" s="55">
        <f t="shared" si="5"/>
        <v>0</v>
      </c>
      <c r="AQ25" s="55">
        <f t="shared" si="5"/>
        <v>0</v>
      </c>
      <c r="AR25" s="55">
        <f t="shared" si="5"/>
        <v>0</v>
      </c>
      <c r="AS25" s="55">
        <f t="shared" si="5"/>
        <v>4</v>
      </c>
      <c r="AT25" s="55">
        <f t="shared" si="5"/>
        <v>0</v>
      </c>
      <c r="AU25" s="55">
        <f t="shared" si="5"/>
        <v>0</v>
      </c>
      <c r="AV25" s="55">
        <f t="shared" si="5"/>
        <v>0</v>
      </c>
      <c r="AW25" s="55">
        <f t="shared" si="5"/>
        <v>4</v>
      </c>
      <c r="AX25" s="55">
        <f t="shared" si="5"/>
        <v>4</v>
      </c>
      <c r="AY25" s="55">
        <f t="shared" si="5"/>
        <v>0</v>
      </c>
      <c r="AZ25" s="55">
        <f t="shared" si="5"/>
        <v>4</v>
      </c>
      <c r="BA25" s="55">
        <f t="shared" si="6"/>
        <v>4</v>
      </c>
      <c r="BB25" s="55">
        <f t="shared" si="6"/>
        <v>4</v>
      </c>
      <c r="BC25" s="55">
        <f t="shared" si="6"/>
        <v>0</v>
      </c>
      <c r="BD25" s="55">
        <f t="shared" si="6"/>
        <v>4</v>
      </c>
      <c r="BE25" s="55">
        <f t="shared" si="6"/>
        <v>0</v>
      </c>
      <c r="BF25" s="55">
        <f t="shared" si="6"/>
        <v>0</v>
      </c>
      <c r="BG25" s="55">
        <f t="shared" si="6"/>
        <v>0</v>
      </c>
      <c r="BH25" s="55">
        <f t="shared" si="6"/>
        <v>4</v>
      </c>
      <c r="BI25" s="55">
        <f t="shared" si="6"/>
        <v>4</v>
      </c>
      <c r="BJ25" s="55">
        <f t="shared" si="6"/>
        <v>0</v>
      </c>
      <c r="BK25" s="55">
        <f t="shared" si="6"/>
        <v>0</v>
      </c>
      <c r="BL25" s="55">
        <f t="shared" si="6"/>
        <v>0</v>
      </c>
      <c r="BM25" s="55">
        <f t="shared" si="6"/>
        <v>0</v>
      </c>
      <c r="BN25" s="55">
        <f t="shared" si="6"/>
        <v>4</v>
      </c>
      <c r="BO25" s="55">
        <f t="shared" si="6"/>
        <v>0</v>
      </c>
      <c r="BP25" s="55">
        <f t="shared" si="6"/>
        <v>0</v>
      </c>
      <c r="BQ25" s="55">
        <f t="shared" si="7"/>
        <v>0</v>
      </c>
      <c r="BR25" s="55">
        <f t="shared" si="7"/>
        <v>4</v>
      </c>
      <c r="BS25" s="55">
        <f t="shared" si="7"/>
        <v>0</v>
      </c>
      <c r="BT25" s="55">
        <f t="shared" si="7"/>
        <v>4</v>
      </c>
      <c r="BU25" s="55">
        <f t="shared" si="7"/>
        <v>4</v>
      </c>
      <c r="BV25" s="55">
        <f t="shared" si="7"/>
        <v>4</v>
      </c>
      <c r="BW25" s="55">
        <f t="shared" si="7"/>
        <v>0</v>
      </c>
      <c r="BX25" s="55">
        <f t="shared" si="7"/>
        <v>0</v>
      </c>
      <c r="BY25" s="55">
        <f t="shared" si="7"/>
        <v>0</v>
      </c>
      <c r="BZ25" s="55">
        <f t="shared" si="7"/>
        <v>0</v>
      </c>
      <c r="CA25" s="55">
        <f t="shared" si="7"/>
        <v>4</v>
      </c>
      <c r="CB25" s="55">
        <f t="shared" si="7"/>
        <v>4</v>
      </c>
      <c r="CC25" s="55">
        <f t="shared" si="7"/>
        <v>4</v>
      </c>
      <c r="CD25" s="55">
        <f t="shared" si="7"/>
        <v>4</v>
      </c>
      <c r="CE25" s="55">
        <f t="shared" si="7"/>
        <v>4</v>
      </c>
      <c r="CF25" s="55">
        <f t="shared" si="7"/>
        <v>0</v>
      </c>
      <c r="CG25" s="55">
        <f t="shared" si="8"/>
        <v>0</v>
      </c>
      <c r="CH25" s="55">
        <f t="shared" si="8"/>
        <v>4</v>
      </c>
      <c r="CI25" s="55">
        <f t="shared" si="8"/>
        <v>4</v>
      </c>
      <c r="CJ25" s="55">
        <f t="shared" si="8"/>
        <v>4</v>
      </c>
      <c r="CK25" s="55">
        <f t="shared" si="8"/>
        <v>0</v>
      </c>
      <c r="CL25" s="55">
        <f t="shared" si="8"/>
        <v>0</v>
      </c>
      <c r="CM25" s="55">
        <f t="shared" si="8"/>
        <v>0</v>
      </c>
      <c r="CN25" s="55">
        <f t="shared" si="8"/>
        <v>0</v>
      </c>
      <c r="CO25" s="55">
        <f t="shared" si="8"/>
        <v>0</v>
      </c>
      <c r="CP25" s="55">
        <f t="shared" si="8"/>
        <v>0</v>
      </c>
      <c r="CQ25" s="55">
        <f t="shared" si="8"/>
        <v>0</v>
      </c>
      <c r="CR25" s="55">
        <f t="shared" si="8"/>
        <v>0</v>
      </c>
      <c r="CS25" s="55">
        <f t="shared" si="8"/>
        <v>0</v>
      </c>
      <c r="CT25" s="55">
        <f t="shared" si="8"/>
        <v>0</v>
      </c>
      <c r="CU25" s="55">
        <f t="shared" si="8"/>
        <v>0</v>
      </c>
      <c r="CV25" s="55">
        <f t="shared" si="8"/>
        <v>6</v>
      </c>
      <c r="CW25" s="55">
        <f t="shared" si="9"/>
        <v>0</v>
      </c>
      <c r="CX25" s="55">
        <f t="shared" si="9"/>
        <v>6</v>
      </c>
      <c r="CY25" s="55">
        <f t="shared" si="9"/>
        <v>0</v>
      </c>
      <c r="CZ25" s="55">
        <f t="shared" si="9"/>
        <v>6</v>
      </c>
      <c r="DA25" s="55">
        <f t="shared" si="9"/>
        <v>0</v>
      </c>
      <c r="DB25" s="55">
        <f t="shared" si="9"/>
        <v>0</v>
      </c>
      <c r="DC25" s="55">
        <f t="shared" si="9"/>
        <v>0</v>
      </c>
      <c r="DD25" s="55">
        <f t="shared" si="9"/>
        <v>0</v>
      </c>
      <c r="DE25" s="58">
        <f t="shared" si="9"/>
        <v>0</v>
      </c>
    </row>
    <row r="26" spans="2:109" x14ac:dyDescent="0.2">
      <c r="B26" s="84" t="str" cm="1">
        <f t="array" ref="B26">IFERROR(_xlfn.SINGLE(INDEX(_xlfn._xlws.FILTER(Ressourcer!$B$1:$X$1,_xlfn.BYCOL(Ressourcer!$B$12:$X$15,_xlfn.LAMBDA(_xlpm.c,COUNTIF(_xlpm.c,"&lt;&gt;" )&gt;0))),ROWS($B$2:B4))),"")</f>
        <v>JEAN</v>
      </c>
      <c r="C26" s="233" cm="1">
        <f t="array" ref="C26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)&gt;0))),_xlfn.LAMBDA(_xlpm.col,SUM(INDEX(Ressourcer!$B$12:$X$15,,_xlfn.SINGLE(_xlpm.col)-_xlfn.SINGLE(COLUMN(Ressourcer!$B$12:$X$15))+1)))),ROWS($B$2:B4))),"")/2</f>
        <v>100</v>
      </c>
      <c r="D26" s="106">
        <f t="shared" si="2"/>
        <v>70</v>
      </c>
      <c r="E26" s="57">
        <f t="shared" si="3"/>
        <v>0</v>
      </c>
      <c r="F26" s="55">
        <f t="shared" si="3"/>
        <v>0</v>
      </c>
      <c r="G26" s="55">
        <f t="shared" si="3"/>
        <v>0</v>
      </c>
      <c r="H26" s="55">
        <f t="shared" si="3"/>
        <v>0</v>
      </c>
      <c r="I26" s="55">
        <f t="shared" si="3"/>
        <v>0</v>
      </c>
      <c r="J26" s="55">
        <f t="shared" si="3"/>
        <v>0</v>
      </c>
      <c r="K26" s="55">
        <f t="shared" si="3"/>
        <v>0</v>
      </c>
      <c r="L26" s="55">
        <f t="shared" si="3"/>
        <v>0</v>
      </c>
      <c r="M26" s="55">
        <f t="shared" si="3"/>
        <v>0</v>
      </c>
      <c r="N26" s="55">
        <f t="shared" si="3"/>
        <v>0</v>
      </c>
      <c r="O26" s="55">
        <f t="shared" si="3"/>
        <v>0</v>
      </c>
      <c r="P26" s="55">
        <f t="shared" si="3"/>
        <v>0</v>
      </c>
      <c r="Q26" s="55">
        <f t="shared" si="3"/>
        <v>0</v>
      </c>
      <c r="R26" s="55">
        <f t="shared" si="3"/>
        <v>0</v>
      </c>
      <c r="S26" s="55">
        <f t="shared" si="3"/>
        <v>4</v>
      </c>
      <c r="T26" s="55">
        <f t="shared" si="3"/>
        <v>0</v>
      </c>
      <c r="U26" s="55">
        <f t="shared" si="4"/>
        <v>0</v>
      </c>
      <c r="V26" s="55">
        <f t="shared" si="4"/>
        <v>0</v>
      </c>
      <c r="W26" s="55">
        <f t="shared" si="4"/>
        <v>0</v>
      </c>
      <c r="X26" s="55">
        <f t="shared" si="4"/>
        <v>0</v>
      </c>
      <c r="Y26" s="55">
        <f t="shared" si="4"/>
        <v>0</v>
      </c>
      <c r="Z26" s="55">
        <f t="shared" si="4"/>
        <v>0</v>
      </c>
      <c r="AA26" s="55">
        <f t="shared" si="4"/>
        <v>0</v>
      </c>
      <c r="AB26" s="55">
        <f t="shared" si="4"/>
        <v>0</v>
      </c>
      <c r="AC26" s="55">
        <f t="shared" si="4"/>
        <v>0</v>
      </c>
      <c r="AD26" s="55">
        <f t="shared" si="4"/>
        <v>0</v>
      </c>
      <c r="AE26" s="55">
        <f t="shared" si="4"/>
        <v>0</v>
      </c>
      <c r="AF26" s="55">
        <f t="shared" si="4"/>
        <v>0</v>
      </c>
      <c r="AG26" s="55">
        <f t="shared" si="4"/>
        <v>0</v>
      </c>
      <c r="AH26" s="55">
        <f t="shared" si="4"/>
        <v>0</v>
      </c>
      <c r="AI26" s="55">
        <f t="shared" si="4"/>
        <v>4</v>
      </c>
      <c r="AJ26" s="55">
        <f t="shared" si="4"/>
        <v>0</v>
      </c>
      <c r="AK26" s="55">
        <f t="shared" si="5"/>
        <v>0</v>
      </c>
      <c r="AL26" s="55">
        <f t="shared" si="5"/>
        <v>0</v>
      </c>
      <c r="AM26" s="55">
        <f t="shared" si="5"/>
        <v>0</v>
      </c>
      <c r="AN26" s="55">
        <f t="shared" si="5"/>
        <v>0</v>
      </c>
      <c r="AO26" s="55">
        <f t="shared" si="5"/>
        <v>0</v>
      </c>
      <c r="AP26" s="55">
        <f t="shared" si="5"/>
        <v>0</v>
      </c>
      <c r="AQ26" s="55">
        <f t="shared" si="5"/>
        <v>0</v>
      </c>
      <c r="AR26" s="55">
        <f t="shared" si="5"/>
        <v>0</v>
      </c>
      <c r="AS26" s="55">
        <f t="shared" si="5"/>
        <v>0</v>
      </c>
      <c r="AT26" s="55">
        <f t="shared" si="5"/>
        <v>0</v>
      </c>
      <c r="AU26" s="55">
        <f t="shared" si="5"/>
        <v>0</v>
      </c>
      <c r="AV26" s="55">
        <f t="shared" si="5"/>
        <v>0</v>
      </c>
      <c r="AW26" s="55">
        <f t="shared" si="5"/>
        <v>4</v>
      </c>
      <c r="AX26" s="55">
        <f t="shared" si="5"/>
        <v>0</v>
      </c>
      <c r="AY26" s="55">
        <f t="shared" si="5"/>
        <v>0</v>
      </c>
      <c r="AZ26" s="55">
        <f t="shared" si="5"/>
        <v>0</v>
      </c>
      <c r="BA26" s="55">
        <f t="shared" si="6"/>
        <v>0</v>
      </c>
      <c r="BB26" s="55">
        <f t="shared" si="6"/>
        <v>4</v>
      </c>
      <c r="BC26" s="55">
        <f t="shared" si="6"/>
        <v>4</v>
      </c>
      <c r="BD26" s="55">
        <f t="shared" si="6"/>
        <v>0</v>
      </c>
      <c r="BE26" s="55">
        <f t="shared" si="6"/>
        <v>0</v>
      </c>
      <c r="BF26" s="55">
        <f t="shared" si="6"/>
        <v>4</v>
      </c>
      <c r="BG26" s="55">
        <f t="shared" si="6"/>
        <v>0</v>
      </c>
      <c r="BH26" s="55">
        <f t="shared" si="6"/>
        <v>0</v>
      </c>
      <c r="BI26" s="55">
        <f t="shared" si="6"/>
        <v>0</v>
      </c>
      <c r="BJ26" s="55">
        <f t="shared" si="6"/>
        <v>4</v>
      </c>
      <c r="BK26" s="55">
        <f t="shared" si="6"/>
        <v>0</v>
      </c>
      <c r="BL26" s="55">
        <f t="shared" si="6"/>
        <v>0</v>
      </c>
      <c r="BM26" s="55">
        <f t="shared" si="6"/>
        <v>4</v>
      </c>
      <c r="BN26" s="55">
        <f t="shared" si="6"/>
        <v>0</v>
      </c>
      <c r="BO26" s="55">
        <f t="shared" si="6"/>
        <v>0</v>
      </c>
      <c r="BP26" s="55">
        <f t="shared" si="6"/>
        <v>0</v>
      </c>
      <c r="BQ26" s="55">
        <f t="shared" si="7"/>
        <v>0</v>
      </c>
      <c r="BR26" s="55">
        <f t="shared" si="7"/>
        <v>0</v>
      </c>
      <c r="BS26" s="55">
        <f t="shared" si="7"/>
        <v>4</v>
      </c>
      <c r="BT26" s="55">
        <f t="shared" si="7"/>
        <v>0</v>
      </c>
      <c r="BU26" s="55">
        <f t="shared" si="7"/>
        <v>0</v>
      </c>
      <c r="BV26" s="55">
        <f t="shared" si="7"/>
        <v>0</v>
      </c>
      <c r="BW26" s="55">
        <f t="shared" si="7"/>
        <v>0</v>
      </c>
      <c r="BX26" s="55">
        <f t="shared" si="7"/>
        <v>0</v>
      </c>
      <c r="BY26" s="55">
        <f t="shared" si="7"/>
        <v>0</v>
      </c>
      <c r="BZ26" s="55">
        <f t="shared" si="7"/>
        <v>0</v>
      </c>
      <c r="CA26" s="55">
        <f t="shared" si="7"/>
        <v>4</v>
      </c>
      <c r="CB26" s="55">
        <f t="shared" si="7"/>
        <v>4</v>
      </c>
      <c r="CC26" s="55">
        <f t="shared" si="7"/>
        <v>0</v>
      </c>
      <c r="CD26" s="55">
        <f t="shared" si="7"/>
        <v>0</v>
      </c>
      <c r="CE26" s="55">
        <f t="shared" si="7"/>
        <v>0</v>
      </c>
      <c r="CF26" s="55">
        <f t="shared" si="7"/>
        <v>4</v>
      </c>
      <c r="CG26" s="55">
        <f t="shared" si="8"/>
        <v>0</v>
      </c>
      <c r="CH26" s="55">
        <f t="shared" si="8"/>
        <v>0</v>
      </c>
      <c r="CI26" s="55">
        <f t="shared" si="8"/>
        <v>0</v>
      </c>
      <c r="CJ26" s="55">
        <f t="shared" si="8"/>
        <v>4</v>
      </c>
      <c r="CK26" s="55">
        <f t="shared" si="8"/>
        <v>0</v>
      </c>
      <c r="CL26" s="55">
        <f t="shared" si="8"/>
        <v>0</v>
      </c>
      <c r="CM26" s="55">
        <f t="shared" si="8"/>
        <v>0</v>
      </c>
      <c r="CN26" s="55">
        <f t="shared" si="8"/>
        <v>0</v>
      </c>
      <c r="CO26" s="55">
        <f t="shared" si="8"/>
        <v>0</v>
      </c>
      <c r="CP26" s="55">
        <f t="shared" si="8"/>
        <v>0</v>
      </c>
      <c r="CQ26" s="55">
        <f t="shared" si="8"/>
        <v>0</v>
      </c>
      <c r="CR26" s="55">
        <f t="shared" si="8"/>
        <v>0</v>
      </c>
      <c r="CS26" s="55">
        <f t="shared" si="8"/>
        <v>0</v>
      </c>
      <c r="CT26" s="55">
        <f t="shared" si="8"/>
        <v>0</v>
      </c>
      <c r="CU26" s="55">
        <f t="shared" si="8"/>
        <v>0</v>
      </c>
      <c r="CV26" s="55">
        <f t="shared" si="8"/>
        <v>6</v>
      </c>
      <c r="CW26" s="55">
        <f t="shared" si="9"/>
        <v>0</v>
      </c>
      <c r="CX26" s="55">
        <f t="shared" si="9"/>
        <v>6</v>
      </c>
      <c r="CY26" s="55">
        <f t="shared" si="9"/>
        <v>0</v>
      </c>
      <c r="CZ26" s="55">
        <f t="shared" si="9"/>
        <v>6</v>
      </c>
      <c r="DA26" s="55">
        <f t="shared" si="9"/>
        <v>0</v>
      </c>
      <c r="DB26" s="55">
        <f t="shared" si="9"/>
        <v>0</v>
      </c>
      <c r="DC26" s="55">
        <f t="shared" si="9"/>
        <v>0</v>
      </c>
      <c r="DD26" s="55">
        <f t="shared" si="9"/>
        <v>0</v>
      </c>
      <c r="DE26" s="58">
        <f t="shared" si="9"/>
        <v>0</v>
      </c>
    </row>
    <row r="27" spans="2:109" x14ac:dyDescent="0.2">
      <c r="B27" s="84" t="str" cm="1">
        <f t="array" ref="B27">IFERROR(_xlfn.SINGLE(INDEX(_xlfn._xlws.FILTER(Ressourcer!$B$1:$X$1,_xlfn.BYCOL(Ressourcer!$B$12:$X$15,_xlfn.LAMBDA(_xlpm.c,COUNTIF(_xlpm.c,"&lt;&gt;" )&gt;0))),ROWS($B$2:B5))),"")</f>
        <v>JENR</v>
      </c>
      <c r="C27" s="233" cm="1">
        <f t="array" ref="C27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)&gt;0))),_xlfn.LAMBDA(_xlpm.col,SUM(INDEX(Ressourcer!$B$12:$X$15,,_xlfn.SINGLE(_xlpm.col)-_xlfn.SINGLE(COLUMN(Ressourcer!$B$12:$X$15))+1)))),ROWS($B$2:B5))),"")/2</f>
        <v>150</v>
      </c>
      <c r="D27" s="106">
        <f t="shared" si="2"/>
        <v>110</v>
      </c>
      <c r="E27" s="57">
        <f t="shared" si="3"/>
        <v>4</v>
      </c>
      <c r="F27" s="55">
        <f t="shared" si="3"/>
        <v>0</v>
      </c>
      <c r="G27" s="55">
        <f t="shared" si="3"/>
        <v>4</v>
      </c>
      <c r="H27" s="55">
        <f t="shared" si="3"/>
        <v>4</v>
      </c>
      <c r="I27" s="55">
        <f t="shared" si="3"/>
        <v>0</v>
      </c>
      <c r="J27" s="55">
        <f t="shared" si="3"/>
        <v>0</v>
      </c>
      <c r="K27" s="55">
        <f t="shared" si="3"/>
        <v>0</v>
      </c>
      <c r="L27" s="55">
        <f t="shared" si="3"/>
        <v>0</v>
      </c>
      <c r="M27" s="55">
        <f t="shared" si="3"/>
        <v>4</v>
      </c>
      <c r="N27" s="55">
        <f t="shared" si="3"/>
        <v>4</v>
      </c>
      <c r="O27" s="55">
        <f t="shared" si="3"/>
        <v>0</v>
      </c>
      <c r="P27" s="55">
        <f t="shared" si="3"/>
        <v>0</v>
      </c>
      <c r="Q27" s="55">
        <f t="shared" si="3"/>
        <v>4</v>
      </c>
      <c r="R27" s="55">
        <f t="shared" si="3"/>
        <v>0</v>
      </c>
      <c r="S27" s="55">
        <f t="shared" si="3"/>
        <v>4</v>
      </c>
      <c r="T27" s="55">
        <f t="shared" si="3"/>
        <v>4</v>
      </c>
      <c r="U27" s="55">
        <f t="shared" si="4"/>
        <v>0</v>
      </c>
      <c r="V27" s="55">
        <f t="shared" si="4"/>
        <v>0</v>
      </c>
      <c r="W27" s="55">
        <f t="shared" si="4"/>
        <v>0</v>
      </c>
      <c r="X27" s="55">
        <f t="shared" si="4"/>
        <v>0</v>
      </c>
      <c r="Y27" s="55">
        <f t="shared" si="4"/>
        <v>0</v>
      </c>
      <c r="Z27" s="55">
        <f t="shared" si="4"/>
        <v>0</v>
      </c>
      <c r="AA27" s="55">
        <f t="shared" si="4"/>
        <v>0</v>
      </c>
      <c r="AB27" s="55">
        <f t="shared" si="4"/>
        <v>0</v>
      </c>
      <c r="AC27" s="55">
        <f t="shared" si="4"/>
        <v>4</v>
      </c>
      <c r="AD27" s="55">
        <f t="shared" si="4"/>
        <v>0</v>
      </c>
      <c r="AE27" s="55">
        <f t="shared" si="4"/>
        <v>4</v>
      </c>
      <c r="AF27" s="55">
        <f t="shared" si="4"/>
        <v>0</v>
      </c>
      <c r="AG27" s="55">
        <f t="shared" si="4"/>
        <v>4</v>
      </c>
      <c r="AH27" s="55">
        <f t="shared" si="4"/>
        <v>4</v>
      </c>
      <c r="AI27" s="55">
        <f t="shared" si="4"/>
        <v>0</v>
      </c>
      <c r="AJ27" s="55">
        <f t="shared" si="4"/>
        <v>0</v>
      </c>
      <c r="AK27" s="55">
        <f t="shared" si="5"/>
        <v>0</v>
      </c>
      <c r="AL27" s="55">
        <f t="shared" si="5"/>
        <v>4</v>
      </c>
      <c r="AM27" s="55">
        <f t="shared" si="5"/>
        <v>0</v>
      </c>
      <c r="AN27" s="55">
        <f t="shared" si="5"/>
        <v>0</v>
      </c>
      <c r="AO27" s="55">
        <f t="shared" si="5"/>
        <v>0</v>
      </c>
      <c r="AP27" s="55">
        <f t="shared" si="5"/>
        <v>0</v>
      </c>
      <c r="AQ27" s="55">
        <f t="shared" si="5"/>
        <v>0</v>
      </c>
      <c r="AR27" s="55">
        <f t="shared" si="5"/>
        <v>0</v>
      </c>
      <c r="AS27" s="55">
        <f t="shared" si="5"/>
        <v>0</v>
      </c>
      <c r="AT27" s="55">
        <f t="shared" si="5"/>
        <v>0</v>
      </c>
      <c r="AU27" s="55">
        <f t="shared" si="5"/>
        <v>0</v>
      </c>
      <c r="AV27" s="55">
        <f t="shared" si="5"/>
        <v>0</v>
      </c>
      <c r="AW27" s="55">
        <f t="shared" si="5"/>
        <v>4</v>
      </c>
      <c r="AX27" s="55">
        <f t="shared" si="5"/>
        <v>0</v>
      </c>
      <c r="AY27" s="55">
        <f t="shared" si="5"/>
        <v>0</v>
      </c>
      <c r="AZ27" s="55">
        <f t="shared" si="5"/>
        <v>0</v>
      </c>
      <c r="BA27" s="55">
        <f t="shared" si="6"/>
        <v>0</v>
      </c>
      <c r="BB27" s="55">
        <f t="shared" si="6"/>
        <v>0</v>
      </c>
      <c r="BC27" s="55">
        <f t="shared" si="6"/>
        <v>0</v>
      </c>
      <c r="BD27" s="55">
        <f t="shared" si="6"/>
        <v>0</v>
      </c>
      <c r="BE27" s="55">
        <f t="shared" si="6"/>
        <v>0</v>
      </c>
      <c r="BF27" s="55">
        <f t="shared" si="6"/>
        <v>0</v>
      </c>
      <c r="BG27" s="55">
        <f t="shared" si="6"/>
        <v>4</v>
      </c>
      <c r="BH27" s="55">
        <f t="shared" si="6"/>
        <v>0</v>
      </c>
      <c r="BI27" s="55">
        <f t="shared" si="6"/>
        <v>0</v>
      </c>
      <c r="BJ27" s="55">
        <f t="shared" si="6"/>
        <v>0</v>
      </c>
      <c r="BK27" s="55">
        <f t="shared" si="6"/>
        <v>0</v>
      </c>
      <c r="BL27" s="55">
        <f t="shared" si="6"/>
        <v>0</v>
      </c>
      <c r="BM27" s="55">
        <f t="shared" si="6"/>
        <v>0</v>
      </c>
      <c r="BN27" s="55">
        <f t="shared" si="6"/>
        <v>0</v>
      </c>
      <c r="BO27" s="55">
        <f t="shared" si="6"/>
        <v>0</v>
      </c>
      <c r="BP27" s="55">
        <f t="shared" si="6"/>
        <v>4</v>
      </c>
      <c r="BQ27" s="55">
        <f t="shared" si="7"/>
        <v>4</v>
      </c>
      <c r="BR27" s="55">
        <f t="shared" si="7"/>
        <v>4</v>
      </c>
      <c r="BS27" s="55">
        <f t="shared" si="7"/>
        <v>0</v>
      </c>
      <c r="BT27" s="55">
        <f t="shared" si="7"/>
        <v>0</v>
      </c>
      <c r="BU27" s="55">
        <f t="shared" si="7"/>
        <v>0</v>
      </c>
      <c r="BV27" s="55">
        <f t="shared" si="7"/>
        <v>4</v>
      </c>
      <c r="BW27" s="55">
        <f t="shared" si="7"/>
        <v>0</v>
      </c>
      <c r="BX27" s="55">
        <f t="shared" si="7"/>
        <v>0</v>
      </c>
      <c r="BY27" s="55">
        <f t="shared" si="7"/>
        <v>0</v>
      </c>
      <c r="BZ27" s="55">
        <f t="shared" si="7"/>
        <v>0</v>
      </c>
      <c r="CA27" s="55">
        <f t="shared" si="7"/>
        <v>4</v>
      </c>
      <c r="CB27" s="55">
        <f t="shared" si="7"/>
        <v>4</v>
      </c>
      <c r="CC27" s="55">
        <f t="shared" si="7"/>
        <v>0</v>
      </c>
      <c r="CD27" s="55">
        <f t="shared" si="7"/>
        <v>4</v>
      </c>
      <c r="CE27" s="55">
        <f t="shared" si="7"/>
        <v>0</v>
      </c>
      <c r="CF27" s="55">
        <f t="shared" si="7"/>
        <v>0</v>
      </c>
      <c r="CG27" s="55">
        <f t="shared" si="8"/>
        <v>4</v>
      </c>
      <c r="CH27" s="55">
        <f t="shared" si="8"/>
        <v>0</v>
      </c>
      <c r="CI27" s="55">
        <f t="shared" si="8"/>
        <v>0</v>
      </c>
      <c r="CJ27" s="55">
        <f t="shared" si="8"/>
        <v>0</v>
      </c>
      <c r="CK27" s="55">
        <f t="shared" si="8"/>
        <v>0</v>
      </c>
      <c r="CL27" s="55">
        <f t="shared" si="8"/>
        <v>0</v>
      </c>
      <c r="CM27" s="55">
        <f t="shared" si="8"/>
        <v>0</v>
      </c>
      <c r="CN27" s="55">
        <f t="shared" si="8"/>
        <v>0</v>
      </c>
      <c r="CO27" s="55">
        <f t="shared" si="8"/>
        <v>0</v>
      </c>
      <c r="CP27" s="55">
        <f t="shared" si="8"/>
        <v>0</v>
      </c>
      <c r="CQ27" s="55">
        <f t="shared" si="8"/>
        <v>0</v>
      </c>
      <c r="CR27" s="55">
        <f t="shared" si="8"/>
        <v>0</v>
      </c>
      <c r="CS27" s="55">
        <f t="shared" si="8"/>
        <v>0</v>
      </c>
      <c r="CT27" s="55">
        <f t="shared" si="8"/>
        <v>0</v>
      </c>
      <c r="CU27" s="55">
        <f t="shared" si="8"/>
        <v>0</v>
      </c>
      <c r="CV27" s="55">
        <f t="shared" si="8"/>
        <v>6</v>
      </c>
      <c r="CW27" s="55">
        <f t="shared" si="9"/>
        <v>0</v>
      </c>
      <c r="CX27" s="55">
        <f t="shared" si="9"/>
        <v>6</v>
      </c>
      <c r="CY27" s="55">
        <f t="shared" si="9"/>
        <v>0</v>
      </c>
      <c r="CZ27" s="55">
        <f t="shared" si="9"/>
        <v>6</v>
      </c>
      <c r="DA27" s="55">
        <f t="shared" si="9"/>
        <v>0</v>
      </c>
      <c r="DB27" s="55">
        <f t="shared" si="9"/>
        <v>0</v>
      </c>
      <c r="DC27" s="55">
        <f t="shared" si="9"/>
        <v>0</v>
      </c>
      <c r="DD27" s="55">
        <f t="shared" si="9"/>
        <v>0</v>
      </c>
      <c r="DE27" s="58">
        <f t="shared" si="9"/>
        <v>0</v>
      </c>
    </row>
    <row r="28" spans="2:109" x14ac:dyDescent="0.2">
      <c r="B28" s="84" t="str" cm="1">
        <f t="array" ref="B28">IFERROR(_xlfn.SINGLE(INDEX(_xlfn._xlws.FILTER(Ressourcer!$B$1:$X$1,_xlfn.BYCOL(Ressourcer!$B$12:$X$15,_xlfn.LAMBDA(_xlpm.c,COUNTIF(_xlpm.c,"&lt;&gt;" )&gt;0))),ROWS($B$2:B6))),"")</f>
        <v>MOKJ</v>
      </c>
      <c r="C28" s="233" cm="1">
        <f t="array" ref="C28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)&gt;0))),_xlfn.LAMBDA(_xlpm.col,SUM(INDEX(Ressourcer!$B$12:$X$15,,_xlfn.SINGLE(_xlpm.col)-_xlfn.SINGLE(COLUMN(Ressourcer!$B$12:$X$15))+1)))),ROWS($B$2:B6))),"")/2</f>
        <v>87.5</v>
      </c>
      <c r="D28" s="106">
        <f t="shared" si="2"/>
        <v>48</v>
      </c>
      <c r="E28" s="57">
        <f t="shared" si="3"/>
        <v>4</v>
      </c>
      <c r="F28" s="55">
        <f t="shared" si="3"/>
        <v>4</v>
      </c>
      <c r="G28" s="55">
        <f t="shared" si="3"/>
        <v>0</v>
      </c>
      <c r="H28" s="55">
        <f t="shared" si="3"/>
        <v>0</v>
      </c>
      <c r="I28" s="55">
        <f t="shared" si="3"/>
        <v>0</v>
      </c>
      <c r="J28" s="55">
        <f t="shared" si="3"/>
        <v>4</v>
      </c>
      <c r="K28" s="55">
        <f t="shared" si="3"/>
        <v>0</v>
      </c>
      <c r="L28" s="55">
        <f t="shared" si="3"/>
        <v>0</v>
      </c>
      <c r="M28" s="55">
        <f t="shared" si="3"/>
        <v>0</v>
      </c>
      <c r="N28" s="55">
        <f t="shared" si="3"/>
        <v>0</v>
      </c>
      <c r="O28" s="55">
        <f t="shared" si="3"/>
        <v>4</v>
      </c>
      <c r="P28" s="55">
        <f t="shared" si="3"/>
        <v>0</v>
      </c>
      <c r="Q28" s="55">
        <f t="shared" si="3"/>
        <v>0</v>
      </c>
      <c r="R28" s="55">
        <f t="shared" si="3"/>
        <v>0</v>
      </c>
      <c r="S28" s="55">
        <f t="shared" si="3"/>
        <v>0</v>
      </c>
      <c r="T28" s="55">
        <f t="shared" si="3"/>
        <v>0</v>
      </c>
      <c r="U28" s="55">
        <f t="shared" si="4"/>
        <v>4</v>
      </c>
      <c r="V28" s="55">
        <f t="shared" si="4"/>
        <v>0</v>
      </c>
      <c r="W28" s="55">
        <f t="shared" si="4"/>
        <v>0</v>
      </c>
      <c r="X28" s="55">
        <f t="shared" si="4"/>
        <v>0</v>
      </c>
      <c r="Y28" s="55">
        <f t="shared" si="4"/>
        <v>4</v>
      </c>
      <c r="Z28" s="55">
        <f t="shared" si="4"/>
        <v>4</v>
      </c>
      <c r="AA28" s="55">
        <f t="shared" si="4"/>
        <v>0</v>
      </c>
      <c r="AB28" s="55">
        <f t="shared" si="4"/>
        <v>4</v>
      </c>
      <c r="AC28" s="55">
        <f t="shared" si="4"/>
        <v>0</v>
      </c>
      <c r="AD28" s="55">
        <f t="shared" si="4"/>
        <v>0</v>
      </c>
      <c r="AE28" s="55">
        <f t="shared" si="4"/>
        <v>0</v>
      </c>
      <c r="AF28" s="55">
        <f t="shared" si="4"/>
        <v>0</v>
      </c>
      <c r="AG28" s="55">
        <f t="shared" si="4"/>
        <v>0</v>
      </c>
      <c r="AH28" s="55">
        <f t="shared" si="4"/>
        <v>0</v>
      </c>
      <c r="AI28" s="55">
        <f t="shared" si="4"/>
        <v>0</v>
      </c>
      <c r="AJ28" s="55">
        <f t="shared" si="4"/>
        <v>4</v>
      </c>
      <c r="AK28" s="55">
        <f t="shared" si="5"/>
        <v>0</v>
      </c>
      <c r="AL28" s="55">
        <f t="shared" si="5"/>
        <v>0</v>
      </c>
      <c r="AM28" s="55">
        <f t="shared" si="5"/>
        <v>0</v>
      </c>
      <c r="AN28" s="55">
        <f t="shared" si="5"/>
        <v>0</v>
      </c>
      <c r="AO28" s="55">
        <f t="shared" si="5"/>
        <v>0</v>
      </c>
      <c r="AP28" s="55">
        <f t="shared" si="5"/>
        <v>0</v>
      </c>
      <c r="AQ28" s="55">
        <f t="shared" si="5"/>
        <v>0</v>
      </c>
      <c r="AR28" s="55">
        <f t="shared" si="5"/>
        <v>0</v>
      </c>
      <c r="AS28" s="55">
        <f t="shared" si="5"/>
        <v>0</v>
      </c>
      <c r="AT28" s="55">
        <f t="shared" si="5"/>
        <v>0</v>
      </c>
      <c r="AU28" s="55">
        <f t="shared" si="5"/>
        <v>0</v>
      </c>
      <c r="AV28" s="55">
        <f t="shared" si="5"/>
        <v>0</v>
      </c>
      <c r="AW28" s="55">
        <f t="shared" si="5"/>
        <v>4</v>
      </c>
      <c r="AX28" s="55">
        <f t="shared" si="5"/>
        <v>4</v>
      </c>
      <c r="AY28" s="55">
        <f t="shared" si="5"/>
        <v>0</v>
      </c>
      <c r="AZ28" s="55">
        <f t="shared" si="5"/>
        <v>0</v>
      </c>
      <c r="BA28" s="55">
        <f t="shared" si="6"/>
        <v>0</v>
      </c>
      <c r="BB28" s="55">
        <f t="shared" si="6"/>
        <v>0</v>
      </c>
      <c r="BC28" s="55">
        <f t="shared" si="6"/>
        <v>0</v>
      </c>
      <c r="BD28" s="55">
        <f t="shared" si="6"/>
        <v>0</v>
      </c>
      <c r="BE28" s="55">
        <f t="shared" si="6"/>
        <v>0</v>
      </c>
      <c r="BF28" s="55">
        <f t="shared" si="6"/>
        <v>0</v>
      </c>
      <c r="BG28" s="55">
        <f t="shared" si="6"/>
        <v>0</v>
      </c>
      <c r="BH28" s="55">
        <f t="shared" si="6"/>
        <v>0</v>
      </c>
      <c r="BI28" s="55">
        <f t="shared" si="6"/>
        <v>0</v>
      </c>
      <c r="BJ28" s="55">
        <f t="shared" si="6"/>
        <v>0</v>
      </c>
      <c r="BK28" s="55">
        <f t="shared" si="6"/>
        <v>0</v>
      </c>
      <c r="BL28" s="55">
        <f t="shared" si="6"/>
        <v>0</v>
      </c>
      <c r="BM28" s="55">
        <f t="shared" si="6"/>
        <v>0</v>
      </c>
      <c r="BN28" s="55">
        <f t="shared" si="6"/>
        <v>0</v>
      </c>
      <c r="BO28" s="55">
        <f t="shared" si="6"/>
        <v>0</v>
      </c>
      <c r="BP28" s="55">
        <f t="shared" si="6"/>
        <v>0</v>
      </c>
      <c r="BQ28" s="55">
        <f t="shared" si="7"/>
        <v>0</v>
      </c>
      <c r="BR28" s="55">
        <f t="shared" si="7"/>
        <v>0</v>
      </c>
      <c r="BS28" s="55">
        <f t="shared" si="7"/>
        <v>0</v>
      </c>
      <c r="BT28" s="55">
        <f t="shared" si="7"/>
        <v>0</v>
      </c>
      <c r="BU28" s="55">
        <f t="shared" si="7"/>
        <v>0</v>
      </c>
      <c r="BV28" s="55">
        <f t="shared" si="7"/>
        <v>0</v>
      </c>
      <c r="BW28" s="55">
        <f t="shared" si="7"/>
        <v>0</v>
      </c>
      <c r="BX28" s="55">
        <f t="shared" si="7"/>
        <v>0</v>
      </c>
      <c r="BY28" s="55">
        <f t="shared" si="7"/>
        <v>0</v>
      </c>
      <c r="BZ28" s="55">
        <f t="shared" si="7"/>
        <v>0</v>
      </c>
      <c r="CA28" s="55">
        <f t="shared" si="7"/>
        <v>4</v>
      </c>
      <c r="CB28" s="55">
        <f t="shared" si="7"/>
        <v>0</v>
      </c>
      <c r="CC28" s="55">
        <f t="shared" si="7"/>
        <v>0</v>
      </c>
      <c r="CD28" s="55">
        <f t="shared" si="7"/>
        <v>0</v>
      </c>
      <c r="CE28" s="55">
        <f t="shared" si="7"/>
        <v>0</v>
      </c>
      <c r="CF28" s="55">
        <f t="shared" si="7"/>
        <v>0</v>
      </c>
      <c r="CG28" s="55">
        <f t="shared" si="8"/>
        <v>0</v>
      </c>
      <c r="CH28" s="55">
        <f t="shared" si="8"/>
        <v>0</v>
      </c>
      <c r="CI28" s="55">
        <f t="shared" si="8"/>
        <v>0</v>
      </c>
      <c r="CJ28" s="55">
        <f t="shared" si="8"/>
        <v>0</v>
      </c>
      <c r="CK28" s="55">
        <f t="shared" si="8"/>
        <v>0</v>
      </c>
      <c r="CL28" s="55">
        <f t="shared" si="8"/>
        <v>0</v>
      </c>
      <c r="CM28" s="55">
        <f t="shared" si="8"/>
        <v>0</v>
      </c>
      <c r="CN28" s="55">
        <f t="shared" si="8"/>
        <v>0</v>
      </c>
      <c r="CO28" s="55">
        <f t="shared" si="8"/>
        <v>0</v>
      </c>
      <c r="CP28" s="55">
        <f t="shared" si="8"/>
        <v>0</v>
      </c>
      <c r="CQ28" s="55">
        <f t="shared" si="8"/>
        <v>0</v>
      </c>
      <c r="CR28" s="55">
        <f t="shared" si="8"/>
        <v>0</v>
      </c>
      <c r="CS28" s="55">
        <f t="shared" si="8"/>
        <v>0</v>
      </c>
      <c r="CT28" s="55">
        <f t="shared" si="8"/>
        <v>0</v>
      </c>
      <c r="CU28" s="55">
        <f t="shared" si="8"/>
        <v>0</v>
      </c>
      <c r="CV28" s="55">
        <f t="shared" si="8"/>
        <v>0</v>
      </c>
      <c r="CW28" s="55">
        <f t="shared" si="9"/>
        <v>0</v>
      </c>
      <c r="CX28" s="55">
        <f t="shared" si="9"/>
        <v>0</v>
      </c>
      <c r="CY28" s="55">
        <f t="shared" si="9"/>
        <v>0</v>
      </c>
      <c r="CZ28" s="55">
        <f t="shared" si="9"/>
        <v>0</v>
      </c>
      <c r="DA28" s="55">
        <f t="shared" si="9"/>
        <v>0</v>
      </c>
      <c r="DB28" s="55">
        <f t="shared" si="9"/>
        <v>0</v>
      </c>
      <c r="DC28" s="55">
        <f t="shared" si="9"/>
        <v>0</v>
      </c>
      <c r="DD28" s="55">
        <f t="shared" si="9"/>
        <v>0</v>
      </c>
      <c r="DE28" s="58">
        <f t="shared" si="9"/>
        <v>0</v>
      </c>
    </row>
    <row r="29" spans="2:109" x14ac:dyDescent="0.2">
      <c r="B29" s="84" t="str" cm="1">
        <f t="array" ref="B29">IFERROR(_xlfn.SINGLE(INDEX(_xlfn._xlws.FILTER(Ressourcer!$B$1:$X$1,_xlfn.BYCOL(Ressourcer!$B$12:$X$15,_xlfn.LAMBDA(_xlpm.c,COUNTIF(_xlpm.c,"&lt;&gt;" )&gt;0))),ROWS($B$2:B7))),"")</f>
        <v>SEIJ</v>
      </c>
      <c r="C29" s="79" cm="1">
        <f t="array" ref="C29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)&gt;0))),_xlfn.LAMBDA(_xlpm.col,SUM(INDEX(Ressourcer!$B$12:$X$15,,_xlfn.SINGLE(_xlpm.col)-_xlfn.SINGLE(COLUMN(Ressourcer!$B$12:$X$15))+1)))),ROWS($B$2:B7))),"")</f>
        <v>175</v>
      </c>
      <c r="D29" s="106" t="str">
        <f t="shared" si="2"/>
        <v/>
      </c>
      <c r="E29" s="57">
        <f t="shared" si="3"/>
        <v>0</v>
      </c>
      <c r="F29" s="55">
        <f t="shared" si="3"/>
        <v>0</v>
      </c>
      <c r="G29" s="55">
        <f t="shared" si="3"/>
        <v>0</v>
      </c>
      <c r="H29" s="55">
        <f t="shared" si="3"/>
        <v>0</v>
      </c>
      <c r="I29" s="55">
        <f t="shared" si="3"/>
        <v>0</v>
      </c>
      <c r="J29" s="55">
        <f t="shared" si="3"/>
        <v>0</v>
      </c>
      <c r="K29" s="55">
        <f t="shared" si="3"/>
        <v>0</v>
      </c>
      <c r="L29" s="55">
        <f t="shared" si="3"/>
        <v>0</v>
      </c>
      <c r="M29" s="55">
        <f t="shared" si="3"/>
        <v>0</v>
      </c>
      <c r="N29" s="55">
        <f t="shared" si="3"/>
        <v>0</v>
      </c>
      <c r="O29" s="55">
        <f t="shared" si="3"/>
        <v>0</v>
      </c>
      <c r="P29" s="55">
        <f t="shared" si="3"/>
        <v>0</v>
      </c>
      <c r="Q29" s="55">
        <f t="shared" si="3"/>
        <v>0</v>
      </c>
      <c r="R29" s="55">
        <f t="shared" si="3"/>
        <v>0</v>
      </c>
      <c r="S29" s="55">
        <f t="shared" si="3"/>
        <v>0</v>
      </c>
      <c r="T29" s="55">
        <f t="shared" si="3"/>
        <v>0</v>
      </c>
      <c r="U29" s="55">
        <f t="shared" si="4"/>
        <v>0</v>
      </c>
      <c r="V29" s="55">
        <f t="shared" si="4"/>
        <v>0</v>
      </c>
      <c r="W29" s="55">
        <f t="shared" si="4"/>
        <v>0</v>
      </c>
      <c r="X29" s="55">
        <f t="shared" si="4"/>
        <v>0</v>
      </c>
      <c r="Y29" s="55">
        <f t="shared" si="4"/>
        <v>0</v>
      </c>
      <c r="Z29" s="55">
        <f t="shared" si="4"/>
        <v>0</v>
      </c>
      <c r="AA29" s="55">
        <f t="shared" si="4"/>
        <v>0</v>
      </c>
      <c r="AB29" s="55">
        <f t="shared" si="4"/>
        <v>0</v>
      </c>
      <c r="AC29" s="55">
        <f t="shared" si="4"/>
        <v>0</v>
      </c>
      <c r="AD29" s="55">
        <f t="shared" si="4"/>
        <v>0</v>
      </c>
      <c r="AE29" s="55">
        <f t="shared" si="4"/>
        <v>0</v>
      </c>
      <c r="AF29" s="55">
        <f t="shared" si="4"/>
        <v>0</v>
      </c>
      <c r="AG29" s="55">
        <f t="shared" si="4"/>
        <v>0</v>
      </c>
      <c r="AH29" s="55">
        <f t="shared" si="4"/>
        <v>0</v>
      </c>
      <c r="AI29" s="55">
        <f t="shared" si="4"/>
        <v>0</v>
      </c>
      <c r="AJ29" s="55">
        <f t="shared" si="4"/>
        <v>0</v>
      </c>
      <c r="AK29" s="55">
        <f t="shared" si="5"/>
        <v>0</v>
      </c>
      <c r="AL29" s="55">
        <f t="shared" si="5"/>
        <v>0</v>
      </c>
      <c r="AM29" s="55">
        <f t="shared" si="5"/>
        <v>0</v>
      </c>
      <c r="AN29" s="55">
        <f t="shared" si="5"/>
        <v>0</v>
      </c>
      <c r="AO29" s="55">
        <f t="shared" si="5"/>
        <v>0</v>
      </c>
      <c r="AP29" s="55">
        <f t="shared" si="5"/>
        <v>0</v>
      </c>
      <c r="AQ29" s="55">
        <f t="shared" si="5"/>
        <v>0</v>
      </c>
      <c r="AR29" s="55">
        <f t="shared" si="5"/>
        <v>0</v>
      </c>
      <c r="AS29" s="55">
        <f t="shared" si="5"/>
        <v>0</v>
      </c>
      <c r="AT29" s="55">
        <f t="shared" si="5"/>
        <v>0</v>
      </c>
      <c r="AU29" s="55">
        <f t="shared" si="5"/>
        <v>0</v>
      </c>
      <c r="AV29" s="55">
        <f t="shared" si="5"/>
        <v>0</v>
      </c>
      <c r="AW29" s="55">
        <f t="shared" si="5"/>
        <v>0</v>
      </c>
      <c r="AX29" s="55">
        <f t="shared" si="5"/>
        <v>0</v>
      </c>
      <c r="AY29" s="55">
        <f t="shared" si="5"/>
        <v>0</v>
      </c>
      <c r="AZ29" s="55">
        <f t="shared" si="5"/>
        <v>0</v>
      </c>
      <c r="BA29" s="55">
        <f t="shared" si="6"/>
        <v>0</v>
      </c>
      <c r="BB29" s="55">
        <f t="shared" si="6"/>
        <v>0</v>
      </c>
      <c r="BC29" s="55">
        <f t="shared" si="6"/>
        <v>0</v>
      </c>
      <c r="BD29" s="55">
        <f t="shared" si="6"/>
        <v>0</v>
      </c>
      <c r="BE29" s="55">
        <f t="shared" si="6"/>
        <v>0</v>
      </c>
      <c r="BF29" s="55">
        <f t="shared" si="6"/>
        <v>0</v>
      </c>
      <c r="BG29" s="55">
        <f t="shared" si="6"/>
        <v>0</v>
      </c>
      <c r="BH29" s="55">
        <f t="shared" si="6"/>
        <v>0</v>
      </c>
      <c r="BI29" s="55">
        <f t="shared" si="6"/>
        <v>0</v>
      </c>
      <c r="BJ29" s="55">
        <f t="shared" si="6"/>
        <v>0</v>
      </c>
      <c r="BK29" s="55">
        <f t="shared" si="6"/>
        <v>0</v>
      </c>
      <c r="BL29" s="55">
        <f t="shared" si="6"/>
        <v>0</v>
      </c>
      <c r="BM29" s="55">
        <f t="shared" si="6"/>
        <v>0</v>
      </c>
      <c r="BN29" s="55">
        <f t="shared" si="6"/>
        <v>0</v>
      </c>
      <c r="BO29" s="55">
        <f t="shared" si="6"/>
        <v>0</v>
      </c>
      <c r="BP29" s="55">
        <f t="shared" si="6"/>
        <v>0</v>
      </c>
      <c r="BQ29" s="55">
        <f t="shared" si="7"/>
        <v>0</v>
      </c>
      <c r="BR29" s="55">
        <f t="shared" si="7"/>
        <v>0</v>
      </c>
      <c r="BS29" s="55">
        <f t="shared" si="7"/>
        <v>0</v>
      </c>
      <c r="BT29" s="55">
        <f t="shared" si="7"/>
        <v>0</v>
      </c>
      <c r="BU29" s="55">
        <f t="shared" si="7"/>
        <v>0</v>
      </c>
      <c r="BV29" s="55">
        <f t="shared" si="7"/>
        <v>0</v>
      </c>
      <c r="BW29" s="55">
        <f t="shared" si="7"/>
        <v>0</v>
      </c>
      <c r="BX29" s="55">
        <f t="shared" si="7"/>
        <v>0</v>
      </c>
      <c r="BY29" s="55">
        <f t="shared" si="7"/>
        <v>0</v>
      </c>
      <c r="BZ29" s="55">
        <f t="shared" si="7"/>
        <v>0</v>
      </c>
      <c r="CA29" s="55">
        <f t="shared" si="7"/>
        <v>0</v>
      </c>
      <c r="CB29" s="55">
        <f t="shared" si="7"/>
        <v>0</v>
      </c>
      <c r="CC29" s="55">
        <f t="shared" si="7"/>
        <v>0</v>
      </c>
      <c r="CD29" s="55">
        <f t="shared" si="7"/>
        <v>0</v>
      </c>
      <c r="CE29" s="55">
        <f t="shared" si="7"/>
        <v>0</v>
      </c>
      <c r="CF29" s="55">
        <f t="shared" si="7"/>
        <v>0</v>
      </c>
      <c r="CG29" s="55">
        <f t="shared" si="8"/>
        <v>0</v>
      </c>
      <c r="CH29" s="55">
        <f t="shared" si="8"/>
        <v>0</v>
      </c>
      <c r="CI29" s="55">
        <f t="shared" si="8"/>
        <v>0</v>
      </c>
      <c r="CJ29" s="55">
        <f t="shared" si="8"/>
        <v>0</v>
      </c>
      <c r="CK29" s="55">
        <f t="shared" si="8"/>
        <v>0</v>
      </c>
      <c r="CL29" s="55">
        <f t="shared" si="8"/>
        <v>0</v>
      </c>
      <c r="CM29" s="55">
        <f t="shared" si="8"/>
        <v>0</v>
      </c>
      <c r="CN29" s="55">
        <f t="shared" si="8"/>
        <v>0</v>
      </c>
      <c r="CO29" s="55">
        <f t="shared" si="8"/>
        <v>0</v>
      </c>
      <c r="CP29" s="55">
        <f t="shared" si="8"/>
        <v>0</v>
      </c>
      <c r="CQ29" s="55">
        <f t="shared" si="8"/>
        <v>0</v>
      </c>
      <c r="CR29" s="55">
        <f t="shared" si="8"/>
        <v>0</v>
      </c>
      <c r="CS29" s="55">
        <f t="shared" si="8"/>
        <v>0</v>
      </c>
      <c r="CT29" s="55">
        <f t="shared" si="8"/>
        <v>0</v>
      </c>
      <c r="CU29" s="55">
        <f t="shared" si="8"/>
        <v>0</v>
      </c>
      <c r="CV29" s="55">
        <f t="shared" si="8"/>
        <v>0</v>
      </c>
      <c r="CW29" s="55">
        <f t="shared" si="9"/>
        <v>0</v>
      </c>
      <c r="CX29" s="55">
        <f t="shared" si="9"/>
        <v>0</v>
      </c>
      <c r="CY29" s="55">
        <f t="shared" si="9"/>
        <v>0</v>
      </c>
      <c r="CZ29" s="55">
        <f t="shared" si="9"/>
        <v>0</v>
      </c>
      <c r="DA29" s="55">
        <f t="shared" si="9"/>
        <v>0</v>
      </c>
      <c r="DB29" s="55">
        <f t="shared" si="9"/>
        <v>0</v>
      </c>
      <c r="DC29" s="55">
        <f t="shared" si="9"/>
        <v>0</v>
      </c>
      <c r="DD29" s="55">
        <f t="shared" si="9"/>
        <v>0</v>
      </c>
      <c r="DE29" s="58">
        <f t="shared" si="9"/>
        <v>0</v>
      </c>
    </row>
    <row r="30" spans="2:109" x14ac:dyDescent="0.2">
      <c r="B30" s="84" t="str" cm="1">
        <f t="array" ref="B30">IFERROR(_xlfn.SINGLE(INDEX(_xlfn._xlws.FILTER(Ressourcer!$B$1:$X$1,_xlfn.BYCOL(Ressourcer!$B$12:$X$15,_xlfn.LAMBDA(_xlpm.c,COUNTIF(_xlpm.c,"&lt;&gt;" )&gt;0))),ROWS($B$2:B8))),"")</f>
        <v/>
      </c>
      <c r="C30" s="79" t="str" cm="1">
        <f t="array" ref="C30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)&gt;0))),_xlfn.LAMBDA(_xlpm.col,SUM(INDEX(Ressourcer!$B$12:$X$15,,_xlfn.SINGLE(_xlpm.col)-_xlfn.SINGLE(COLUMN(Ressourcer!$B$12:$X$15))+1)))),ROWS($B$2:B8))),"")</f>
        <v/>
      </c>
      <c r="D30" s="106" t="str">
        <f t="shared" si="2"/>
        <v/>
      </c>
      <c r="E30" s="57" t="str">
        <f t="shared" si="3"/>
        <v/>
      </c>
      <c r="F30" s="55" t="str">
        <f t="shared" si="3"/>
        <v/>
      </c>
      <c r="G30" s="55" t="str">
        <f t="shared" si="3"/>
        <v/>
      </c>
      <c r="H30" s="55" t="str">
        <f t="shared" si="3"/>
        <v/>
      </c>
      <c r="I30" s="55" t="str">
        <f t="shared" si="3"/>
        <v/>
      </c>
      <c r="J30" s="55" t="str">
        <f t="shared" si="3"/>
        <v/>
      </c>
      <c r="K30" s="55" t="str">
        <f t="shared" si="3"/>
        <v/>
      </c>
      <c r="L30" s="55" t="str">
        <f t="shared" si="3"/>
        <v/>
      </c>
      <c r="M30" s="55" t="str">
        <f t="shared" si="3"/>
        <v/>
      </c>
      <c r="N30" s="55" t="str">
        <f t="shared" si="3"/>
        <v/>
      </c>
      <c r="O30" s="55" t="str">
        <f t="shared" si="3"/>
        <v/>
      </c>
      <c r="P30" s="55" t="str">
        <f t="shared" si="3"/>
        <v/>
      </c>
      <c r="Q30" s="55" t="str">
        <f t="shared" si="3"/>
        <v/>
      </c>
      <c r="R30" s="55" t="str">
        <f t="shared" si="3"/>
        <v/>
      </c>
      <c r="S30" s="55" t="str">
        <f t="shared" si="3"/>
        <v/>
      </c>
      <c r="T30" s="55" t="str">
        <f t="shared" si="3"/>
        <v/>
      </c>
      <c r="U30" s="55" t="str">
        <f t="shared" si="4"/>
        <v/>
      </c>
      <c r="V30" s="55" t="str">
        <f t="shared" si="4"/>
        <v/>
      </c>
      <c r="W30" s="55" t="str">
        <f t="shared" si="4"/>
        <v/>
      </c>
      <c r="X30" s="55" t="str">
        <f t="shared" si="4"/>
        <v/>
      </c>
      <c r="Y30" s="55" t="str">
        <f t="shared" si="4"/>
        <v/>
      </c>
      <c r="Z30" s="55" t="str">
        <f t="shared" si="4"/>
        <v/>
      </c>
      <c r="AA30" s="55" t="str">
        <f t="shared" si="4"/>
        <v/>
      </c>
      <c r="AB30" s="55" t="str">
        <f t="shared" si="4"/>
        <v/>
      </c>
      <c r="AC30" s="55" t="str">
        <f t="shared" si="4"/>
        <v/>
      </c>
      <c r="AD30" s="55" t="str">
        <f t="shared" si="4"/>
        <v/>
      </c>
      <c r="AE30" s="55" t="str">
        <f t="shared" si="4"/>
        <v/>
      </c>
      <c r="AF30" s="55" t="str">
        <f t="shared" si="4"/>
        <v/>
      </c>
      <c r="AG30" s="55" t="str">
        <f t="shared" si="4"/>
        <v/>
      </c>
      <c r="AH30" s="55" t="str">
        <f t="shared" si="4"/>
        <v/>
      </c>
      <c r="AI30" s="55" t="str">
        <f t="shared" si="4"/>
        <v/>
      </c>
      <c r="AJ30" s="55" t="str">
        <f t="shared" si="4"/>
        <v/>
      </c>
      <c r="AK30" s="55" t="str">
        <f t="shared" si="5"/>
        <v/>
      </c>
      <c r="AL30" s="55" t="str">
        <f t="shared" si="5"/>
        <v/>
      </c>
      <c r="AM30" s="55" t="str">
        <f t="shared" si="5"/>
        <v/>
      </c>
      <c r="AN30" s="55" t="str">
        <f t="shared" si="5"/>
        <v/>
      </c>
      <c r="AO30" s="55" t="str">
        <f t="shared" si="5"/>
        <v/>
      </c>
      <c r="AP30" s="55" t="str">
        <f t="shared" si="5"/>
        <v/>
      </c>
      <c r="AQ30" s="55" t="str">
        <f t="shared" si="5"/>
        <v/>
      </c>
      <c r="AR30" s="55" t="str">
        <f t="shared" si="5"/>
        <v/>
      </c>
      <c r="AS30" s="55" t="str">
        <f t="shared" si="5"/>
        <v/>
      </c>
      <c r="AT30" s="55" t="str">
        <f t="shared" si="5"/>
        <v/>
      </c>
      <c r="AU30" s="55" t="str">
        <f t="shared" si="5"/>
        <v/>
      </c>
      <c r="AV30" s="55" t="str">
        <f t="shared" si="5"/>
        <v/>
      </c>
      <c r="AW30" s="55" t="str">
        <f t="shared" si="5"/>
        <v/>
      </c>
      <c r="AX30" s="55" t="str">
        <f t="shared" si="5"/>
        <v/>
      </c>
      <c r="AY30" s="55" t="str">
        <f t="shared" si="5"/>
        <v/>
      </c>
      <c r="AZ30" s="55" t="str">
        <f t="shared" si="5"/>
        <v/>
      </c>
      <c r="BA30" s="55" t="str">
        <f t="shared" si="6"/>
        <v/>
      </c>
      <c r="BB30" s="55" t="str">
        <f t="shared" si="6"/>
        <v/>
      </c>
      <c r="BC30" s="55" t="str">
        <f t="shared" si="6"/>
        <v/>
      </c>
      <c r="BD30" s="55" t="str">
        <f t="shared" si="6"/>
        <v/>
      </c>
      <c r="BE30" s="55" t="str">
        <f t="shared" si="6"/>
        <v/>
      </c>
      <c r="BF30" s="55" t="str">
        <f t="shared" si="6"/>
        <v/>
      </c>
      <c r="BG30" s="55" t="str">
        <f t="shared" si="6"/>
        <v/>
      </c>
      <c r="BH30" s="55" t="str">
        <f t="shared" si="6"/>
        <v/>
      </c>
      <c r="BI30" s="55" t="str">
        <f t="shared" si="6"/>
        <v/>
      </c>
      <c r="BJ30" s="55" t="str">
        <f t="shared" si="6"/>
        <v/>
      </c>
      <c r="BK30" s="55" t="str">
        <f t="shared" si="6"/>
        <v/>
      </c>
      <c r="BL30" s="55" t="str">
        <f t="shared" si="6"/>
        <v/>
      </c>
      <c r="BM30" s="55" t="str">
        <f t="shared" si="6"/>
        <v/>
      </c>
      <c r="BN30" s="55" t="str">
        <f t="shared" si="6"/>
        <v/>
      </c>
      <c r="BO30" s="55" t="str">
        <f t="shared" si="6"/>
        <v/>
      </c>
      <c r="BP30" s="55" t="str">
        <f t="shared" si="6"/>
        <v/>
      </c>
      <c r="BQ30" s="55" t="str">
        <f t="shared" si="7"/>
        <v/>
      </c>
      <c r="BR30" s="55" t="str">
        <f t="shared" si="7"/>
        <v/>
      </c>
      <c r="BS30" s="55" t="str">
        <f t="shared" si="7"/>
        <v/>
      </c>
      <c r="BT30" s="55" t="str">
        <f t="shared" si="7"/>
        <v/>
      </c>
      <c r="BU30" s="55" t="str">
        <f t="shared" si="7"/>
        <v/>
      </c>
      <c r="BV30" s="55" t="str">
        <f t="shared" si="7"/>
        <v/>
      </c>
      <c r="BW30" s="55" t="str">
        <f t="shared" si="7"/>
        <v/>
      </c>
      <c r="BX30" s="55" t="str">
        <f t="shared" si="7"/>
        <v/>
      </c>
      <c r="BY30" s="55" t="str">
        <f t="shared" si="7"/>
        <v/>
      </c>
      <c r="BZ30" s="55" t="str">
        <f t="shared" si="7"/>
        <v/>
      </c>
      <c r="CA30" s="55" t="str">
        <f t="shared" si="7"/>
        <v/>
      </c>
      <c r="CB30" s="55" t="str">
        <f t="shared" si="7"/>
        <v/>
      </c>
      <c r="CC30" s="55" t="str">
        <f t="shared" si="7"/>
        <v/>
      </c>
      <c r="CD30" s="55" t="str">
        <f t="shared" si="7"/>
        <v/>
      </c>
      <c r="CE30" s="55" t="str">
        <f t="shared" si="7"/>
        <v/>
      </c>
      <c r="CF30" s="55" t="str">
        <f t="shared" si="7"/>
        <v/>
      </c>
      <c r="CG30" s="55" t="str">
        <f t="shared" si="8"/>
        <v/>
      </c>
      <c r="CH30" s="55" t="str">
        <f t="shared" si="8"/>
        <v/>
      </c>
      <c r="CI30" s="55" t="str">
        <f t="shared" si="8"/>
        <v/>
      </c>
      <c r="CJ30" s="55" t="str">
        <f t="shared" si="8"/>
        <v/>
      </c>
      <c r="CK30" s="55" t="str">
        <f t="shared" si="8"/>
        <v/>
      </c>
      <c r="CL30" s="55" t="str">
        <f t="shared" si="8"/>
        <v/>
      </c>
      <c r="CM30" s="55" t="str">
        <f t="shared" si="8"/>
        <v/>
      </c>
      <c r="CN30" s="55" t="str">
        <f t="shared" si="8"/>
        <v/>
      </c>
      <c r="CO30" s="55" t="str">
        <f t="shared" si="8"/>
        <v/>
      </c>
      <c r="CP30" s="55" t="str">
        <f t="shared" si="8"/>
        <v/>
      </c>
      <c r="CQ30" s="55" t="str">
        <f t="shared" si="8"/>
        <v/>
      </c>
      <c r="CR30" s="55" t="str">
        <f t="shared" si="8"/>
        <v/>
      </c>
      <c r="CS30" s="55" t="str">
        <f t="shared" si="8"/>
        <v/>
      </c>
      <c r="CT30" s="55" t="str">
        <f t="shared" si="8"/>
        <v/>
      </c>
      <c r="CU30" s="55" t="str">
        <f t="shared" si="8"/>
        <v/>
      </c>
      <c r="CV30" s="55" t="str">
        <f t="shared" si="8"/>
        <v/>
      </c>
      <c r="CW30" s="55" t="str">
        <f t="shared" si="9"/>
        <v/>
      </c>
      <c r="CX30" s="55" t="str">
        <f t="shared" si="9"/>
        <v/>
      </c>
      <c r="CY30" s="55" t="str">
        <f t="shared" si="9"/>
        <v/>
      </c>
      <c r="CZ30" s="55" t="str">
        <f t="shared" si="9"/>
        <v/>
      </c>
      <c r="DA30" s="55" t="str">
        <f t="shared" si="9"/>
        <v/>
      </c>
      <c r="DB30" s="55" t="str">
        <f t="shared" si="9"/>
        <v/>
      </c>
      <c r="DC30" s="55" t="str">
        <f t="shared" si="9"/>
        <v/>
      </c>
      <c r="DD30" s="55" t="str">
        <f t="shared" si="9"/>
        <v/>
      </c>
      <c r="DE30" s="58" t="str">
        <f t="shared" si="9"/>
        <v/>
      </c>
    </row>
    <row r="31" spans="2:109" x14ac:dyDescent="0.2">
      <c r="B31" s="84" t="str" cm="1">
        <f t="array" ref="B31">IFERROR(_xlfn.SINGLE(INDEX(_xlfn._xlws.FILTER(Ressourcer!$B$1:$X$1,_xlfn.BYCOL(Ressourcer!$B$12:$X$15,_xlfn.LAMBDA(_xlpm.c,COUNTIF(_xlpm.c,"&lt;&gt;" )&gt;0))),ROWS($B$2:B9))),"")</f>
        <v/>
      </c>
      <c r="C31" s="79" t="str" cm="1">
        <f t="array" ref="C31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)&gt;0))),_xlfn.LAMBDA(_xlpm.col,SUM(INDEX(Ressourcer!$B$12:$X$15,,_xlfn.SINGLE(_xlpm.col)-_xlfn.SINGLE(COLUMN(Ressourcer!$B$12:$X$15))+1)))),ROWS($B$2:B9))),"")</f>
        <v/>
      </c>
      <c r="D31" s="106" t="str">
        <f t="shared" si="2"/>
        <v/>
      </c>
      <c r="E31" s="57" t="str">
        <f t="shared" si="3"/>
        <v/>
      </c>
      <c r="F31" s="55" t="str">
        <f t="shared" si="3"/>
        <v/>
      </c>
      <c r="G31" s="55" t="str">
        <f t="shared" si="3"/>
        <v/>
      </c>
      <c r="H31" s="55" t="str">
        <f t="shared" si="3"/>
        <v/>
      </c>
      <c r="I31" s="55" t="str">
        <f t="shared" si="3"/>
        <v/>
      </c>
      <c r="J31" s="55" t="str">
        <f t="shared" si="3"/>
        <v/>
      </c>
      <c r="K31" s="55" t="str">
        <f t="shared" si="3"/>
        <v/>
      </c>
      <c r="L31" s="55" t="str">
        <f t="shared" si="3"/>
        <v/>
      </c>
      <c r="M31" s="55" t="str">
        <f t="shared" si="3"/>
        <v/>
      </c>
      <c r="N31" s="55" t="str">
        <f t="shared" si="3"/>
        <v/>
      </c>
      <c r="O31" s="55" t="str">
        <f t="shared" si="3"/>
        <v/>
      </c>
      <c r="P31" s="55" t="str">
        <f t="shared" si="3"/>
        <v/>
      </c>
      <c r="Q31" s="55" t="str">
        <f t="shared" si="3"/>
        <v/>
      </c>
      <c r="R31" s="55" t="str">
        <f t="shared" si="3"/>
        <v/>
      </c>
      <c r="S31" s="55" t="str">
        <f t="shared" si="3"/>
        <v/>
      </c>
      <c r="T31" s="55" t="str">
        <f t="shared" si="3"/>
        <v/>
      </c>
      <c r="U31" s="55" t="str">
        <f t="shared" si="4"/>
        <v/>
      </c>
      <c r="V31" s="55" t="str">
        <f t="shared" si="4"/>
        <v/>
      </c>
      <c r="W31" s="55" t="str">
        <f t="shared" si="4"/>
        <v/>
      </c>
      <c r="X31" s="55" t="str">
        <f t="shared" si="4"/>
        <v/>
      </c>
      <c r="Y31" s="55" t="str">
        <f t="shared" si="4"/>
        <v/>
      </c>
      <c r="Z31" s="55" t="str">
        <f t="shared" si="4"/>
        <v/>
      </c>
      <c r="AA31" s="55" t="str">
        <f t="shared" si="4"/>
        <v/>
      </c>
      <c r="AB31" s="55" t="str">
        <f t="shared" si="4"/>
        <v/>
      </c>
      <c r="AC31" s="55" t="str">
        <f t="shared" si="4"/>
        <v/>
      </c>
      <c r="AD31" s="55" t="str">
        <f t="shared" si="4"/>
        <v/>
      </c>
      <c r="AE31" s="55" t="str">
        <f t="shared" si="4"/>
        <v/>
      </c>
      <c r="AF31" s="55" t="str">
        <f t="shared" si="4"/>
        <v/>
      </c>
      <c r="AG31" s="55" t="str">
        <f t="shared" si="4"/>
        <v/>
      </c>
      <c r="AH31" s="55" t="str">
        <f t="shared" si="4"/>
        <v/>
      </c>
      <c r="AI31" s="55" t="str">
        <f t="shared" si="4"/>
        <v/>
      </c>
      <c r="AJ31" s="55" t="str">
        <f t="shared" si="4"/>
        <v/>
      </c>
      <c r="AK31" s="55" t="str">
        <f t="shared" si="5"/>
        <v/>
      </c>
      <c r="AL31" s="55" t="str">
        <f t="shared" si="5"/>
        <v/>
      </c>
      <c r="AM31" s="55" t="str">
        <f t="shared" si="5"/>
        <v/>
      </c>
      <c r="AN31" s="55" t="str">
        <f t="shared" si="5"/>
        <v/>
      </c>
      <c r="AO31" s="55" t="str">
        <f t="shared" si="5"/>
        <v/>
      </c>
      <c r="AP31" s="55" t="str">
        <f t="shared" si="5"/>
        <v/>
      </c>
      <c r="AQ31" s="55" t="str">
        <f t="shared" si="5"/>
        <v/>
      </c>
      <c r="AR31" s="55" t="str">
        <f t="shared" si="5"/>
        <v/>
      </c>
      <c r="AS31" s="55" t="str">
        <f t="shared" si="5"/>
        <v/>
      </c>
      <c r="AT31" s="55" t="str">
        <f t="shared" si="5"/>
        <v/>
      </c>
      <c r="AU31" s="55" t="str">
        <f t="shared" si="5"/>
        <v/>
      </c>
      <c r="AV31" s="55" t="str">
        <f t="shared" si="5"/>
        <v/>
      </c>
      <c r="AW31" s="55" t="str">
        <f t="shared" si="5"/>
        <v/>
      </c>
      <c r="AX31" s="55" t="str">
        <f t="shared" si="5"/>
        <v/>
      </c>
      <c r="AY31" s="55" t="str">
        <f t="shared" si="5"/>
        <v/>
      </c>
      <c r="AZ31" s="55" t="str">
        <f t="shared" si="5"/>
        <v/>
      </c>
      <c r="BA31" s="55" t="str">
        <f t="shared" si="6"/>
        <v/>
      </c>
      <c r="BB31" s="55" t="str">
        <f t="shared" si="6"/>
        <v/>
      </c>
      <c r="BC31" s="55" t="str">
        <f t="shared" si="6"/>
        <v/>
      </c>
      <c r="BD31" s="55" t="str">
        <f t="shared" si="6"/>
        <v/>
      </c>
      <c r="BE31" s="55" t="str">
        <f t="shared" si="6"/>
        <v/>
      </c>
      <c r="BF31" s="55" t="str">
        <f t="shared" si="6"/>
        <v/>
      </c>
      <c r="BG31" s="55" t="str">
        <f t="shared" si="6"/>
        <v/>
      </c>
      <c r="BH31" s="55" t="str">
        <f t="shared" si="6"/>
        <v/>
      </c>
      <c r="BI31" s="55" t="str">
        <f t="shared" si="6"/>
        <v/>
      </c>
      <c r="BJ31" s="55" t="str">
        <f t="shared" si="6"/>
        <v/>
      </c>
      <c r="BK31" s="55" t="str">
        <f t="shared" si="6"/>
        <v/>
      </c>
      <c r="BL31" s="55" t="str">
        <f t="shared" si="6"/>
        <v/>
      </c>
      <c r="BM31" s="55" t="str">
        <f t="shared" si="6"/>
        <v/>
      </c>
      <c r="BN31" s="55" t="str">
        <f t="shared" si="6"/>
        <v/>
      </c>
      <c r="BO31" s="55" t="str">
        <f t="shared" si="6"/>
        <v/>
      </c>
      <c r="BP31" s="55" t="str">
        <f t="shared" si="6"/>
        <v/>
      </c>
      <c r="BQ31" s="55" t="str">
        <f t="shared" si="7"/>
        <v/>
      </c>
      <c r="BR31" s="55" t="str">
        <f t="shared" si="7"/>
        <v/>
      </c>
      <c r="BS31" s="55" t="str">
        <f t="shared" si="7"/>
        <v/>
      </c>
      <c r="BT31" s="55" t="str">
        <f t="shared" si="7"/>
        <v/>
      </c>
      <c r="BU31" s="55" t="str">
        <f t="shared" si="7"/>
        <v/>
      </c>
      <c r="BV31" s="55" t="str">
        <f t="shared" si="7"/>
        <v/>
      </c>
      <c r="BW31" s="55" t="str">
        <f t="shared" si="7"/>
        <v/>
      </c>
      <c r="BX31" s="55" t="str">
        <f t="shared" si="7"/>
        <v/>
      </c>
      <c r="BY31" s="55" t="str">
        <f t="shared" si="7"/>
        <v/>
      </c>
      <c r="BZ31" s="55" t="str">
        <f t="shared" si="7"/>
        <v/>
      </c>
      <c r="CA31" s="55" t="str">
        <f t="shared" si="7"/>
        <v/>
      </c>
      <c r="CB31" s="55" t="str">
        <f t="shared" si="7"/>
        <v/>
      </c>
      <c r="CC31" s="55" t="str">
        <f t="shared" si="7"/>
        <v/>
      </c>
      <c r="CD31" s="55" t="str">
        <f t="shared" si="7"/>
        <v/>
      </c>
      <c r="CE31" s="55" t="str">
        <f t="shared" si="7"/>
        <v/>
      </c>
      <c r="CF31" s="55" t="str">
        <f t="shared" si="7"/>
        <v/>
      </c>
      <c r="CG31" s="55" t="str">
        <f t="shared" si="8"/>
        <v/>
      </c>
      <c r="CH31" s="55" t="str">
        <f t="shared" si="8"/>
        <v/>
      </c>
      <c r="CI31" s="55" t="str">
        <f t="shared" si="8"/>
        <v/>
      </c>
      <c r="CJ31" s="55" t="str">
        <f t="shared" si="8"/>
        <v/>
      </c>
      <c r="CK31" s="55" t="str">
        <f t="shared" si="8"/>
        <v/>
      </c>
      <c r="CL31" s="55" t="str">
        <f t="shared" si="8"/>
        <v/>
      </c>
      <c r="CM31" s="55" t="str">
        <f t="shared" si="8"/>
        <v/>
      </c>
      <c r="CN31" s="55" t="str">
        <f t="shared" si="8"/>
        <v/>
      </c>
      <c r="CO31" s="55" t="str">
        <f t="shared" si="8"/>
        <v/>
      </c>
      <c r="CP31" s="55" t="str">
        <f t="shared" si="8"/>
        <v/>
      </c>
      <c r="CQ31" s="55" t="str">
        <f t="shared" si="8"/>
        <v/>
      </c>
      <c r="CR31" s="55" t="str">
        <f t="shared" si="8"/>
        <v/>
      </c>
      <c r="CS31" s="55" t="str">
        <f t="shared" si="8"/>
        <v/>
      </c>
      <c r="CT31" s="55" t="str">
        <f t="shared" si="8"/>
        <v/>
      </c>
      <c r="CU31" s="55" t="str">
        <f t="shared" si="8"/>
        <v/>
      </c>
      <c r="CV31" s="55" t="str">
        <f t="shared" si="8"/>
        <v/>
      </c>
      <c r="CW31" s="55" t="str">
        <f t="shared" si="9"/>
        <v/>
      </c>
      <c r="CX31" s="55" t="str">
        <f t="shared" si="9"/>
        <v/>
      </c>
      <c r="CY31" s="55" t="str">
        <f t="shared" si="9"/>
        <v/>
      </c>
      <c r="CZ31" s="55" t="str">
        <f t="shared" si="9"/>
        <v/>
      </c>
      <c r="DA31" s="55" t="str">
        <f t="shared" si="9"/>
        <v/>
      </c>
      <c r="DB31" s="55" t="str">
        <f t="shared" si="9"/>
        <v/>
      </c>
      <c r="DC31" s="55" t="str">
        <f t="shared" si="9"/>
        <v/>
      </c>
      <c r="DD31" s="55" t="str">
        <f t="shared" si="9"/>
        <v/>
      </c>
      <c r="DE31" s="58" t="str">
        <f t="shared" si="9"/>
        <v/>
      </c>
    </row>
    <row r="32" spans="2:109" x14ac:dyDescent="0.2">
      <c r="B32" s="84" t="str" cm="1">
        <f t="array" ref="B32">IFERROR(_xlfn.SINGLE(INDEX(_xlfn._xlws.FILTER(Ressourcer!$B$1:$X$1,_xlfn.BYCOL(Ressourcer!$B$12:$X$15,_xlfn.LAMBDA(_xlpm.c,COUNTIF(_xlpm.c,"&lt;&gt;" )&gt;0))),ROWS($B$2:B10))),"")</f>
        <v/>
      </c>
      <c r="C32" s="79" t="str" cm="1">
        <f t="array" ref="C32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)&gt;0))),_xlfn.LAMBDA(_xlpm.col,SUM(INDEX(Ressourcer!$B$12:$X$15,,_xlfn.SINGLE(_xlpm.col)-_xlfn.SINGLE(COLUMN(Ressourcer!$B$12:$X$15))+1)))),ROWS($B$2:B10))),"")</f>
        <v/>
      </c>
      <c r="D32" s="106" t="str">
        <f t="shared" si="2"/>
        <v/>
      </c>
      <c r="E32" s="57" t="str">
        <f t="shared" si="3"/>
        <v/>
      </c>
      <c r="F32" s="55" t="str">
        <f t="shared" si="3"/>
        <v/>
      </c>
      <c r="G32" s="55" t="str">
        <f t="shared" si="3"/>
        <v/>
      </c>
      <c r="H32" s="55" t="str">
        <f t="shared" si="3"/>
        <v/>
      </c>
      <c r="I32" s="55" t="str">
        <f t="shared" si="3"/>
        <v/>
      </c>
      <c r="J32" s="55" t="str">
        <f t="shared" si="3"/>
        <v/>
      </c>
      <c r="K32" s="55" t="str">
        <f t="shared" si="3"/>
        <v/>
      </c>
      <c r="L32" s="55" t="str">
        <f t="shared" si="3"/>
        <v/>
      </c>
      <c r="M32" s="55" t="str">
        <f t="shared" si="3"/>
        <v/>
      </c>
      <c r="N32" s="55" t="str">
        <f t="shared" si="3"/>
        <v/>
      </c>
      <c r="O32" s="55" t="str">
        <f t="shared" si="3"/>
        <v/>
      </c>
      <c r="P32" s="55" t="str">
        <f t="shared" si="3"/>
        <v/>
      </c>
      <c r="Q32" s="55" t="str">
        <f t="shared" si="3"/>
        <v/>
      </c>
      <c r="R32" s="55" t="str">
        <f t="shared" si="3"/>
        <v/>
      </c>
      <c r="S32" s="55" t="str">
        <f t="shared" si="3"/>
        <v/>
      </c>
      <c r="T32" s="55" t="str">
        <f t="shared" si="3"/>
        <v/>
      </c>
      <c r="U32" s="55" t="str">
        <f t="shared" si="4"/>
        <v/>
      </c>
      <c r="V32" s="55" t="str">
        <f t="shared" si="4"/>
        <v/>
      </c>
      <c r="W32" s="55" t="str">
        <f t="shared" si="4"/>
        <v/>
      </c>
      <c r="X32" s="55" t="str">
        <f t="shared" si="4"/>
        <v/>
      </c>
      <c r="Y32" s="55" t="str">
        <f t="shared" si="4"/>
        <v/>
      </c>
      <c r="Z32" s="55" t="str">
        <f t="shared" si="4"/>
        <v/>
      </c>
      <c r="AA32" s="55" t="str">
        <f t="shared" si="4"/>
        <v/>
      </c>
      <c r="AB32" s="55" t="str">
        <f t="shared" si="4"/>
        <v/>
      </c>
      <c r="AC32" s="55" t="str">
        <f t="shared" si="4"/>
        <v/>
      </c>
      <c r="AD32" s="55" t="str">
        <f t="shared" si="4"/>
        <v/>
      </c>
      <c r="AE32" s="55" t="str">
        <f t="shared" si="4"/>
        <v/>
      </c>
      <c r="AF32" s="55" t="str">
        <f t="shared" si="4"/>
        <v/>
      </c>
      <c r="AG32" s="55" t="str">
        <f t="shared" si="4"/>
        <v/>
      </c>
      <c r="AH32" s="55" t="str">
        <f t="shared" si="4"/>
        <v/>
      </c>
      <c r="AI32" s="55" t="str">
        <f t="shared" si="4"/>
        <v/>
      </c>
      <c r="AJ32" s="55" t="str">
        <f t="shared" si="4"/>
        <v/>
      </c>
      <c r="AK32" s="55" t="str">
        <f t="shared" si="5"/>
        <v/>
      </c>
      <c r="AL32" s="55" t="str">
        <f t="shared" si="5"/>
        <v/>
      </c>
      <c r="AM32" s="55" t="str">
        <f t="shared" si="5"/>
        <v/>
      </c>
      <c r="AN32" s="55" t="str">
        <f t="shared" si="5"/>
        <v/>
      </c>
      <c r="AO32" s="55" t="str">
        <f t="shared" si="5"/>
        <v/>
      </c>
      <c r="AP32" s="55" t="str">
        <f t="shared" si="5"/>
        <v/>
      </c>
      <c r="AQ32" s="55" t="str">
        <f t="shared" si="5"/>
        <v/>
      </c>
      <c r="AR32" s="55" t="str">
        <f t="shared" si="5"/>
        <v/>
      </c>
      <c r="AS32" s="55" t="str">
        <f t="shared" si="5"/>
        <v/>
      </c>
      <c r="AT32" s="55" t="str">
        <f t="shared" si="5"/>
        <v/>
      </c>
      <c r="AU32" s="55" t="str">
        <f t="shared" si="5"/>
        <v/>
      </c>
      <c r="AV32" s="55" t="str">
        <f t="shared" si="5"/>
        <v/>
      </c>
      <c r="AW32" s="55" t="str">
        <f t="shared" si="5"/>
        <v/>
      </c>
      <c r="AX32" s="55" t="str">
        <f t="shared" si="5"/>
        <v/>
      </c>
      <c r="AY32" s="55" t="str">
        <f t="shared" si="5"/>
        <v/>
      </c>
      <c r="AZ32" s="55" t="str">
        <f t="shared" si="5"/>
        <v/>
      </c>
      <c r="BA32" s="55" t="str">
        <f t="shared" si="6"/>
        <v/>
      </c>
      <c r="BB32" s="55" t="str">
        <f t="shared" si="6"/>
        <v/>
      </c>
      <c r="BC32" s="55" t="str">
        <f t="shared" si="6"/>
        <v/>
      </c>
      <c r="BD32" s="55" t="str">
        <f t="shared" si="6"/>
        <v/>
      </c>
      <c r="BE32" s="55" t="str">
        <f t="shared" si="6"/>
        <v/>
      </c>
      <c r="BF32" s="55" t="str">
        <f t="shared" si="6"/>
        <v/>
      </c>
      <c r="BG32" s="55" t="str">
        <f t="shared" si="6"/>
        <v/>
      </c>
      <c r="BH32" s="55" t="str">
        <f t="shared" si="6"/>
        <v/>
      </c>
      <c r="BI32" s="55" t="str">
        <f t="shared" si="6"/>
        <v/>
      </c>
      <c r="BJ32" s="55" t="str">
        <f t="shared" si="6"/>
        <v/>
      </c>
      <c r="BK32" s="55" t="str">
        <f t="shared" si="6"/>
        <v/>
      </c>
      <c r="BL32" s="55" t="str">
        <f t="shared" si="6"/>
        <v/>
      </c>
      <c r="BM32" s="55" t="str">
        <f t="shared" si="6"/>
        <v/>
      </c>
      <c r="BN32" s="55" t="str">
        <f t="shared" si="6"/>
        <v/>
      </c>
      <c r="BO32" s="55" t="str">
        <f t="shared" si="6"/>
        <v/>
      </c>
      <c r="BP32" s="55" t="str">
        <f t="shared" si="6"/>
        <v/>
      </c>
      <c r="BQ32" s="55" t="str">
        <f t="shared" si="7"/>
        <v/>
      </c>
      <c r="BR32" s="55" t="str">
        <f t="shared" si="7"/>
        <v/>
      </c>
      <c r="BS32" s="55" t="str">
        <f t="shared" si="7"/>
        <v/>
      </c>
      <c r="BT32" s="55" t="str">
        <f t="shared" si="7"/>
        <v/>
      </c>
      <c r="BU32" s="55" t="str">
        <f t="shared" si="7"/>
        <v/>
      </c>
      <c r="BV32" s="55" t="str">
        <f t="shared" si="7"/>
        <v/>
      </c>
      <c r="BW32" s="55" t="str">
        <f t="shared" si="7"/>
        <v/>
      </c>
      <c r="BX32" s="55" t="str">
        <f t="shared" si="7"/>
        <v/>
      </c>
      <c r="BY32" s="55" t="str">
        <f t="shared" si="7"/>
        <v/>
      </c>
      <c r="BZ32" s="55" t="str">
        <f t="shared" si="7"/>
        <v/>
      </c>
      <c r="CA32" s="55" t="str">
        <f t="shared" si="7"/>
        <v/>
      </c>
      <c r="CB32" s="55" t="str">
        <f t="shared" si="7"/>
        <v/>
      </c>
      <c r="CC32" s="55" t="str">
        <f t="shared" si="7"/>
        <v/>
      </c>
      <c r="CD32" s="55" t="str">
        <f t="shared" si="7"/>
        <v/>
      </c>
      <c r="CE32" s="55" t="str">
        <f t="shared" si="7"/>
        <v/>
      </c>
      <c r="CF32" s="55" t="str">
        <f t="shared" si="7"/>
        <v/>
      </c>
      <c r="CG32" s="55" t="str">
        <f t="shared" si="8"/>
        <v/>
      </c>
      <c r="CH32" s="55" t="str">
        <f t="shared" si="8"/>
        <v/>
      </c>
      <c r="CI32" s="55" t="str">
        <f t="shared" si="8"/>
        <v/>
      </c>
      <c r="CJ32" s="55" t="str">
        <f t="shared" si="8"/>
        <v/>
      </c>
      <c r="CK32" s="55" t="str">
        <f t="shared" si="8"/>
        <v/>
      </c>
      <c r="CL32" s="55" t="str">
        <f t="shared" si="8"/>
        <v/>
      </c>
      <c r="CM32" s="55" t="str">
        <f t="shared" si="8"/>
        <v/>
      </c>
      <c r="CN32" s="55" t="str">
        <f t="shared" si="8"/>
        <v/>
      </c>
      <c r="CO32" s="55" t="str">
        <f t="shared" si="8"/>
        <v/>
      </c>
      <c r="CP32" s="55" t="str">
        <f t="shared" si="8"/>
        <v/>
      </c>
      <c r="CQ32" s="55" t="str">
        <f t="shared" si="8"/>
        <v/>
      </c>
      <c r="CR32" s="55" t="str">
        <f t="shared" si="8"/>
        <v/>
      </c>
      <c r="CS32" s="55" t="str">
        <f t="shared" si="8"/>
        <v/>
      </c>
      <c r="CT32" s="55" t="str">
        <f t="shared" si="8"/>
        <v/>
      </c>
      <c r="CU32" s="55" t="str">
        <f t="shared" si="8"/>
        <v/>
      </c>
      <c r="CV32" s="55" t="str">
        <f t="shared" si="8"/>
        <v/>
      </c>
      <c r="CW32" s="55" t="str">
        <f t="shared" si="9"/>
        <v/>
      </c>
      <c r="CX32" s="55" t="str">
        <f t="shared" si="9"/>
        <v/>
      </c>
      <c r="CY32" s="55" t="str">
        <f t="shared" si="9"/>
        <v/>
      </c>
      <c r="CZ32" s="55" t="str">
        <f t="shared" si="9"/>
        <v/>
      </c>
      <c r="DA32" s="55" t="str">
        <f t="shared" si="9"/>
        <v/>
      </c>
      <c r="DB32" s="55" t="str">
        <f t="shared" si="9"/>
        <v/>
      </c>
      <c r="DC32" s="55" t="str">
        <f t="shared" si="9"/>
        <v/>
      </c>
      <c r="DD32" s="55" t="str">
        <f t="shared" si="9"/>
        <v/>
      </c>
      <c r="DE32" s="58" t="str">
        <f t="shared" si="9"/>
        <v/>
      </c>
    </row>
    <row r="33" spans="2:109" x14ac:dyDescent="0.2">
      <c r="B33" s="84" t="str" cm="1">
        <f t="array" ref="B33">IFERROR(_xlfn.SINGLE(INDEX(_xlfn._xlws.FILTER(Ressourcer!$B$1:$X$1,_xlfn.BYCOL(Ressourcer!$B$12:$X$15,_xlfn.LAMBDA(_xlpm.c,COUNTIF(_xlpm.c,"&lt;&gt;" )&gt;0))),ROWS($B$2:B11))),"")</f>
        <v/>
      </c>
      <c r="C33" s="79" t="str" cm="1">
        <f t="array" ref="C33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)&gt;0))),_xlfn.LAMBDA(_xlpm.col,SUM(INDEX(Ressourcer!$B$12:$X$15,,_xlfn.SINGLE(_xlpm.col)-_xlfn.SINGLE(COLUMN(Ressourcer!$B$12:$X$15))+1)))),ROWS($B$2:B11))),"")</f>
        <v/>
      </c>
      <c r="D33" s="106" t="str">
        <f t="shared" si="2"/>
        <v/>
      </c>
      <c r="E33" s="57" t="str">
        <f t="shared" si="3"/>
        <v/>
      </c>
      <c r="F33" s="55" t="str">
        <f t="shared" si="3"/>
        <v/>
      </c>
      <c r="G33" s="55" t="str">
        <f t="shared" si="3"/>
        <v/>
      </c>
      <c r="H33" s="55" t="str">
        <f t="shared" si="3"/>
        <v/>
      </c>
      <c r="I33" s="55" t="str">
        <f t="shared" si="3"/>
        <v/>
      </c>
      <c r="J33" s="55" t="str">
        <f t="shared" si="3"/>
        <v/>
      </c>
      <c r="K33" s="55" t="str">
        <f t="shared" si="3"/>
        <v/>
      </c>
      <c r="L33" s="55" t="str">
        <f t="shared" si="3"/>
        <v/>
      </c>
      <c r="M33" s="55" t="str">
        <f t="shared" si="3"/>
        <v/>
      </c>
      <c r="N33" s="55" t="str">
        <f t="shared" si="3"/>
        <v/>
      </c>
      <c r="O33" s="55" t="str">
        <f t="shared" si="3"/>
        <v/>
      </c>
      <c r="P33" s="55" t="str">
        <f t="shared" si="3"/>
        <v/>
      </c>
      <c r="Q33" s="55" t="str">
        <f t="shared" si="3"/>
        <v/>
      </c>
      <c r="R33" s="55" t="str">
        <f t="shared" si="3"/>
        <v/>
      </c>
      <c r="S33" s="55" t="str">
        <f t="shared" si="3"/>
        <v/>
      </c>
      <c r="T33" s="55" t="str">
        <f t="shared" si="3"/>
        <v/>
      </c>
      <c r="U33" s="55" t="str">
        <f t="shared" si="4"/>
        <v/>
      </c>
      <c r="V33" s="55" t="str">
        <f t="shared" si="4"/>
        <v/>
      </c>
      <c r="W33" s="55" t="str">
        <f t="shared" si="4"/>
        <v/>
      </c>
      <c r="X33" s="55" t="str">
        <f t="shared" si="4"/>
        <v/>
      </c>
      <c r="Y33" s="55" t="str">
        <f t="shared" si="4"/>
        <v/>
      </c>
      <c r="Z33" s="55" t="str">
        <f t="shared" si="4"/>
        <v/>
      </c>
      <c r="AA33" s="55" t="str">
        <f t="shared" si="4"/>
        <v/>
      </c>
      <c r="AB33" s="55" t="str">
        <f t="shared" si="4"/>
        <v/>
      </c>
      <c r="AC33" s="55" t="str">
        <f t="shared" si="4"/>
        <v/>
      </c>
      <c r="AD33" s="55" t="str">
        <f t="shared" si="4"/>
        <v/>
      </c>
      <c r="AE33" s="55" t="str">
        <f t="shared" si="4"/>
        <v/>
      </c>
      <c r="AF33" s="55" t="str">
        <f t="shared" si="4"/>
        <v/>
      </c>
      <c r="AG33" s="55" t="str">
        <f t="shared" si="4"/>
        <v/>
      </c>
      <c r="AH33" s="55" t="str">
        <f t="shared" si="4"/>
        <v/>
      </c>
      <c r="AI33" s="55" t="str">
        <f t="shared" si="4"/>
        <v/>
      </c>
      <c r="AJ33" s="55" t="str">
        <f t="shared" si="4"/>
        <v/>
      </c>
      <c r="AK33" s="55" t="str">
        <f t="shared" si="5"/>
        <v/>
      </c>
      <c r="AL33" s="55" t="str">
        <f t="shared" si="5"/>
        <v/>
      </c>
      <c r="AM33" s="55" t="str">
        <f t="shared" si="5"/>
        <v/>
      </c>
      <c r="AN33" s="55" t="str">
        <f t="shared" si="5"/>
        <v/>
      </c>
      <c r="AO33" s="55" t="str">
        <f t="shared" si="5"/>
        <v/>
      </c>
      <c r="AP33" s="55" t="str">
        <f t="shared" si="5"/>
        <v/>
      </c>
      <c r="AQ33" s="55" t="str">
        <f t="shared" si="5"/>
        <v/>
      </c>
      <c r="AR33" s="55" t="str">
        <f t="shared" si="5"/>
        <v/>
      </c>
      <c r="AS33" s="55" t="str">
        <f t="shared" si="5"/>
        <v/>
      </c>
      <c r="AT33" s="55" t="str">
        <f t="shared" si="5"/>
        <v/>
      </c>
      <c r="AU33" s="55" t="str">
        <f t="shared" si="5"/>
        <v/>
      </c>
      <c r="AV33" s="55" t="str">
        <f t="shared" si="5"/>
        <v/>
      </c>
      <c r="AW33" s="55" t="str">
        <f t="shared" si="5"/>
        <v/>
      </c>
      <c r="AX33" s="55" t="str">
        <f t="shared" si="5"/>
        <v/>
      </c>
      <c r="AY33" s="55" t="str">
        <f t="shared" si="5"/>
        <v/>
      </c>
      <c r="AZ33" s="55" t="str">
        <f t="shared" si="5"/>
        <v/>
      </c>
      <c r="BA33" s="55" t="str">
        <f t="shared" si="6"/>
        <v/>
      </c>
      <c r="BB33" s="55" t="str">
        <f t="shared" si="6"/>
        <v/>
      </c>
      <c r="BC33" s="55" t="str">
        <f t="shared" si="6"/>
        <v/>
      </c>
      <c r="BD33" s="55" t="str">
        <f t="shared" si="6"/>
        <v/>
      </c>
      <c r="BE33" s="55" t="str">
        <f t="shared" si="6"/>
        <v/>
      </c>
      <c r="BF33" s="55" t="str">
        <f t="shared" si="6"/>
        <v/>
      </c>
      <c r="BG33" s="55" t="str">
        <f t="shared" si="6"/>
        <v/>
      </c>
      <c r="BH33" s="55" t="str">
        <f t="shared" si="6"/>
        <v/>
      </c>
      <c r="BI33" s="55" t="str">
        <f t="shared" si="6"/>
        <v/>
      </c>
      <c r="BJ33" s="55" t="str">
        <f t="shared" si="6"/>
        <v/>
      </c>
      <c r="BK33" s="55" t="str">
        <f t="shared" si="6"/>
        <v/>
      </c>
      <c r="BL33" s="55" t="str">
        <f t="shared" si="6"/>
        <v/>
      </c>
      <c r="BM33" s="55" t="str">
        <f t="shared" si="6"/>
        <v/>
      </c>
      <c r="BN33" s="55" t="str">
        <f t="shared" si="6"/>
        <v/>
      </c>
      <c r="BO33" s="55" t="str">
        <f t="shared" si="6"/>
        <v/>
      </c>
      <c r="BP33" s="55" t="str">
        <f t="shared" si="6"/>
        <v/>
      </c>
      <c r="BQ33" s="55" t="str">
        <f t="shared" si="7"/>
        <v/>
      </c>
      <c r="BR33" s="55" t="str">
        <f t="shared" si="7"/>
        <v/>
      </c>
      <c r="BS33" s="55" t="str">
        <f t="shared" si="7"/>
        <v/>
      </c>
      <c r="BT33" s="55" t="str">
        <f t="shared" si="7"/>
        <v/>
      </c>
      <c r="BU33" s="55" t="str">
        <f t="shared" si="7"/>
        <v/>
      </c>
      <c r="BV33" s="55" t="str">
        <f t="shared" si="7"/>
        <v/>
      </c>
      <c r="BW33" s="55" t="str">
        <f t="shared" si="7"/>
        <v/>
      </c>
      <c r="BX33" s="55" t="str">
        <f t="shared" si="7"/>
        <v/>
      </c>
      <c r="BY33" s="55" t="str">
        <f t="shared" si="7"/>
        <v/>
      </c>
      <c r="BZ33" s="55" t="str">
        <f t="shared" si="7"/>
        <v/>
      </c>
      <c r="CA33" s="55" t="str">
        <f t="shared" si="7"/>
        <v/>
      </c>
      <c r="CB33" s="55" t="str">
        <f t="shared" si="7"/>
        <v/>
      </c>
      <c r="CC33" s="55" t="str">
        <f t="shared" si="7"/>
        <v/>
      </c>
      <c r="CD33" s="55" t="str">
        <f t="shared" si="7"/>
        <v/>
      </c>
      <c r="CE33" s="55" t="str">
        <f t="shared" si="7"/>
        <v/>
      </c>
      <c r="CF33" s="55" t="str">
        <f t="shared" si="7"/>
        <v/>
      </c>
      <c r="CG33" s="55" t="str">
        <f t="shared" si="8"/>
        <v/>
      </c>
      <c r="CH33" s="55" t="str">
        <f t="shared" si="8"/>
        <v/>
      </c>
      <c r="CI33" s="55" t="str">
        <f t="shared" si="8"/>
        <v/>
      </c>
      <c r="CJ33" s="55" t="str">
        <f t="shared" si="8"/>
        <v/>
      </c>
      <c r="CK33" s="55" t="str">
        <f t="shared" si="8"/>
        <v/>
      </c>
      <c r="CL33" s="55" t="str">
        <f t="shared" si="8"/>
        <v/>
      </c>
      <c r="CM33" s="55" t="str">
        <f t="shared" si="8"/>
        <v/>
      </c>
      <c r="CN33" s="55" t="str">
        <f t="shared" si="8"/>
        <v/>
      </c>
      <c r="CO33" s="55" t="str">
        <f t="shared" si="8"/>
        <v/>
      </c>
      <c r="CP33" s="55" t="str">
        <f t="shared" si="8"/>
        <v/>
      </c>
      <c r="CQ33" s="55" t="str">
        <f t="shared" si="8"/>
        <v/>
      </c>
      <c r="CR33" s="55" t="str">
        <f t="shared" si="8"/>
        <v/>
      </c>
      <c r="CS33" s="55" t="str">
        <f t="shared" si="8"/>
        <v/>
      </c>
      <c r="CT33" s="55" t="str">
        <f t="shared" si="8"/>
        <v/>
      </c>
      <c r="CU33" s="55" t="str">
        <f t="shared" si="8"/>
        <v/>
      </c>
      <c r="CV33" s="55" t="str">
        <f t="shared" si="8"/>
        <v/>
      </c>
      <c r="CW33" s="55" t="str">
        <f t="shared" si="9"/>
        <v/>
      </c>
      <c r="CX33" s="55" t="str">
        <f t="shared" si="9"/>
        <v/>
      </c>
      <c r="CY33" s="55" t="str">
        <f t="shared" si="9"/>
        <v/>
      </c>
      <c r="CZ33" s="55" t="str">
        <f t="shared" si="9"/>
        <v/>
      </c>
      <c r="DA33" s="55" t="str">
        <f t="shared" si="9"/>
        <v/>
      </c>
      <c r="DB33" s="55" t="str">
        <f t="shared" si="9"/>
        <v/>
      </c>
      <c r="DC33" s="55" t="str">
        <f t="shared" si="9"/>
        <v/>
      </c>
      <c r="DD33" s="55" t="str">
        <f t="shared" si="9"/>
        <v/>
      </c>
      <c r="DE33" s="58" t="str">
        <f t="shared" si="9"/>
        <v/>
      </c>
    </row>
    <row r="34" spans="2:109" x14ac:dyDescent="0.2">
      <c r="B34" s="84" t="str" cm="1">
        <f t="array" ref="B34">IFERROR(_xlfn.SINGLE(INDEX(_xlfn._xlws.FILTER(Ressourcer!$B$1:$X$1,_xlfn.BYCOL(Ressourcer!$B$12:$X$15,_xlfn.LAMBDA(_xlpm.c,COUNTIF(_xlpm.c,"&lt;&gt;" )&gt;0))),ROWS($B$2:B12))),"")</f>
        <v/>
      </c>
      <c r="C34" s="79" t="str" cm="1">
        <f t="array" ref="C34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)&gt;0))),_xlfn.LAMBDA(_xlpm.col,SUM(INDEX(Ressourcer!$B$12:$X$15,,_xlfn.SINGLE(_xlpm.col)-_xlfn.SINGLE(COLUMN(Ressourcer!$B$12:$X$15))+1)))),ROWS($B$2:B12))),"")</f>
        <v/>
      </c>
      <c r="D34" s="106" t="str">
        <f t="shared" si="2"/>
        <v/>
      </c>
      <c r="E34" s="57" t="str">
        <f t="shared" si="3"/>
        <v/>
      </c>
      <c r="F34" s="55" t="str">
        <f t="shared" si="3"/>
        <v/>
      </c>
      <c r="G34" s="55" t="str">
        <f t="shared" si="3"/>
        <v/>
      </c>
      <c r="H34" s="55" t="str">
        <f t="shared" si="3"/>
        <v/>
      </c>
      <c r="I34" s="55" t="str">
        <f t="shared" si="3"/>
        <v/>
      </c>
      <c r="J34" s="55" t="str">
        <f t="shared" si="3"/>
        <v/>
      </c>
      <c r="K34" s="55" t="str">
        <f t="shared" si="3"/>
        <v/>
      </c>
      <c r="L34" s="55" t="str">
        <f t="shared" si="3"/>
        <v/>
      </c>
      <c r="M34" s="55" t="str">
        <f t="shared" si="3"/>
        <v/>
      </c>
      <c r="N34" s="55" t="str">
        <f t="shared" si="3"/>
        <v/>
      </c>
      <c r="O34" s="55" t="str">
        <f t="shared" si="3"/>
        <v/>
      </c>
      <c r="P34" s="55" t="str">
        <f t="shared" si="3"/>
        <v/>
      </c>
      <c r="Q34" s="55" t="str">
        <f t="shared" si="3"/>
        <v/>
      </c>
      <c r="R34" s="55" t="str">
        <f t="shared" si="3"/>
        <v/>
      </c>
      <c r="S34" s="55" t="str">
        <f t="shared" si="3"/>
        <v/>
      </c>
      <c r="T34" s="55" t="str">
        <f t="shared" si="3"/>
        <v/>
      </c>
      <c r="U34" s="55" t="str">
        <f t="shared" si="4"/>
        <v/>
      </c>
      <c r="V34" s="55" t="str">
        <f t="shared" si="4"/>
        <v/>
      </c>
      <c r="W34" s="55" t="str">
        <f t="shared" si="4"/>
        <v/>
      </c>
      <c r="X34" s="55" t="str">
        <f t="shared" si="4"/>
        <v/>
      </c>
      <c r="Y34" s="55" t="str">
        <f t="shared" si="4"/>
        <v/>
      </c>
      <c r="Z34" s="55" t="str">
        <f t="shared" si="4"/>
        <v/>
      </c>
      <c r="AA34" s="55" t="str">
        <f t="shared" si="4"/>
        <v/>
      </c>
      <c r="AB34" s="55" t="str">
        <f t="shared" si="4"/>
        <v/>
      </c>
      <c r="AC34" s="55" t="str">
        <f t="shared" si="4"/>
        <v/>
      </c>
      <c r="AD34" s="55" t="str">
        <f t="shared" si="4"/>
        <v/>
      </c>
      <c r="AE34" s="55" t="str">
        <f t="shared" si="4"/>
        <v/>
      </c>
      <c r="AF34" s="55" t="str">
        <f t="shared" si="4"/>
        <v/>
      </c>
      <c r="AG34" s="55" t="str">
        <f t="shared" si="4"/>
        <v/>
      </c>
      <c r="AH34" s="55" t="str">
        <f t="shared" si="4"/>
        <v/>
      </c>
      <c r="AI34" s="55" t="str">
        <f t="shared" si="4"/>
        <v/>
      </c>
      <c r="AJ34" s="55" t="str">
        <f t="shared" si="4"/>
        <v/>
      </c>
      <c r="AK34" s="55" t="str">
        <f t="shared" si="5"/>
        <v/>
      </c>
      <c r="AL34" s="55" t="str">
        <f t="shared" si="5"/>
        <v/>
      </c>
      <c r="AM34" s="55" t="str">
        <f t="shared" si="5"/>
        <v/>
      </c>
      <c r="AN34" s="55" t="str">
        <f t="shared" si="5"/>
        <v/>
      </c>
      <c r="AO34" s="55" t="str">
        <f t="shared" si="5"/>
        <v/>
      </c>
      <c r="AP34" s="55" t="str">
        <f t="shared" si="5"/>
        <v/>
      </c>
      <c r="AQ34" s="55" t="str">
        <f t="shared" si="5"/>
        <v/>
      </c>
      <c r="AR34" s="55" t="str">
        <f t="shared" si="5"/>
        <v/>
      </c>
      <c r="AS34" s="55" t="str">
        <f t="shared" si="5"/>
        <v/>
      </c>
      <c r="AT34" s="55" t="str">
        <f t="shared" si="5"/>
        <v/>
      </c>
      <c r="AU34" s="55" t="str">
        <f t="shared" si="5"/>
        <v/>
      </c>
      <c r="AV34" s="55" t="str">
        <f t="shared" si="5"/>
        <v/>
      </c>
      <c r="AW34" s="55" t="str">
        <f t="shared" si="5"/>
        <v/>
      </c>
      <c r="AX34" s="55" t="str">
        <f t="shared" si="5"/>
        <v/>
      </c>
      <c r="AY34" s="55" t="str">
        <f t="shared" si="5"/>
        <v/>
      </c>
      <c r="AZ34" s="55" t="str">
        <f t="shared" si="5"/>
        <v/>
      </c>
      <c r="BA34" s="55" t="str">
        <f t="shared" si="6"/>
        <v/>
      </c>
      <c r="BB34" s="55" t="str">
        <f t="shared" si="6"/>
        <v/>
      </c>
      <c r="BC34" s="55" t="str">
        <f t="shared" si="6"/>
        <v/>
      </c>
      <c r="BD34" s="55" t="str">
        <f t="shared" si="6"/>
        <v/>
      </c>
      <c r="BE34" s="55" t="str">
        <f t="shared" si="6"/>
        <v/>
      </c>
      <c r="BF34" s="55" t="str">
        <f t="shared" si="6"/>
        <v/>
      </c>
      <c r="BG34" s="55" t="str">
        <f t="shared" si="6"/>
        <v/>
      </c>
      <c r="BH34" s="55" t="str">
        <f t="shared" si="6"/>
        <v/>
      </c>
      <c r="BI34" s="55" t="str">
        <f t="shared" si="6"/>
        <v/>
      </c>
      <c r="BJ34" s="55" t="str">
        <f t="shared" si="6"/>
        <v/>
      </c>
      <c r="BK34" s="55" t="str">
        <f t="shared" si="6"/>
        <v/>
      </c>
      <c r="BL34" s="55" t="str">
        <f t="shared" si="6"/>
        <v/>
      </c>
      <c r="BM34" s="55" t="str">
        <f t="shared" si="6"/>
        <v/>
      </c>
      <c r="BN34" s="55" t="str">
        <f t="shared" si="6"/>
        <v/>
      </c>
      <c r="BO34" s="55" t="str">
        <f t="shared" si="6"/>
        <v/>
      </c>
      <c r="BP34" s="55" t="str">
        <f t="shared" si="6"/>
        <v/>
      </c>
      <c r="BQ34" s="55" t="str">
        <f t="shared" si="7"/>
        <v/>
      </c>
      <c r="BR34" s="55" t="str">
        <f t="shared" si="7"/>
        <v/>
      </c>
      <c r="BS34" s="55" t="str">
        <f t="shared" si="7"/>
        <v/>
      </c>
      <c r="BT34" s="55" t="str">
        <f t="shared" si="7"/>
        <v/>
      </c>
      <c r="BU34" s="55" t="str">
        <f t="shared" si="7"/>
        <v/>
      </c>
      <c r="BV34" s="55" t="str">
        <f t="shared" si="7"/>
        <v/>
      </c>
      <c r="BW34" s="55" t="str">
        <f t="shared" si="7"/>
        <v/>
      </c>
      <c r="BX34" s="55" t="str">
        <f t="shared" si="7"/>
        <v/>
      </c>
      <c r="BY34" s="55" t="str">
        <f t="shared" si="7"/>
        <v/>
      </c>
      <c r="BZ34" s="55" t="str">
        <f t="shared" si="7"/>
        <v/>
      </c>
      <c r="CA34" s="55" t="str">
        <f t="shared" si="7"/>
        <v/>
      </c>
      <c r="CB34" s="55" t="str">
        <f t="shared" si="7"/>
        <v/>
      </c>
      <c r="CC34" s="55" t="str">
        <f t="shared" si="7"/>
        <v/>
      </c>
      <c r="CD34" s="55" t="str">
        <f t="shared" si="7"/>
        <v/>
      </c>
      <c r="CE34" s="55" t="str">
        <f t="shared" si="7"/>
        <v/>
      </c>
      <c r="CF34" s="55" t="str">
        <f t="shared" si="7"/>
        <v/>
      </c>
      <c r="CG34" s="55" t="str">
        <f t="shared" si="8"/>
        <v/>
      </c>
      <c r="CH34" s="55" t="str">
        <f t="shared" si="8"/>
        <v/>
      </c>
      <c r="CI34" s="55" t="str">
        <f t="shared" si="8"/>
        <v/>
      </c>
      <c r="CJ34" s="55" t="str">
        <f t="shared" si="8"/>
        <v/>
      </c>
      <c r="CK34" s="55" t="str">
        <f t="shared" si="8"/>
        <v/>
      </c>
      <c r="CL34" s="55" t="str">
        <f t="shared" si="8"/>
        <v/>
      </c>
      <c r="CM34" s="55" t="str">
        <f t="shared" si="8"/>
        <v/>
      </c>
      <c r="CN34" s="55" t="str">
        <f t="shared" si="8"/>
        <v/>
      </c>
      <c r="CO34" s="55" t="str">
        <f t="shared" si="8"/>
        <v/>
      </c>
      <c r="CP34" s="55" t="str">
        <f t="shared" si="8"/>
        <v/>
      </c>
      <c r="CQ34" s="55" t="str">
        <f t="shared" si="8"/>
        <v/>
      </c>
      <c r="CR34" s="55" t="str">
        <f t="shared" si="8"/>
        <v/>
      </c>
      <c r="CS34" s="55" t="str">
        <f t="shared" si="8"/>
        <v/>
      </c>
      <c r="CT34" s="55" t="str">
        <f t="shared" si="8"/>
        <v/>
      </c>
      <c r="CU34" s="55" t="str">
        <f t="shared" si="8"/>
        <v/>
      </c>
      <c r="CV34" s="55" t="str">
        <f t="shared" si="8"/>
        <v/>
      </c>
      <c r="CW34" s="55" t="str">
        <f t="shared" si="9"/>
        <v/>
      </c>
      <c r="CX34" s="55" t="str">
        <f t="shared" si="9"/>
        <v/>
      </c>
      <c r="CY34" s="55" t="str">
        <f t="shared" si="9"/>
        <v/>
      </c>
      <c r="CZ34" s="55" t="str">
        <f t="shared" si="9"/>
        <v/>
      </c>
      <c r="DA34" s="55" t="str">
        <f t="shared" si="9"/>
        <v/>
      </c>
      <c r="DB34" s="55" t="str">
        <f t="shared" si="9"/>
        <v/>
      </c>
      <c r="DC34" s="55" t="str">
        <f t="shared" si="9"/>
        <v/>
      </c>
      <c r="DD34" s="55" t="str">
        <f t="shared" si="9"/>
        <v/>
      </c>
      <c r="DE34" s="58" t="str">
        <f t="shared" si="9"/>
        <v/>
      </c>
    </row>
    <row r="35" spans="2:109" x14ac:dyDescent="0.2">
      <c r="B35" s="84" t="str" cm="1">
        <f t="array" ref="B35">IFERROR(_xlfn.SINGLE(INDEX(_xlfn._xlws.FILTER(Ressourcer!$B$1:$X$1,_xlfn.BYCOL(Ressourcer!$B$12:$X$15,_xlfn.LAMBDA(_xlpm.c,COUNTIF(_xlpm.c,"&lt;&gt;" )&gt;0))),ROWS($B$2:B13))),"")</f>
        <v/>
      </c>
      <c r="C35" s="79" t="str" cm="1">
        <f t="array" ref="C35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)&gt;0))),_xlfn.LAMBDA(_xlpm.col,SUM(INDEX(Ressourcer!$B$12:$X$15,,_xlfn.SINGLE(_xlpm.col)-_xlfn.SINGLE(COLUMN(Ressourcer!$B$12:$X$15))+1)))),ROWS($B$2:B13))),"")</f>
        <v/>
      </c>
      <c r="D35" s="106" t="str">
        <f t="shared" si="2"/>
        <v/>
      </c>
      <c r="E35" s="57" t="str">
        <f t="shared" si="3"/>
        <v/>
      </c>
      <c r="F35" s="55" t="str">
        <f t="shared" si="3"/>
        <v/>
      </c>
      <c r="G35" s="55" t="str">
        <f t="shared" si="3"/>
        <v/>
      </c>
      <c r="H35" s="55" t="str">
        <f t="shared" si="3"/>
        <v/>
      </c>
      <c r="I35" s="55" t="str">
        <f t="shared" si="3"/>
        <v/>
      </c>
      <c r="J35" s="55" t="str">
        <f t="shared" si="3"/>
        <v/>
      </c>
      <c r="K35" s="55" t="str">
        <f t="shared" si="3"/>
        <v/>
      </c>
      <c r="L35" s="55" t="str">
        <f t="shared" si="3"/>
        <v/>
      </c>
      <c r="M35" s="55" t="str">
        <f t="shared" si="3"/>
        <v/>
      </c>
      <c r="N35" s="55" t="str">
        <f t="shared" si="3"/>
        <v/>
      </c>
      <c r="O35" s="55" t="str">
        <f t="shared" si="3"/>
        <v/>
      </c>
      <c r="P35" s="55" t="str">
        <f t="shared" si="3"/>
        <v/>
      </c>
      <c r="Q35" s="55" t="str">
        <f t="shared" si="3"/>
        <v/>
      </c>
      <c r="R35" s="55" t="str">
        <f t="shared" si="3"/>
        <v/>
      </c>
      <c r="S35" s="55" t="str">
        <f t="shared" si="3"/>
        <v/>
      </c>
      <c r="T35" s="55" t="str">
        <f t="shared" si="3"/>
        <v/>
      </c>
      <c r="U35" s="55" t="str">
        <f t="shared" si="4"/>
        <v/>
      </c>
      <c r="V35" s="55" t="str">
        <f t="shared" si="4"/>
        <v/>
      </c>
      <c r="W35" s="55" t="str">
        <f t="shared" si="4"/>
        <v/>
      </c>
      <c r="X35" s="55" t="str">
        <f t="shared" si="4"/>
        <v/>
      </c>
      <c r="Y35" s="55" t="str">
        <f t="shared" si="4"/>
        <v/>
      </c>
      <c r="Z35" s="55" t="str">
        <f t="shared" si="4"/>
        <v/>
      </c>
      <c r="AA35" s="55" t="str">
        <f t="shared" si="4"/>
        <v/>
      </c>
      <c r="AB35" s="55" t="str">
        <f t="shared" si="4"/>
        <v/>
      </c>
      <c r="AC35" s="55" t="str">
        <f t="shared" si="4"/>
        <v/>
      </c>
      <c r="AD35" s="55" t="str">
        <f t="shared" si="4"/>
        <v/>
      </c>
      <c r="AE35" s="55" t="str">
        <f t="shared" si="4"/>
        <v/>
      </c>
      <c r="AF35" s="55" t="str">
        <f t="shared" si="4"/>
        <v/>
      </c>
      <c r="AG35" s="55" t="str">
        <f t="shared" si="4"/>
        <v/>
      </c>
      <c r="AH35" s="55" t="str">
        <f t="shared" si="4"/>
        <v/>
      </c>
      <c r="AI35" s="55" t="str">
        <f t="shared" si="4"/>
        <v/>
      </c>
      <c r="AJ35" s="55" t="str">
        <f t="shared" si="4"/>
        <v/>
      </c>
      <c r="AK35" s="55" t="str">
        <f t="shared" si="5"/>
        <v/>
      </c>
      <c r="AL35" s="55" t="str">
        <f t="shared" si="5"/>
        <v/>
      </c>
      <c r="AM35" s="55" t="str">
        <f t="shared" si="5"/>
        <v/>
      </c>
      <c r="AN35" s="55" t="str">
        <f t="shared" si="5"/>
        <v/>
      </c>
      <c r="AO35" s="55" t="str">
        <f t="shared" si="5"/>
        <v/>
      </c>
      <c r="AP35" s="55" t="str">
        <f t="shared" si="5"/>
        <v/>
      </c>
      <c r="AQ35" s="55" t="str">
        <f t="shared" si="5"/>
        <v/>
      </c>
      <c r="AR35" s="55" t="str">
        <f t="shared" si="5"/>
        <v/>
      </c>
      <c r="AS35" s="55" t="str">
        <f t="shared" si="5"/>
        <v/>
      </c>
      <c r="AT35" s="55" t="str">
        <f t="shared" si="5"/>
        <v/>
      </c>
      <c r="AU35" s="55" t="str">
        <f t="shared" si="5"/>
        <v/>
      </c>
      <c r="AV35" s="55" t="str">
        <f t="shared" si="5"/>
        <v/>
      </c>
      <c r="AW35" s="55" t="str">
        <f t="shared" si="5"/>
        <v/>
      </c>
      <c r="AX35" s="55" t="str">
        <f t="shared" si="5"/>
        <v/>
      </c>
      <c r="AY35" s="55" t="str">
        <f t="shared" si="5"/>
        <v/>
      </c>
      <c r="AZ35" s="55" t="str">
        <f t="shared" si="5"/>
        <v/>
      </c>
      <c r="BA35" s="55" t="str">
        <f t="shared" si="6"/>
        <v/>
      </c>
      <c r="BB35" s="55" t="str">
        <f t="shared" si="6"/>
        <v/>
      </c>
      <c r="BC35" s="55" t="str">
        <f t="shared" si="6"/>
        <v/>
      </c>
      <c r="BD35" s="55" t="str">
        <f t="shared" si="6"/>
        <v/>
      </c>
      <c r="BE35" s="55" t="str">
        <f t="shared" si="6"/>
        <v/>
      </c>
      <c r="BF35" s="55" t="str">
        <f t="shared" si="6"/>
        <v/>
      </c>
      <c r="BG35" s="55" t="str">
        <f t="shared" si="6"/>
        <v/>
      </c>
      <c r="BH35" s="55" t="str">
        <f t="shared" si="6"/>
        <v/>
      </c>
      <c r="BI35" s="55" t="str">
        <f t="shared" si="6"/>
        <v/>
      </c>
      <c r="BJ35" s="55" t="str">
        <f t="shared" si="6"/>
        <v/>
      </c>
      <c r="BK35" s="55" t="str">
        <f t="shared" si="6"/>
        <v/>
      </c>
      <c r="BL35" s="55" t="str">
        <f t="shared" si="6"/>
        <v/>
      </c>
      <c r="BM35" s="55" t="str">
        <f t="shared" si="6"/>
        <v/>
      </c>
      <c r="BN35" s="55" t="str">
        <f t="shared" si="6"/>
        <v/>
      </c>
      <c r="BO35" s="55" t="str">
        <f t="shared" si="6"/>
        <v/>
      </c>
      <c r="BP35" s="55" t="str">
        <f t="shared" si="6"/>
        <v/>
      </c>
      <c r="BQ35" s="55" t="str">
        <f t="shared" si="7"/>
        <v/>
      </c>
      <c r="BR35" s="55" t="str">
        <f t="shared" si="7"/>
        <v/>
      </c>
      <c r="BS35" s="55" t="str">
        <f t="shared" si="7"/>
        <v/>
      </c>
      <c r="BT35" s="55" t="str">
        <f t="shared" si="7"/>
        <v/>
      </c>
      <c r="BU35" s="55" t="str">
        <f t="shared" si="7"/>
        <v/>
      </c>
      <c r="BV35" s="55" t="str">
        <f t="shared" si="7"/>
        <v/>
      </c>
      <c r="BW35" s="55" t="str">
        <f t="shared" si="7"/>
        <v/>
      </c>
      <c r="BX35" s="55" t="str">
        <f t="shared" si="7"/>
        <v/>
      </c>
      <c r="BY35" s="55" t="str">
        <f t="shared" si="7"/>
        <v/>
      </c>
      <c r="BZ35" s="55" t="str">
        <f t="shared" si="7"/>
        <v/>
      </c>
      <c r="CA35" s="55" t="str">
        <f t="shared" si="7"/>
        <v/>
      </c>
      <c r="CB35" s="55" t="str">
        <f t="shared" si="7"/>
        <v/>
      </c>
      <c r="CC35" s="55" t="str">
        <f t="shared" si="7"/>
        <v/>
      </c>
      <c r="CD35" s="55" t="str">
        <f t="shared" si="7"/>
        <v/>
      </c>
      <c r="CE35" s="55" t="str">
        <f t="shared" si="7"/>
        <v/>
      </c>
      <c r="CF35" s="55" t="str">
        <f t="shared" si="7"/>
        <v/>
      </c>
      <c r="CG35" s="55" t="str">
        <f t="shared" si="8"/>
        <v/>
      </c>
      <c r="CH35" s="55" t="str">
        <f t="shared" si="8"/>
        <v/>
      </c>
      <c r="CI35" s="55" t="str">
        <f t="shared" si="8"/>
        <v/>
      </c>
      <c r="CJ35" s="55" t="str">
        <f t="shared" si="8"/>
        <v/>
      </c>
      <c r="CK35" s="55" t="str">
        <f t="shared" si="8"/>
        <v/>
      </c>
      <c r="CL35" s="55" t="str">
        <f t="shared" si="8"/>
        <v/>
      </c>
      <c r="CM35" s="55" t="str">
        <f t="shared" si="8"/>
        <v/>
      </c>
      <c r="CN35" s="55" t="str">
        <f t="shared" si="8"/>
        <v/>
      </c>
      <c r="CO35" s="55" t="str">
        <f t="shared" si="8"/>
        <v/>
      </c>
      <c r="CP35" s="55" t="str">
        <f t="shared" si="8"/>
        <v/>
      </c>
      <c r="CQ35" s="55" t="str">
        <f t="shared" si="8"/>
        <v/>
      </c>
      <c r="CR35" s="55" t="str">
        <f t="shared" si="8"/>
        <v/>
      </c>
      <c r="CS35" s="55" t="str">
        <f t="shared" si="8"/>
        <v/>
      </c>
      <c r="CT35" s="55" t="str">
        <f t="shared" si="8"/>
        <v/>
      </c>
      <c r="CU35" s="55" t="str">
        <f t="shared" si="8"/>
        <v/>
      </c>
      <c r="CV35" s="55" t="str">
        <f t="shared" si="8"/>
        <v/>
      </c>
      <c r="CW35" s="55" t="str">
        <f t="shared" si="9"/>
        <v/>
      </c>
      <c r="CX35" s="55" t="str">
        <f t="shared" si="9"/>
        <v/>
      </c>
      <c r="CY35" s="55" t="str">
        <f t="shared" si="9"/>
        <v/>
      </c>
      <c r="CZ35" s="55" t="str">
        <f t="shared" si="9"/>
        <v/>
      </c>
      <c r="DA35" s="55" t="str">
        <f t="shared" si="9"/>
        <v/>
      </c>
      <c r="DB35" s="55" t="str">
        <f t="shared" si="9"/>
        <v/>
      </c>
      <c r="DC35" s="55" t="str">
        <f t="shared" si="9"/>
        <v/>
      </c>
      <c r="DD35" s="55" t="str">
        <f t="shared" si="9"/>
        <v/>
      </c>
      <c r="DE35" s="58" t="str">
        <f t="shared" si="9"/>
        <v/>
      </c>
    </row>
    <row r="36" spans="2:109" x14ac:dyDescent="0.2">
      <c r="B36" s="84" t="str" cm="1">
        <f t="array" ref="B36">IFERROR(_xlfn.SINGLE(INDEX(_xlfn._xlws.FILTER(Ressourcer!$B$1:$X$1,_xlfn.BYCOL(Ressourcer!$B$12:$X$15,_xlfn.LAMBDA(_xlpm.c,COUNTIF(_xlpm.c,"&lt;&gt;" )&gt;0))),ROWS($B$2:B14))),"")</f>
        <v/>
      </c>
      <c r="C36" s="79" t="str" cm="1">
        <f t="array" ref="C36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)&gt;0))),_xlfn.LAMBDA(_xlpm.col,SUM(INDEX(Ressourcer!$B$12:$X$15,,_xlfn.SINGLE(_xlpm.col)-_xlfn.SINGLE(COLUMN(Ressourcer!$B$12:$X$15))+1)))),ROWS($B$2:B14))),"")</f>
        <v/>
      </c>
      <c r="D36" s="106" t="str">
        <f t="shared" si="2"/>
        <v/>
      </c>
      <c r="E36" s="57" t="str">
        <f t="shared" si="3"/>
        <v/>
      </c>
      <c r="F36" s="55" t="str">
        <f t="shared" si="3"/>
        <v/>
      </c>
      <c r="G36" s="55" t="str">
        <f t="shared" si="3"/>
        <v/>
      </c>
      <c r="H36" s="55" t="str">
        <f t="shared" si="3"/>
        <v/>
      </c>
      <c r="I36" s="55" t="str">
        <f t="shared" si="3"/>
        <v/>
      </c>
      <c r="J36" s="55" t="str">
        <f t="shared" si="3"/>
        <v/>
      </c>
      <c r="K36" s="55" t="str">
        <f t="shared" si="3"/>
        <v/>
      </c>
      <c r="L36" s="55" t="str">
        <f t="shared" si="3"/>
        <v/>
      </c>
      <c r="M36" s="55" t="str">
        <f t="shared" si="3"/>
        <v/>
      </c>
      <c r="N36" s="55" t="str">
        <f t="shared" si="3"/>
        <v/>
      </c>
      <c r="O36" s="55" t="str">
        <f t="shared" si="3"/>
        <v/>
      </c>
      <c r="P36" s="55" t="str">
        <f t="shared" si="3"/>
        <v/>
      </c>
      <c r="Q36" s="55" t="str">
        <f t="shared" si="3"/>
        <v/>
      </c>
      <c r="R36" s="55" t="str">
        <f t="shared" si="3"/>
        <v/>
      </c>
      <c r="S36" s="55" t="str">
        <f t="shared" si="3"/>
        <v/>
      </c>
      <c r="T36" s="55" t="str">
        <f t="shared" si="3"/>
        <v/>
      </c>
      <c r="U36" s="55" t="str">
        <f t="shared" si="4"/>
        <v/>
      </c>
      <c r="V36" s="55" t="str">
        <f t="shared" si="4"/>
        <v/>
      </c>
      <c r="W36" s="55" t="str">
        <f t="shared" si="4"/>
        <v/>
      </c>
      <c r="X36" s="55" t="str">
        <f t="shared" si="4"/>
        <v/>
      </c>
      <c r="Y36" s="55" t="str">
        <f t="shared" si="4"/>
        <v/>
      </c>
      <c r="Z36" s="55" t="str">
        <f t="shared" si="4"/>
        <v/>
      </c>
      <c r="AA36" s="55" t="str">
        <f t="shared" si="4"/>
        <v/>
      </c>
      <c r="AB36" s="55" t="str">
        <f t="shared" si="4"/>
        <v/>
      </c>
      <c r="AC36" s="55" t="str">
        <f t="shared" si="4"/>
        <v/>
      </c>
      <c r="AD36" s="55" t="str">
        <f t="shared" si="4"/>
        <v/>
      </c>
      <c r="AE36" s="55" t="str">
        <f t="shared" si="4"/>
        <v/>
      </c>
      <c r="AF36" s="55" t="str">
        <f t="shared" si="4"/>
        <v/>
      </c>
      <c r="AG36" s="55" t="str">
        <f t="shared" si="4"/>
        <v/>
      </c>
      <c r="AH36" s="55" t="str">
        <f t="shared" si="4"/>
        <v/>
      </c>
      <c r="AI36" s="55" t="str">
        <f t="shared" si="4"/>
        <v/>
      </c>
      <c r="AJ36" s="55" t="str">
        <f t="shared" si="4"/>
        <v/>
      </c>
      <c r="AK36" s="55" t="str">
        <f t="shared" si="5"/>
        <v/>
      </c>
      <c r="AL36" s="55" t="str">
        <f t="shared" si="5"/>
        <v/>
      </c>
      <c r="AM36" s="55" t="str">
        <f t="shared" si="5"/>
        <v/>
      </c>
      <c r="AN36" s="55" t="str">
        <f t="shared" si="5"/>
        <v/>
      </c>
      <c r="AO36" s="55" t="str">
        <f t="shared" si="5"/>
        <v/>
      </c>
      <c r="AP36" s="55" t="str">
        <f t="shared" si="5"/>
        <v/>
      </c>
      <c r="AQ36" s="55" t="str">
        <f t="shared" si="5"/>
        <v/>
      </c>
      <c r="AR36" s="55" t="str">
        <f t="shared" si="5"/>
        <v/>
      </c>
      <c r="AS36" s="55" t="str">
        <f t="shared" si="5"/>
        <v/>
      </c>
      <c r="AT36" s="55" t="str">
        <f t="shared" si="5"/>
        <v/>
      </c>
      <c r="AU36" s="55" t="str">
        <f t="shared" si="5"/>
        <v/>
      </c>
      <c r="AV36" s="55" t="str">
        <f t="shared" si="5"/>
        <v/>
      </c>
      <c r="AW36" s="55" t="str">
        <f t="shared" si="5"/>
        <v/>
      </c>
      <c r="AX36" s="55" t="str">
        <f t="shared" si="5"/>
        <v/>
      </c>
      <c r="AY36" s="55" t="str">
        <f t="shared" si="5"/>
        <v/>
      </c>
      <c r="AZ36" s="55" t="str">
        <f t="shared" si="5"/>
        <v/>
      </c>
      <c r="BA36" s="55" t="str">
        <f t="shared" si="6"/>
        <v/>
      </c>
      <c r="BB36" s="55" t="str">
        <f t="shared" si="6"/>
        <v/>
      </c>
      <c r="BC36" s="55" t="str">
        <f t="shared" si="6"/>
        <v/>
      </c>
      <c r="BD36" s="55" t="str">
        <f t="shared" si="6"/>
        <v/>
      </c>
      <c r="BE36" s="55" t="str">
        <f t="shared" si="6"/>
        <v/>
      </c>
      <c r="BF36" s="55" t="str">
        <f t="shared" si="6"/>
        <v/>
      </c>
      <c r="BG36" s="55" t="str">
        <f t="shared" si="6"/>
        <v/>
      </c>
      <c r="BH36" s="55" t="str">
        <f t="shared" si="6"/>
        <v/>
      </c>
      <c r="BI36" s="55" t="str">
        <f t="shared" si="6"/>
        <v/>
      </c>
      <c r="BJ36" s="55" t="str">
        <f t="shared" si="6"/>
        <v/>
      </c>
      <c r="BK36" s="55" t="str">
        <f t="shared" si="6"/>
        <v/>
      </c>
      <c r="BL36" s="55" t="str">
        <f t="shared" si="6"/>
        <v/>
      </c>
      <c r="BM36" s="55" t="str">
        <f t="shared" si="6"/>
        <v/>
      </c>
      <c r="BN36" s="55" t="str">
        <f t="shared" si="6"/>
        <v/>
      </c>
      <c r="BO36" s="55" t="str">
        <f t="shared" si="6"/>
        <v/>
      </c>
      <c r="BP36" s="55" t="str">
        <f t="shared" si="6"/>
        <v/>
      </c>
      <c r="BQ36" s="55" t="str">
        <f t="shared" si="7"/>
        <v/>
      </c>
      <c r="BR36" s="55" t="str">
        <f t="shared" si="7"/>
        <v/>
      </c>
      <c r="BS36" s="55" t="str">
        <f t="shared" si="7"/>
        <v/>
      </c>
      <c r="BT36" s="55" t="str">
        <f t="shared" si="7"/>
        <v/>
      </c>
      <c r="BU36" s="55" t="str">
        <f t="shared" si="7"/>
        <v/>
      </c>
      <c r="BV36" s="55" t="str">
        <f t="shared" si="7"/>
        <v/>
      </c>
      <c r="BW36" s="55" t="str">
        <f t="shared" si="7"/>
        <v/>
      </c>
      <c r="BX36" s="55" t="str">
        <f t="shared" si="7"/>
        <v/>
      </c>
      <c r="BY36" s="55" t="str">
        <f t="shared" si="7"/>
        <v/>
      </c>
      <c r="BZ36" s="55" t="str">
        <f t="shared" si="7"/>
        <v/>
      </c>
      <c r="CA36" s="55" t="str">
        <f t="shared" si="7"/>
        <v/>
      </c>
      <c r="CB36" s="55" t="str">
        <f t="shared" si="7"/>
        <v/>
      </c>
      <c r="CC36" s="55" t="str">
        <f t="shared" si="7"/>
        <v/>
      </c>
      <c r="CD36" s="55" t="str">
        <f t="shared" si="7"/>
        <v/>
      </c>
      <c r="CE36" s="55" t="str">
        <f t="shared" si="7"/>
        <v/>
      </c>
      <c r="CF36" s="55" t="str">
        <f t="shared" si="7"/>
        <v/>
      </c>
      <c r="CG36" s="55" t="str">
        <f t="shared" si="8"/>
        <v/>
      </c>
      <c r="CH36" s="55" t="str">
        <f t="shared" si="8"/>
        <v/>
      </c>
      <c r="CI36" s="55" t="str">
        <f t="shared" si="8"/>
        <v/>
      </c>
      <c r="CJ36" s="55" t="str">
        <f t="shared" si="8"/>
        <v/>
      </c>
      <c r="CK36" s="55" t="str">
        <f t="shared" si="8"/>
        <v/>
      </c>
      <c r="CL36" s="55" t="str">
        <f t="shared" si="8"/>
        <v/>
      </c>
      <c r="CM36" s="55" t="str">
        <f t="shared" si="8"/>
        <v/>
      </c>
      <c r="CN36" s="55" t="str">
        <f t="shared" si="8"/>
        <v/>
      </c>
      <c r="CO36" s="55" t="str">
        <f t="shared" si="8"/>
        <v/>
      </c>
      <c r="CP36" s="55" t="str">
        <f t="shared" si="8"/>
        <v/>
      </c>
      <c r="CQ36" s="55" t="str">
        <f t="shared" si="8"/>
        <v/>
      </c>
      <c r="CR36" s="55" t="str">
        <f t="shared" si="8"/>
        <v/>
      </c>
      <c r="CS36" s="55" t="str">
        <f t="shared" si="8"/>
        <v/>
      </c>
      <c r="CT36" s="55" t="str">
        <f t="shared" si="8"/>
        <v/>
      </c>
      <c r="CU36" s="55" t="str">
        <f t="shared" si="8"/>
        <v/>
      </c>
      <c r="CV36" s="55" t="str">
        <f t="shared" si="8"/>
        <v/>
      </c>
      <c r="CW36" s="55" t="str">
        <f t="shared" si="9"/>
        <v/>
      </c>
      <c r="CX36" s="55" t="str">
        <f t="shared" si="9"/>
        <v/>
      </c>
      <c r="CY36" s="55" t="str">
        <f t="shared" si="9"/>
        <v/>
      </c>
      <c r="CZ36" s="55" t="str">
        <f t="shared" si="9"/>
        <v/>
      </c>
      <c r="DA36" s="55" t="str">
        <f t="shared" si="9"/>
        <v/>
      </c>
      <c r="DB36" s="55" t="str">
        <f t="shared" si="9"/>
        <v/>
      </c>
      <c r="DC36" s="55" t="str">
        <f t="shared" si="9"/>
        <v/>
      </c>
      <c r="DD36" s="55" t="str">
        <f t="shared" si="9"/>
        <v/>
      </c>
      <c r="DE36" s="58" t="str">
        <f t="shared" si="9"/>
        <v/>
      </c>
    </row>
    <row r="37" spans="2:109" x14ac:dyDescent="0.2">
      <c r="B37" s="84" t="str" cm="1">
        <f t="array" ref="B37">IFERROR(_xlfn.SINGLE(INDEX(_xlfn._xlws.FILTER(Ressourcer!$B$1:$X$1,_xlfn.BYCOL(Ressourcer!$B$12:$X$15,_xlfn.LAMBDA(_xlpm.c,COUNTIF(_xlpm.c,"&lt;&gt;" )&gt;0))),ROWS($B$2:B15))),"")</f>
        <v/>
      </c>
      <c r="C37" s="79" t="str" cm="1">
        <f t="array" ref="C37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)&gt;0))),_xlfn.LAMBDA(_xlpm.col,SUM(INDEX(Ressourcer!$B$12:$X$15,,_xlfn.SINGLE(_xlpm.col)-_xlfn.SINGLE(COLUMN(Ressourcer!$B$12:$X$15))+1)))),ROWS($B$2:B15))),"")</f>
        <v/>
      </c>
      <c r="D37" s="106" t="str">
        <f>IF(SUM(E37:DE37)=0,"",SUM(E37:DE37))</f>
        <v/>
      </c>
      <c r="E37" s="57" t="str">
        <f t="shared" si="3"/>
        <v/>
      </c>
      <c r="F37" s="55" t="str">
        <f t="shared" si="3"/>
        <v/>
      </c>
      <c r="G37" s="55" t="str">
        <f t="shared" si="3"/>
        <v/>
      </c>
      <c r="H37" s="55" t="str">
        <f t="shared" si="3"/>
        <v/>
      </c>
      <c r="I37" s="55" t="str">
        <f t="shared" si="3"/>
        <v/>
      </c>
      <c r="J37" s="55" t="str">
        <f t="shared" si="3"/>
        <v/>
      </c>
      <c r="K37" s="55" t="str">
        <f t="shared" si="3"/>
        <v/>
      </c>
      <c r="L37" s="55" t="str">
        <f t="shared" si="3"/>
        <v/>
      </c>
      <c r="M37" s="55" t="str">
        <f t="shared" si="3"/>
        <v/>
      </c>
      <c r="N37" s="55" t="str">
        <f t="shared" si="3"/>
        <v/>
      </c>
      <c r="O37" s="55" t="str">
        <f t="shared" si="3"/>
        <v/>
      </c>
      <c r="P37" s="55" t="str">
        <f t="shared" si="3"/>
        <v/>
      </c>
      <c r="Q37" s="55" t="str">
        <f t="shared" si="3"/>
        <v/>
      </c>
      <c r="R37" s="55" t="str">
        <f t="shared" si="3"/>
        <v/>
      </c>
      <c r="S37" s="55" t="str">
        <f t="shared" si="3"/>
        <v/>
      </c>
      <c r="T37" s="55" t="str">
        <f t="shared" si="3"/>
        <v/>
      </c>
      <c r="U37" s="55" t="str">
        <f t="shared" si="4"/>
        <v/>
      </c>
      <c r="V37" s="55" t="str">
        <f t="shared" si="4"/>
        <v/>
      </c>
      <c r="W37" s="55" t="str">
        <f t="shared" si="4"/>
        <v/>
      </c>
      <c r="X37" s="55" t="str">
        <f t="shared" si="4"/>
        <v/>
      </c>
      <c r="Y37" s="55" t="str">
        <f t="shared" si="4"/>
        <v/>
      </c>
      <c r="Z37" s="55" t="str">
        <f t="shared" si="4"/>
        <v/>
      </c>
      <c r="AA37" s="55" t="str">
        <f t="shared" si="4"/>
        <v/>
      </c>
      <c r="AB37" s="55" t="str">
        <f t="shared" si="4"/>
        <v/>
      </c>
      <c r="AC37" s="55" t="str">
        <f t="shared" si="4"/>
        <v/>
      </c>
      <c r="AD37" s="55" t="str">
        <f t="shared" si="4"/>
        <v/>
      </c>
      <c r="AE37" s="55" t="str">
        <f t="shared" si="4"/>
        <v/>
      </c>
      <c r="AF37" s="55" t="str">
        <f t="shared" si="4"/>
        <v/>
      </c>
      <c r="AG37" s="55" t="str">
        <f t="shared" si="4"/>
        <v/>
      </c>
      <c r="AH37" s="55" t="str">
        <f t="shared" si="4"/>
        <v/>
      </c>
      <c r="AI37" s="55" t="str">
        <f t="shared" si="4"/>
        <v/>
      </c>
      <c r="AJ37" s="55" t="str">
        <f t="shared" si="4"/>
        <v/>
      </c>
      <c r="AK37" s="55" t="str">
        <f t="shared" si="5"/>
        <v/>
      </c>
      <c r="AL37" s="55" t="str">
        <f t="shared" si="5"/>
        <v/>
      </c>
      <c r="AM37" s="55" t="str">
        <f t="shared" si="5"/>
        <v/>
      </c>
      <c r="AN37" s="55" t="str">
        <f t="shared" si="5"/>
        <v/>
      </c>
      <c r="AO37" s="55" t="str">
        <f t="shared" si="5"/>
        <v/>
      </c>
      <c r="AP37" s="55" t="str">
        <f t="shared" si="5"/>
        <v/>
      </c>
      <c r="AQ37" s="55" t="str">
        <f t="shared" si="5"/>
        <v/>
      </c>
      <c r="AR37" s="55" t="str">
        <f t="shared" si="5"/>
        <v/>
      </c>
      <c r="AS37" s="55" t="str">
        <f t="shared" si="5"/>
        <v/>
      </c>
      <c r="AT37" s="55" t="str">
        <f t="shared" si="5"/>
        <v/>
      </c>
      <c r="AU37" s="55" t="str">
        <f t="shared" si="5"/>
        <v/>
      </c>
      <c r="AV37" s="55" t="str">
        <f t="shared" si="5"/>
        <v/>
      </c>
      <c r="AW37" s="55" t="str">
        <f t="shared" si="5"/>
        <v/>
      </c>
      <c r="AX37" s="55" t="str">
        <f t="shared" si="5"/>
        <v/>
      </c>
      <c r="AY37" s="55" t="str">
        <f t="shared" si="5"/>
        <v/>
      </c>
      <c r="AZ37" s="55" t="str">
        <f t="shared" si="5"/>
        <v/>
      </c>
      <c r="BA37" s="55" t="str">
        <f t="shared" si="6"/>
        <v/>
      </c>
      <c r="BB37" s="55" t="str">
        <f t="shared" si="6"/>
        <v/>
      </c>
      <c r="BC37" s="55" t="str">
        <f t="shared" si="6"/>
        <v/>
      </c>
      <c r="BD37" s="55" t="str">
        <f t="shared" si="6"/>
        <v/>
      </c>
      <c r="BE37" s="55" t="str">
        <f t="shared" si="6"/>
        <v/>
      </c>
      <c r="BF37" s="55" t="str">
        <f t="shared" si="6"/>
        <v/>
      </c>
      <c r="BG37" s="55" t="str">
        <f t="shared" si="6"/>
        <v/>
      </c>
      <c r="BH37" s="55" t="str">
        <f t="shared" si="6"/>
        <v/>
      </c>
      <c r="BI37" s="55" t="str">
        <f t="shared" si="6"/>
        <v/>
      </c>
      <c r="BJ37" s="55" t="str">
        <f t="shared" si="6"/>
        <v/>
      </c>
      <c r="BK37" s="55" t="str">
        <f t="shared" si="6"/>
        <v/>
      </c>
      <c r="BL37" s="55" t="str">
        <f t="shared" si="6"/>
        <v/>
      </c>
      <c r="BM37" s="55" t="str">
        <f t="shared" si="6"/>
        <v/>
      </c>
      <c r="BN37" s="55" t="str">
        <f t="shared" si="6"/>
        <v/>
      </c>
      <c r="BO37" s="55" t="str">
        <f t="shared" si="6"/>
        <v/>
      </c>
      <c r="BP37" s="55" t="str">
        <f t="shared" si="6"/>
        <v/>
      </c>
      <c r="BQ37" s="55" t="str">
        <f t="shared" si="7"/>
        <v/>
      </c>
      <c r="BR37" s="55" t="str">
        <f t="shared" si="7"/>
        <v/>
      </c>
      <c r="BS37" s="55" t="str">
        <f t="shared" si="7"/>
        <v/>
      </c>
      <c r="BT37" s="55" t="str">
        <f t="shared" si="7"/>
        <v/>
      </c>
      <c r="BU37" s="55" t="str">
        <f t="shared" si="7"/>
        <v/>
      </c>
      <c r="BV37" s="55" t="str">
        <f t="shared" si="7"/>
        <v/>
      </c>
      <c r="BW37" s="55" t="str">
        <f t="shared" si="7"/>
        <v/>
      </c>
      <c r="BX37" s="55" t="str">
        <f t="shared" si="7"/>
        <v/>
      </c>
      <c r="BY37" s="55" t="str">
        <f t="shared" si="7"/>
        <v/>
      </c>
      <c r="BZ37" s="55" t="str">
        <f t="shared" si="7"/>
        <v/>
      </c>
      <c r="CA37" s="55" t="str">
        <f t="shared" si="7"/>
        <v/>
      </c>
      <c r="CB37" s="55" t="str">
        <f t="shared" si="7"/>
        <v/>
      </c>
      <c r="CC37" s="55" t="str">
        <f t="shared" si="7"/>
        <v/>
      </c>
      <c r="CD37" s="55" t="str">
        <f t="shared" si="7"/>
        <v/>
      </c>
      <c r="CE37" s="55" t="str">
        <f t="shared" si="7"/>
        <v/>
      </c>
      <c r="CF37" s="55" t="str">
        <f t="shared" si="7"/>
        <v/>
      </c>
      <c r="CG37" s="55" t="str">
        <f t="shared" si="8"/>
        <v/>
      </c>
      <c r="CH37" s="55" t="str">
        <f t="shared" si="8"/>
        <v/>
      </c>
      <c r="CI37" s="55" t="str">
        <f t="shared" si="8"/>
        <v/>
      </c>
      <c r="CJ37" s="55" t="str">
        <f t="shared" si="8"/>
        <v/>
      </c>
      <c r="CK37" s="55" t="str">
        <f t="shared" si="8"/>
        <v/>
      </c>
      <c r="CL37" s="55" t="str">
        <f t="shared" si="8"/>
        <v/>
      </c>
      <c r="CM37" s="55" t="str">
        <f t="shared" si="8"/>
        <v/>
      </c>
      <c r="CN37" s="55" t="str">
        <f t="shared" si="8"/>
        <v/>
      </c>
      <c r="CO37" s="55" t="str">
        <f t="shared" si="8"/>
        <v/>
      </c>
      <c r="CP37" s="55" t="str">
        <f t="shared" si="8"/>
        <v/>
      </c>
      <c r="CQ37" s="55" t="str">
        <f t="shared" si="8"/>
        <v/>
      </c>
      <c r="CR37" s="55" t="str">
        <f t="shared" si="8"/>
        <v/>
      </c>
      <c r="CS37" s="55" t="str">
        <f t="shared" si="8"/>
        <v/>
      </c>
      <c r="CT37" s="55" t="str">
        <f t="shared" si="8"/>
        <v/>
      </c>
      <c r="CU37" s="55" t="str">
        <f t="shared" si="8"/>
        <v/>
      </c>
      <c r="CV37" s="55" t="str">
        <f t="shared" si="8"/>
        <v/>
      </c>
      <c r="CW37" s="55" t="str">
        <f t="shared" si="9"/>
        <v/>
      </c>
      <c r="CX37" s="55" t="str">
        <f t="shared" si="9"/>
        <v/>
      </c>
      <c r="CY37" s="55" t="str">
        <f t="shared" si="9"/>
        <v/>
      </c>
      <c r="CZ37" s="55" t="str">
        <f t="shared" si="9"/>
        <v/>
      </c>
      <c r="DA37" s="55" t="str">
        <f t="shared" si="9"/>
        <v/>
      </c>
      <c r="DB37" s="55" t="str">
        <f t="shared" si="9"/>
        <v/>
      </c>
      <c r="DC37" s="55" t="str">
        <f t="shared" si="9"/>
        <v/>
      </c>
      <c r="DD37" s="55" t="str">
        <f t="shared" si="9"/>
        <v/>
      </c>
      <c r="DE37" s="58" t="str">
        <f t="shared" si="9"/>
        <v/>
      </c>
    </row>
    <row r="38" spans="2:109" ht="17" thickBot="1" x14ac:dyDescent="0.25">
      <c r="B38" s="85" t="str" cm="1">
        <f t="array" ref="B38">IFERROR(_xlfn.SINGLE(INDEX(_xlfn._xlws.FILTER(Ressourcer!$B$1:$X$1,_xlfn.BYCOL(Ressourcer!$B$12:$X$15,_xlfn.LAMBDA(_xlpm.c,COUNTIF(_xlpm.c,"&lt;&gt;" )&gt;0))),ROWS($B$2:B16))),"")</f>
        <v/>
      </c>
      <c r="C38" s="86" t="str" cm="1">
        <f t="array" ref="C38">IFERROR(_xlfn.SINGLE(INDEX(_xlfn.MAP(_xlfn._xlws.FILTER(COLUMN(Ressourcer!$B$1:$X$1),_xlfn.BYCOL(Ressourcer!$B$12:$X$15,_xlfn.LAMBDA(_xlpm.c,COUNTIF(_xlpm.c,"&lt;&gt;" )&gt;0))),_xlfn.LAMBDA(_xlpm.col,SUM(INDEX(Ressourcer!$B$12:$X$15,,_xlfn.SINGLE(_xlpm.col)-_xlfn.SINGLE(COLUMN(Ressourcer!$B$12:$X$15))+1)))),ROWS($B$2:B16))),"")</f>
        <v/>
      </c>
      <c r="D38" s="106" t="str">
        <f>IF(SUM(E38:DE38)=0,"",SUM(E38:DE38))</f>
        <v/>
      </c>
      <c r="E38" s="59" t="str">
        <f t="shared" si="3"/>
        <v/>
      </c>
      <c r="F38" s="60" t="str">
        <f t="shared" si="3"/>
        <v/>
      </c>
      <c r="G38" s="60" t="str">
        <f t="shared" si="3"/>
        <v/>
      </c>
      <c r="H38" s="60" t="str">
        <f t="shared" si="3"/>
        <v/>
      </c>
      <c r="I38" s="60" t="str">
        <f t="shared" si="3"/>
        <v/>
      </c>
      <c r="J38" s="60" t="str">
        <f t="shared" si="3"/>
        <v/>
      </c>
      <c r="K38" s="60" t="str">
        <f t="shared" si="3"/>
        <v/>
      </c>
      <c r="L38" s="60" t="str">
        <f t="shared" si="3"/>
        <v/>
      </c>
      <c r="M38" s="60" t="str">
        <f t="shared" si="3"/>
        <v/>
      </c>
      <c r="N38" s="60" t="str">
        <f t="shared" si="3"/>
        <v/>
      </c>
      <c r="O38" s="60" t="str">
        <f t="shared" si="3"/>
        <v/>
      </c>
      <c r="P38" s="60" t="str">
        <f t="shared" si="3"/>
        <v/>
      </c>
      <c r="Q38" s="60" t="str">
        <f t="shared" si="3"/>
        <v/>
      </c>
      <c r="R38" s="60" t="str">
        <f t="shared" si="3"/>
        <v/>
      </c>
      <c r="S38" s="60" t="str">
        <f t="shared" si="3"/>
        <v/>
      </c>
      <c r="T38" s="60" t="str">
        <f t="shared" si="3"/>
        <v/>
      </c>
      <c r="U38" s="60" t="str">
        <f t="shared" si="4"/>
        <v/>
      </c>
      <c r="V38" s="60" t="str">
        <f t="shared" si="4"/>
        <v/>
      </c>
      <c r="W38" s="60" t="str">
        <f t="shared" si="4"/>
        <v/>
      </c>
      <c r="X38" s="60" t="str">
        <f t="shared" si="4"/>
        <v/>
      </c>
      <c r="Y38" s="60" t="str">
        <f t="shared" si="4"/>
        <v/>
      </c>
      <c r="Z38" s="60" t="str">
        <f t="shared" si="4"/>
        <v/>
      </c>
      <c r="AA38" s="60" t="str">
        <f t="shared" si="4"/>
        <v/>
      </c>
      <c r="AB38" s="60" t="str">
        <f t="shared" si="4"/>
        <v/>
      </c>
      <c r="AC38" s="60" t="str">
        <f t="shared" si="4"/>
        <v/>
      </c>
      <c r="AD38" s="60" t="str">
        <f t="shared" si="4"/>
        <v/>
      </c>
      <c r="AE38" s="60" t="str">
        <f t="shared" si="4"/>
        <v/>
      </c>
      <c r="AF38" s="60" t="str">
        <f t="shared" si="4"/>
        <v/>
      </c>
      <c r="AG38" s="60" t="str">
        <f t="shared" si="4"/>
        <v/>
      </c>
      <c r="AH38" s="60" t="str">
        <f t="shared" si="4"/>
        <v/>
      </c>
      <c r="AI38" s="60" t="str">
        <f t="shared" si="4"/>
        <v/>
      </c>
      <c r="AJ38" s="60" t="str">
        <f t="shared" si="4"/>
        <v/>
      </c>
      <c r="AK38" s="60" t="str">
        <f t="shared" si="5"/>
        <v/>
      </c>
      <c r="AL38" s="60" t="str">
        <f t="shared" si="5"/>
        <v/>
      </c>
      <c r="AM38" s="60" t="str">
        <f t="shared" si="5"/>
        <v/>
      </c>
      <c r="AN38" s="60" t="str">
        <f t="shared" si="5"/>
        <v/>
      </c>
      <c r="AO38" s="60" t="str">
        <f t="shared" si="5"/>
        <v/>
      </c>
      <c r="AP38" s="60" t="str">
        <f t="shared" si="5"/>
        <v/>
      </c>
      <c r="AQ38" s="60" t="str">
        <f t="shared" si="5"/>
        <v/>
      </c>
      <c r="AR38" s="60" t="str">
        <f t="shared" si="5"/>
        <v/>
      </c>
      <c r="AS38" s="60" t="str">
        <f t="shared" si="5"/>
        <v/>
      </c>
      <c r="AT38" s="60" t="str">
        <f t="shared" si="5"/>
        <v/>
      </c>
      <c r="AU38" s="60" t="str">
        <f t="shared" si="5"/>
        <v/>
      </c>
      <c r="AV38" s="60" t="str">
        <f t="shared" si="5"/>
        <v/>
      </c>
      <c r="AW38" s="60" t="str">
        <f t="shared" si="5"/>
        <v/>
      </c>
      <c r="AX38" s="60" t="str">
        <f t="shared" si="5"/>
        <v/>
      </c>
      <c r="AY38" s="60" t="str">
        <f t="shared" si="5"/>
        <v/>
      </c>
      <c r="AZ38" s="60" t="str">
        <f t="shared" si="5"/>
        <v/>
      </c>
      <c r="BA38" s="60" t="str">
        <f t="shared" si="6"/>
        <v/>
      </c>
      <c r="BB38" s="60" t="str">
        <f t="shared" si="6"/>
        <v/>
      </c>
      <c r="BC38" s="60" t="str">
        <f t="shared" si="6"/>
        <v/>
      </c>
      <c r="BD38" s="60" t="str">
        <f t="shared" si="6"/>
        <v/>
      </c>
      <c r="BE38" s="60" t="str">
        <f t="shared" si="6"/>
        <v/>
      </c>
      <c r="BF38" s="60" t="str">
        <f t="shared" si="6"/>
        <v/>
      </c>
      <c r="BG38" s="60" t="str">
        <f t="shared" si="6"/>
        <v/>
      </c>
      <c r="BH38" s="60" t="str">
        <f t="shared" si="6"/>
        <v/>
      </c>
      <c r="BI38" s="60" t="str">
        <f t="shared" si="6"/>
        <v/>
      </c>
      <c r="BJ38" s="60" t="str">
        <f t="shared" si="6"/>
        <v/>
      </c>
      <c r="BK38" s="60" t="str">
        <f t="shared" si="6"/>
        <v/>
      </c>
      <c r="BL38" s="60" t="str">
        <f t="shared" si="6"/>
        <v/>
      </c>
      <c r="BM38" s="60" t="str">
        <f t="shared" si="6"/>
        <v/>
      </c>
      <c r="BN38" s="60" t="str">
        <f t="shared" si="6"/>
        <v/>
      </c>
      <c r="BO38" s="60" t="str">
        <f t="shared" si="6"/>
        <v/>
      </c>
      <c r="BP38" s="60" t="str">
        <f t="shared" si="6"/>
        <v/>
      </c>
      <c r="BQ38" s="60" t="str">
        <f t="shared" si="7"/>
        <v/>
      </c>
      <c r="BR38" s="60" t="str">
        <f t="shared" si="7"/>
        <v/>
      </c>
      <c r="BS38" s="60" t="str">
        <f t="shared" si="7"/>
        <v/>
      </c>
      <c r="BT38" s="60" t="str">
        <f t="shared" si="7"/>
        <v/>
      </c>
      <c r="BU38" s="60" t="str">
        <f t="shared" si="7"/>
        <v/>
      </c>
      <c r="BV38" s="60" t="str">
        <f t="shared" si="7"/>
        <v/>
      </c>
      <c r="BW38" s="60" t="str">
        <f t="shared" si="7"/>
        <v/>
      </c>
      <c r="BX38" s="60" t="str">
        <f t="shared" si="7"/>
        <v/>
      </c>
      <c r="BY38" s="60" t="str">
        <f t="shared" si="7"/>
        <v/>
      </c>
      <c r="BZ38" s="60" t="str">
        <f t="shared" si="7"/>
        <v/>
      </c>
      <c r="CA38" s="60" t="str">
        <f t="shared" si="7"/>
        <v/>
      </c>
      <c r="CB38" s="60" t="str">
        <f t="shared" si="7"/>
        <v/>
      </c>
      <c r="CC38" s="60" t="str">
        <f t="shared" si="7"/>
        <v/>
      </c>
      <c r="CD38" s="60" t="str">
        <f t="shared" si="7"/>
        <v/>
      </c>
      <c r="CE38" s="60" t="str">
        <f t="shared" si="7"/>
        <v/>
      </c>
      <c r="CF38" s="60" t="str">
        <f t="shared" si="7"/>
        <v/>
      </c>
      <c r="CG38" s="60" t="str">
        <f t="shared" si="8"/>
        <v/>
      </c>
      <c r="CH38" s="60" t="str">
        <f t="shared" si="8"/>
        <v/>
      </c>
      <c r="CI38" s="60" t="str">
        <f t="shared" si="8"/>
        <v/>
      </c>
      <c r="CJ38" s="60" t="str">
        <f t="shared" si="8"/>
        <v/>
      </c>
      <c r="CK38" s="60" t="str">
        <f t="shared" si="8"/>
        <v/>
      </c>
      <c r="CL38" s="60" t="str">
        <f t="shared" si="8"/>
        <v/>
      </c>
      <c r="CM38" s="60" t="str">
        <f t="shared" si="8"/>
        <v/>
      </c>
      <c r="CN38" s="60" t="str">
        <f t="shared" si="8"/>
        <v/>
      </c>
      <c r="CO38" s="60" t="str">
        <f t="shared" si="8"/>
        <v/>
      </c>
      <c r="CP38" s="60" t="str">
        <f t="shared" si="8"/>
        <v/>
      </c>
      <c r="CQ38" s="60" t="str">
        <f t="shared" si="8"/>
        <v/>
      </c>
      <c r="CR38" s="60" t="str">
        <f t="shared" si="8"/>
        <v/>
      </c>
      <c r="CS38" s="60" t="str">
        <f t="shared" si="8"/>
        <v/>
      </c>
      <c r="CT38" s="60" t="str">
        <f t="shared" si="8"/>
        <v/>
      </c>
      <c r="CU38" s="60" t="str">
        <f t="shared" si="8"/>
        <v/>
      </c>
      <c r="CV38" s="60" t="str">
        <f t="shared" si="8"/>
        <v/>
      </c>
      <c r="CW38" s="60" t="str">
        <f t="shared" si="9"/>
        <v/>
      </c>
      <c r="CX38" s="60" t="str">
        <f t="shared" si="9"/>
        <v/>
      </c>
      <c r="CY38" s="60" t="str">
        <f t="shared" si="9"/>
        <v/>
      </c>
      <c r="CZ38" s="60" t="str">
        <f t="shared" si="9"/>
        <v/>
      </c>
      <c r="DA38" s="60" t="str">
        <f t="shared" si="9"/>
        <v/>
      </c>
      <c r="DB38" s="60" t="str">
        <f t="shared" si="9"/>
        <v/>
      </c>
      <c r="DC38" s="60" t="str">
        <f t="shared" si="9"/>
        <v/>
      </c>
      <c r="DD38" s="60" t="str">
        <f t="shared" si="9"/>
        <v/>
      </c>
      <c r="DE38" s="61" t="str">
        <f t="shared" si="9"/>
        <v/>
      </c>
    </row>
    <row r="39" spans="2:109" ht="17" thickBot="1" x14ac:dyDescent="0.25">
      <c r="C39" s="87">
        <f>SUM(C24:C38)</f>
        <v>762.5</v>
      </c>
      <c r="D39" s="88">
        <f>SUM(D24:D38)</f>
        <v>452</v>
      </c>
      <c r="E39" s="139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</row>
    <row r="40" spans="2:109" x14ac:dyDescent="0.2">
      <c r="E40" s="139"/>
      <c r="F40" s="140"/>
      <c r="G40" s="141"/>
      <c r="H40" s="142"/>
      <c r="I40" s="142"/>
      <c r="J40" s="142"/>
      <c r="K40" s="142"/>
      <c r="L40" s="142"/>
      <c r="M40" s="142"/>
      <c r="N40" s="142"/>
      <c r="O40" s="142"/>
      <c r="P40" s="140"/>
    </row>
    <row r="41" spans="2:109" x14ac:dyDescent="0.2">
      <c r="D41" s="134" t="s">
        <v>13</v>
      </c>
      <c r="E41" s="134">
        <f t="shared" ref="E41:E48" si="10">COUNTIF($E$7:$DE$15,D41)</f>
        <v>24</v>
      </c>
    </row>
    <row r="42" spans="2:109" x14ac:dyDescent="0.2">
      <c r="D42" s="134" t="s">
        <v>9</v>
      </c>
      <c r="E42" s="134">
        <f t="shared" si="10"/>
        <v>20</v>
      </c>
      <c r="F42" s="134">
        <f>E41+E42</f>
        <v>44</v>
      </c>
    </row>
    <row r="43" spans="2:109" x14ac:dyDescent="0.2">
      <c r="D43" s="134" t="s">
        <v>10</v>
      </c>
      <c r="E43" s="134">
        <f t="shared" si="10"/>
        <v>44</v>
      </c>
      <c r="F43" s="134">
        <f>E43</f>
        <v>44</v>
      </c>
    </row>
    <row r="44" spans="2:109" x14ac:dyDescent="0.2">
      <c r="D44" s="134" t="s">
        <v>11</v>
      </c>
      <c r="E44" s="134">
        <f t="shared" si="10"/>
        <v>40</v>
      </c>
      <c r="F44" s="134">
        <f>E44</f>
        <v>40</v>
      </c>
    </row>
    <row r="45" spans="2:109" x14ac:dyDescent="0.2">
      <c r="D45" s="134" t="s">
        <v>12</v>
      </c>
      <c r="E45" s="134">
        <f t="shared" si="10"/>
        <v>84</v>
      </c>
      <c r="F45" s="134">
        <f>E45+E46+E47</f>
        <v>116</v>
      </c>
    </row>
    <row r="46" spans="2:109" x14ac:dyDescent="0.2">
      <c r="D46" s="134" t="s">
        <v>8</v>
      </c>
      <c r="E46" s="134">
        <f t="shared" si="10"/>
        <v>32</v>
      </c>
    </row>
    <row r="47" spans="2:109" x14ac:dyDescent="0.2">
      <c r="D47" s="134" t="s">
        <v>39</v>
      </c>
      <c r="E47" s="134">
        <f t="shared" si="10"/>
        <v>0</v>
      </c>
    </row>
    <row r="48" spans="2:109" x14ac:dyDescent="0.2">
      <c r="D48" s="134" t="s">
        <v>14</v>
      </c>
      <c r="E48" s="134">
        <f t="shared" si="10"/>
        <v>18</v>
      </c>
    </row>
    <row r="49" spans="5:6" x14ac:dyDescent="0.2">
      <c r="E49" s="134">
        <f>SUM(E41:E47)</f>
        <v>244</v>
      </c>
      <c r="F49" s="134">
        <f>F42+F43+F44+F45</f>
        <v>244</v>
      </c>
    </row>
  </sheetData>
  <mergeCells count="37">
    <mergeCell ref="B2:D2"/>
    <mergeCell ref="B3:D5"/>
    <mergeCell ref="E3:I3"/>
    <mergeCell ref="J3:N3"/>
    <mergeCell ref="O3:S3"/>
    <mergeCell ref="DA3:DE3"/>
    <mergeCell ref="B6:D6"/>
    <mergeCell ref="BC3:BG3"/>
    <mergeCell ref="BH3:BL3"/>
    <mergeCell ref="BM3:BQ3"/>
    <mergeCell ref="BR3:BV3"/>
    <mergeCell ref="BW3:CA3"/>
    <mergeCell ref="CB3:CF3"/>
    <mergeCell ref="Y3:AC3"/>
    <mergeCell ref="AD3:AH3"/>
    <mergeCell ref="AI3:AM3"/>
    <mergeCell ref="AN3:AR3"/>
    <mergeCell ref="AS3:AW3"/>
    <mergeCell ref="AX3:BB3"/>
    <mergeCell ref="T3:X3"/>
    <mergeCell ref="B15:D15"/>
    <mergeCell ref="CG3:CK3"/>
    <mergeCell ref="CL3:CP3"/>
    <mergeCell ref="CQ3:CU3"/>
    <mergeCell ref="CV3:CZ3"/>
    <mergeCell ref="B7:D7"/>
    <mergeCell ref="B9:D9"/>
    <mergeCell ref="B10:D10"/>
    <mergeCell ref="B13:D13"/>
    <mergeCell ref="B14:D14"/>
    <mergeCell ref="W22:X22"/>
    <mergeCell ref="B16:D16"/>
    <mergeCell ref="B17:D17"/>
    <mergeCell ref="B18:D18"/>
    <mergeCell ref="B19:D19"/>
    <mergeCell ref="B20:D20"/>
    <mergeCell ref="B21:D21"/>
  </mergeCells>
  <conditionalFormatting sqref="E6:BV6">
    <cfRule type="containsText" dxfId="1164" priority="58" operator="containsText" text="BLOCKED">
      <formula>NOT(ISERROR(SEARCH("BLOCKED",E6)))</formula>
    </cfRule>
  </conditionalFormatting>
  <conditionalFormatting sqref="BX6:CO6 CQ6:DE6">
    <cfRule type="containsText" dxfId="1163" priority="59" operator="containsText" text="BLOCKED">
      <formula>NOT(ISERROR(SEARCH("BLOCKED",BX6)))</formula>
    </cfRule>
  </conditionalFormatting>
  <conditionalFormatting sqref="F11:AJ11 AL11:BD11 BF11:BJ11 BM11:DE11">
    <cfRule type="containsText" dxfId="1162" priority="48" operator="containsText" text="BLOCKED">
      <formula>NOT(ISERROR(SEARCH("BLOCKED",F11)))</formula>
    </cfRule>
  </conditionalFormatting>
  <conditionalFormatting sqref="F11:AJ11 AL11:BD11 BF11:BJ11 BM11:DE11">
    <cfRule type="containsText" dxfId="1161" priority="49" operator="containsText" text="Eksamen">
      <formula>NOT(ISERROR(SEARCH("Eksamen",F11)))</formula>
    </cfRule>
    <cfRule type="containsText" dxfId="1160" priority="50" operator="containsText" text="Øvelser">
      <formula>NOT(ISERROR(SEARCH("Øvelser",F11)))</formula>
    </cfRule>
    <cfRule type="containsText" dxfId="1159" priority="51" operator="containsText" text="FORET_ARK">
      <formula>NOT(ISERROR(SEARCH("FORET_ARK",F11)))</formula>
    </cfRule>
    <cfRule type="containsText" dxfId="1158" priority="52" operator="containsText" text="DATA_ARK">
      <formula>NOT(ISERROR(SEARCH("DATA_ARK",F11)))</formula>
    </cfRule>
    <cfRule type="containsText" dxfId="1157" priority="53" operator="containsText" text="DRIFT ANALYSE">
      <formula>NOT(ISERROR(SEARCH("DRIFT ANALYSE",F11)))</formula>
    </cfRule>
    <cfRule type="containsText" dxfId="1156" priority="54" operator="containsText" text="PROJ_STYR">
      <formula>NOT(ISERROR(SEARCH("PROJ_STYR",F11)))</formula>
    </cfRule>
    <cfRule type="containsText" dxfId="1155" priority="55" operator="containsText" text="Coaching">
      <formula>NOT(ISERROR(SEARCH("Coaching",F11)))</formula>
    </cfRule>
    <cfRule type="containsText" dxfId="1154" priority="56" operator="containsText" text="CasePræs">
      <formula>NOT(ISERROR(SEARCH("CasePræs",F11)))</formula>
    </cfRule>
    <cfRule type="containsText" dxfId="1153" priority="57" operator="containsText" text="Feedback">
      <formula>NOT(ISERROR(SEARCH("Feedback",F11)))</formula>
    </cfRule>
  </conditionalFormatting>
  <conditionalFormatting sqref="F11:AJ11 AL11:BD11 BF11:BJ11 BM11:DE11">
    <cfRule type="expression" dxfId="1152" priority="47">
      <formula>INDIRECT("R5C" &amp; COLUMN(),FALSE)="BLOCKED"</formula>
    </cfRule>
  </conditionalFormatting>
  <conditionalFormatting sqref="E11">
    <cfRule type="containsText" dxfId="1151" priority="37" operator="containsText" text="BLOCKED">
      <formula>NOT(ISERROR(SEARCH("BLOCKED",E11)))</formula>
    </cfRule>
  </conditionalFormatting>
  <conditionalFormatting sqref="E11">
    <cfRule type="containsText" dxfId="1150" priority="38" operator="containsText" text="Eksamen">
      <formula>NOT(ISERROR(SEARCH("Eksamen",E11)))</formula>
    </cfRule>
    <cfRule type="containsText" dxfId="1149" priority="39" operator="containsText" text="Øvelser">
      <formula>NOT(ISERROR(SEARCH("Øvelser",E11)))</formula>
    </cfRule>
    <cfRule type="containsText" dxfId="1148" priority="40" operator="containsText" text="FORET_ARK">
      <formula>NOT(ISERROR(SEARCH("FORET_ARK",E11)))</formula>
    </cfRule>
    <cfRule type="containsText" dxfId="1147" priority="41" operator="containsText" text="DATA_ARK">
      <formula>NOT(ISERROR(SEARCH("DATA_ARK",E11)))</formula>
    </cfRule>
    <cfRule type="containsText" dxfId="1146" priority="42" operator="containsText" text="DRIFT ANALYSE">
      <formula>NOT(ISERROR(SEARCH("DRIFT ANALYSE",E11)))</formula>
    </cfRule>
    <cfRule type="containsText" dxfId="1145" priority="43" operator="containsText" text="PROJ_STYR">
      <formula>NOT(ISERROR(SEARCH("PROJ_STYR",E11)))</formula>
    </cfRule>
    <cfRule type="containsText" dxfId="1144" priority="44" operator="containsText" text="Coaching">
      <formula>NOT(ISERROR(SEARCH("Coaching",E11)))</formula>
    </cfRule>
    <cfRule type="containsText" dxfId="1143" priority="45" operator="containsText" text="CasePræs">
      <formula>NOT(ISERROR(SEARCH("CasePræs",E11)))</formula>
    </cfRule>
    <cfRule type="containsText" dxfId="1142" priority="46" operator="containsText" text="Feedback">
      <formula>NOT(ISERROR(SEARCH("Feedback",E11)))</formula>
    </cfRule>
  </conditionalFormatting>
  <conditionalFormatting sqref="E11">
    <cfRule type="expression" dxfId="1141" priority="36">
      <formula>INDIRECT("R5C" &amp; COLUMN(),FALSE)="BLOCKED"</formula>
    </cfRule>
  </conditionalFormatting>
  <conditionalFormatting sqref="AK11">
    <cfRule type="containsText" dxfId="1140" priority="26" operator="containsText" text="BLOCKED">
      <formula>NOT(ISERROR(SEARCH("BLOCKED",AK11)))</formula>
    </cfRule>
  </conditionalFormatting>
  <conditionalFormatting sqref="AK11">
    <cfRule type="containsText" dxfId="1139" priority="27" operator="containsText" text="Eksamen">
      <formula>NOT(ISERROR(SEARCH("Eksamen",AK11)))</formula>
    </cfRule>
    <cfRule type="containsText" dxfId="1138" priority="28" operator="containsText" text="Øvelser">
      <formula>NOT(ISERROR(SEARCH("Øvelser",AK11)))</formula>
    </cfRule>
    <cfRule type="containsText" dxfId="1137" priority="29" operator="containsText" text="FORET_ARK">
      <formula>NOT(ISERROR(SEARCH("FORET_ARK",AK11)))</formula>
    </cfRule>
    <cfRule type="containsText" dxfId="1136" priority="30" operator="containsText" text="DATA_ARK">
      <formula>NOT(ISERROR(SEARCH("DATA_ARK",AK11)))</formula>
    </cfRule>
    <cfRule type="containsText" dxfId="1135" priority="31" operator="containsText" text="DRIFT ANALYSE">
      <formula>NOT(ISERROR(SEARCH("DRIFT ANALYSE",AK11)))</formula>
    </cfRule>
    <cfRule type="containsText" dxfId="1134" priority="32" operator="containsText" text="PROJ_STYR">
      <formula>NOT(ISERROR(SEARCH("PROJ_STYR",AK11)))</formula>
    </cfRule>
    <cfRule type="containsText" dxfId="1133" priority="33" operator="containsText" text="Coaching">
      <formula>NOT(ISERROR(SEARCH("Coaching",AK11)))</formula>
    </cfRule>
    <cfRule type="containsText" dxfId="1132" priority="34" operator="containsText" text="CasePræs">
      <formula>NOT(ISERROR(SEARCH("CasePræs",AK11)))</formula>
    </cfRule>
    <cfRule type="containsText" dxfId="1131" priority="35" operator="containsText" text="Feedback">
      <formula>NOT(ISERROR(SEARCH("Feedback",AK11)))</formula>
    </cfRule>
  </conditionalFormatting>
  <conditionalFormatting sqref="AK11">
    <cfRule type="expression" dxfId="1130" priority="25">
      <formula>INDIRECT("R5C" &amp; COLUMN(),FALSE)="BLOCKED"</formula>
    </cfRule>
  </conditionalFormatting>
  <conditionalFormatting sqref="BE11">
    <cfRule type="containsText" dxfId="1129" priority="15" operator="containsText" text="BLOCKED">
      <formula>NOT(ISERROR(SEARCH("BLOCKED",BE11)))</formula>
    </cfRule>
  </conditionalFormatting>
  <conditionalFormatting sqref="BE11">
    <cfRule type="containsText" dxfId="1128" priority="16" operator="containsText" text="Eksamen">
      <formula>NOT(ISERROR(SEARCH("Eksamen",BE11)))</formula>
    </cfRule>
    <cfRule type="containsText" dxfId="1127" priority="17" operator="containsText" text="Øvelser">
      <formula>NOT(ISERROR(SEARCH("Øvelser",BE11)))</formula>
    </cfRule>
    <cfRule type="containsText" dxfId="1126" priority="18" operator="containsText" text="FORET_ARK">
      <formula>NOT(ISERROR(SEARCH("FORET_ARK",BE11)))</formula>
    </cfRule>
    <cfRule type="containsText" dxfId="1125" priority="19" operator="containsText" text="DATA_ARK">
      <formula>NOT(ISERROR(SEARCH("DATA_ARK",BE11)))</formula>
    </cfRule>
    <cfRule type="containsText" dxfId="1124" priority="20" operator="containsText" text="DRIFT ANALYSE">
      <formula>NOT(ISERROR(SEARCH("DRIFT ANALYSE",BE11)))</formula>
    </cfRule>
    <cfRule type="containsText" dxfId="1123" priority="21" operator="containsText" text="PROJ_STYR">
      <formula>NOT(ISERROR(SEARCH("PROJ_STYR",BE11)))</formula>
    </cfRule>
    <cfRule type="containsText" dxfId="1122" priority="22" operator="containsText" text="Coaching">
      <formula>NOT(ISERROR(SEARCH("Coaching",BE11)))</formula>
    </cfRule>
    <cfRule type="containsText" dxfId="1121" priority="23" operator="containsText" text="CasePræs">
      <formula>NOT(ISERROR(SEARCH("CasePræs",BE11)))</formula>
    </cfRule>
    <cfRule type="containsText" dxfId="1120" priority="24" operator="containsText" text="Feedback">
      <formula>NOT(ISERROR(SEARCH("Feedback",BE11)))</formula>
    </cfRule>
  </conditionalFormatting>
  <conditionalFormatting sqref="BE11">
    <cfRule type="expression" dxfId="1119" priority="14">
      <formula>INDIRECT("R5C" &amp; COLUMN(),FALSE)="BLOCKED"</formula>
    </cfRule>
  </conditionalFormatting>
  <conditionalFormatting sqref="BK11:BL11">
    <cfRule type="containsText" dxfId="1118" priority="4" operator="containsText" text="BLOCKED">
      <formula>NOT(ISERROR(SEARCH("BLOCKED",BK11)))</formula>
    </cfRule>
  </conditionalFormatting>
  <conditionalFormatting sqref="BK11:BL11">
    <cfRule type="containsText" dxfId="1117" priority="5" operator="containsText" text="Eksamen">
      <formula>NOT(ISERROR(SEARCH("Eksamen",BK11)))</formula>
    </cfRule>
    <cfRule type="containsText" dxfId="1116" priority="6" operator="containsText" text="Øvelser">
      <formula>NOT(ISERROR(SEARCH("Øvelser",BK11)))</formula>
    </cfRule>
    <cfRule type="containsText" dxfId="1115" priority="7" operator="containsText" text="FORET_ARK">
      <formula>NOT(ISERROR(SEARCH("FORET_ARK",BK11)))</formula>
    </cfRule>
    <cfRule type="containsText" dxfId="1114" priority="8" operator="containsText" text="DATA_ARK">
      <formula>NOT(ISERROR(SEARCH("DATA_ARK",BK11)))</formula>
    </cfRule>
    <cfRule type="containsText" dxfId="1113" priority="9" operator="containsText" text="DRIFT ANALYSE">
      <formula>NOT(ISERROR(SEARCH("DRIFT ANALYSE",BK11)))</formula>
    </cfRule>
    <cfRule type="containsText" dxfId="1112" priority="10" operator="containsText" text="PROJ_STYR">
      <formula>NOT(ISERROR(SEARCH("PROJ_STYR",BK11)))</formula>
    </cfRule>
    <cfRule type="containsText" dxfId="1111" priority="11" operator="containsText" text="Coaching">
      <formula>NOT(ISERROR(SEARCH("Coaching",BK11)))</formula>
    </cfRule>
    <cfRule type="containsText" dxfId="1110" priority="12" operator="containsText" text="CasePræs">
      <formula>NOT(ISERROR(SEARCH("CasePræs",BK11)))</formula>
    </cfRule>
    <cfRule type="containsText" dxfId="1109" priority="13" operator="containsText" text="Feedback">
      <formula>NOT(ISERROR(SEARCH("Feedback",BK11)))</formula>
    </cfRule>
  </conditionalFormatting>
  <conditionalFormatting sqref="BK11:BL11">
    <cfRule type="expression" dxfId="1108" priority="3">
      <formula>INDIRECT("R5C" &amp; COLUMN(),FALSE)="BLOCKED"</formula>
    </cfRule>
  </conditionalFormatting>
  <conditionalFormatting sqref="E12:DE15 E7:DE10">
    <cfRule type="containsText" dxfId="1107" priority="60" stopIfTrue="1" operator="containsText" text="DRIFT">
      <formula>NOT(ISERROR(SEARCH("DRIFT",E7)))</formula>
    </cfRule>
  </conditionalFormatting>
  <conditionalFormatting sqref="E12:DE15 E7:DE10">
    <cfRule type="containsText" dxfId="1106" priority="61" stopIfTrue="1" operator="containsText" text="ARKIT">
      <formula>NOT(ISERROR(SEARCH("ARKIT",E7)))</formula>
    </cfRule>
  </conditionalFormatting>
  <conditionalFormatting sqref="E12:DE15 E7:DE10">
    <cfRule type="containsText" dxfId="1105" priority="62" stopIfTrue="1" operator="containsText" text="PROJEKT">
      <formula>NOT(ISERROR(SEARCH("PROJEKT",E7)))</formula>
    </cfRule>
  </conditionalFormatting>
  <conditionalFormatting sqref="E12:DE15 E7:DE10">
    <cfRule type="containsText" dxfId="1104" priority="63" stopIfTrue="1" operator="containsText" text="DATARK">
      <formula>NOT(ISERROR(SEARCH("DATARK",E7)))</formula>
    </cfRule>
  </conditionalFormatting>
  <conditionalFormatting sqref="E12:DE15 E7:DE10">
    <cfRule type="containsText" dxfId="1103" priority="64" stopIfTrue="1" operator="containsText" text="COACH">
      <formula>NOT(ISERROR(SEARCH("COACH",E7)))</formula>
    </cfRule>
    <cfRule type="containsText" dxfId="1102" priority="68" stopIfTrue="1" operator="containsText" text="EKSAM">
      <formula>NOT(ISERROR(SEARCH("EKSAM",E7)))</formula>
    </cfRule>
  </conditionalFormatting>
  <conditionalFormatting sqref="E12:DE15 E7:DE10">
    <cfRule type="containsText" dxfId="1101" priority="65" stopIfTrue="1" operator="containsText" text="CASEPRÆS">
      <formula>NOT(ISERROR(SEARCH("CASEPRÆS",E7)))</formula>
    </cfRule>
  </conditionalFormatting>
  <conditionalFormatting sqref="E12:DE15 E7:DE10">
    <cfRule type="containsText" dxfId="1100" priority="66" stopIfTrue="1" operator="containsText" text="FEEDBACK">
      <formula>NOT(ISERROR(SEARCH("FEEDBACK",E7)))</formula>
    </cfRule>
  </conditionalFormatting>
  <conditionalFormatting sqref="E12:DE15 E7:DE10">
    <cfRule type="containsText" dxfId="1099" priority="67" stopIfTrue="1" operator="containsText" text="ØVELSER">
      <formula>NOT(ISERROR(SEARCH("ØVELSER",E7)))</formula>
    </cfRule>
    <cfRule type="containsText" dxfId="1098" priority="69" stopIfTrue="1" operator="containsText" text="INTRO">
      <formula>NOT(ISERROR(SEARCH("INTRO",E7)))</formula>
    </cfRule>
  </conditionalFormatting>
  <conditionalFormatting sqref="D24:D38">
    <cfRule type="expression" dxfId="1097" priority="1" stopIfTrue="1">
      <formula>AND(ISNUMBER($C24),ISNUMBER($D24),ABS($D24-$C24)&lt;=10)</formula>
    </cfRule>
  </conditionalFormatting>
  <conditionalFormatting sqref="D24:D38">
    <cfRule type="expression" dxfId="1096" priority="2" stopIfTrue="1">
      <formula>AND(ISNUMBER($C24),ISNUMBER($D24),ABS($D24-$C24)&gt;10)</formula>
    </cfRule>
  </conditionalFormatting>
  <dataValidations count="1">
    <dataValidation type="list" allowBlank="1" showInputMessage="1" showErrorMessage="1" sqref="E16:DE21" xr:uid="{D6E213B6-1B53-2841-95B0-18302AC053F6}">
      <formula1>$B$24:$B$38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0284CDE-E13B-B44E-B752-802539FD4A3E}">
          <x14:formula1>
            <xm:f>Data!$G$3:$G$40</xm:f>
          </x14:formula1>
          <xm:sqref>E12:DE15 E7:DE10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CC40-342F-044E-BB2A-23265DCAC1F1}">
  <sheetPr codeName="Sheet1"/>
  <dimension ref="A1:AF81"/>
  <sheetViews>
    <sheetView zoomScaleNormal="100" workbookViewId="0">
      <selection activeCell="AA42" sqref="AA42"/>
    </sheetView>
  </sheetViews>
  <sheetFormatPr baseColWidth="10" defaultColWidth="9.1640625" defaultRowHeight="15" x14ac:dyDescent="0.2"/>
  <cols>
    <col min="1" max="1" width="62.83203125" style="150" customWidth="1"/>
    <col min="2" max="2" width="7.83203125" style="151" customWidth="1"/>
    <col min="3" max="25" width="8.1640625" style="151" customWidth="1"/>
    <col min="26" max="26" width="13.33203125" style="6" customWidth="1"/>
    <col min="27" max="27" width="11.6640625" style="6" customWidth="1"/>
    <col min="28" max="28" width="6.5" style="6" customWidth="1"/>
    <col min="29" max="29" width="11.5" style="6" customWidth="1"/>
    <col min="30" max="30" width="9.5" style="150" customWidth="1"/>
    <col min="31" max="31" width="9.1640625" style="150" customWidth="1"/>
    <col min="32" max="32" width="12.33203125" style="150" bestFit="1" customWidth="1"/>
    <col min="33" max="16384" width="9.1640625" style="150"/>
  </cols>
  <sheetData>
    <row r="1" spans="1:32" ht="15" customHeight="1" x14ac:dyDescent="0.2">
      <c r="A1" s="367" t="s">
        <v>353</v>
      </c>
      <c r="B1" s="368" t="s">
        <v>40</v>
      </c>
      <c r="C1" s="369" t="s">
        <v>41</v>
      </c>
      <c r="D1" s="369" t="s">
        <v>42</v>
      </c>
      <c r="E1" s="368" t="s">
        <v>27</v>
      </c>
      <c r="F1" s="369" t="s">
        <v>28</v>
      </c>
      <c r="G1" s="369" t="s">
        <v>43</v>
      </c>
      <c r="H1" s="370" t="s">
        <v>44</v>
      </c>
      <c r="I1" s="369" t="s">
        <v>45</v>
      </c>
      <c r="J1" s="371" t="s">
        <v>29</v>
      </c>
      <c r="K1" s="371" t="s">
        <v>25</v>
      </c>
      <c r="L1" s="369" t="s">
        <v>46</v>
      </c>
      <c r="M1" s="371" t="s">
        <v>47</v>
      </c>
      <c r="N1" s="369" t="s">
        <v>48</v>
      </c>
      <c r="O1" s="369" t="s">
        <v>49</v>
      </c>
      <c r="P1" s="369" t="s">
        <v>50</v>
      </c>
      <c r="Q1" s="369" t="s">
        <v>26</v>
      </c>
      <c r="R1" s="369" t="s">
        <v>51</v>
      </c>
      <c r="S1" s="369" t="s">
        <v>52</v>
      </c>
      <c r="T1" s="369" t="s">
        <v>53</v>
      </c>
      <c r="U1" s="369" t="s">
        <v>54</v>
      </c>
      <c r="V1" s="369" t="s">
        <v>55</v>
      </c>
      <c r="W1" s="368" t="s">
        <v>56</v>
      </c>
      <c r="X1" s="372" t="s">
        <v>354</v>
      </c>
      <c r="Y1" s="373" t="s">
        <v>57</v>
      </c>
      <c r="Z1" s="373" t="s">
        <v>83</v>
      </c>
      <c r="AA1" s="152" t="s">
        <v>84</v>
      </c>
      <c r="AB1" s="152" t="s">
        <v>85</v>
      </c>
      <c r="AC1" s="152" t="s">
        <v>86</v>
      </c>
      <c r="AD1" s="152" t="s">
        <v>87</v>
      </c>
      <c r="AE1" s="152" t="s">
        <v>88</v>
      </c>
      <c r="AF1"/>
    </row>
    <row r="2" spans="1:32" ht="15" customHeight="1" x14ac:dyDescent="0.2">
      <c r="A2" s="374"/>
      <c r="B2" s="9">
        <v>1</v>
      </c>
      <c r="C2" s="8">
        <v>1</v>
      </c>
      <c r="D2" s="8">
        <v>1</v>
      </c>
      <c r="E2" s="9">
        <v>1</v>
      </c>
      <c r="F2" s="8">
        <v>1</v>
      </c>
      <c r="G2" s="8">
        <v>1</v>
      </c>
      <c r="H2" s="10">
        <v>1</v>
      </c>
      <c r="I2" s="8">
        <v>1</v>
      </c>
      <c r="J2" s="375">
        <v>1</v>
      </c>
      <c r="K2" s="375">
        <v>1</v>
      </c>
      <c r="L2" s="8">
        <v>1</v>
      </c>
      <c r="M2" s="375">
        <v>1</v>
      </c>
      <c r="N2" s="8">
        <v>1</v>
      </c>
      <c r="O2" s="8">
        <v>1</v>
      </c>
      <c r="P2" s="8">
        <v>1</v>
      </c>
      <c r="Q2" s="8">
        <v>1</v>
      </c>
      <c r="R2" s="8">
        <v>1</v>
      </c>
      <c r="S2" s="8">
        <v>1</v>
      </c>
      <c r="T2" s="8">
        <v>1</v>
      </c>
      <c r="U2" s="8">
        <v>0.8</v>
      </c>
      <c r="V2" s="8">
        <v>1</v>
      </c>
      <c r="W2" s="9">
        <v>1</v>
      </c>
      <c r="X2" s="376"/>
      <c r="Y2" s="377">
        <f>SUM(B2:W2)</f>
        <v>21.8</v>
      </c>
      <c r="Z2" s="378"/>
      <c r="AA2" s="379">
        <v>600</v>
      </c>
      <c r="AB2" s="379"/>
      <c r="AC2" s="379"/>
      <c r="AD2" s="379"/>
      <c r="AE2" s="379">
        <v>250</v>
      </c>
      <c r="AF2"/>
    </row>
    <row r="3" spans="1:32" ht="15" customHeight="1" x14ac:dyDescent="0.2">
      <c r="A3" s="150" t="s">
        <v>58</v>
      </c>
      <c r="B3" s="380">
        <f>(1640/2)*B2</f>
        <v>820</v>
      </c>
      <c r="C3" s="381">
        <f t="shared" ref="C3:W3" si="0">(1640/2)*C2</f>
        <v>820</v>
      </c>
      <c r="D3" s="381">
        <f t="shared" si="0"/>
        <v>820</v>
      </c>
      <c r="E3" s="381">
        <f t="shared" si="0"/>
        <v>820</v>
      </c>
      <c r="F3" s="381">
        <f t="shared" si="0"/>
        <v>820</v>
      </c>
      <c r="G3" s="381">
        <f t="shared" si="0"/>
        <v>820</v>
      </c>
      <c r="H3" s="381">
        <f t="shared" si="0"/>
        <v>820</v>
      </c>
      <c r="I3" s="381">
        <f t="shared" si="0"/>
        <v>820</v>
      </c>
      <c r="J3" s="382">
        <f t="shared" si="0"/>
        <v>820</v>
      </c>
      <c r="K3" s="382">
        <f t="shared" si="0"/>
        <v>820</v>
      </c>
      <c r="L3" s="381">
        <f t="shared" si="0"/>
        <v>820</v>
      </c>
      <c r="M3" s="382">
        <f t="shared" si="0"/>
        <v>820</v>
      </c>
      <c r="N3" s="381">
        <f t="shared" si="0"/>
        <v>820</v>
      </c>
      <c r="O3" s="381">
        <f t="shared" si="0"/>
        <v>820</v>
      </c>
      <c r="P3" s="381">
        <f t="shared" si="0"/>
        <v>820</v>
      </c>
      <c r="Q3" s="381">
        <f t="shared" si="0"/>
        <v>820</v>
      </c>
      <c r="R3" s="381">
        <f t="shared" si="0"/>
        <v>820</v>
      </c>
      <c r="S3" s="381">
        <f t="shared" si="0"/>
        <v>820</v>
      </c>
      <c r="T3" s="381">
        <f t="shared" si="0"/>
        <v>820</v>
      </c>
      <c r="U3" s="381">
        <v>492</v>
      </c>
      <c r="V3" s="381">
        <f t="shared" si="0"/>
        <v>820</v>
      </c>
      <c r="W3" s="380">
        <f t="shared" si="0"/>
        <v>820</v>
      </c>
      <c r="X3" s="383"/>
      <c r="Y3" s="384"/>
      <c r="Z3" s="378"/>
      <c r="AA3" s="5"/>
      <c r="AB3" s="5"/>
      <c r="AC3" s="5"/>
      <c r="AD3" s="5"/>
      <c r="AE3" s="374"/>
      <c r="AF3"/>
    </row>
    <row r="4" spans="1:32" ht="15" customHeight="1" x14ac:dyDescent="0.2">
      <c r="A4" s="367" t="s">
        <v>59</v>
      </c>
      <c r="B4" s="368">
        <f>SUM(B7:B45)</f>
        <v>230</v>
      </c>
      <c r="C4" s="369">
        <f t="shared" ref="C4:W4" si="1">SUM(C7:C45)</f>
        <v>170</v>
      </c>
      <c r="D4" s="369">
        <f t="shared" si="1"/>
        <v>450</v>
      </c>
      <c r="E4" s="369">
        <f t="shared" si="1"/>
        <v>300</v>
      </c>
      <c r="F4" s="369">
        <f t="shared" si="1"/>
        <v>300</v>
      </c>
      <c r="G4" s="369">
        <f t="shared" si="1"/>
        <v>250</v>
      </c>
      <c r="H4" s="369">
        <f t="shared" si="1"/>
        <v>450</v>
      </c>
      <c r="I4" s="369">
        <f t="shared" si="1"/>
        <v>490</v>
      </c>
      <c r="J4" s="371">
        <f t="shared" si="1"/>
        <v>445</v>
      </c>
      <c r="K4" s="371">
        <f t="shared" si="1"/>
        <v>390</v>
      </c>
      <c r="L4" s="369">
        <f t="shared" si="1"/>
        <v>250</v>
      </c>
      <c r="M4" s="371">
        <f t="shared" si="1"/>
        <v>300</v>
      </c>
      <c r="N4" s="369">
        <f t="shared" si="1"/>
        <v>350</v>
      </c>
      <c r="O4" s="369">
        <f t="shared" si="1"/>
        <v>265</v>
      </c>
      <c r="P4" s="369">
        <f t="shared" si="1"/>
        <v>330</v>
      </c>
      <c r="Q4" s="369">
        <f t="shared" si="1"/>
        <v>305</v>
      </c>
      <c r="R4" s="369">
        <f t="shared" si="1"/>
        <v>460</v>
      </c>
      <c r="S4" s="369">
        <f t="shared" si="1"/>
        <v>430</v>
      </c>
      <c r="T4" s="369">
        <f t="shared" si="1"/>
        <v>325</v>
      </c>
      <c r="U4" s="369">
        <f t="shared" si="1"/>
        <v>400</v>
      </c>
      <c r="V4" s="369">
        <f t="shared" si="1"/>
        <v>260</v>
      </c>
      <c r="W4" s="368">
        <f t="shared" si="1"/>
        <v>450</v>
      </c>
      <c r="X4" s="154"/>
      <c r="Y4" s="385">
        <f>(SUM(B4:W4))/((SUM(B4:W4))+(SUM(B46:W46))+(SUM(B55:W55)))</f>
        <v>0.54794520547945202</v>
      </c>
      <c r="Z4" s="386"/>
      <c r="AA4" s="387"/>
      <c r="AB4" s="387"/>
      <c r="AC4" s="387"/>
      <c r="AD4" s="387"/>
      <c r="AE4" s="386"/>
      <c r="AF4"/>
    </row>
    <row r="5" spans="1:32" ht="15" customHeight="1" x14ac:dyDescent="0.2">
      <c r="A5" s="153" t="s">
        <v>60</v>
      </c>
      <c r="B5" s="388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89"/>
      <c r="Q5" s="389"/>
      <c r="R5" s="389"/>
      <c r="S5" s="389"/>
      <c r="T5" s="389"/>
      <c r="U5" s="389"/>
      <c r="V5" s="389"/>
      <c r="W5" s="388"/>
      <c r="X5" s="378"/>
      <c r="Y5" s="384"/>
      <c r="Z5" s="378"/>
      <c r="AA5" s="5"/>
      <c r="AB5" s="5"/>
      <c r="AC5" s="5"/>
      <c r="AD5" s="5"/>
      <c r="AE5" s="374"/>
      <c r="AF5"/>
    </row>
    <row r="6" spans="1:32" ht="15" customHeight="1" x14ac:dyDescent="0.2">
      <c r="A6" s="150" t="s">
        <v>89</v>
      </c>
      <c r="B6" s="388"/>
      <c r="C6" s="388"/>
      <c r="D6" s="388"/>
      <c r="E6" s="388"/>
      <c r="F6" s="388"/>
      <c r="G6" s="388"/>
      <c r="H6" s="388"/>
      <c r="I6" s="388"/>
      <c r="J6" s="388"/>
      <c r="K6" s="388"/>
      <c r="L6" s="388"/>
      <c r="M6" s="388"/>
      <c r="N6" s="388"/>
      <c r="O6" s="388"/>
      <c r="P6" s="388"/>
      <c r="Q6" s="388"/>
      <c r="R6" s="388"/>
      <c r="S6" s="388"/>
      <c r="T6" s="388"/>
      <c r="U6" s="388"/>
      <c r="V6" s="388"/>
      <c r="W6" s="388"/>
      <c r="Z6" s="151"/>
      <c r="AD6" s="6"/>
      <c r="AF6"/>
    </row>
    <row r="7" spans="1:32" s="153" customFormat="1" ht="15" customHeight="1" x14ac:dyDescent="0.2">
      <c r="A7" s="423" t="s">
        <v>90</v>
      </c>
      <c r="B7" s="390"/>
      <c r="C7" s="390"/>
      <c r="D7" s="390"/>
      <c r="E7" s="390"/>
      <c r="F7" s="390"/>
      <c r="G7" s="390"/>
      <c r="H7" s="390"/>
      <c r="I7" s="390"/>
      <c r="J7" s="390"/>
      <c r="K7" s="390"/>
      <c r="L7" s="390"/>
      <c r="M7" s="390"/>
      <c r="N7" s="390">
        <v>50</v>
      </c>
      <c r="O7" s="390"/>
      <c r="P7" s="390"/>
      <c r="Q7" s="390"/>
      <c r="R7" s="390"/>
      <c r="S7" s="390"/>
      <c r="T7" s="390">
        <v>250</v>
      </c>
      <c r="U7" s="390"/>
      <c r="V7" s="390"/>
      <c r="W7" s="390"/>
      <c r="X7" s="378"/>
      <c r="Y7" s="378"/>
      <c r="Z7" s="384">
        <f>SUM(B7:X7)</f>
        <v>300</v>
      </c>
      <c r="AA7" s="391">
        <f>(((AA$2)*(AC7/40))/(30/AB7))*AD7</f>
        <v>300</v>
      </c>
      <c r="AB7" s="5">
        <v>10</v>
      </c>
      <c r="AC7" s="5">
        <v>60</v>
      </c>
      <c r="AD7" s="5">
        <v>1</v>
      </c>
      <c r="AE7" s="391">
        <f>(AE$2/(30/AB7))*AD7</f>
        <v>83.333333333333329</v>
      </c>
      <c r="AF7"/>
    </row>
    <row r="8" spans="1:32" ht="15" customHeight="1" x14ac:dyDescent="0.2">
      <c r="A8" s="424" t="s">
        <v>91</v>
      </c>
      <c r="B8" s="390"/>
      <c r="C8" s="390"/>
      <c r="D8" s="390"/>
      <c r="E8" s="390"/>
      <c r="F8" s="390"/>
      <c r="G8" s="390"/>
      <c r="H8" s="390"/>
      <c r="I8" s="390"/>
      <c r="J8" s="390"/>
      <c r="K8" s="390"/>
      <c r="L8" s="390"/>
      <c r="M8" s="390">
        <v>100</v>
      </c>
      <c r="N8" s="390">
        <v>25</v>
      </c>
      <c r="O8" s="390"/>
      <c r="P8" s="390"/>
      <c r="Q8" s="390"/>
      <c r="R8" s="390"/>
      <c r="S8" s="390"/>
      <c r="T8" s="390">
        <v>25</v>
      </c>
      <c r="U8" s="390"/>
      <c r="V8" s="390"/>
      <c r="W8" s="390"/>
      <c r="X8" s="378"/>
      <c r="Y8" s="378"/>
      <c r="Z8" s="384">
        <f t="shared" ref="Z8:Z10" si="2">SUM(B8:X8)</f>
        <v>150</v>
      </c>
      <c r="AA8" s="391">
        <f t="shared" ref="AA8:AA10" si="3">(((AA$2)*(AC8/40))/(30/AB8))*AD8</f>
        <v>150</v>
      </c>
      <c r="AB8" s="5">
        <v>5</v>
      </c>
      <c r="AC8" s="5">
        <v>60</v>
      </c>
      <c r="AD8" s="5">
        <v>1</v>
      </c>
      <c r="AE8" s="391">
        <f t="shared" ref="AE8:AE10" si="4">(AE$2/(30/AB8))*AD8</f>
        <v>41.666666666666664</v>
      </c>
      <c r="AF8"/>
    </row>
    <row r="9" spans="1:32" ht="15" customHeight="1" x14ac:dyDescent="0.2">
      <c r="A9" s="424" t="s">
        <v>92</v>
      </c>
      <c r="B9" s="390"/>
      <c r="C9" s="390"/>
      <c r="D9" s="390"/>
      <c r="E9" s="390"/>
      <c r="F9" s="390"/>
      <c r="G9" s="390"/>
      <c r="H9" s="390"/>
      <c r="I9" s="390"/>
      <c r="J9" s="390"/>
      <c r="K9" s="390"/>
      <c r="L9" s="390"/>
      <c r="M9" s="390">
        <v>150</v>
      </c>
      <c r="N9" s="390"/>
      <c r="O9" s="390"/>
      <c r="P9" s="390"/>
      <c r="Q9" s="390"/>
      <c r="R9" s="390"/>
      <c r="S9" s="390"/>
      <c r="T9" s="390"/>
      <c r="U9" s="390"/>
      <c r="V9" s="390"/>
      <c r="W9" s="390"/>
      <c r="X9" s="378"/>
      <c r="Y9" s="378"/>
      <c r="Z9" s="384">
        <f t="shared" si="2"/>
        <v>150</v>
      </c>
      <c r="AA9" s="391">
        <f t="shared" si="3"/>
        <v>150</v>
      </c>
      <c r="AB9" s="5">
        <v>5</v>
      </c>
      <c r="AC9" s="5">
        <v>60</v>
      </c>
      <c r="AD9" s="5">
        <v>1</v>
      </c>
      <c r="AE9" s="391">
        <f t="shared" si="4"/>
        <v>41.666666666666664</v>
      </c>
      <c r="AF9"/>
    </row>
    <row r="10" spans="1:32" ht="15" customHeight="1" x14ac:dyDescent="0.2">
      <c r="A10" s="425" t="s">
        <v>93</v>
      </c>
      <c r="B10" s="390"/>
      <c r="C10" s="390"/>
      <c r="D10" s="390"/>
      <c r="E10" s="390"/>
      <c r="F10" s="390"/>
      <c r="G10" s="390"/>
      <c r="H10" s="390"/>
      <c r="I10" s="390"/>
      <c r="J10" s="390"/>
      <c r="K10" s="390"/>
      <c r="L10" s="390">
        <v>200</v>
      </c>
      <c r="M10" s="390"/>
      <c r="N10" s="390"/>
      <c r="O10" s="390"/>
      <c r="P10" s="390"/>
      <c r="Q10" s="390"/>
      <c r="R10" s="390">
        <v>100</v>
      </c>
      <c r="S10" s="390"/>
      <c r="T10" s="390"/>
      <c r="U10" s="390"/>
      <c r="V10" s="390"/>
      <c r="W10" s="390"/>
      <c r="X10" s="378"/>
      <c r="Y10" s="378"/>
      <c r="Z10" s="384">
        <f t="shared" si="2"/>
        <v>300</v>
      </c>
      <c r="AA10" s="391">
        <f t="shared" si="3"/>
        <v>300</v>
      </c>
      <c r="AB10" s="5">
        <v>10</v>
      </c>
      <c r="AC10" s="5">
        <v>60</v>
      </c>
      <c r="AD10" s="5">
        <v>1</v>
      </c>
      <c r="AE10" s="391">
        <f t="shared" si="4"/>
        <v>83.333333333333329</v>
      </c>
      <c r="AF10"/>
    </row>
    <row r="11" spans="1:32" ht="15" customHeight="1" x14ac:dyDescent="0.2">
      <c r="A11" s="150" t="s">
        <v>94</v>
      </c>
      <c r="B11" s="388"/>
      <c r="C11" s="388"/>
      <c r="D11" s="388"/>
      <c r="E11" s="388"/>
      <c r="F11" s="388"/>
      <c r="G11" s="388"/>
      <c r="H11" s="388"/>
      <c r="I11" s="388"/>
      <c r="J11" s="388"/>
      <c r="K11" s="388"/>
      <c r="L11" s="388"/>
      <c r="M11" s="388"/>
      <c r="N11" s="388"/>
      <c r="O11" s="388"/>
      <c r="P11" s="388"/>
      <c r="Q11" s="388"/>
      <c r="R11" s="388"/>
      <c r="S11" s="388"/>
      <c r="T11" s="388"/>
      <c r="U11" s="388"/>
      <c r="V11" s="388"/>
      <c r="W11" s="388"/>
      <c r="Z11" s="12"/>
      <c r="AA11" s="7"/>
      <c r="AD11" s="6"/>
      <c r="AE11" s="7"/>
      <c r="AF11"/>
    </row>
    <row r="12" spans="1:32" ht="15" customHeight="1" x14ac:dyDescent="0.2">
      <c r="A12" s="423" t="s">
        <v>95</v>
      </c>
      <c r="B12" s="390"/>
      <c r="C12" s="390"/>
      <c r="D12" s="390"/>
      <c r="E12" s="390">
        <v>200</v>
      </c>
      <c r="F12" s="390"/>
      <c r="G12" s="390"/>
      <c r="H12" s="390"/>
      <c r="I12" s="390"/>
      <c r="J12" s="390">
        <v>200</v>
      </c>
      <c r="K12" s="390"/>
      <c r="L12" s="390"/>
      <c r="M12" s="390"/>
      <c r="N12" s="390"/>
      <c r="O12" s="390"/>
      <c r="P12" s="390"/>
      <c r="Q12" s="390"/>
      <c r="R12" s="390"/>
      <c r="S12" s="390">
        <v>50</v>
      </c>
      <c r="T12" s="390"/>
      <c r="U12" s="390"/>
      <c r="V12" s="390"/>
      <c r="W12" s="390"/>
      <c r="X12" s="378"/>
      <c r="Y12" s="378"/>
      <c r="Z12" s="384">
        <f>SUM(B12:X12)</f>
        <v>450</v>
      </c>
      <c r="AA12" s="391">
        <f>(((AA$2)*(AC12/40))/(30/AB12))*AD12</f>
        <v>450</v>
      </c>
      <c r="AB12" s="5">
        <v>10</v>
      </c>
      <c r="AC12" s="5">
        <v>45</v>
      </c>
      <c r="AD12" s="5">
        <v>2</v>
      </c>
      <c r="AE12" s="391">
        <f>(AE$2/(30/AB12))*AD12</f>
        <v>166.66666666666666</v>
      </c>
      <c r="AF12"/>
    </row>
    <row r="13" spans="1:32" s="153" customFormat="1" ht="15" customHeight="1" x14ac:dyDescent="0.2">
      <c r="A13" s="424" t="s">
        <v>96</v>
      </c>
      <c r="B13" s="390"/>
      <c r="C13" s="390"/>
      <c r="D13" s="390"/>
      <c r="E13" s="390">
        <v>50</v>
      </c>
      <c r="F13" s="390">
        <v>100</v>
      </c>
      <c r="G13" s="390"/>
      <c r="H13" s="390"/>
      <c r="I13" s="390"/>
      <c r="J13" s="390"/>
      <c r="K13" s="390"/>
      <c r="L13" s="390"/>
      <c r="M13" s="390"/>
      <c r="N13" s="390"/>
      <c r="O13" s="390"/>
      <c r="P13" s="390"/>
      <c r="Q13" s="390">
        <v>50</v>
      </c>
      <c r="R13" s="390"/>
      <c r="S13" s="390">
        <v>25</v>
      </c>
      <c r="T13" s="390"/>
      <c r="U13" s="390"/>
      <c r="V13" s="390"/>
      <c r="W13" s="390"/>
      <c r="X13" s="378"/>
      <c r="Y13" s="378"/>
      <c r="Z13" s="384">
        <f t="shared" ref="Z13:Z15" si="5">SUM(B13:X13)</f>
        <v>225</v>
      </c>
      <c r="AA13" s="391">
        <f t="shared" ref="AA13:AA15" si="6">(((AA$2)*(AC13/40))/(30/AB13))*AD13</f>
        <v>225</v>
      </c>
      <c r="AB13" s="5">
        <v>5</v>
      </c>
      <c r="AC13" s="5">
        <v>45</v>
      </c>
      <c r="AD13" s="5">
        <v>2</v>
      </c>
      <c r="AE13" s="391">
        <f t="shared" ref="AE13:AE15" si="7">(AE$2/(30/AB13))*AD13</f>
        <v>83.333333333333329</v>
      </c>
      <c r="AF13"/>
    </row>
    <row r="14" spans="1:32" s="153" customFormat="1" ht="15" customHeight="1" x14ac:dyDescent="0.2">
      <c r="A14" s="424" t="s">
        <v>97</v>
      </c>
      <c r="B14" s="390"/>
      <c r="C14" s="390"/>
      <c r="D14" s="390"/>
      <c r="E14" s="390"/>
      <c r="F14" s="390"/>
      <c r="G14" s="390"/>
      <c r="H14" s="390"/>
      <c r="I14" s="390"/>
      <c r="J14" s="390"/>
      <c r="K14" s="390"/>
      <c r="L14" s="390"/>
      <c r="M14" s="390"/>
      <c r="N14" s="390"/>
      <c r="O14" s="390"/>
      <c r="P14" s="390"/>
      <c r="Q14" s="390">
        <v>125</v>
      </c>
      <c r="R14" s="390"/>
      <c r="S14" s="390">
        <v>100</v>
      </c>
      <c r="T14" s="390"/>
      <c r="U14" s="390"/>
      <c r="V14" s="390"/>
      <c r="W14" s="390"/>
      <c r="X14" s="378"/>
      <c r="Y14" s="378"/>
      <c r="Z14" s="384">
        <f t="shared" si="5"/>
        <v>225</v>
      </c>
      <c r="AA14" s="391">
        <f t="shared" si="6"/>
        <v>225</v>
      </c>
      <c r="AB14" s="5">
        <v>5</v>
      </c>
      <c r="AC14" s="5">
        <v>45</v>
      </c>
      <c r="AD14" s="5">
        <v>2</v>
      </c>
      <c r="AE14" s="391">
        <f t="shared" si="7"/>
        <v>83.333333333333329</v>
      </c>
      <c r="AF14"/>
    </row>
    <row r="15" spans="1:32" ht="15" customHeight="1" x14ac:dyDescent="0.2">
      <c r="A15" s="425" t="s">
        <v>98</v>
      </c>
      <c r="B15" s="390"/>
      <c r="C15" s="390"/>
      <c r="D15" s="390"/>
      <c r="E15" s="390"/>
      <c r="F15" s="390">
        <v>150</v>
      </c>
      <c r="G15" s="390"/>
      <c r="H15" s="390"/>
      <c r="I15" s="390"/>
      <c r="J15" s="390"/>
      <c r="K15" s="390">
        <v>300</v>
      </c>
      <c r="L15" s="390"/>
      <c r="M15" s="390"/>
      <c r="N15" s="390"/>
      <c r="O15" s="390"/>
      <c r="P15" s="390"/>
      <c r="Q15" s="390"/>
      <c r="R15" s="390"/>
      <c r="S15" s="390"/>
      <c r="T15" s="390"/>
      <c r="U15" s="390"/>
      <c r="V15" s="390"/>
      <c r="W15" s="390"/>
      <c r="X15" s="378"/>
      <c r="Y15" s="378"/>
      <c r="Z15" s="384">
        <f t="shared" si="5"/>
        <v>450</v>
      </c>
      <c r="AA15" s="391">
        <f t="shared" si="6"/>
        <v>450</v>
      </c>
      <c r="AB15" s="5">
        <v>10</v>
      </c>
      <c r="AC15" s="5">
        <v>45</v>
      </c>
      <c r="AD15" s="5">
        <v>2</v>
      </c>
      <c r="AE15" s="391">
        <f t="shared" si="7"/>
        <v>166.66666666666666</v>
      </c>
      <c r="AF15"/>
    </row>
    <row r="16" spans="1:32" ht="15" customHeight="1" x14ac:dyDescent="0.2">
      <c r="A16" s="150" t="s">
        <v>99</v>
      </c>
      <c r="B16" s="388"/>
      <c r="C16" s="388"/>
      <c r="D16" s="388"/>
      <c r="E16" s="388"/>
      <c r="F16" s="388"/>
      <c r="G16" s="388"/>
      <c r="H16" s="388"/>
      <c r="I16" s="388"/>
      <c r="J16" s="388"/>
      <c r="K16" s="388"/>
      <c r="L16" s="388"/>
      <c r="M16" s="388"/>
      <c r="N16" s="388"/>
      <c r="O16" s="388"/>
      <c r="P16" s="388"/>
      <c r="Q16" s="388"/>
      <c r="R16" s="388"/>
      <c r="S16" s="388"/>
      <c r="T16" s="388"/>
      <c r="U16" s="388"/>
      <c r="V16" s="388"/>
      <c r="W16" s="388"/>
      <c r="Z16" s="12"/>
      <c r="AA16" s="7"/>
      <c r="AD16" s="6"/>
      <c r="AE16" s="7"/>
      <c r="AF16"/>
    </row>
    <row r="17" spans="1:32" s="153" customFormat="1" ht="15" customHeight="1" x14ac:dyDescent="0.2">
      <c r="A17" s="423" t="s">
        <v>100</v>
      </c>
      <c r="B17" s="390"/>
      <c r="C17" s="390">
        <v>30</v>
      </c>
      <c r="D17" s="390"/>
      <c r="E17" s="390"/>
      <c r="F17" s="390"/>
      <c r="G17" s="390"/>
      <c r="H17" s="390"/>
      <c r="I17" s="390"/>
      <c r="J17" s="390"/>
      <c r="K17" s="390"/>
      <c r="L17" s="390"/>
      <c r="M17" s="390"/>
      <c r="N17" s="390">
        <v>195</v>
      </c>
      <c r="O17" s="390"/>
      <c r="P17" s="390"/>
      <c r="Q17" s="390"/>
      <c r="R17" s="390"/>
      <c r="S17" s="390"/>
      <c r="T17" s="390"/>
      <c r="U17" s="390"/>
      <c r="V17" s="390"/>
      <c r="W17" s="390"/>
      <c r="X17" s="378"/>
      <c r="Y17" s="392"/>
      <c r="Z17" s="384">
        <f>SUM(B17:X17)</f>
        <v>225</v>
      </c>
      <c r="AA17" s="391">
        <f>(((AA$2)*(AC17/40))/(30/AB17))*AD17</f>
        <v>225</v>
      </c>
      <c r="AB17" s="5">
        <v>10</v>
      </c>
      <c r="AC17" s="5">
        <v>45</v>
      </c>
      <c r="AD17" s="5">
        <v>1</v>
      </c>
      <c r="AE17" s="391">
        <f>(AE$2/(30/AB17))*AD17</f>
        <v>83.333333333333329</v>
      </c>
      <c r="AF17"/>
    </row>
    <row r="18" spans="1:32" ht="15" customHeight="1" x14ac:dyDescent="0.2">
      <c r="A18" s="424" t="s">
        <v>101</v>
      </c>
      <c r="B18" s="390"/>
      <c r="C18" s="390">
        <v>30</v>
      </c>
      <c r="D18" s="390"/>
      <c r="E18" s="390"/>
      <c r="F18" s="390"/>
      <c r="G18" s="390">
        <v>50</v>
      </c>
      <c r="H18" s="390"/>
      <c r="I18" s="390"/>
      <c r="J18" s="390"/>
      <c r="K18" s="390"/>
      <c r="L18" s="390"/>
      <c r="M18" s="390"/>
      <c r="N18" s="390"/>
      <c r="O18" s="390">
        <v>40</v>
      </c>
      <c r="P18" s="390"/>
      <c r="Q18" s="390"/>
      <c r="R18" s="390"/>
      <c r="S18" s="390"/>
      <c r="T18" s="390"/>
      <c r="U18" s="390"/>
      <c r="V18" s="390"/>
      <c r="W18" s="390"/>
      <c r="X18" s="378"/>
      <c r="Y18" s="392"/>
      <c r="Z18" s="384">
        <f t="shared" ref="Z18:Z20" si="8">SUM(B18:X18)</f>
        <v>120</v>
      </c>
      <c r="AA18" s="391">
        <f t="shared" ref="AA18:AA20" si="9">(((AA$2)*(AC18/40))/(30/AB18))*AD18</f>
        <v>112.5</v>
      </c>
      <c r="AB18" s="5">
        <v>5</v>
      </c>
      <c r="AC18" s="5">
        <v>45</v>
      </c>
      <c r="AD18" s="5">
        <v>1</v>
      </c>
      <c r="AE18" s="391">
        <f t="shared" ref="AE18:AE20" si="10">(AE$2/(30/AB18))*AD18</f>
        <v>41.666666666666664</v>
      </c>
      <c r="AF18"/>
    </row>
    <row r="19" spans="1:32" ht="15" customHeight="1" x14ac:dyDescent="0.2">
      <c r="A19" s="424" t="s">
        <v>102</v>
      </c>
      <c r="B19" s="390"/>
      <c r="C19" s="390">
        <v>30</v>
      </c>
      <c r="D19" s="390"/>
      <c r="E19" s="390"/>
      <c r="F19" s="390"/>
      <c r="G19" s="390"/>
      <c r="H19" s="390"/>
      <c r="I19" s="390"/>
      <c r="J19" s="390"/>
      <c r="K19" s="390"/>
      <c r="L19" s="390"/>
      <c r="M19" s="390"/>
      <c r="N19" s="390"/>
      <c r="O19" s="390"/>
      <c r="P19" s="390"/>
      <c r="Q19" s="390"/>
      <c r="R19" s="390"/>
      <c r="S19" s="390"/>
      <c r="T19" s="390"/>
      <c r="U19" s="390"/>
      <c r="V19" s="390">
        <v>80</v>
      </c>
      <c r="W19" s="390"/>
      <c r="X19" s="378"/>
      <c r="Y19" s="392"/>
      <c r="Z19" s="384">
        <f t="shared" si="8"/>
        <v>110</v>
      </c>
      <c r="AA19" s="391">
        <f t="shared" si="9"/>
        <v>112.5</v>
      </c>
      <c r="AB19" s="5">
        <v>5</v>
      </c>
      <c r="AC19" s="5">
        <v>45</v>
      </c>
      <c r="AD19" s="5">
        <v>1</v>
      </c>
      <c r="AE19" s="391">
        <f t="shared" si="10"/>
        <v>41.666666666666664</v>
      </c>
      <c r="AF19"/>
    </row>
    <row r="20" spans="1:32" ht="15" customHeight="1" x14ac:dyDescent="0.2">
      <c r="A20" s="425" t="s">
        <v>103</v>
      </c>
      <c r="B20" s="390"/>
      <c r="C20" s="390"/>
      <c r="D20" s="390"/>
      <c r="E20" s="390"/>
      <c r="F20" s="390"/>
      <c r="G20" s="390"/>
      <c r="H20" s="390"/>
      <c r="I20" s="390">
        <v>40</v>
      </c>
      <c r="J20" s="390"/>
      <c r="K20" s="390">
        <v>40</v>
      </c>
      <c r="L20" s="390"/>
      <c r="M20" s="390"/>
      <c r="N20" s="390"/>
      <c r="O20" s="390">
        <v>145</v>
      </c>
      <c r="P20" s="390"/>
      <c r="Q20" s="390"/>
      <c r="R20" s="390"/>
      <c r="S20" s="390"/>
      <c r="T20" s="390"/>
      <c r="U20" s="390"/>
      <c r="V20" s="390"/>
      <c r="W20" s="390"/>
      <c r="X20" s="378"/>
      <c r="Y20" s="392"/>
      <c r="Z20" s="384">
        <f t="shared" si="8"/>
        <v>225</v>
      </c>
      <c r="AA20" s="391">
        <f t="shared" si="9"/>
        <v>225</v>
      </c>
      <c r="AB20" s="5">
        <v>10</v>
      </c>
      <c r="AC20" s="5">
        <v>45</v>
      </c>
      <c r="AD20" s="5">
        <v>1</v>
      </c>
      <c r="AE20" s="391">
        <f t="shared" si="10"/>
        <v>83.333333333333329</v>
      </c>
      <c r="AF20"/>
    </row>
    <row r="21" spans="1:32" ht="15" customHeight="1" x14ac:dyDescent="0.2">
      <c r="A21" s="393" t="s">
        <v>355</v>
      </c>
      <c r="B21" s="390"/>
      <c r="C21" s="390"/>
      <c r="D21" s="390"/>
      <c r="E21" s="390"/>
      <c r="F21" s="390"/>
      <c r="G21" s="390"/>
      <c r="H21" s="390"/>
      <c r="I21" s="390"/>
      <c r="J21" s="390"/>
      <c r="K21" s="390"/>
      <c r="L21" s="390"/>
      <c r="M21" s="390"/>
      <c r="N21" s="390">
        <v>30</v>
      </c>
      <c r="O21" s="390">
        <v>30</v>
      </c>
      <c r="P21" s="390">
        <v>30</v>
      </c>
      <c r="Q21" s="390"/>
      <c r="R21" s="390"/>
      <c r="S21" s="390"/>
      <c r="T21" s="390"/>
      <c r="U21" s="390"/>
      <c r="V21" s="390">
        <v>30</v>
      </c>
      <c r="W21" s="390"/>
      <c r="X21" s="378"/>
      <c r="Y21" s="392"/>
      <c r="Z21" s="384"/>
      <c r="AA21" s="391"/>
      <c r="AB21" s="5"/>
      <c r="AC21" s="5"/>
      <c r="AD21" s="5"/>
      <c r="AE21" s="391"/>
      <c r="AF21"/>
    </row>
    <row r="22" spans="1:32" ht="15" customHeight="1" x14ac:dyDescent="0.2">
      <c r="A22" s="150" t="s">
        <v>104</v>
      </c>
      <c r="B22" s="388"/>
      <c r="C22" s="388"/>
      <c r="D22" s="388"/>
      <c r="E22" s="388"/>
      <c r="F22" s="388"/>
      <c r="G22" s="388"/>
      <c r="H22" s="388"/>
      <c r="I22" s="388"/>
      <c r="J22" s="388"/>
      <c r="K22" s="388"/>
      <c r="L22" s="388"/>
      <c r="M22" s="388"/>
      <c r="N22" s="388"/>
      <c r="O22" s="388"/>
      <c r="P22" s="388"/>
      <c r="Q22" s="388"/>
      <c r="R22" s="388"/>
      <c r="S22" s="388"/>
      <c r="T22" s="388"/>
      <c r="U22" s="388"/>
      <c r="V22" s="388"/>
      <c r="W22" s="388"/>
      <c r="Z22" s="12"/>
      <c r="AA22" s="7"/>
      <c r="AD22" s="6"/>
      <c r="AE22" s="7"/>
      <c r="AF22"/>
    </row>
    <row r="23" spans="1:32" ht="15" customHeight="1" x14ac:dyDescent="0.2">
      <c r="A23" s="423" t="s">
        <v>105</v>
      </c>
      <c r="B23" s="390"/>
      <c r="C23" s="390"/>
      <c r="D23" s="390"/>
      <c r="E23" s="390"/>
      <c r="F23" s="390"/>
      <c r="G23" s="390"/>
      <c r="H23" s="390"/>
      <c r="I23" s="390"/>
      <c r="J23" s="390"/>
      <c r="K23" s="390"/>
      <c r="L23" s="390"/>
      <c r="M23" s="390"/>
      <c r="N23" s="390"/>
      <c r="O23" s="390"/>
      <c r="P23" s="390"/>
      <c r="Q23" s="390"/>
      <c r="R23" s="390"/>
      <c r="S23" s="390"/>
      <c r="T23" s="390"/>
      <c r="U23" s="390">
        <v>350</v>
      </c>
      <c r="V23" s="390"/>
      <c r="W23" s="390"/>
      <c r="X23" s="378"/>
      <c r="Y23" s="378"/>
      <c r="Z23" s="394">
        <f>SUM(B23:X23)</f>
        <v>350</v>
      </c>
      <c r="AA23" s="391">
        <f>(((AA$2)*(AC23/40))/(30/AB23))*AD23</f>
        <v>550</v>
      </c>
      <c r="AB23" s="5">
        <v>10</v>
      </c>
      <c r="AC23" s="5">
        <v>55</v>
      </c>
      <c r="AD23" s="5">
        <v>2</v>
      </c>
      <c r="AE23" s="391">
        <f>(AE$2/(30/AB23))*AD23</f>
        <v>166.66666666666666</v>
      </c>
      <c r="AF23"/>
    </row>
    <row r="24" spans="1:32" s="153" customFormat="1" ht="15" customHeight="1" x14ac:dyDescent="0.2">
      <c r="A24" s="426" t="s">
        <v>106</v>
      </c>
      <c r="B24" s="390"/>
      <c r="C24" s="390"/>
      <c r="D24" s="390"/>
      <c r="E24" s="390"/>
      <c r="F24" s="390"/>
      <c r="G24" s="390"/>
      <c r="H24" s="390">
        <v>400</v>
      </c>
      <c r="I24" s="390"/>
      <c r="J24" s="390"/>
      <c r="K24" s="390"/>
      <c r="L24" s="390"/>
      <c r="M24" s="390"/>
      <c r="N24" s="390"/>
      <c r="O24" s="390"/>
      <c r="P24" s="390">
        <v>100</v>
      </c>
      <c r="Q24" s="390"/>
      <c r="R24" s="390"/>
      <c r="S24" s="390"/>
      <c r="T24" s="390"/>
      <c r="U24" s="390">
        <v>50</v>
      </c>
      <c r="V24" s="390"/>
      <c r="W24" s="390"/>
      <c r="X24" s="378"/>
      <c r="Y24" s="378"/>
      <c r="Z24" s="384">
        <f t="shared" ref="Z24:Z25" si="11">SUM(B24:X24)</f>
        <v>550</v>
      </c>
      <c r="AA24" s="391">
        <f t="shared" ref="AA24:AA25" si="12">(((AA$2)*(AC24/40))/(30/AB24))*AD24</f>
        <v>550</v>
      </c>
      <c r="AB24" s="5">
        <v>10</v>
      </c>
      <c r="AC24" s="5">
        <v>55</v>
      </c>
      <c r="AD24" s="5">
        <v>2</v>
      </c>
      <c r="AE24" s="391">
        <f t="shared" ref="AE24:AE25" si="13">(AE$2/(30/AB24))*AD24</f>
        <v>166.66666666666666</v>
      </c>
      <c r="AF24"/>
    </row>
    <row r="25" spans="1:32" ht="15" customHeight="1" x14ac:dyDescent="0.2">
      <c r="A25" s="426" t="s">
        <v>107</v>
      </c>
      <c r="B25" s="390">
        <v>150</v>
      </c>
      <c r="C25" s="390"/>
      <c r="D25" s="390">
        <v>400</v>
      </c>
      <c r="E25" s="390"/>
      <c r="F25" s="390"/>
      <c r="G25" s="390"/>
      <c r="H25" s="390"/>
      <c r="I25" s="390"/>
      <c r="J25" s="390"/>
      <c r="K25" s="390"/>
      <c r="L25" s="390"/>
      <c r="M25" s="390"/>
      <c r="N25" s="390"/>
      <c r="O25" s="390"/>
      <c r="P25" s="390"/>
      <c r="Q25" s="390"/>
      <c r="R25" s="390"/>
      <c r="S25" s="390"/>
      <c r="T25" s="390"/>
      <c r="U25" s="390"/>
      <c r="V25" s="390"/>
      <c r="W25" s="390"/>
      <c r="X25" s="378"/>
      <c r="Y25" s="378"/>
      <c r="Z25" s="384">
        <f t="shared" si="11"/>
        <v>550</v>
      </c>
      <c r="AA25" s="391">
        <f t="shared" si="12"/>
        <v>550</v>
      </c>
      <c r="AB25" s="5">
        <v>10</v>
      </c>
      <c r="AC25" s="5">
        <v>55</v>
      </c>
      <c r="AD25" s="5">
        <v>2</v>
      </c>
      <c r="AE25" s="391">
        <f t="shared" si="13"/>
        <v>166.66666666666666</v>
      </c>
      <c r="AF25"/>
    </row>
    <row r="26" spans="1:32" ht="15" customHeight="1" x14ac:dyDescent="0.2">
      <c r="A26" s="150" t="s">
        <v>108</v>
      </c>
      <c r="B26" s="395"/>
      <c r="C26" s="395"/>
      <c r="D26" s="232"/>
      <c r="E26" s="395"/>
      <c r="F26" s="395"/>
      <c r="G26" s="395"/>
      <c r="H26" s="395"/>
      <c r="I26" s="395"/>
      <c r="J26" s="388"/>
      <c r="K26" s="388"/>
      <c r="L26" s="395"/>
      <c r="M26" s="388"/>
      <c r="N26" s="232"/>
      <c r="O26" s="232"/>
      <c r="P26" s="395"/>
      <c r="Q26" s="395"/>
      <c r="R26" s="395"/>
      <c r="S26" s="395"/>
      <c r="T26" s="395"/>
      <c r="U26" s="395"/>
      <c r="V26" s="232"/>
      <c r="W26" s="395"/>
      <c r="Z26" s="12"/>
      <c r="AA26" s="7"/>
      <c r="AD26" s="6"/>
      <c r="AE26" s="7"/>
      <c r="AF26"/>
    </row>
    <row r="27" spans="1:32" ht="15" customHeight="1" x14ac:dyDescent="0.2">
      <c r="A27" s="374" t="s">
        <v>109</v>
      </c>
      <c r="B27" s="3">
        <v>0</v>
      </c>
      <c r="C27" s="3">
        <v>20</v>
      </c>
      <c r="D27" s="3">
        <v>20</v>
      </c>
      <c r="E27" s="3">
        <v>20</v>
      </c>
      <c r="F27" s="3">
        <v>20</v>
      </c>
      <c r="G27" s="3">
        <v>20</v>
      </c>
      <c r="H27" s="3">
        <v>20</v>
      </c>
      <c r="I27" s="3">
        <v>20</v>
      </c>
      <c r="J27" s="3">
        <v>20</v>
      </c>
      <c r="K27" s="3">
        <v>20</v>
      </c>
      <c r="L27" s="3">
        <v>20</v>
      </c>
      <c r="M27" s="3">
        <v>20</v>
      </c>
      <c r="N27" s="3">
        <v>20</v>
      </c>
      <c r="O27" s="3">
        <v>20</v>
      </c>
      <c r="P27" s="3">
        <v>20</v>
      </c>
      <c r="Q27" s="3">
        <v>20</v>
      </c>
      <c r="R27" s="3">
        <v>20</v>
      </c>
      <c r="S27" s="3">
        <v>20</v>
      </c>
      <c r="T27" s="3">
        <v>20</v>
      </c>
      <c r="U27" s="3">
        <v>0</v>
      </c>
      <c r="V27" s="3">
        <v>20</v>
      </c>
      <c r="W27" s="3">
        <v>20</v>
      </c>
      <c r="X27" s="378"/>
      <c r="Y27" s="378"/>
      <c r="Z27" s="396">
        <f>SUM(B27:X27)</f>
        <v>400</v>
      </c>
      <c r="AA27" s="391"/>
      <c r="AB27" s="5"/>
      <c r="AC27" s="5"/>
      <c r="AD27" s="5"/>
      <c r="AE27" s="391"/>
      <c r="AF27"/>
    </row>
    <row r="28" spans="1:32" s="153" customFormat="1" ht="15" customHeight="1" x14ac:dyDescent="0.2">
      <c r="A28" s="150" t="s">
        <v>110</v>
      </c>
      <c r="B28" s="395"/>
      <c r="C28" s="395"/>
      <c r="D28" s="232"/>
      <c r="E28" s="395"/>
      <c r="F28" s="395"/>
      <c r="G28" s="395"/>
      <c r="H28" s="395"/>
      <c r="I28" s="395"/>
      <c r="J28" s="388"/>
      <c r="K28" s="388"/>
      <c r="L28" s="395"/>
      <c r="M28" s="388"/>
      <c r="N28" s="232"/>
      <c r="O28" s="232"/>
      <c r="P28" s="395"/>
      <c r="Q28" s="395"/>
      <c r="R28" s="395"/>
      <c r="S28" s="395"/>
      <c r="T28" s="395"/>
      <c r="U28" s="395"/>
      <c r="V28" s="232"/>
      <c r="W28" s="395"/>
      <c r="X28" s="151"/>
      <c r="Y28" s="151"/>
      <c r="Z28" s="12"/>
      <c r="AA28" s="7"/>
      <c r="AB28" s="6"/>
      <c r="AC28" s="6"/>
      <c r="AD28" s="6"/>
      <c r="AE28" s="7"/>
      <c r="AF28"/>
    </row>
    <row r="29" spans="1:32" ht="15" customHeight="1" x14ac:dyDescent="0.2">
      <c r="A29" s="427" t="s">
        <v>111</v>
      </c>
      <c r="B29" s="397"/>
      <c r="C29" s="397"/>
      <c r="D29" s="3"/>
      <c r="E29" s="397"/>
      <c r="F29" s="397"/>
      <c r="G29" s="397"/>
      <c r="H29" s="397"/>
      <c r="I29" s="397"/>
      <c r="J29" s="390"/>
      <c r="K29" s="390"/>
      <c r="L29" s="397"/>
      <c r="M29" s="390"/>
      <c r="N29" s="3"/>
      <c r="O29" s="3"/>
      <c r="P29" s="397"/>
      <c r="Q29" s="3">
        <v>40</v>
      </c>
      <c r="R29" s="3"/>
      <c r="S29" s="3">
        <v>40</v>
      </c>
      <c r="T29" s="397"/>
      <c r="U29" s="397"/>
      <c r="V29" s="3"/>
      <c r="W29" s="397"/>
      <c r="X29" s="378"/>
      <c r="Y29" s="378"/>
      <c r="Z29" s="384">
        <f>SUM(B29:X29)</f>
        <v>80</v>
      </c>
      <c r="AA29" s="391">
        <f>(((AA$2)*(AC29/40))/(30/AB29))*AD29</f>
        <v>75</v>
      </c>
      <c r="AB29" s="5">
        <v>10</v>
      </c>
      <c r="AC29" s="5">
        <v>15</v>
      </c>
      <c r="AD29" s="5">
        <v>1</v>
      </c>
      <c r="AE29" s="391">
        <f>(AE$2/(30/AB29))*AD29</f>
        <v>83.333333333333329</v>
      </c>
      <c r="AF29"/>
    </row>
    <row r="30" spans="1:32" ht="15" customHeight="1" x14ac:dyDescent="0.2">
      <c r="A30" s="428" t="s">
        <v>112</v>
      </c>
      <c r="B30" s="397"/>
      <c r="C30" s="397"/>
      <c r="D30" s="3"/>
      <c r="E30" s="397"/>
      <c r="F30" s="397"/>
      <c r="G30" s="3">
        <v>100</v>
      </c>
      <c r="H30" s="397"/>
      <c r="I30" s="397"/>
      <c r="J30" s="390"/>
      <c r="K30" s="390"/>
      <c r="L30" s="397"/>
      <c r="M30" s="390"/>
      <c r="N30" s="3"/>
      <c r="O30" s="3"/>
      <c r="P30" s="397"/>
      <c r="Q30" s="397"/>
      <c r="R30" s="397"/>
      <c r="S30" s="397"/>
      <c r="T30" s="397"/>
      <c r="U30" s="397"/>
      <c r="V30" s="3">
        <v>100</v>
      </c>
      <c r="W30" s="397"/>
      <c r="X30" s="378"/>
      <c r="Y30" s="378"/>
      <c r="Z30" s="384">
        <f t="shared" ref="Z30:Z35" si="14">SUM(B30:X30)</f>
        <v>200</v>
      </c>
      <c r="AA30" s="391">
        <f t="shared" ref="AA30:AA34" si="15">(((AA$2)*(AC30/40))/(30/AB30))*AD30</f>
        <v>200</v>
      </c>
      <c r="AB30" s="5">
        <v>10</v>
      </c>
      <c r="AC30" s="5">
        <v>40</v>
      </c>
      <c r="AD30" s="5">
        <v>1</v>
      </c>
      <c r="AE30" s="391">
        <f t="shared" ref="AE30:AE34" si="16">(AE$2/(30/AB30))*AD30</f>
        <v>83.333333333333329</v>
      </c>
      <c r="AF30"/>
    </row>
    <row r="31" spans="1:32" ht="15" customHeight="1" x14ac:dyDescent="0.2">
      <c r="A31" s="429" t="s">
        <v>113</v>
      </c>
      <c r="B31" s="397"/>
      <c r="C31" s="397"/>
      <c r="D31" s="3"/>
      <c r="E31" s="397"/>
      <c r="F31" s="397"/>
      <c r="G31" s="397"/>
      <c r="H31" s="397"/>
      <c r="I31" s="397"/>
      <c r="J31" s="390">
        <v>125</v>
      </c>
      <c r="K31" s="390"/>
      <c r="L31" s="397"/>
      <c r="M31" s="390"/>
      <c r="N31" s="3"/>
      <c r="O31" s="3"/>
      <c r="P31" s="397"/>
      <c r="Q31" s="397"/>
      <c r="R31" s="397"/>
      <c r="S31" s="3">
        <v>125</v>
      </c>
      <c r="T31" s="397"/>
      <c r="U31" s="397"/>
      <c r="V31" s="3"/>
      <c r="W31" s="397"/>
      <c r="X31" s="378"/>
      <c r="Y31" s="378"/>
      <c r="Z31" s="384">
        <f t="shared" si="14"/>
        <v>250</v>
      </c>
      <c r="AA31" s="391">
        <f t="shared" si="15"/>
        <v>250</v>
      </c>
      <c r="AB31" s="5">
        <v>10</v>
      </c>
      <c r="AC31" s="5">
        <v>50</v>
      </c>
      <c r="AD31" s="5">
        <v>1</v>
      </c>
      <c r="AE31" s="391">
        <f t="shared" si="16"/>
        <v>83.333333333333329</v>
      </c>
      <c r="AF31"/>
    </row>
    <row r="32" spans="1:32" ht="15" customHeight="1" x14ac:dyDescent="0.2">
      <c r="A32" s="430" t="s">
        <v>351</v>
      </c>
      <c r="B32" s="397"/>
      <c r="C32" s="397"/>
      <c r="D32" s="3"/>
      <c r="E32" s="397"/>
      <c r="F32" s="397"/>
      <c r="G32" s="397"/>
      <c r="H32" s="397"/>
      <c r="I32" s="397"/>
      <c r="J32" s="390"/>
      <c r="K32" s="390"/>
      <c r="L32" s="397"/>
      <c r="M32" s="390"/>
      <c r="N32" s="3"/>
      <c r="O32" s="3"/>
      <c r="P32" s="3">
        <v>75</v>
      </c>
      <c r="Q32" s="397"/>
      <c r="R32" s="397"/>
      <c r="S32" s="397"/>
      <c r="T32" s="397"/>
      <c r="U32" s="397"/>
      <c r="V32" s="3"/>
      <c r="W32" s="397"/>
      <c r="X32" s="378"/>
      <c r="Y32" s="378"/>
      <c r="Z32" s="384">
        <f t="shared" si="14"/>
        <v>75</v>
      </c>
      <c r="AA32" s="391">
        <f t="shared" si="15"/>
        <v>75</v>
      </c>
      <c r="AB32" s="5">
        <v>10</v>
      </c>
      <c r="AC32" s="5">
        <v>15</v>
      </c>
      <c r="AD32" s="5">
        <v>1</v>
      </c>
      <c r="AE32" s="391">
        <f t="shared" si="16"/>
        <v>83.333333333333329</v>
      </c>
      <c r="AF32"/>
    </row>
    <row r="33" spans="1:32" ht="15" customHeight="1" x14ac:dyDescent="0.2">
      <c r="A33" s="431" t="s">
        <v>114</v>
      </c>
      <c r="B33" s="397"/>
      <c r="C33" s="3"/>
      <c r="D33" s="3"/>
      <c r="E33" s="397"/>
      <c r="F33" s="397"/>
      <c r="G33" s="397"/>
      <c r="H33" s="397"/>
      <c r="I33" s="397"/>
      <c r="J33" s="390"/>
      <c r="K33" s="390"/>
      <c r="L33" s="397"/>
      <c r="M33" s="390"/>
      <c r="N33" s="3"/>
      <c r="O33" s="3"/>
      <c r="P33" s="397"/>
      <c r="Q33" s="397"/>
      <c r="R33" s="397"/>
      <c r="S33" s="397"/>
      <c r="T33" s="397"/>
      <c r="U33" s="397"/>
      <c r="V33" s="3"/>
      <c r="W33" s="397"/>
      <c r="X33" s="378"/>
      <c r="Y33" s="378"/>
      <c r="Z33" s="384">
        <f t="shared" si="14"/>
        <v>0</v>
      </c>
      <c r="AA33" s="391">
        <f t="shared" si="15"/>
        <v>100</v>
      </c>
      <c r="AB33" s="5">
        <v>10</v>
      </c>
      <c r="AC33" s="5">
        <v>20</v>
      </c>
      <c r="AD33" s="5">
        <v>1</v>
      </c>
      <c r="AE33" s="391">
        <f t="shared" si="16"/>
        <v>83.333333333333329</v>
      </c>
      <c r="AF33"/>
    </row>
    <row r="34" spans="1:32" ht="15" customHeight="1" x14ac:dyDescent="0.2">
      <c r="A34" s="432" t="s">
        <v>352</v>
      </c>
      <c r="B34" s="397"/>
      <c r="C34" s="3">
        <v>60</v>
      </c>
      <c r="D34" s="3"/>
      <c r="E34" s="397"/>
      <c r="F34" s="397"/>
      <c r="G34" s="397"/>
      <c r="H34" s="397"/>
      <c r="I34" s="3">
        <v>300</v>
      </c>
      <c r="J34" s="390"/>
      <c r="K34" s="390"/>
      <c r="L34" s="397"/>
      <c r="M34" s="390"/>
      <c r="N34" s="3"/>
      <c r="O34" s="3"/>
      <c r="P34" s="397"/>
      <c r="Q34" s="397"/>
      <c r="R34" s="390">
        <v>300</v>
      </c>
      <c r="S34" s="397"/>
      <c r="T34" s="397"/>
      <c r="U34" s="397"/>
      <c r="V34" s="3"/>
      <c r="W34" s="390">
        <v>300</v>
      </c>
      <c r="X34" s="378"/>
      <c r="Y34" s="392"/>
      <c r="Z34" s="384">
        <f t="shared" si="14"/>
        <v>960</v>
      </c>
      <c r="AA34" s="391">
        <f t="shared" si="15"/>
        <v>960</v>
      </c>
      <c r="AB34" s="5">
        <v>20</v>
      </c>
      <c r="AC34" s="5">
        <v>48</v>
      </c>
      <c r="AD34" s="5">
        <v>2</v>
      </c>
      <c r="AE34" s="391">
        <f t="shared" si="16"/>
        <v>333.33333333333331</v>
      </c>
      <c r="AF34"/>
    </row>
    <row r="35" spans="1:32" ht="15" customHeight="1" x14ac:dyDescent="0.2">
      <c r="A35" s="374" t="s">
        <v>115</v>
      </c>
      <c r="B35" s="3">
        <v>30</v>
      </c>
      <c r="C35" s="3">
        <v>0</v>
      </c>
      <c r="D35" s="3">
        <v>30</v>
      </c>
      <c r="E35" s="3">
        <v>30</v>
      </c>
      <c r="F35" s="3">
        <v>30</v>
      </c>
      <c r="G35" s="3">
        <v>30</v>
      </c>
      <c r="H35" s="3">
        <v>30</v>
      </c>
      <c r="I35" s="3">
        <v>30</v>
      </c>
      <c r="J35" s="3">
        <v>100</v>
      </c>
      <c r="K35" s="3">
        <v>30</v>
      </c>
      <c r="L35" s="3">
        <v>30</v>
      </c>
      <c r="M35" s="3">
        <v>30</v>
      </c>
      <c r="N35" s="3">
        <v>30</v>
      </c>
      <c r="O35" s="3">
        <v>30</v>
      </c>
      <c r="P35" s="3">
        <v>30</v>
      </c>
      <c r="Q35" s="3">
        <v>30</v>
      </c>
      <c r="R35" s="3">
        <v>30</v>
      </c>
      <c r="S35" s="3">
        <v>30</v>
      </c>
      <c r="T35" s="3">
        <v>30</v>
      </c>
      <c r="U35" s="3">
        <v>0</v>
      </c>
      <c r="V35" s="3">
        <v>30</v>
      </c>
      <c r="W35" s="3">
        <v>30</v>
      </c>
      <c r="X35" s="378"/>
      <c r="Y35" s="378"/>
      <c r="Z35" s="384">
        <f t="shared" si="14"/>
        <v>670</v>
      </c>
      <c r="AA35" s="391"/>
      <c r="AB35" s="5">
        <v>20</v>
      </c>
      <c r="AC35" s="5"/>
      <c r="AD35" s="5"/>
      <c r="AE35" s="391"/>
      <c r="AF35"/>
    </row>
    <row r="36" spans="1:32" ht="15" customHeight="1" x14ac:dyDescent="0.2">
      <c r="A36" s="150" t="s">
        <v>116</v>
      </c>
      <c r="B36" s="395"/>
      <c r="C36" s="395"/>
      <c r="D36" s="232"/>
      <c r="E36" s="395"/>
      <c r="F36" s="395"/>
      <c r="G36" s="395"/>
      <c r="H36" s="395"/>
      <c r="I36" s="395"/>
      <c r="J36" s="388"/>
      <c r="K36" s="395"/>
      <c r="L36" s="395"/>
      <c r="M36" s="388"/>
      <c r="N36" s="232"/>
      <c r="O36" s="232"/>
      <c r="P36" s="395"/>
      <c r="Q36" s="395"/>
      <c r="R36" s="395"/>
      <c r="S36" s="395"/>
      <c r="T36" s="395"/>
      <c r="U36" s="395"/>
      <c r="V36" s="232"/>
      <c r="W36" s="395"/>
      <c r="X36" s="378"/>
      <c r="Y36" s="378"/>
      <c r="Z36" s="378"/>
      <c r="AA36" s="5"/>
      <c r="AB36" s="5"/>
      <c r="AC36" s="5"/>
      <c r="AD36" s="5"/>
      <c r="AE36" s="374"/>
      <c r="AF36"/>
    </row>
    <row r="37" spans="1:32" ht="15" customHeight="1" x14ac:dyDescent="0.2">
      <c r="A37" s="374" t="s">
        <v>356</v>
      </c>
      <c r="B37" s="397"/>
      <c r="C37" s="397"/>
      <c r="D37" s="3"/>
      <c r="E37" s="397"/>
      <c r="F37" s="397"/>
      <c r="G37" s="390">
        <v>50</v>
      </c>
      <c r="H37" s="397"/>
      <c r="I37" s="390">
        <v>50</v>
      </c>
      <c r="J37" s="390"/>
      <c r="K37" s="397"/>
      <c r="L37" s="397"/>
      <c r="M37" s="390"/>
      <c r="N37" s="3"/>
      <c r="O37" s="3"/>
      <c r="P37" s="3">
        <v>75</v>
      </c>
      <c r="Q37" s="3">
        <v>40</v>
      </c>
      <c r="R37" s="3"/>
      <c r="S37" s="3">
        <v>40</v>
      </c>
      <c r="T37" s="397"/>
      <c r="U37" s="397"/>
      <c r="V37" s="3"/>
      <c r="W37" s="390">
        <v>50</v>
      </c>
      <c r="X37" s="378"/>
      <c r="Y37" s="378"/>
      <c r="Z37" s="378"/>
      <c r="AA37" s="5"/>
      <c r="AB37" s="5"/>
      <c r="AC37" s="5"/>
      <c r="AD37" s="5"/>
      <c r="AE37" s="374"/>
      <c r="AF37"/>
    </row>
    <row r="38" spans="1:32" s="153" customFormat="1" ht="15" customHeight="1" x14ac:dyDescent="0.2">
      <c r="A38" s="150" t="s">
        <v>61</v>
      </c>
      <c r="B38" s="232"/>
      <c r="C38" s="1"/>
      <c r="D38" s="1"/>
      <c r="E38" s="1"/>
      <c r="F38" s="1"/>
      <c r="G38" s="1"/>
      <c r="H38" s="1"/>
      <c r="I38" s="1"/>
      <c r="J38" s="389"/>
      <c r="K38" s="1"/>
      <c r="L38" s="1"/>
      <c r="M38" s="389"/>
      <c r="N38" s="1"/>
      <c r="O38" s="1"/>
      <c r="P38" s="1"/>
      <c r="Q38" s="1"/>
      <c r="R38" s="1"/>
      <c r="S38" s="1"/>
      <c r="T38" s="1"/>
      <c r="U38" s="1"/>
      <c r="V38" s="1"/>
      <c r="W38" s="232"/>
      <c r="X38" s="378"/>
      <c r="Y38" s="384"/>
      <c r="Z38" s="378"/>
      <c r="AA38" s="5"/>
      <c r="AB38" s="5"/>
      <c r="AC38" s="5"/>
      <c r="AD38" s="5"/>
      <c r="AE38" s="374"/>
      <c r="AF38"/>
    </row>
    <row r="39" spans="1:32" ht="15" customHeight="1" x14ac:dyDescent="0.2">
      <c r="A39" s="374" t="s">
        <v>117</v>
      </c>
      <c r="B39" s="3"/>
      <c r="C39" s="3"/>
      <c r="D39" s="3"/>
      <c r="E39" s="3"/>
      <c r="F39" s="3"/>
      <c r="G39" s="3"/>
      <c r="H39" s="3"/>
      <c r="I39" s="3"/>
      <c r="J39" s="390"/>
      <c r="K39" s="3"/>
      <c r="L39" s="3"/>
      <c r="M39" s="390"/>
      <c r="N39" s="3"/>
      <c r="O39" s="3"/>
      <c r="P39" s="3"/>
      <c r="Q39" s="3"/>
      <c r="R39" s="3"/>
      <c r="S39" s="3"/>
      <c r="T39" s="3"/>
      <c r="U39" s="3"/>
      <c r="V39" s="3">
        <v>0</v>
      </c>
      <c r="W39" s="3"/>
      <c r="X39" s="378"/>
      <c r="Y39" s="378"/>
      <c r="Z39" s="378"/>
      <c r="AA39" s="5"/>
      <c r="AB39" s="5"/>
      <c r="AC39" s="5"/>
      <c r="AD39" s="5"/>
      <c r="AE39" s="374"/>
      <c r="AF39"/>
    </row>
    <row r="40" spans="1:32" ht="15" customHeight="1" x14ac:dyDescent="0.2">
      <c r="A40" s="374" t="s">
        <v>357</v>
      </c>
      <c r="B40" s="3"/>
      <c r="C40" s="3"/>
      <c r="D40" s="3"/>
      <c r="E40" s="3"/>
      <c r="F40" s="3"/>
      <c r="G40" s="3"/>
      <c r="H40" s="3"/>
      <c r="I40" s="3">
        <v>50</v>
      </c>
      <c r="J40" s="390"/>
      <c r="K40" s="3"/>
      <c r="L40" s="3"/>
      <c r="M40" s="390"/>
      <c r="N40" s="3"/>
      <c r="O40" s="3"/>
      <c r="P40" s="3"/>
      <c r="Q40" s="3"/>
      <c r="R40" s="3"/>
      <c r="S40" s="3"/>
      <c r="T40" s="3"/>
      <c r="U40" s="3"/>
      <c r="V40" s="3"/>
      <c r="W40" s="3">
        <v>50</v>
      </c>
      <c r="X40" s="378"/>
      <c r="Y40" s="378"/>
      <c r="Z40" s="378"/>
      <c r="AA40" s="5"/>
      <c r="AB40" s="5"/>
      <c r="AC40" s="5"/>
      <c r="AD40" s="5"/>
      <c r="AE40" s="374"/>
      <c r="AF40"/>
    </row>
    <row r="41" spans="1:32" s="153" customFormat="1" ht="15" customHeight="1" x14ac:dyDescent="0.2">
      <c r="A41" s="374" t="s">
        <v>118</v>
      </c>
      <c r="B41" s="3"/>
      <c r="C41" s="3"/>
      <c r="D41" s="3"/>
      <c r="E41" s="3"/>
      <c r="F41" s="3"/>
      <c r="G41" s="3"/>
      <c r="H41" s="3"/>
      <c r="I41" s="3"/>
      <c r="J41" s="390"/>
      <c r="K41" s="3"/>
      <c r="L41" s="3"/>
      <c r="M41" s="390"/>
      <c r="N41" s="3"/>
      <c r="O41" s="3"/>
      <c r="P41" s="3"/>
      <c r="Q41" s="3"/>
      <c r="R41" s="3"/>
      <c r="S41" s="3"/>
      <c r="T41" s="3"/>
      <c r="U41" s="3"/>
      <c r="V41" s="3"/>
      <c r="W41" s="3"/>
      <c r="X41" s="378"/>
      <c r="Y41" s="378"/>
      <c r="Z41" s="378"/>
      <c r="AA41" s="5"/>
      <c r="AB41" s="5"/>
      <c r="AC41" s="5"/>
      <c r="AD41" s="5"/>
      <c r="AE41" s="374"/>
      <c r="AF41"/>
    </row>
    <row r="42" spans="1:32" ht="15" customHeight="1" x14ac:dyDescent="0.2">
      <c r="A42" s="374" t="s">
        <v>358</v>
      </c>
      <c r="B42" s="3">
        <v>50</v>
      </c>
      <c r="C42" s="3"/>
      <c r="D42" s="3"/>
      <c r="E42" s="3"/>
      <c r="F42" s="3"/>
      <c r="G42" s="3"/>
      <c r="H42" s="3"/>
      <c r="I42" s="3"/>
      <c r="J42" s="390"/>
      <c r="K42" s="3"/>
      <c r="L42" s="3"/>
      <c r="M42" s="390"/>
      <c r="N42" s="3"/>
      <c r="O42" s="3"/>
      <c r="P42" s="3"/>
      <c r="Q42" s="3"/>
      <c r="R42" s="3"/>
      <c r="S42" s="3"/>
      <c r="T42" s="3"/>
      <c r="U42" s="3"/>
      <c r="V42" s="3"/>
      <c r="W42" s="3"/>
      <c r="X42" s="378"/>
      <c r="Y42" s="378"/>
      <c r="Z42" s="378"/>
      <c r="AA42" s="5"/>
      <c r="AB42" s="5"/>
      <c r="AC42" s="5"/>
      <c r="AD42" s="5"/>
      <c r="AE42" s="374"/>
      <c r="AF42"/>
    </row>
    <row r="43" spans="1:32" s="153" customFormat="1" ht="15" customHeight="1" x14ac:dyDescent="0.2">
      <c r="A43" s="374" t="s">
        <v>359</v>
      </c>
      <c r="B43" s="3"/>
      <c r="C43" s="3"/>
      <c r="D43" s="3"/>
      <c r="E43" s="3"/>
      <c r="F43" s="3"/>
      <c r="G43" s="3"/>
      <c r="H43" s="3"/>
      <c r="I43" s="3"/>
      <c r="J43" s="390"/>
      <c r="K43" s="3"/>
      <c r="L43" s="3"/>
      <c r="M43" s="390"/>
      <c r="N43" s="3"/>
      <c r="O43" s="3"/>
      <c r="P43" s="3"/>
      <c r="Q43" s="3"/>
      <c r="R43" s="3"/>
      <c r="S43" s="3"/>
      <c r="T43" s="3"/>
      <c r="U43" s="3"/>
      <c r="V43" s="3"/>
      <c r="W43" s="3"/>
      <c r="X43" s="378"/>
      <c r="Y43" s="378"/>
      <c r="Z43" s="378"/>
      <c r="AA43" s="5"/>
      <c r="AB43" s="5"/>
      <c r="AC43" s="5"/>
      <c r="AD43" s="5"/>
      <c r="AE43" s="374"/>
      <c r="AF43"/>
    </row>
    <row r="44" spans="1:32" ht="15" customHeight="1" x14ac:dyDescent="0.2">
      <c r="A44" s="153" t="s">
        <v>62</v>
      </c>
      <c r="B44" s="232"/>
      <c r="C44" s="1"/>
      <c r="D44" s="1"/>
      <c r="E44" s="1"/>
      <c r="F44" s="1"/>
      <c r="G44" s="1"/>
      <c r="H44" s="1"/>
      <c r="I44" s="1"/>
      <c r="J44" s="389"/>
      <c r="K44" s="1"/>
      <c r="L44" s="1"/>
      <c r="M44" s="389"/>
      <c r="N44" s="1"/>
      <c r="O44" s="1"/>
      <c r="P44" s="1"/>
      <c r="Q44" s="1"/>
      <c r="R44" s="1"/>
      <c r="S44" s="1"/>
      <c r="T44" s="1"/>
      <c r="U44" s="1"/>
      <c r="V44" s="1"/>
      <c r="W44" s="232"/>
      <c r="X44" s="378"/>
      <c r="Y44" s="384"/>
      <c r="Z44" s="378"/>
      <c r="AA44" s="5"/>
      <c r="AB44" s="5"/>
      <c r="AC44" s="5"/>
      <c r="AD44" s="5"/>
      <c r="AE44" s="374"/>
      <c r="AF44"/>
    </row>
    <row r="45" spans="1:32" ht="15" customHeight="1" x14ac:dyDescent="0.2">
      <c r="A45" s="374" t="s">
        <v>119</v>
      </c>
      <c r="B45" s="3"/>
      <c r="C45" s="3"/>
      <c r="D45" s="3"/>
      <c r="E45" s="3"/>
      <c r="F45" s="3"/>
      <c r="G45" s="3"/>
      <c r="H45" s="3"/>
      <c r="I45" s="3"/>
      <c r="J45" s="390"/>
      <c r="K45" s="3"/>
      <c r="L45" s="3"/>
      <c r="M45" s="390"/>
      <c r="N45" s="3"/>
      <c r="O45" s="3"/>
      <c r="P45" s="3"/>
      <c r="Q45" s="3"/>
      <c r="R45" s="3">
        <v>10</v>
      </c>
      <c r="S45" s="3"/>
      <c r="T45" s="3"/>
      <c r="U45" s="3"/>
      <c r="V45" s="3"/>
      <c r="W45" s="3"/>
      <c r="X45" s="378"/>
      <c r="Y45" s="384"/>
      <c r="Z45" s="378"/>
      <c r="AA45" s="5"/>
      <c r="AB45" s="5"/>
      <c r="AC45" s="5"/>
      <c r="AD45" s="5"/>
      <c r="AE45" s="374"/>
      <c r="AF45"/>
    </row>
    <row r="46" spans="1:32" ht="15" customHeight="1" x14ac:dyDescent="0.2">
      <c r="A46" s="367" t="s">
        <v>63</v>
      </c>
      <c r="B46" s="368">
        <f>B47+B50</f>
        <v>420</v>
      </c>
      <c r="C46" s="369">
        <f t="shared" ref="C46:W46" si="17">C47+C50</f>
        <v>420</v>
      </c>
      <c r="D46" s="369">
        <f t="shared" si="17"/>
        <v>120</v>
      </c>
      <c r="E46" s="369">
        <f t="shared" si="17"/>
        <v>40</v>
      </c>
      <c r="F46" s="369">
        <f t="shared" si="17"/>
        <v>115</v>
      </c>
      <c r="G46" s="369">
        <f t="shared" si="17"/>
        <v>340</v>
      </c>
      <c r="H46" s="369">
        <f t="shared" si="17"/>
        <v>40</v>
      </c>
      <c r="I46" s="369">
        <f t="shared" si="17"/>
        <v>40</v>
      </c>
      <c r="J46" s="371">
        <f t="shared" si="17"/>
        <v>40</v>
      </c>
      <c r="K46" s="369">
        <f t="shared" si="17"/>
        <v>115</v>
      </c>
      <c r="L46" s="369">
        <f t="shared" si="17"/>
        <v>270</v>
      </c>
      <c r="M46" s="371">
        <f t="shared" si="17"/>
        <v>40</v>
      </c>
      <c r="N46" s="369">
        <f t="shared" si="17"/>
        <v>40</v>
      </c>
      <c r="O46" s="369">
        <f t="shared" si="17"/>
        <v>40</v>
      </c>
      <c r="P46" s="369">
        <f t="shared" si="17"/>
        <v>190</v>
      </c>
      <c r="Q46" s="369">
        <f t="shared" si="17"/>
        <v>40</v>
      </c>
      <c r="R46" s="369">
        <f t="shared" si="17"/>
        <v>90</v>
      </c>
      <c r="S46" s="369">
        <f t="shared" si="17"/>
        <v>40</v>
      </c>
      <c r="T46" s="369">
        <f t="shared" si="17"/>
        <v>40</v>
      </c>
      <c r="U46" s="369">
        <f t="shared" si="17"/>
        <v>40</v>
      </c>
      <c r="V46" s="369">
        <f t="shared" si="17"/>
        <v>370</v>
      </c>
      <c r="W46" s="368">
        <f t="shared" si="17"/>
        <v>120</v>
      </c>
      <c r="X46" s="154"/>
      <c r="Y46" s="385">
        <f>(SUM(B46:W46))/((SUM(B4:W4))+(SUM(B46:W46))+(SUM(B55:W55)))</f>
        <v>0.21701514059120403</v>
      </c>
      <c r="Z46" s="386"/>
      <c r="AA46" s="387"/>
      <c r="AB46" s="387"/>
      <c r="AC46" s="387"/>
      <c r="AD46" s="387"/>
      <c r="AE46" s="386"/>
      <c r="AF46"/>
    </row>
    <row r="47" spans="1:32" ht="15" customHeight="1" x14ac:dyDescent="0.2">
      <c r="A47" s="153" t="s">
        <v>64</v>
      </c>
      <c r="B47" s="398">
        <f>SUM(B48:B49)</f>
        <v>340</v>
      </c>
      <c r="C47" s="4">
        <f t="shared" ref="C47:W47" si="18">SUM(C48:C49)</f>
        <v>340</v>
      </c>
      <c r="D47" s="4">
        <f t="shared" si="18"/>
        <v>40</v>
      </c>
      <c r="E47" s="4">
        <f t="shared" si="18"/>
        <v>40</v>
      </c>
      <c r="F47" s="4">
        <f t="shared" si="18"/>
        <v>115</v>
      </c>
      <c r="G47" s="4">
        <f t="shared" si="18"/>
        <v>340</v>
      </c>
      <c r="H47" s="4">
        <f t="shared" si="18"/>
        <v>40</v>
      </c>
      <c r="I47" s="4">
        <f t="shared" si="18"/>
        <v>40</v>
      </c>
      <c r="J47" s="399">
        <f t="shared" si="18"/>
        <v>40</v>
      </c>
      <c r="K47" s="4">
        <f t="shared" si="18"/>
        <v>115</v>
      </c>
      <c r="L47" s="4">
        <f t="shared" si="18"/>
        <v>190</v>
      </c>
      <c r="M47" s="399">
        <f t="shared" si="18"/>
        <v>40</v>
      </c>
      <c r="N47" s="4">
        <f t="shared" si="18"/>
        <v>40</v>
      </c>
      <c r="O47" s="4">
        <f t="shared" si="18"/>
        <v>40</v>
      </c>
      <c r="P47" s="4">
        <f t="shared" si="18"/>
        <v>190</v>
      </c>
      <c r="Q47" s="4">
        <f t="shared" si="18"/>
        <v>40</v>
      </c>
      <c r="R47" s="4">
        <f t="shared" si="18"/>
        <v>40</v>
      </c>
      <c r="S47" s="4">
        <f t="shared" si="18"/>
        <v>40</v>
      </c>
      <c r="T47" s="4">
        <f t="shared" si="18"/>
        <v>40</v>
      </c>
      <c r="U47" s="4">
        <f t="shared" si="18"/>
        <v>40</v>
      </c>
      <c r="V47" s="4">
        <f t="shared" si="18"/>
        <v>290</v>
      </c>
      <c r="W47" s="398">
        <f t="shared" si="18"/>
        <v>40</v>
      </c>
      <c r="X47" s="400"/>
      <c r="Y47" s="401"/>
      <c r="Z47" s="386"/>
      <c r="AA47" s="387"/>
      <c r="AB47" s="387"/>
      <c r="AC47" s="387"/>
      <c r="AD47" s="387"/>
      <c r="AE47" s="386"/>
      <c r="AF47"/>
    </row>
    <row r="48" spans="1:32" ht="15" customHeight="1" x14ac:dyDescent="0.2">
      <c r="A48" s="374" t="s">
        <v>65</v>
      </c>
      <c r="B48" s="3">
        <v>300</v>
      </c>
      <c r="C48" s="2">
        <v>300</v>
      </c>
      <c r="D48" s="2"/>
      <c r="E48" s="2"/>
      <c r="F48" s="2"/>
      <c r="G48" s="2">
        <v>300</v>
      </c>
      <c r="H48" s="2"/>
      <c r="I48" s="2"/>
      <c r="J48" s="402"/>
      <c r="K48" s="2"/>
      <c r="L48" s="2">
        <v>150</v>
      </c>
      <c r="M48" s="402"/>
      <c r="N48" s="2"/>
      <c r="O48" s="2"/>
      <c r="P48" s="2"/>
      <c r="Q48" s="2"/>
      <c r="R48" s="2"/>
      <c r="S48" s="2"/>
      <c r="T48" s="2"/>
      <c r="U48" s="2"/>
      <c r="V48" s="2">
        <v>250</v>
      </c>
      <c r="W48" s="3"/>
      <c r="X48" s="378"/>
      <c r="Y48" s="384"/>
      <c r="Z48" s="378"/>
      <c r="AA48" s="5"/>
      <c r="AB48" s="5"/>
      <c r="AC48" s="5"/>
      <c r="AD48" s="5"/>
      <c r="AE48" s="374"/>
      <c r="AF48"/>
    </row>
    <row r="49" spans="1:32" ht="15" customHeight="1" x14ac:dyDescent="0.2">
      <c r="A49" s="374" t="s">
        <v>66</v>
      </c>
      <c r="B49" s="3">
        <v>40</v>
      </c>
      <c r="C49" s="2">
        <v>40</v>
      </c>
      <c r="D49" s="2">
        <v>40</v>
      </c>
      <c r="E49" s="2">
        <v>40</v>
      </c>
      <c r="F49" s="403">
        <v>115</v>
      </c>
      <c r="G49" s="2">
        <v>40</v>
      </c>
      <c r="H49" s="2">
        <v>40</v>
      </c>
      <c r="I49" s="2">
        <v>40</v>
      </c>
      <c r="J49" s="402">
        <v>40</v>
      </c>
      <c r="K49" s="403">
        <v>115</v>
      </c>
      <c r="L49" s="2">
        <v>40</v>
      </c>
      <c r="M49" s="402">
        <v>40</v>
      </c>
      <c r="N49" s="2">
        <v>40</v>
      </c>
      <c r="O49" s="2">
        <v>40</v>
      </c>
      <c r="P49" s="3">
        <v>190</v>
      </c>
      <c r="Q49" s="2">
        <v>40</v>
      </c>
      <c r="R49" s="2">
        <v>40</v>
      </c>
      <c r="S49" s="2">
        <v>40</v>
      </c>
      <c r="T49" s="2">
        <v>40</v>
      </c>
      <c r="U49" s="2">
        <v>40</v>
      </c>
      <c r="V49" s="2">
        <v>40</v>
      </c>
      <c r="W49" s="3">
        <v>40</v>
      </c>
      <c r="X49" s="378"/>
      <c r="Y49" s="384"/>
      <c r="Z49" s="378"/>
      <c r="AA49" s="5"/>
      <c r="AB49" s="5"/>
      <c r="AC49" s="5"/>
      <c r="AD49" s="5"/>
      <c r="AE49" s="374"/>
      <c r="AF49"/>
    </row>
    <row r="50" spans="1:32" ht="15" customHeight="1" x14ac:dyDescent="0.2">
      <c r="A50" s="153" t="s">
        <v>360</v>
      </c>
      <c r="B50" s="398">
        <f>SUM(B51:B54)</f>
        <v>80</v>
      </c>
      <c r="C50" s="4">
        <f t="shared" ref="C50:W50" si="19">SUM(C51:C54)</f>
        <v>80</v>
      </c>
      <c r="D50" s="4">
        <f t="shared" si="19"/>
        <v>80</v>
      </c>
      <c r="E50" s="4">
        <f t="shared" si="19"/>
        <v>0</v>
      </c>
      <c r="F50" s="4">
        <f t="shared" si="19"/>
        <v>0</v>
      </c>
      <c r="G50" s="4">
        <f t="shared" si="19"/>
        <v>0</v>
      </c>
      <c r="H50" s="4">
        <f t="shared" si="19"/>
        <v>0</v>
      </c>
      <c r="I50" s="4">
        <f t="shared" si="19"/>
        <v>0</v>
      </c>
      <c r="J50" s="399">
        <f t="shared" si="19"/>
        <v>0</v>
      </c>
      <c r="K50" s="4">
        <f t="shared" si="19"/>
        <v>0</v>
      </c>
      <c r="L50" s="4">
        <f t="shared" si="19"/>
        <v>80</v>
      </c>
      <c r="M50" s="399">
        <f t="shared" si="19"/>
        <v>0</v>
      </c>
      <c r="N50" s="4">
        <f t="shared" si="19"/>
        <v>0</v>
      </c>
      <c r="O50" s="4">
        <f t="shared" si="19"/>
        <v>0</v>
      </c>
      <c r="P50" s="4">
        <f t="shared" si="19"/>
        <v>0</v>
      </c>
      <c r="Q50" s="4">
        <f t="shared" si="19"/>
        <v>0</v>
      </c>
      <c r="R50" s="4">
        <f t="shared" si="19"/>
        <v>50</v>
      </c>
      <c r="S50" s="4">
        <f t="shared" si="19"/>
        <v>0</v>
      </c>
      <c r="T50" s="4">
        <f t="shared" si="19"/>
        <v>0</v>
      </c>
      <c r="U50" s="4">
        <f t="shared" si="19"/>
        <v>0</v>
      </c>
      <c r="V50" s="4">
        <f t="shared" si="19"/>
        <v>80</v>
      </c>
      <c r="W50" s="398">
        <f t="shared" si="19"/>
        <v>80</v>
      </c>
      <c r="X50" s="400"/>
      <c r="Y50" s="401"/>
      <c r="Z50" s="386"/>
      <c r="AA50" s="387"/>
      <c r="AB50" s="387"/>
      <c r="AC50" s="387"/>
      <c r="AD50" s="387"/>
      <c r="AE50" s="386"/>
      <c r="AF50"/>
    </row>
    <row r="51" spans="1:32" ht="15" customHeight="1" x14ac:dyDescent="0.2">
      <c r="A51" s="374" t="s">
        <v>67</v>
      </c>
      <c r="B51" s="3"/>
      <c r="C51" s="2"/>
      <c r="D51" s="2"/>
      <c r="E51" s="2"/>
      <c r="F51" s="2"/>
      <c r="G51" s="2"/>
      <c r="H51" s="2"/>
      <c r="I51" s="2"/>
      <c r="J51" s="402"/>
      <c r="K51" s="2"/>
      <c r="L51" s="2"/>
      <c r="M51" s="402"/>
      <c r="N51" s="2"/>
      <c r="O51" s="2"/>
      <c r="P51" s="2"/>
      <c r="Q51" s="2"/>
      <c r="R51" s="2"/>
      <c r="S51" s="2"/>
      <c r="T51" s="2"/>
      <c r="U51" s="2"/>
      <c r="V51" s="2"/>
      <c r="W51" s="3"/>
      <c r="X51" s="378"/>
      <c r="Y51" s="384"/>
      <c r="Z51" s="378"/>
      <c r="AA51" s="5"/>
      <c r="AB51" s="5"/>
      <c r="AC51" s="5"/>
      <c r="AD51" s="5"/>
      <c r="AE51" s="374"/>
      <c r="AF51"/>
    </row>
    <row r="52" spans="1:32" ht="15" customHeight="1" x14ac:dyDescent="0.2">
      <c r="A52" s="374" t="s">
        <v>68</v>
      </c>
      <c r="B52" s="3"/>
      <c r="C52" s="2"/>
      <c r="D52" s="2"/>
      <c r="E52" s="2"/>
      <c r="F52" s="2"/>
      <c r="G52" s="2"/>
      <c r="H52" s="2"/>
      <c r="I52" s="2"/>
      <c r="J52" s="402"/>
      <c r="K52" s="2"/>
      <c r="L52" s="2"/>
      <c r="M52" s="402"/>
      <c r="N52" s="2"/>
      <c r="O52" s="2"/>
      <c r="P52" s="2"/>
      <c r="Q52" s="2"/>
      <c r="R52" s="2"/>
      <c r="S52" s="2"/>
      <c r="T52" s="2"/>
      <c r="U52" s="2"/>
      <c r="V52" s="2"/>
      <c r="W52" s="3"/>
      <c r="X52" s="378"/>
      <c r="Y52" s="384"/>
      <c r="Z52" s="378"/>
      <c r="AA52" s="5"/>
      <c r="AB52" s="5"/>
      <c r="AC52" s="5"/>
      <c r="AD52" s="5"/>
      <c r="AE52" s="374"/>
      <c r="AF52"/>
    </row>
    <row r="53" spans="1:32" ht="15" customHeight="1" x14ac:dyDescent="0.2">
      <c r="A53" s="374" t="s">
        <v>69</v>
      </c>
      <c r="B53" s="3"/>
      <c r="C53" s="2"/>
      <c r="D53" s="2"/>
      <c r="E53" s="2"/>
      <c r="F53" s="2"/>
      <c r="G53" s="2"/>
      <c r="H53" s="2"/>
      <c r="I53" s="2"/>
      <c r="J53" s="402"/>
      <c r="K53" s="2"/>
      <c r="L53" s="2"/>
      <c r="M53" s="402"/>
      <c r="N53" s="2"/>
      <c r="O53" s="2"/>
      <c r="P53" s="2"/>
      <c r="Q53" s="2"/>
      <c r="R53" s="2">
        <v>50</v>
      </c>
      <c r="S53" s="2"/>
      <c r="T53" s="2"/>
      <c r="U53" s="2"/>
      <c r="V53" s="2"/>
      <c r="W53" s="3"/>
      <c r="X53" s="378"/>
      <c r="Y53" s="384"/>
      <c r="Z53" s="378"/>
      <c r="AA53" s="5"/>
      <c r="AB53" s="5"/>
      <c r="AC53" s="5"/>
      <c r="AD53" s="5"/>
      <c r="AE53" s="374"/>
      <c r="AF53"/>
    </row>
    <row r="54" spans="1:32" ht="15" customHeight="1" x14ac:dyDescent="0.2">
      <c r="A54" s="374" t="s">
        <v>361</v>
      </c>
      <c r="B54" s="3">
        <v>80</v>
      </c>
      <c r="C54" s="2">
        <v>80</v>
      </c>
      <c r="D54" s="2">
        <v>80</v>
      </c>
      <c r="E54" s="2"/>
      <c r="F54" s="2"/>
      <c r="G54" s="2"/>
      <c r="H54" s="2"/>
      <c r="I54" s="2"/>
      <c r="J54" s="402"/>
      <c r="K54" s="2"/>
      <c r="L54" s="2">
        <v>80</v>
      </c>
      <c r="M54" s="402"/>
      <c r="N54" s="2"/>
      <c r="O54" s="2"/>
      <c r="P54" s="2"/>
      <c r="Q54" s="2"/>
      <c r="R54" s="2"/>
      <c r="S54" s="2"/>
      <c r="T54" s="2"/>
      <c r="U54" s="2"/>
      <c r="V54" s="2">
        <v>80</v>
      </c>
      <c r="W54" s="3">
        <v>80</v>
      </c>
      <c r="X54" s="378"/>
      <c r="Y54" s="384"/>
      <c r="Z54" s="378"/>
      <c r="AA54" s="5"/>
      <c r="AB54" s="5"/>
      <c r="AC54" s="5"/>
      <c r="AD54" s="5"/>
      <c r="AE54" s="374"/>
      <c r="AF54"/>
    </row>
    <row r="55" spans="1:32" ht="15" customHeight="1" x14ac:dyDescent="0.2">
      <c r="A55" s="367" t="s">
        <v>70</v>
      </c>
      <c r="B55" s="404">
        <f>SUM(B56:B57)</f>
        <v>80</v>
      </c>
      <c r="C55" s="405">
        <f t="shared" ref="C55:W55" si="20">SUM(C56:C57)</f>
        <v>120</v>
      </c>
      <c r="D55" s="405">
        <f t="shared" si="20"/>
        <v>160</v>
      </c>
      <c r="E55" s="405">
        <f t="shared" si="20"/>
        <v>160</v>
      </c>
      <c r="F55" s="405">
        <f t="shared" si="20"/>
        <v>160</v>
      </c>
      <c r="G55" s="405">
        <f t="shared" si="20"/>
        <v>160</v>
      </c>
      <c r="H55" s="405">
        <f t="shared" si="20"/>
        <v>160</v>
      </c>
      <c r="I55" s="405">
        <f t="shared" si="20"/>
        <v>160</v>
      </c>
      <c r="J55" s="406">
        <f t="shared" si="20"/>
        <v>160</v>
      </c>
      <c r="K55" s="405">
        <f t="shared" si="20"/>
        <v>160</v>
      </c>
      <c r="L55" s="405">
        <f t="shared" si="20"/>
        <v>160</v>
      </c>
      <c r="M55" s="406">
        <f t="shared" si="20"/>
        <v>160</v>
      </c>
      <c r="N55" s="405">
        <f t="shared" si="20"/>
        <v>160</v>
      </c>
      <c r="O55" s="405">
        <f t="shared" si="20"/>
        <v>160</v>
      </c>
      <c r="P55" s="405">
        <f t="shared" si="20"/>
        <v>160</v>
      </c>
      <c r="Q55" s="405">
        <f t="shared" si="20"/>
        <v>160</v>
      </c>
      <c r="R55" s="405">
        <f t="shared" si="20"/>
        <v>160</v>
      </c>
      <c r="S55" s="405">
        <f t="shared" si="20"/>
        <v>160</v>
      </c>
      <c r="T55" s="405">
        <f t="shared" si="20"/>
        <v>160</v>
      </c>
      <c r="U55" s="405">
        <f t="shared" si="20"/>
        <v>60</v>
      </c>
      <c r="V55" s="405">
        <f t="shared" si="20"/>
        <v>120</v>
      </c>
      <c r="W55" s="404">
        <f t="shared" si="20"/>
        <v>160</v>
      </c>
      <c r="X55" s="407"/>
      <c r="Y55" s="385">
        <f>(SUM(B55:W55))/((SUM(B4:W4))+(SUM(B46:W46))+(SUM(B55:W55)))</f>
        <v>0.23503965392934389</v>
      </c>
      <c r="Z55" s="386"/>
      <c r="AA55" s="387"/>
      <c r="AB55" s="387"/>
      <c r="AC55" s="387"/>
      <c r="AD55" s="387"/>
      <c r="AE55" s="386"/>
      <c r="AF55"/>
    </row>
    <row r="56" spans="1:32" ht="15" customHeight="1" x14ac:dyDescent="0.2">
      <c r="A56" s="374" t="s">
        <v>71</v>
      </c>
      <c r="B56" s="408">
        <v>40</v>
      </c>
      <c r="C56" s="11">
        <v>60</v>
      </c>
      <c r="D56" s="11">
        <v>80</v>
      </c>
      <c r="E56" s="11">
        <v>80</v>
      </c>
      <c r="F56" s="11">
        <v>80</v>
      </c>
      <c r="G56" s="11">
        <v>80</v>
      </c>
      <c r="H56" s="11">
        <v>80</v>
      </c>
      <c r="I56" s="11">
        <v>80</v>
      </c>
      <c r="J56" s="409">
        <v>80</v>
      </c>
      <c r="K56" s="11">
        <v>80</v>
      </c>
      <c r="L56" s="11">
        <v>80</v>
      </c>
      <c r="M56" s="409">
        <v>80</v>
      </c>
      <c r="N56" s="11">
        <v>80</v>
      </c>
      <c r="O56" s="11">
        <v>80</v>
      </c>
      <c r="P56" s="11">
        <v>80</v>
      </c>
      <c r="Q56" s="11">
        <v>80</v>
      </c>
      <c r="R56" s="11">
        <v>80</v>
      </c>
      <c r="S56" s="11">
        <v>80</v>
      </c>
      <c r="T56" s="11">
        <v>80</v>
      </c>
      <c r="U56" s="11">
        <v>30</v>
      </c>
      <c r="V56" s="11">
        <v>80</v>
      </c>
      <c r="W56" s="408">
        <v>80</v>
      </c>
      <c r="X56" s="410"/>
      <c r="Y56" s="411"/>
      <c r="Z56" s="378"/>
      <c r="AA56" s="5"/>
      <c r="AB56" s="5"/>
      <c r="AC56" s="5"/>
      <c r="AD56" s="5"/>
      <c r="AE56" s="374"/>
      <c r="AF56"/>
    </row>
    <row r="57" spans="1:32" ht="15" customHeight="1" x14ac:dyDescent="0.2">
      <c r="A57" s="374" t="s">
        <v>72</v>
      </c>
      <c r="B57" s="408">
        <v>40</v>
      </c>
      <c r="C57" s="11">
        <v>60</v>
      </c>
      <c r="D57" s="11">
        <v>80</v>
      </c>
      <c r="E57" s="11">
        <v>80</v>
      </c>
      <c r="F57" s="11">
        <v>80</v>
      </c>
      <c r="G57" s="11">
        <v>80</v>
      </c>
      <c r="H57" s="11">
        <v>80</v>
      </c>
      <c r="I57" s="11">
        <v>80</v>
      </c>
      <c r="J57" s="409">
        <v>80</v>
      </c>
      <c r="K57" s="11">
        <v>80</v>
      </c>
      <c r="L57" s="11">
        <v>80</v>
      </c>
      <c r="M57" s="409">
        <v>80</v>
      </c>
      <c r="N57" s="11">
        <v>80</v>
      </c>
      <c r="O57" s="11">
        <v>80</v>
      </c>
      <c r="P57" s="11">
        <v>80</v>
      </c>
      <c r="Q57" s="11">
        <v>80</v>
      </c>
      <c r="R57" s="11">
        <v>80</v>
      </c>
      <c r="S57" s="11">
        <v>80</v>
      </c>
      <c r="T57" s="11">
        <v>80</v>
      </c>
      <c r="U57" s="11">
        <v>30</v>
      </c>
      <c r="V57" s="11">
        <v>40</v>
      </c>
      <c r="W57" s="408">
        <v>80</v>
      </c>
      <c r="X57" s="410"/>
      <c r="Y57" s="411"/>
      <c r="Z57" s="378"/>
      <c r="AA57" s="5"/>
      <c r="AB57" s="5"/>
      <c r="AC57" s="5"/>
      <c r="AD57" s="5"/>
      <c r="AE57" s="374"/>
      <c r="AF57"/>
    </row>
    <row r="58" spans="1:32" ht="15" customHeight="1" x14ac:dyDescent="0.2">
      <c r="A58" s="367" t="s">
        <v>73</v>
      </c>
      <c r="B58" s="368">
        <f>SUM(B59:B66)</f>
        <v>40</v>
      </c>
      <c r="C58" s="369">
        <f t="shared" ref="C58:W58" si="21">SUM(C59:C66)</f>
        <v>80</v>
      </c>
      <c r="D58" s="369">
        <f t="shared" si="21"/>
        <v>40</v>
      </c>
      <c r="E58" s="369">
        <f t="shared" si="21"/>
        <v>80</v>
      </c>
      <c r="F58" s="369">
        <f t="shared" si="21"/>
        <v>80</v>
      </c>
      <c r="G58" s="369">
        <f t="shared" si="21"/>
        <v>40</v>
      </c>
      <c r="H58" s="369">
        <f t="shared" si="21"/>
        <v>40</v>
      </c>
      <c r="I58" s="369">
        <f t="shared" si="21"/>
        <v>40</v>
      </c>
      <c r="J58" s="371">
        <f t="shared" si="21"/>
        <v>40</v>
      </c>
      <c r="K58" s="369">
        <f t="shared" si="21"/>
        <v>80</v>
      </c>
      <c r="L58" s="369">
        <f t="shared" si="21"/>
        <v>80</v>
      </c>
      <c r="M58" s="371">
        <f t="shared" si="21"/>
        <v>130</v>
      </c>
      <c r="N58" s="369">
        <f t="shared" si="21"/>
        <v>90</v>
      </c>
      <c r="O58" s="369">
        <f t="shared" si="21"/>
        <v>240</v>
      </c>
      <c r="P58" s="369">
        <f t="shared" si="21"/>
        <v>80</v>
      </c>
      <c r="Q58" s="369">
        <f t="shared" si="21"/>
        <v>110</v>
      </c>
      <c r="R58" s="369">
        <f t="shared" si="21"/>
        <v>40</v>
      </c>
      <c r="S58" s="369">
        <f t="shared" si="21"/>
        <v>40</v>
      </c>
      <c r="T58" s="369">
        <f t="shared" si="21"/>
        <v>40</v>
      </c>
      <c r="U58" s="369">
        <f t="shared" si="21"/>
        <v>40</v>
      </c>
      <c r="V58" s="369">
        <f t="shared" si="21"/>
        <v>40</v>
      </c>
      <c r="W58" s="368">
        <f t="shared" si="21"/>
        <v>80</v>
      </c>
      <c r="X58" s="400"/>
      <c r="Y58" s="401"/>
      <c r="Z58" s="400"/>
      <c r="AA58" s="387"/>
      <c r="AB58" s="387"/>
      <c r="AC58" s="387"/>
      <c r="AD58" s="387"/>
      <c r="AE58" s="386"/>
      <c r="AF58"/>
    </row>
    <row r="59" spans="1:32" ht="15" customHeight="1" x14ac:dyDescent="0.2">
      <c r="A59" s="374" t="s">
        <v>74</v>
      </c>
      <c r="B59" s="3"/>
      <c r="C59" s="2"/>
      <c r="D59" s="2"/>
      <c r="E59" s="2"/>
      <c r="F59" s="2"/>
      <c r="G59" s="2"/>
      <c r="H59" s="2"/>
      <c r="I59" s="2"/>
      <c r="J59" s="402"/>
      <c r="K59" s="2"/>
      <c r="L59" s="2"/>
      <c r="M59" s="402"/>
      <c r="N59" s="2"/>
      <c r="O59" s="2">
        <v>200</v>
      </c>
      <c r="P59" s="2"/>
      <c r="Q59" s="2"/>
      <c r="R59" s="2"/>
      <c r="S59" s="2"/>
      <c r="T59" s="2"/>
      <c r="U59" s="3"/>
      <c r="V59" s="3"/>
      <c r="W59" s="3"/>
      <c r="X59" s="378"/>
      <c r="Y59" s="384"/>
      <c r="Z59" s="378"/>
      <c r="AA59" s="5"/>
      <c r="AB59" s="5"/>
      <c r="AC59" s="5"/>
      <c r="AD59" s="5"/>
      <c r="AE59" s="374"/>
      <c r="AF59"/>
    </row>
    <row r="60" spans="1:32" ht="15" customHeight="1" x14ac:dyDescent="0.2">
      <c r="A60" s="374" t="s">
        <v>75</v>
      </c>
      <c r="B60" s="3"/>
      <c r="C60" s="2">
        <v>40</v>
      </c>
      <c r="D60" s="2"/>
      <c r="E60" s="2"/>
      <c r="F60" s="2">
        <v>40</v>
      </c>
      <c r="G60" s="2"/>
      <c r="H60" s="2"/>
      <c r="I60" s="2"/>
      <c r="J60" s="402"/>
      <c r="K60" s="2"/>
      <c r="L60" s="2">
        <v>40</v>
      </c>
      <c r="M60" s="402"/>
      <c r="N60" s="2"/>
      <c r="O60" s="2"/>
      <c r="P60" s="2">
        <v>40</v>
      </c>
      <c r="Q60" s="2"/>
      <c r="R60" s="2"/>
      <c r="S60" s="2"/>
      <c r="T60" s="2"/>
      <c r="U60" s="2"/>
      <c r="V60" s="2"/>
      <c r="W60" s="3">
        <v>40</v>
      </c>
      <c r="X60" s="378"/>
      <c r="Y60" s="378"/>
      <c r="Z60" s="378"/>
      <c r="AA60" s="5"/>
      <c r="AB60" s="5"/>
      <c r="AC60" s="5"/>
      <c r="AD60" s="5"/>
      <c r="AE60" s="374"/>
      <c r="AF60"/>
    </row>
    <row r="61" spans="1:32" ht="15" customHeight="1" x14ac:dyDescent="0.2">
      <c r="A61" s="374" t="s">
        <v>76</v>
      </c>
      <c r="B61" s="3"/>
      <c r="C61" s="2"/>
      <c r="D61" s="2"/>
      <c r="E61" s="2"/>
      <c r="F61" s="2"/>
      <c r="G61" s="2"/>
      <c r="H61" s="2"/>
      <c r="I61" s="2"/>
      <c r="J61" s="402"/>
      <c r="K61" s="2"/>
      <c r="L61" s="2"/>
      <c r="M61" s="402">
        <v>70</v>
      </c>
      <c r="N61" s="2"/>
      <c r="O61" s="2"/>
      <c r="P61" s="2"/>
      <c r="Q61" s="2">
        <v>70</v>
      </c>
      <c r="R61" s="2"/>
      <c r="S61" s="2"/>
      <c r="T61" s="2"/>
      <c r="U61" s="2"/>
      <c r="V61" s="2"/>
      <c r="W61" s="3"/>
      <c r="X61" s="378"/>
      <c r="Y61" s="384"/>
      <c r="Z61" s="378"/>
      <c r="AA61" s="5"/>
      <c r="AB61" s="5"/>
      <c r="AC61" s="5"/>
      <c r="AD61" s="5"/>
      <c r="AE61" s="374"/>
      <c r="AF61"/>
    </row>
    <row r="62" spans="1:32" ht="15" customHeight="1" x14ac:dyDescent="0.2">
      <c r="A62" s="374" t="s">
        <v>77</v>
      </c>
      <c r="B62" s="3"/>
      <c r="C62" s="2"/>
      <c r="D62" s="2"/>
      <c r="E62" s="2"/>
      <c r="F62" s="2"/>
      <c r="G62" s="2"/>
      <c r="H62" s="2"/>
      <c r="I62" s="2"/>
      <c r="J62" s="402"/>
      <c r="K62" s="2"/>
      <c r="L62" s="2"/>
      <c r="M62" s="402"/>
      <c r="N62" s="2">
        <v>50</v>
      </c>
      <c r="O62" s="2"/>
      <c r="P62" s="2"/>
      <c r="Q62" s="2"/>
      <c r="R62" s="2"/>
      <c r="S62" s="2"/>
      <c r="T62" s="2"/>
      <c r="U62" s="2"/>
      <c r="V62" s="2"/>
      <c r="W62" s="3"/>
      <c r="X62" s="378"/>
      <c r="Y62" s="384"/>
      <c r="Z62" s="378"/>
      <c r="AA62" s="5"/>
      <c r="AB62" s="5"/>
      <c r="AC62" s="5"/>
      <c r="AD62" s="5"/>
      <c r="AE62" s="374"/>
      <c r="AF62"/>
    </row>
    <row r="63" spans="1:32" ht="15" customHeight="1" x14ac:dyDescent="0.2">
      <c r="A63" s="374" t="s">
        <v>78</v>
      </c>
      <c r="B63" s="3"/>
      <c r="C63" s="2"/>
      <c r="D63" s="2"/>
      <c r="E63" s="2">
        <v>40</v>
      </c>
      <c r="F63" s="2"/>
      <c r="G63" s="2"/>
      <c r="H63" s="2"/>
      <c r="I63" s="2"/>
      <c r="J63" s="402"/>
      <c r="K63" s="2"/>
      <c r="L63" s="2"/>
      <c r="M63" s="402"/>
      <c r="N63" s="2"/>
      <c r="O63" s="2"/>
      <c r="P63" s="2"/>
      <c r="Q63" s="2"/>
      <c r="R63" s="2"/>
      <c r="S63" s="2"/>
      <c r="T63" s="2"/>
      <c r="U63" s="2"/>
      <c r="V63" s="2"/>
      <c r="W63" s="3"/>
      <c r="X63" s="378"/>
      <c r="Y63" s="384"/>
      <c r="Z63" s="378"/>
      <c r="AA63" s="5"/>
      <c r="AB63" s="5"/>
      <c r="AC63" s="5"/>
      <c r="AD63" s="5"/>
      <c r="AE63" s="374"/>
      <c r="AF63"/>
    </row>
    <row r="64" spans="1:32" ht="15" customHeight="1" x14ac:dyDescent="0.2">
      <c r="A64" s="374" t="s">
        <v>79</v>
      </c>
      <c r="B64" s="3"/>
      <c r="C64" s="2"/>
      <c r="D64" s="2"/>
      <c r="E64" s="2"/>
      <c r="F64" s="2"/>
      <c r="G64" s="2"/>
      <c r="H64" s="2"/>
      <c r="I64" s="2"/>
      <c r="J64" s="402"/>
      <c r="K64" s="2"/>
      <c r="L64" s="2"/>
      <c r="M64" s="402">
        <v>20</v>
      </c>
      <c r="N64" s="2"/>
      <c r="O64" s="2"/>
      <c r="P64" s="2"/>
      <c r="Q64" s="2"/>
      <c r="R64" s="2"/>
      <c r="S64" s="2"/>
      <c r="T64" s="2"/>
      <c r="U64" s="2"/>
      <c r="V64" s="2"/>
      <c r="W64" s="3"/>
      <c r="X64" s="378"/>
      <c r="Y64" s="384"/>
      <c r="Z64" s="378"/>
      <c r="AA64" s="5"/>
      <c r="AB64" s="5"/>
      <c r="AC64" s="5"/>
      <c r="AD64" s="5"/>
      <c r="AE64" s="374"/>
      <c r="AF64"/>
    </row>
    <row r="65" spans="1:32" ht="15" customHeight="1" x14ac:dyDescent="0.2">
      <c r="A65" s="374" t="s">
        <v>80</v>
      </c>
      <c r="B65" s="3"/>
      <c r="C65" s="2"/>
      <c r="D65" s="2"/>
      <c r="E65" s="2"/>
      <c r="F65" s="2"/>
      <c r="G65" s="2"/>
      <c r="H65" s="2"/>
      <c r="I65" s="2"/>
      <c r="J65" s="402"/>
      <c r="K65" s="2">
        <v>40</v>
      </c>
      <c r="L65" s="2"/>
      <c r="M65" s="402"/>
      <c r="N65" s="2"/>
      <c r="O65" s="2"/>
      <c r="P65" s="2"/>
      <c r="Q65" s="2"/>
      <c r="R65" s="2"/>
      <c r="S65" s="2"/>
      <c r="T65" s="2"/>
      <c r="U65" s="2"/>
      <c r="V65" s="2"/>
      <c r="W65" s="3"/>
      <c r="X65" s="378"/>
      <c r="Y65" s="384"/>
      <c r="Z65" s="378"/>
      <c r="AA65" s="5"/>
      <c r="AB65" s="5"/>
      <c r="AC65" s="5"/>
      <c r="AD65" s="5"/>
      <c r="AE65" s="374"/>
      <c r="AF65"/>
    </row>
    <row r="66" spans="1:32" ht="15" customHeight="1" x14ac:dyDescent="0.2">
      <c r="A66" s="374" t="s">
        <v>81</v>
      </c>
      <c r="B66" s="3">
        <v>40</v>
      </c>
      <c r="C66" s="2">
        <v>40</v>
      </c>
      <c r="D66" s="2">
        <v>40</v>
      </c>
      <c r="E66" s="2">
        <v>40</v>
      </c>
      <c r="F66" s="2">
        <v>40</v>
      </c>
      <c r="G66" s="2">
        <v>40</v>
      </c>
      <c r="H66" s="2">
        <v>40</v>
      </c>
      <c r="I66" s="2">
        <v>40</v>
      </c>
      <c r="J66" s="402">
        <v>40</v>
      </c>
      <c r="K66" s="2">
        <v>40</v>
      </c>
      <c r="L66" s="2">
        <v>40</v>
      </c>
      <c r="M66" s="402">
        <v>40</v>
      </c>
      <c r="N66" s="2">
        <v>40</v>
      </c>
      <c r="O66" s="2">
        <v>40</v>
      </c>
      <c r="P66" s="2">
        <v>40</v>
      </c>
      <c r="Q66" s="2">
        <v>40</v>
      </c>
      <c r="R66" s="2">
        <v>40</v>
      </c>
      <c r="S66" s="2">
        <v>40</v>
      </c>
      <c r="T66" s="2">
        <v>40</v>
      </c>
      <c r="U66" s="2">
        <v>40</v>
      </c>
      <c r="V66" s="2">
        <v>40</v>
      </c>
      <c r="W66" s="3">
        <v>40</v>
      </c>
      <c r="X66" s="378"/>
      <c r="Y66" s="384"/>
      <c r="Z66" s="378"/>
      <c r="AA66" s="5"/>
      <c r="AB66" s="5"/>
      <c r="AC66" s="5"/>
      <c r="AD66" s="5"/>
      <c r="AE66" s="374"/>
      <c r="AF66"/>
    </row>
    <row r="67" spans="1:32" ht="15" customHeight="1" x14ac:dyDescent="0.2">
      <c r="A67" s="367" t="s">
        <v>82</v>
      </c>
      <c r="B67" s="412">
        <f t="shared" ref="B67:W67" si="22">B3-(B4+B46+B55+B58)</f>
        <v>50</v>
      </c>
      <c r="C67" s="413">
        <f t="shared" si="22"/>
        <v>30</v>
      </c>
      <c r="D67" s="413">
        <f t="shared" si="22"/>
        <v>50</v>
      </c>
      <c r="E67" s="413">
        <f t="shared" si="22"/>
        <v>240</v>
      </c>
      <c r="F67" s="413">
        <f t="shared" si="22"/>
        <v>165</v>
      </c>
      <c r="G67" s="413">
        <f t="shared" si="22"/>
        <v>30</v>
      </c>
      <c r="H67" s="413">
        <f t="shared" si="22"/>
        <v>130</v>
      </c>
      <c r="I67" s="413">
        <f t="shared" si="22"/>
        <v>90</v>
      </c>
      <c r="J67" s="414">
        <f t="shared" si="22"/>
        <v>135</v>
      </c>
      <c r="K67" s="413">
        <f t="shared" si="22"/>
        <v>75</v>
      </c>
      <c r="L67" s="413">
        <f t="shared" si="22"/>
        <v>60</v>
      </c>
      <c r="M67" s="414">
        <f t="shared" si="22"/>
        <v>190</v>
      </c>
      <c r="N67" s="413">
        <f t="shared" si="22"/>
        <v>180</v>
      </c>
      <c r="O67" s="413">
        <f t="shared" si="22"/>
        <v>115</v>
      </c>
      <c r="P67" s="413">
        <f t="shared" si="22"/>
        <v>60</v>
      </c>
      <c r="Q67" s="413">
        <f t="shared" si="22"/>
        <v>205</v>
      </c>
      <c r="R67" s="413">
        <f t="shared" si="22"/>
        <v>70</v>
      </c>
      <c r="S67" s="413">
        <f t="shared" si="22"/>
        <v>150</v>
      </c>
      <c r="T67" s="413">
        <f t="shared" si="22"/>
        <v>255</v>
      </c>
      <c r="U67" s="413">
        <f t="shared" si="22"/>
        <v>-48</v>
      </c>
      <c r="V67" s="413">
        <f t="shared" si="22"/>
        <v>30</v>
      </c>
      <c r="W67" s="412">
        <f t="shared" si="22"/>
        <v>10</v>
      </c>
      <c r="X67" s="415"/>
      <c r="Y67" s="416"/>
      <c r="Z67" s="400"/>
      <c r="AA67" s="387"/>
      <c r="AB67" s="387"/>
      <c r="AC67" s="387"/>
      <c r="AD67" s="387"/>
      <c r="AE67" s="386"/>
      <c r="AF67"/>
    </row>
    <row r="68" spans="1:32" ht="15" customHeight="1" x14ac:dyDescent="0.2">
      <c r="A68" s="374"/>
      <c r="B68" s="378"/>
      <c r="C68" s="378"/>
      <c r="D68" s="378"/>
      <c r="E68" s="378"/>
      <c r="F68" s="378"/>
      <c r="G68" s="378"/>
      <c r="H68" s="378"/>
      <c r="I68" s="378"/>
      <c r="J68" s="417"/>
      <c r="K68" s="378"/>
      <c r="L68" s="378"/>
      <c r="M68" s="417"/>
      <c r="N68" s="378"/>
      <c r="O68" s="378"/>
      <c r="P68" s="378"/>
      <c r="Q68" s="378"/>
      <c r="R68" s="378"/>
      <c r="S68" s="378"/>
      <c r="T68" s="378"/>
      <c r="U68" s="378"/>
      <c r="V68" s="378"/>
      <c r="W68" s="378"/>
      <c r="X68" s="378"/>
      <c r="Y68" s="378"/>
      <c r="Z68" s="378"/>
      <c r="AA68" s="5"/>
      <c r="AB68" s="5"/>
      <c r="AC68" s="5"/>
      <c r="AD68" s="5"/>
      <c r="AE68" s="374"/>
      <c r="AF68"/>
    </row>
    <row r="69" spans="1:32" ht="15" customHeight="1" x14ac:dyDescent="0.2">
      <c r="A69" s="374"/>
      <c r="B69" s="378"/>
      <c r="C69" s="378"/>
      <c r="D69" s="378"/>
      <c r="E69" s="378"/>
      <c r="F69" s="378"/>
      <c r="G69" s="378"/>
      <c r="H69" s="378"/>
      <c r="I69" s="378"/>
      <c r="J69" s="417"/>
      <c r="K69" s="378"/>
      <c r="L69" s="378"/>
      <c r="M69" s="417"/>
      <c r="N69" s="378"/>
      <c r="O69" s="378"/>
      <c r="P69" s="378"/>
      <c r="Q69" s="378"/>
      <c r="R69" s="378"/>
      <c r="S69" s="378"/>
      <c r="T69" s="378"/>
      <c r="U69" s="378"/>
      <c r="V69" s="378"/>
      <c r="W69" s="378"/>
      <c r="X69" s="378"/>
      <c r="Y69" s="378"/>
      <c r="Z69" s="384"/>
      <c r="AA69" s="5"/>
      <c r="AB69" s="5"/>
      <c r="AC69" s="5"/>
      <c r="AD69" s="5"/>
      <c r="AE69" s="5"/>
      <c r="AF69"/>
    </row>
    <row r="70" spans="1:32" ht="1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</row>
    <row r="71" spans="1:32" ht="1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</row>
    <row r="72" spans="1:32" ht="1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</row>
    <row r="73" spans="1:32" ht="1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</row>
    <row r="74" spans="1:32" ht="1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</row>
    <row r="75" spans="1:32" ht="1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</row>
    <row r="76" spans="1:32" ht="1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</row>
    <row r="77" spans="1:32" ht="1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</row>
    <row r="78" spans="1:32" ht="1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</row>
    <row r="79" spans="1:32" ht="1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</row>
    <row r="80" spans="1:32" ht="1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</row>
    <row r="81" spans="1:32" ht="1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</row>
  </sheetData>
  <sortState xmlns:xlrd2="http://schemas.microsoft.com/office/spreadsheetml/2017/richdata2" columnSort="1" ref="B2:X80">
    <sortCondition ref="B2:X2"/>
  </sortState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7AC230-6122-4548-B1A1-BBE8637F5731}">
  <sheetPr codeName="Sheet2"/>
  <dimension ref="B1:N86"/>
  <sheetViews>
    <sheetView workbookViewId="0">
      <selection activeCell="L50" sqref="L50"/>
    </sheetView>
  </sheetViews>
  <sheetFormatPr baseColWidth="10" defaultColWidth="10.83203125" defaultRowHeight="15" x14ac:dyDescent="0.2"/>
  <cols>
    <col min="1" max="1" width="4.1640625" style="107" customWidth="1"/>
    <col min="2" max="2" width="10.83203125" style="107"/>
    <col min="3" max="3" width="46.1640625" style="107" bestFit="1" customWidth="1"/>
    <col min="4" max="4" width="10.83203125" style="107"/>
    <col min="5" max="5" width="4.1640625" style="107" customWidth="1"/>
    <col min="6" max="10" width="10.83203125" style="107"/>
    <col min="11" max="11" width="4.1640625" style="107" customWidth="1"/>
    <col min="12" max="12" width="18.6640625" style="107" bestFit="1" customWidth="1"/>
    <col min="13" max="16384" width="10.83203125" style="107"/>
  </cols>
  <sheetData>
    <row r="1" spans="2:14" ht="16.25" customHeight="1" thickBot="1" x14ac:dyDescent="0.25">
      <c r="C1" s="236"/>
    </row>
    <row r="2" spans="2:14" s="108" customFormat="1" ht="16" thickBot="1" x14ac:dyDescent="0.25">
      <c r="B2" s="122" t="s">
        <v>120</v>
      </c>
      <c r="C2" s="123" t="s">
        <v>121</v>
      </c>
      <c r="D2" s="124" t="s">
        <v>122</v>
      </c>
      <c r="F2" s="125">
        <v>1</v>
      </c>
      <c r="G2" s="126">
        <v>2</v>
      </c>
      <c r="H2" s="126">
        <v>3</v>
      </c>
      <c r="I2" s="126">
        <v>4</v>
      </c>
      <c r="J2" s="127" t="s">
        <v>123</v>
      </c>
      <c r="L2" s="218" t="s">
        <v>347</v>
      </c>
      <c r="M2" s="242">
        <v>46419</v>
      </c>
      <c r="N2" s="203"/>
    </row>
    <row r="3" spans="2:14" x14ac:dyDescent="0.2">
      <c r="B3" s="492">
        <v>1</v>
      </c>
      <c r="C3" s="113" t="str" cm="1">
        <f t="array" ref="C3:C6">Ressourcer!A7:A10</f>
        <v>Grundlæggende økonomi- og forretningsforståelse</v>
      </c>
      <c r="D3" s="188" t="s">
        <v>124</v>
      </c>
      <c r="F3" s="170" t="str" cm="1">
        <f t="array" ref="F3:F12">_xlfn._xlws.FILTER(_xlfn.VSTACK(D3:D6,D27:D40), _xlfn.VSTACK(D3:D6,D27:D40)&lt;&gt;"" )</f>
        <v>ØKO</v>
      </c>
      <c r="G3" s="171" t="str" cm="1">
        <f t="array" ref="G3:G12">_xlfn._xlws.FILTER(_xlfn.VSTACK(D7:D10,D27:D40), _xlfn.VSTACK(D7:D10,D27:D40)&lt;&gt;"" )</f>
        <v>DRIFT</v>
      </c>
      <c r="H3" s="171" t="str" cm="1">
        <f t="array" ref="H3:H12">_xlfn._xlws.FILTER(_xlfn.VSTACK(D11:D14,D27:D40), _xlfn.VSTACK(D11:D14,D27:D40)&lt;&gt;"" )</f>
        <v>INNOV</v>
      </c>
      <c r="I3" s="171" t="str" cm="1">
        <f t="array" ref="I3:I11">_xlfn._xlws.FILTER(_xlfn.VSTACK(D15:D18,D27:D40), _xlfn.VSTACK(D15:D18,D27:D40)&lt;&gt;"" )</f>
        <v>RESIL</v>
      </c>
      <c r="J3" s="172" t="str" cm="1">
        <f t="array" ref="J3:J14">_xlfn._xlws.FILTER(_xlfn.VSTACK(Data!D19:D26,Data!D27:D40), _xlfn.VSTACK(Data!D19:D26,Data!D27:D40)&lt;&gt;"" )</f>
        <v>SAP</v>
      </c>
      <c r="L3" s="216"/>
      <c r="M3" s="217"/>
      <c r="N3" s="203"/>
    </row>
    <row r="4" spans="2:14" x14ac:dyDescent="0.2">
      <c r="B4" s="493"/>
      <c r="C4" s="110" t="str">
        <v>Analyse og metode</v>
      </c>
      <c r="D4" s="157" t="s">
        <v>125</v>
      </c>
      <c r="F4" s="173" t="str">
        <v>ANALYSE</v>
      </c>
      <c r="G4" s="174" t="str">
        <v>ARKIT</v>
      </c>
      <c r="H4" s="174" t="str">
        <v>PROCES</v>
      </c>
      <c r="I4" s="175" t="str">
        <v>DIGTRA</v>
      </c>
      <c r="J4" s="161" t="str">
        <v>AIPRAK</v>
      </c>
      <c r="L4" s="204" t="s">
        <v>126</v>
      </c>
      <c r="M4" s="205">
        <v>46468</v>
      </c>
      <c r="N4" s="203"/>
    </row>
    <row r="5" spans="2:14" x14ac:dyDescent="0.2">
      <c r="B5" s="493"/>
      <c r="C5" s="110" t="str">
        <v>Agile metoder</v>
      </c>
      <c r="D5" s="157" t="s">
        <v>127</v>
      </c>
      <c r="F5" s="173" t="str">
        <v>AGILE</v>
      </c>
      <c r="G5" s="174" t="str">
        <v>PROJEKT</v>
      </c>
      <c r="H5" s="174" t="str">
        <v>DIGORG</v>
      </c>
      <c r="I5" s="175" t="str">
        <v>LØSNING</v>
      </c>
      <c r="J5" s="162" t="str">
        <v>VIDEN</v>
      </c>
      <c r="L5" s="204" t="s">
        <v>128</v>
      </c>
      <c r="M5" s="205">
        <v>46469</v>
      </c>
      <c r="N5" s="203"/>
    </row>
    <row r="6" spans="2:14" ht="16" thickBot="1" x14ac:dyDescent="0.25">
      <c r="B6" s="494"/>
      <c r="C6" s="111" t="str">
        <v>Data- og IT-forståelse</v>
      </c>
      <c r="D6" s="189" t="s">
        <v>129</v>
      </c>
      <c r="F6" s="176" t="str">
        <v>DATA</v>
      </c>
      <c r="G6" s="177" t="str">
        <v>DATARK</v>
      </c>
      <c r="H6" s="177" t="str">
        <v>TEKDAT</v>
      </c>
      <c r="I6" s="178" t="str">
        <v>COACH</v>
      </c>
      <c r="J6" s="163" t="str">
        <v>KONSUL</v>
      </c>
      <c r="L6" s="204" t="s">
        <v>130</v>
      </c>
      <c r="M6" s="205">
        <v>46470</v>
      </c>
      <c r="N6" s="203"/>
    </row>
    <row r="7" spans="2:14" x14ac:dyDescent="0.2">
      <c r="B7" s="495">
        <v>2</v>
      </c>
      <c r="C7" s="112" t="str" cm="1">
        <f t="array" ref="C7:C10">Ressourcer!A12:A15</f>
        <v>Drift og forretningsanalyse</v>
      </c>
      <c r="D7" s="156" t="s">
        <v>11</v>
      </c>
      <c r="F7" s="179" t="str">
        <v>COACH</v>
      </c>
      <c r="G7" s="178" t="str">
        <v>COACH</v>
      </c>
      <c r="H7" s="178" t="str">
        <v>COACH</v>
      </c>
      <c r="I7" s="178" t="str">
        <v>CASEPRÆS</v>
      </c>
      <c r="J7" s="164" t="str">
        <v>DIGMARK</v>
      </c>
      <c r="L7" s="204" t="s">
        <v>131</v>
      </c>
      <c r="M7" s="205">
        <v>46471</v>
      </c>
      <c r="N7" s="203"/>
    </row>
    <row r="8" spans="2:14" x14ac:dyDescent="0.2">
      <c r="B8" s="493"/>
      <c r="C8" s="110" t="str">
        <v>Forretningsarkitektur</v>
      </c>
      <c r="D8" s="157" t="s">
        <v>13</v>
      </c>
      <c r="F8" s="179" t="str">
        <v>CASEPRÆS</v>
      </c>
      <c r="G8" s="178" t="str">
        <v>CASEPRÆS</v>
      </c>
      <c r="H8" s="178" t="str">
        <v>CASEPRÆS</v>
      </c>
      <c r="I8" s="178" t="str">
        <v>FEEDBACK</v>
      </c>
      <c r="J8" s="165" t="str">
        <v>KOMPLKS</v>
      </c>
      <c r="L8" s="204" t="s">
        <v>132</v>
      </c>
      <c r="M8" s="205">
        <v>46472</v>
      </c>
      <c r="N8" s="203"/>
    </row>
    <row r="9" spans="2:14" x14ac:dyDescent="0.2">
      <c r="B9" s="493"/>
      <c r="C9" s="110" t="str">
        <v>Projektstyring</v>
      </c>
      <c r="D9" s="157" t="s">
        <v>9</v>
      </c>
      <c r="F9" s="179" t="str">
        <v>FEEDBACK</v>
      </c>
      <c r="G9" s="178" t="str">
        <v>FEEDBACK</v>
      </c>
      <c r="H9" s="178" t="str">
        <v>FEEDBACK</v>
      </c>
      <c r="I9" s="178" t="str">
        <v>ØVELSER</v>
      </c>
      <c r="J9" s="166" t="str">
        <v>COACH</v>
      </c>
      <c r="L9" s="204" t="s">
        <v>133</v>
      </c>
      <c r="M9" s="205">
        <v>46475</v>
      </c>
    </row>
    <row r="10" spans="2:14" ht="16" thickBot="1" x14ac:dyDescent="0.25">
      <c r="B10" s="496"/>
      <c r="C10" s="190" t="str">
        <v>Datahåndtering og arkitektur</v>
      </c>
      <c r="D10" s="158" t="s">
        <v>10</v>
      </c>
      <c r="F10" s="179" t="str">
        <v>ØVELSER</v>
      </c>
      <c r="G10" s="178" t="str">
        <v>ØVELSER</v>
      </c>
      <c r="H10" s="178" t="str">
        <v>ØVELSER</v>
      </c>
      <c r="I10" s="180" t="str">
        <v>EKSAM</v>
      </c>
      <c r="J10" s="166" t="str">
        <v>CASEPRÆS</v>
      </c>
      <c r="L10" s="204"/>
      <c r="M10" s="205"/>
    </row>
    <row r="11" spans="2:14" x14ac:dyDescent="0.2">
      <c r="B11" s="488">
        <v>3</v>
      </c>
      <c r="C11" s="113" t="str" cm="1">
        <f t="array" ref="C11:C14">Ressourcer!A17:A20</f>
        <v>Forretningsstrategi og innovation</v>
      </c>
      <c r="D11" s="188" t="s">
        <v>134</v>
      </c>
      <c r="F11" s="181" t="str">
        <v>EKSAM</v>
      </c>
      <c r="G11" s="180" t="str">
        <v>EKSAM</v>
      </c>
      <c r="H11" s="180" t="str">
        <v>EKSAM</v>
      </c>
      <c r="I11" s="182" t="str">
        <v>INTRO</v>
      </c>
      <c r="J11" s="166" t="str">
        <v>FEEDBACK</v>
      </c>
      <c r="L11" s="204" t="s">
        <v>135</v>
      </c>
      <c r="M11" s="205">
        <v>46513</v>
      </c>
    </row>
    <row r="12" spans="2:14" x14ac:dyDescent="0.2">
      <c r="B12" s="489"/>
      <c r="C12" s="110" t="str">
        <v>Processtyring</v>
      </c>
      <c r="D12" s="157" t="s">
        <v>136</v>
      </c>
      <c r="F12" s="183" t="str">
        <v>INTRO</v>
      </c>
      <c r="G12" s="182" t="str">
        <v>INTRO</v>
      </c>
      <c r="H12" s="182" t="str">
        <v>INTRO</v>
      </c>
      <c r="I12" s="114"/>
      <c r="J12" s="166" t="str">
        <v>ØVELSER</v>
      </c>
      <c r="L12" s="204" t="s">
        <v>137</v>
      </c>
      <c r="M12" s="205">
        <v>46514</v>
      </c>
    </row>
    <row r="13" spans="2:14" x14ac:dyDescent="0.2">
      <c r="B13" s="489"/>
      <c r="C13" s="110" t="str">
        <v>Den digitale organisation</v>
      </c>
      <c r="D13" s="157" t="s">
        <v>138</v>
      </c>
      <c r="F13" s="184"/>
      <c r="G13" s="114"/>
      <c r="H13" s="114"/>
      <c r="I13" s="114"/>
      <c r="J13" s="167" t="str">
        <v>EKSAM</v>
      </c>
      <c r="L13" s="204" t="s">
        <v>362</v>
      </c>
      <c r="M13" s="205">
        <v>46523</v>
      </c>
    </row>
    <row r="14" spans="2:14" ht="16" thickBot="1" x14ac:dyDescent="0.25">
      <c r="B14" s="490"/>
      <c r="C14" s="111" t="str">
        <v>Teknologi- og dataintegration</v>
      </c>
      <c r="D14" s="189" t="s">
        <v>140</v>
      </c>
      <c r="F14" s="184"/>
      <c r="G14" s="114"/>
      <c r="H14" s="114"/>
      <c r="I14" s="114"/>
      <c r="J14" s="185" t="str">
        <v>INTRO</v>
      </c>
      <c r="L14" s="204" t="s">
        <v>139</v>
      </c>
      <c r="M14" s="205">
        <v>46524</v>
      </c>
    </row>
    <row r="15" spans="2:14" x14ac:dyDescent="0.2">
      <c r="B15" s="491">
        <v>4</v>
      </c>
      <c r="C15" s="112" t="str" cm="1">
        <f t="array" ref="C15:C17">Ressourcer!A23:A25</f>
        <v>Digital resiliens</v>
      </c>
      <c r="D15" s="156" t="s">
        <v>141</v>
      </c>
      <c r="F15" s="184"/>
      <c r="G15" s="114"/>
      <c r="H15" s="114"/>
      <c r="I15" s="114"/>
      <c r="J15" s="160"/>
      <c r="L15" s="204" t="s">
        <v>142</v>
      </c>
      <c r="M15" s="205"/>
    </row>
    <row r="16" spans="2:14" x14ac:dyDescent="0.2">
      <c r="B16" s="489"/>
      <c r="C16" s="110" t="str">
        <v>Digital transformation og ledelse</v>
      </c>
      <c r="D16" s="159" t="s">
        <v>143</v>
      </c>
      <c r="F16" s="184"/>
      <c r="G16" s="114"/>
      <c r="H16" s="114"/>
      <c r="I16" s="114"/>
      <c r="J16" s="160"/>
      <c r="L16" s="204" t="s">
        <v>144</v>
      </c>
      <c r="M16" s="205"/>
    </row>
    <row r="17" spans="2:13" x14ac:dyDescent="0.2">
      <c r="B17" s="489"/>
      <c r="C17" s="110" t="str">
        <v>Analyse og specificering af digitale løsninger</v>
      </c>
      <c r="D17" s="159" t="s">
        <v>145</v>
      </c>
      <c r="F17" s="184"/>
      <c r="G17" s="114"/>
      <c r="H17" s="114"/>
      <c r="I17" s="114"/>
      <c r="J17" s="160"/>
      <c r="L17" s="204"/>
      <c r="M17" s="205"/>
    </row>
    <row r="18" spans="2:13" ht="16" thickBot="1" x14ac:dyDescent="0.25">
      <c r="B18" s="497"/>
      <c r="C18" s="190"/>
      <c r="D18" s="191"/>
      <c r="F18" s="184"/>
      <c r="G18" s="114"/>
      <c r="H18" s="114"/>
      <c r="I18" s="114"/>
      <c r="J18" s="160"/>
      <c r="L18" s="204" t="s">
        <v>146</v>
      </c>
      <c r="M18" s="205"/>
    </row>
    <row r="19" spans="2:13" x14ac:dyDescent="0.2">
      <c r="B19" s="488" t="s">
        <v>147</v>
      </c>
      <c r="C19" s="113" t="str" cm="1">
        <f t="array" ref="C19:C24">Ressourcer!A29:A34</f>
        <v>Valgfag: SAP</v>
      </c>
      <c r="D19" s="172" t="s">
        <v>148</v>
      </c>
      <c r="F19" s="184"/>
      <c r="G19" s="114"/>
      <c r="H19" s="114"/>
      <c r="I19" s="114"/>
      <c r="J19" s="160"/>
      <c r="L19" s="204" t="s">
        <v>149</v>
      </c>
      <c r="M19" s="205"/>
    </row>
    <row r="20" spans="2:13" x14ac:dyDescent="0.2">
      <c r="B20" s="489"/>
      <c r="C20" s="110" t="str">
        <v>Valgfag: AI i praksis</v>
      </c>
      <c r="D20" s="161" t="s">
        <v>150</v>
      </c>
      <c r="F20" s="184"/>
      <c r="G20" s="114"/>
      <c r="H20" s="114"/>
      <c r="I20" s="114"/>
      <c r="J20" s="160"/>
      <c r="L20" s="204" t="s">
        <v>151</v>
      </c>
      <c r="M20" s="205"/>
    </row>
    <row r="21" spans="2:13" x14ac:dyDescent="0.2">
      <c r="B21" s="489"/>
      <c r="C21" s="110" t="str">
        <v>Valgfag: Videnskabsteori og videnskabelig metode</v>
      </c>
      <c r="D21" s="162" t="s">
        <v>152</v>
      </c>
      <c r="F21" s="184"/>
      <c r="G21" s="114"/>
      <c r="H21" s="114"/>
      <c r="I21" s="114"/>
      <c r="J21" s="160"/>
      <c r="L21" s="204" t="s">
        <v>153</v>
      </c>
      <c r="M21" s="205"/>
    </row>
    <row r="22" spans="2:13" x14ac:dyDescent="0.2">
      <c r="B22" s="489"/>
      <c r="C22" s="110" t="str">
        <v>Valgfag: Internationalt valgfag</v>
      </c>
      <c r="D22" s="163" t="s">
        <v>154</v>
      </c>
      <c r="F22" s="184"/>
      <c r="G22" s="114"/>
      <c r="H22" s="114"/>
      <c r="I22" s="114"/>
      <c r="J22" s="160"/>
      <c r="L22" s="204" t="s">
        <v>155</v>
      </c>
      <c r="M22" s="205"/>
    </row>
    <row r="23" spans="2:13" x14ac:dyDescent="0.2">
      <c r="B23" s="489"/>
      <c r="C23" s="110" t="str">
        <v>Valgfag: E-handel og digital marketing</v>
      </c>
      <c r="D23" s="164" t="s">
        <v>156</v>
      </c>
      <c r="F23" s="184"/>
      <c r="G23" s="114"/>
      <c r="H23" s="114"/>
      <c r="I23" s="114"/>
      <c r="J23" s="160"/>
      <c r="L23" s="204" t="s">
        <v>157</v>
      </c>
      <c r="M23" s="205"/>
    </row>
    <row r="24" spans="2:13" x14ac:dyDescent="0.2">
      <c r="B24" s="489"/>
      <c r="C24" s="110" t="str">
        <v>Design, konstruktion og implementering af digitale løsninger</v>
      </c>
      <c r="D24" s="165" t="s">
        <v>158</v>
      </c>
      <c r="F24" s="184"/>
      <c r="G24" s="114"/>
      <c r="H24" s="114"/>
      <c r="I24" s="114"/>
      <c r="J24" s="160"/>
      <c r="L24" s="204"/>
      <c r="M24" s="205"/>
    </row>
    <row r="25" spans="2:13" x14ac:dyDescent="0.2">
      <c r="B25" s="489"/>
      <c r="C25" s="110"/>
      <c r="D25" s="160"/>
      <c r="F25" s="184"/>
      <c r="G25" s="114"/>
      <c r="H25" s="114"/>
      <c r="I25" s="114"/>
      <c r="J25" s="160"/>
      <c r="L25" s="204" t="s">
        <v>159</v>
      </c>
      <c r="M25" s="205"/>
    </row>
    <row r="26" spans="2:13" ht="16" thickBot="1" x14ac:dyDescent="0.25">
      <c r="B26" s="490"/>
      <c r="C26" s="111"/>
      <c r="D26" s="169"/>
      <c r="F26" s="184"/>
      <c r="G26" s="114"/>
      <c r="H26" s="114"/>
      <c r="I26" s="114"/>
      <c r="J26" s="160"/>
      <c r="L26" s="204" t="s">
        <v>160</v>
      </c>
      <c r="M26" s="205"/>
    </row>
    <row r="27" spans="2:13" x14ac:dyDescent="0.2">
      <c r="B27" s="491" t="s">
        <v>161</v>
      </c>
      <c r="C27" s="112" t="s">
        <v>162</v>
      </c>
      <c r="D27" s="192" t="s">
        <v>12</v>
      </c>
      <c r="F27" s="184"/>
      <c r="G27" s="114"/>
      <c r="H27" s="114"/>
      <c r="I27" s="114"/>
      <c r="J27" s="160"/>
      <c r="L27" s="204"/>
      <c r="M27" s="205"/>
    </row>
    <row r="28" spans="2:13" x14ac:dyDescent="0.2">
      <c r="B28" s="489"/>
      <c r="C28" s="110" t="s">
        <v>163</v>
      </c>
      <c r="D28" s="166" t="s">
        <v>8</v>
      </c>
      <c r="F28" s="184"/>
      <c r="G28" s="114"/>
      <c r="H28" s="114"/>
      <c r="I28" s="114"/>
      <c r="J28" s="160"/>
      <c r="L28" s="204" t="s">
        <v>164</v>
      </c>
      <c r="M28" s="205"/>
    </row>
    <row r="29" spans="2:13" x14ac:dyDescent="0.2">
      <c r="B29" s="489"/>
      <c r="C29" s="110" t="s">
        <v>165</v>
      </c>
      <c r="D29" s="166" t="s">
        <v>20</v>
      </c>
      <c r="F29" s="184"/>
      <c r="G29" s="114"/>
      <c r="H29" s="114"/>
      <c r="I29" s="114"/>
      <c r="J29" s="160"/>
      <c r="L29" s="204" t="s">
        <v>166</v>
      </c>
      <c r="M29" s="205"/>
    </row>
    <row r="30" spans="2:13" x14ac:dyDescent="0.2">
      <c r="B30" s="489"/>
      <c r="C30" s="110" t="s">
        <v>167</v>
      </c>
      <c r="D30" s="166" t="s">
        <v>39</v>
      </c>
      <c r="F30" s="184"/>
      <c r="G30" s="114"/>
      <c r="H30" s="114"/>
      <c r="I30" s="114"/>
      <c r="J30" s="160"/>
      <c r="L30" s="204"/>
      <c r="M30" s="205"/>
    </row>
    <row r="31" spans="2:13" x14ac:dyDescent="0.2">
      <c r="B31" s="489"/>
      <c r="C31" s="110" t="s">
        <v>168</v>
      </c>
      <c r="D31" s="167" t="s">
        <v>14</v>
      </c>
      <c r="F31" s="184"/>
      <c r="G31" s="114"/>
      <c r="H31" s="114"/>
      <c r="I31" s="114"/>
      <c r="J31" s="160"/>
      <c r="L31" s="204" t="s">
        <v>169</v>
      </c>
      <c r="M31" s="205"/>
    </row>
    <row r="32" spans="2:13" x14ac:dyDescent="0.2">
      <c r="B32" s="489"/>
      <c r="C32" s="110" t="s">
        <v>170</v>
      </c>
      <c r="D32" s="168" t="s">
        <v>171</v>
      </c>
      <c r="F32" s="184"/>
      <c r="G32" s="114"/>
      <c r="H32" s="114"/>
      <c r="I32" s="114"/>
      <c r="J32" s="160"/>
      <c r="L32" s="204" t="s">
        <v>172</v>
      </c>
      <c r="M32" s="205"/>
    </row>
    <row r="33" spans="2:14" x14ac:dyDescent="0.2">
      <c r="B33" s="489"/>
      <c r="C33" s="110"/>
      <c r="D33" s="160"/>
      <c r="F33" s="184"/>
      <c r="G33" s="114"/>
      <c r="H33" s="114"/>
      <c r="I33" s="114"/>
      <c r="J33" s="160"/>
      <c r="L33" s="204" t="s">
        <v>173</v>
      </c>
      <c r="M33" s="205"/>
    </row>
    <row r="34" spans="2:14" x14ac:dyDescent="0.2">
      <c r="B34" s="489"/>
      <c r="C34" s="110"/>
      <c r="D34" s="160"/>
      <c r="F34" s="184"/>
      <c r="G34" s="114"/>
      <c r="H34" s="114"/>
      <c r="I34" s="114"/>
      <c r="J34" s="160"/>
      <c r="L34" s="204" t="s">
        <v>174</v>
      </c>
      <c r="M34" s="205"/>
    </row>
    <row r="35" spans="2:14" ht="16" thickBot="1" x14ac:dyDescent="0.25">
      <c r="B35" s="489"/>
      <c r="C35" s="110"/>
      <c r="D35" s="160"/>
      <c r="F35" s="184"/>
      <c r="G35" s="114"/>
      <c r="H35" s="114"/>
      <c r="I35" s="114"/>
      <c r="J35" s="160"/>
      <c r="L35" s="206" t="s">
        <v>175</v>
      </c>
      <c r="M35" s="207"/>
    </row>
    <row r="36" spans="2:14" x14ac:dyDescent="0.2">
      <c r="B36" s="489"/>
      <c r="C36" s="110"/>
      <c r="D36" s="160"/>
      <c r="F36" s="184"/>
      <c r="G36" s="114"/>
      <c r="H36" s="114"/>
      <c r="I36" s="114"/>
      <c r="J36" s="160"/>
    </row>
    <row r="37" spans="2:14" x14ac:dyDescent="0.2">
      <c r="B37" s="489"/>
      <c r="C37" s="110"/>
      <c r="D37" s="160"/>
      <c r="F37" s="184"/>
      <c r="G37" s="114"/>
      <c r="H37" s="114"/>
      <c r="I37" s="114"/>
      <c r="J37" s="160"/>
    </row>
    <row r="38" spans="2:14" x14ac:dyDescent="0.2">
      <c r="B38" s="489"/>
      <c r="C38" s="110"/>
      <c r="D38" s="160"/>
      <c r="F38" s="184"/>
      <c r="G38" s="114"/>
      <c r="H38" s="114"/>
      <c r="I38" s="114"/>
      <c r="J38" s="160"/>
    </row>
    <row r="39" spans="2:14" x14ac:dyDescent="0.2">
      <c r="B39" s="489"/>
      <c r="C39" s="110"/>
      <c r="D39" s="160"/>
      <c r="F39" s="184"/>
      <c r="G39" s="114"/>
      <c r="H39" s="114"/>
      <c r="I39" s="114"/>
      <c r="J39" s="160"/>
    </row>
    <row r="40" spans="2:14" ht="16" thickBot="1" x14ac:dyDescent="0.25">
      <c r="B40" s="490"/>
      <c r="C40" s="111"/>
      <c r="D40" s="169"/>
      <c r="F40" s="186"/>
      <c r="G40" s="187"/>
      <c r="H40" s="187"/>
      <c r="I40" s="187"/>
      <c r="J40" s="169"/>
      <c r="N40" s="107" t="s">
        <v>388</v>
      </c>
    </row>
    <row r="41" spans="2:14" ht="16" thickBot="1" x14ac:dyDescent="0.25">
      <c r="B41" s="109"/>
    </row>
    <row r="42" spans="2:14" ht="16" thickBot="1" x14ac:dyDescent="0.25">
      <c r="B42" s="195" t="s">
        <v>176</v>
      </c>
      <c r="C42" s="196">
        <v>2026</v>
      </c>
      <c r="D42" s="143" t="s">
        <v>177</v>
      </c>
    </row>
    <row r="43" spans="2:14" x14ac:dyDescent="0.2">
      <c r="B43" s="128" t="s">
        <v>178</v>
      </c>
      <c r="C43" s="197" t="b">
        <v>0</v>
      </c>
      <c r="D43" s="483" t="b">
        <v>0</v>
      </c>
    </row>
    <row r="44" spans="2:14" ht="16" thickBot="1" x14ac:dyDescent="0.25">
      <c r="B44" s="129" t="s">
        <v>179</v>
      </c>
      <c r="C44" s="155" t="b">
        <v>1</v>
      </c>
      <c r="D44" s="484"/>
    </row>
    <row r="45" spans="2:14" ht="16" thickBot="1" x14ac:dyDescent="0.25"/>
    <row r="46" spans="2:14" ht="16" thickBot="1" x14ac:dyDescent="0.25">
      <c r="B46" s="122" t="s">
        <v>120</v>
      </c>
      <c r="C46" s="123" t="s">
        <v>87</v>
      </c>
      <c r="D46" s="133" t="s">
        <v>180</v>
      </c>
      <c r="F46" s="241" t="s">
        <v>120</v>
      </c>
      <c r="G46" s="498" t="s">
        <v>224</v>
      </c>
      <c r="H46" s="499"/>
      <c r="I46" s="499"/>
      <c r="J46" s="500"/>
    </row>
    <row r="47" spans="2:14" ht="15" customHeight="1" x14ac:dyDescent="0.2">
      <c r="B47" s="479">
        <v>1</v>
      </c>
      <c r="C47" s="193" t="str">
        <f>"ØIT-GBG-DA-" &amp; IF(C43=TRUE,"F",IF(C44=TRUE,"E",""))&amp; RIGHT(C42,LEN(C42)-2)&amp; IF(D43=TRUE,"A","")</f>
        <v>ØIT-GBG-DA-E26</v>
      </c>
      <c r="D47" s="485" t="b">
        <v>1</v>
      </c>
      <c r="F47" s="636">
        <v>1</v>
      </c>
      <c r="G47" s="638" t="s">
        <v>389</v>
      </c>
      <c r="H47" s="501"/>
      <c r="I47" s="501"/>
      <c r="J47" s="502"/>
    </row>
    <row r="48" spans="2:14" ht="16" customHeight="1" thickBot="1" x14ac:dyDescent="0.25">
      <c r="B48" s="480"/>
      <c r="C48" s="117" t="str">
        <f>IF(D43=FALSE,"","ØIT-GBG-DA-" &amp; IF(C43=TRUE,"F",IF(C44=TRUE,"E",""))&amp; RIGHT(C42,LEN(C42)-2)&amp; "B")</f>
        <v/>
      </c>
      <c r="D48" s="486"/>
      <c r="F48" s="640"/>
      <c r="G48" s="643"/>
      <c r="H48" s="642"/>
      <c r="I48" s="642"/>
      <c r="J48" s="644"/>
    </row>
    <row r="49" spans="2:10" ht="15" customHeight="1" x14ac:dyDescent="0.2">
      <c r="B49" s="481">
        <v>2</v>
      </c>
      <c r="C49" s="149" t="str">
        <f>"ØIT-GBG-DA-" &amp; IF(C43=TRUE,"E",IF(C44=TRUE,"F",""))&amp; RIGHT(C42-1,LEN(C42)-2)&amp; IF(D43=FALSE,"A","")</f>
        <v>ØIT-GBG-DA-F25A</v>
      </c>
      <c r="D49" s="487" t="b">
        <v>1</v>
      </c>
      <c r="F49" s="636">
        <v>2</v>
      </c>
      <c r="G49" s="643" t="s">
        <v>387</v>
      </c>
      <c r="H49" s="642"/>
      <c r="I49" s="642"/>
      <c r="J49" s="644"/>
    </row>
    <row r="50" spans="2:10" ht="16" customHeight="1" thickBot="1" x14ac:dyDescent="0.25">
      <c r="B50" s="482"/>
      <c r="C50" s="194" t="str">
        <f>IF(D43=TRUE,"","ØIT-GBG-DA-" &amp; IF(C43=TRUE,"E",IF(C44=TRUE,"F",""))&amp; RIGHT(C42-1,LEN(C42)-2)&amp; "B")</f>
        <v>ØIT-GBG-DA-F25B</v>
      </c>
      <c r="D50" s="487"/>
      <c r="F50" s="637"/>
      <c r="G50" s="643"/>
      <c r="H50" s="642"/>
      <c r="I50" s="642"/>
      <c r="J50" s="644"/>
    </row>
    <row r="51" spans="2:10" ht="15" customHeight="1" x14ac:dyDescent="0.2">
      <c r="B51" s="479">
        <v>3</v>
      </c>
      <c r="C51" s="193" t="str">
        <f>"ØIT-GBG-DA-" &amp; IF(C43=TRUE,"F",IF(C44=TRUE,"E",""))&amp; RIGHT(C42-1,LEN(C42)-2)&amp; IF(D43=TRUE,"A","")</f>
        <v>ØIT-GBG-DA-E25</v>
      </c>
      <c r="D51" s="485" t="b">
        <v>1</v>
      </c>
      <c r="F51" s="641">
        <v>3</v>
      </c>
      <c r="G51" s="643" t="s">
        <v>389</v>
      </c>
      <c r="H51" s="642"/>
      <c r="I51" s="642"/>
      <c r="J51" s="644"/>
    </row>
    <row r="52" spans="2:10" ht="16" customHeight="1" thickBot="1" x14ac:dyDescent="0.25">
      <c r="B52" s="480"/>
      <c r="C52" s="117" t="str">
        <f>IF(D43=FALSE,"","ØIT-GBG-DA-" &amp; IF(C43=TRUE,"F",IF(C44=TRUE,"E",""))&amp; RIGHT(C42-1,LEN(C42)-2)&amp; "B")</f>
        <v/>
      </c>
      <c r="D52" s="486"/>
      <c r="F52" s="640"/>
      <c r="G52" s="643"/>
      <c r="H52" s="642"/>
      <c r="I52" s="642"/>
      <c r="J52" s="644"/>
    </row>
    <row r="53" spans="2:10" ht="15" customHeight="1" x14ac:dyDescent="0.2">
      <c r="B53" s="481">
        <v>4</v>
      </c>
      <c r="C53" s="149" t="str">
        <f>"ØIT-GBG-DA-" &amp; IF(C43=TRUE,"E",IF(C44=TRUE,"F",""))&amp; RIGHT(C42-2,LEN(C42)-2)&amp; IF(D43=FALSE,"A","")</f>
        <v>ØIT-GBG-DA-F24A</v>
      </c>
      <c r="D53" s="487" t="b">
        <v>1</v>
      </c>
      <c r="F53" s="636">
        <v>4</v>
      </c>
      <c r="G53" s="643" t="s">
        <v>387</v>
      </c>
      <c r="H53" s="642"/>
      <c r="I53" s="642"/>
      <c r="J53" s="644"/>
    </row>
    <row r="54" spans="2:10" ht="16" customHeight="1" thickBot="1" x14ac:dyDescent="0.25">
      <c r="B54" s="482"/>
      <c r="C54" s="194" t="str">
        <f>IF(D43=TRUE,"","ØIT-GBG-DA-" &amp; IF(C43=TRUE,"E",IF(C44=TRUE,"F",""))&amp; RIGHT(C42-2,LEN(C42)-2)&amp; "B")</f>
        <v>ØIT-GBG-DA-F24B</v>
      </c>
      <c r="D54" s="487"/>
      <c r="F54" s="637"/>
      <c r="G54" s="643"/>
      <c r="H54" s="642"/>
      <c r="I54" s="642"/>
      <c r="J54" s="644"/>
    </row>
    <row r="55" spans="2:10" ht="15" customHeight="1" x14ac:dyDescent="0.2">
      <c r="B55" s="479">
        <v>5</v>
      </c>
      <c r="C55" s="193" t="str">
        <f>"ØIT-GBG-DA-" &amp; IF(C43=TRUE,"F",IF(C44=TRUE,"E",""))&amp; RIGHT(C42-2,LEN(C42)-2)&amp; IF(D43=TRUE,"A","")</f>
        <v>ØIT-GBG-DA-E24</v>
      </c>
      <c r="D55" s="485" t="b">
        <v>0</v>
      </c>
      <c r="F55" s="641">
        <v>5</v>
      </c>
      <c r="G55" s="643"/>
      <c r="H55" s="642"/>
      <c r="I55" s="642"/>
      <c r="J55" s="644"/>
    </row>
    <row r="56" spans="2:10" ht="16" customHeight="1" thickBot="1" x14ac:dyDescent="0.25">
      <c r="B56" s="480"/>
      <c r="C56" s="117" t="str">
        <f>IF(D43=FALSE,"","ØIT-GBG-DA-" &amp; IF(C43=TRUE,"F",IF(C44=TRUE,"E",""))&amp; RIGHT(C42-2,LEN(C42)-2)&amp; "B")</f>
        <v/>
      </c>
      <c r="D56" s="486"/>
      <c r="F56" s="640"/>
      <c r="G56" s="643"/>
      <c r="H56" s="642"/>
      <c r="I56" s="642"/>
      <c r="J56" s="644"/>
    </row>
    <row r="57" spans="2:10" ht="15" customHeight="1" x14ac:dyDescent="0.2">
      <c r="B57" s="481">
        <v>6</v>
      </c>
      <c r="C57" s="149" t="str">
        <f>"ØIT-GBG-DA-" &amp; IF(C43=TRUE,"E",IF(C44=TRUE,"F",""))&amp; RIGHT(C42-3,LEN(C42)-2)&amp; IF(D43=FALSE,"A","")</f>
        <v>ØIT-GBG-DA-F23A</v>
      </c>
      <c r="D57" s="487" t="b">
        <v>0</v>
      </c>
      <c r="F57" s="636">
        <v>6</v>
      </c>
      <c r="G57" s="643"/>
      <c r="H57" s="642"/>
      <c r="I57" s="642"/>
      <c r="J57" s="644"/>
    </row>
    <row r="58" spans="2:10" ht="16" customHeight="1" thickBot="1" x14ac:dyDescent="0.25">
      <c r="B58" s="482"/>
      <c r="C58" s="194" t="str">
        <f>IF(D43=TRUE,"","ØIT-GBG-DA-" &amp; IF(C43=TRUE,"E",IF(C44=TRUE,"F",""))&amp; RIGHT(C42-3,LEN(C42)-2)&amp; "B")</f>
        <v>ØIT-GBG-DA-F23B</v>
      </c>
      <c r="D58" s="487"/>
      <c r="F58" s="637"/>
      <c r="G58" s="643"/>
      <c r="H58" s="642"/>
      <c r="I58" s="642"/>
      <c r="J58" s="644"/>
    </row>
    <row r="59" spans="2:10" ht="16" customHeight="1" x14ac:dyDescent="0.2">
      <c r="B59" s="479">
        <v>7</v>
      </c>
      <c r="C59" s="193" t="str">
        <f>"ØIT-GBG-DA-" &amp; IF(C43=TRUE,"F",IF(C44=TRUE,"E",""))&amp; RIGHT(C42-3,LEN(C42)-2)&amp; IF(D43=TRUE,"A","")</f>
        <v>ØIT-GBG-DA-E23</v>
      </c>
      <c r="D59" s="485" t="b">
        <v>0</v>
      </c>
      <c r="F59" s="641">
        <v>7</v>
      </c>
      <c r="G59" s="643"/>
      <c r="H59" s="642"/>
      <c r="I59" s="642"/>
      <c r="J59" s="644"/>
    </row>
    <row r="60" spans="2:10" ht="16" customHeight="1" thickBot="1" x14ac:dyDescent="0.25">
      <c r="B60" s="480"/>
      <c r="C60" s="117" t="str">
        <f>IF(D43=FALSE,"","ØIT-GBG-DA-" &amp; IF(C43=TRUE,"F",IF(C44=TRUE,"E",""))&amp; RIGHT(C42-3,LEN(C42)-2)&amp; "B")</f>
        <v/>
      </c>
      <c r="D60" s="486"/>
      <c r="F60" s="637"/>
      <c r="G60" s="639"/>
      <c r="H60" s="503"/>
      <c r="I60" s="503"/>
      <c r="J60" s="504"/>
    </row>
    <row r="61" spans="2:10" ht="16" thickBot="1" x14ac:dyDescent="0.25"/>
    <row r="62" spans="2:10" ht="16" thickBot="1" x14ac:dyDescent="0.25">
      <c r="B62" s="122" t="s">
        <v>181</v>
      </c>
      <c r="C62" s="123" t="s">
        <v>182</v>
      </c>
      <c r="D62" s="133" t="s">
        <v>183</v>
      </c>
    </row>
    <row r="63" spans="2:10" x14ac:dyDescent="0.2">
      <c r="B63" s="145" t="s">
        <v>184</v>
      </c>
      <c r="C63" s="146" t="s">
        <v>185</v>
      </c>
      <c r="D63" s="237">
        <v>1</v>
      </c>
    </row>
    <row r="64" spans="2:10" x14ac:dyDescent="0.2">
      <c r="B64" s="131" t="s">
        <v>186</v>
      </c>
      <c r="C64" s="119" t="s">
        <v>187</v>
      </c>
      <c r="D64" s="238">
        <v>5</v>
      </c>
    </row>
    <row r="65" spans="2:4" x14ac:dyDescent="0.2">
      <c r="B65" s="131" t="s">
        <v>188</v>
      </c>
      <c r="C65" s="120" t="s">
        <v>189</v>
      </c>
      <c r="D65" s="238">
        <v>6</v>
      </c>
    </row>
    <row r="66" spans="2:4" ht="16" thickBot="1" x14ac:dyDescent="0.25">
      <c r="B66" s="132" t="s">
        <v>190</v>
      </c>
      <c r="C66" s="147" t="s">
        <v>191</v>
      </c>
      <c r="D66" s="239">
        <v>9</v>
      </c>
    </row>
    <row r="67" spans="2:4" x14ac:dyDescent="0.2">
      <c r="B67" s="145" t="s">
        <v>192</v>
      </c>
      <c r="C67" s="146" t="s">
        <v>193</v>
      </c>
      <c r="D67" s="240">
        <v>3</v>
      </c>
    </row>
    <row r="68" spans="2:4" x14ac:dyDescent="0.2">
      <c r="B68" s="131" t="s">
        <v>194</v>
      </c>
      <c r="C68" s="119" t="s">
        <v>195</v>
      </c>
      <c r="D68" s="238">
        <v>6</v>
      </c>
    </row>
    <row r="69" spans="2:4" x14ac:dyDescent="0.2">
      <c r="B69" s="131" t="s">
        <v>196</v>
      </c>
      <c r="C69" s="120" t="s">
        <v>197</v>
      </c>
      <c r="D69" s="238">
        <v>6</v>
      </c>
    </row>
    <row r="70" spans="2:4" ht="16" thickBot="1" x14ac:dyDescent="0.25">
      <c r="B70" s="132" t="s">
        <v>198</v>
      </c>
      <c r="C70" s="147" t="s">
        <v>199</v>
      </c>
      <c r="D70" s="239">
        <v>6</v>
      </c>
    </row>
    <row r="71" spans="2:4" x14ac:dyDescent="0.2">
      <c r="B71" s="145" t="s">
        <v>200</v>
      </c>
      <c r="C71" s="146" t="s">
        <v>185</v>
      </c>
      <c r="D71" s="240">
        <v>1</v>
      </c>
    </row>
    <row r="72" spans="2:4" x14ac:dyDescent="0.2">
      <c r="B72" s="131" t="s">
        <v>201</v>
      </c>
      <c r="C72" s="119" t="s">
        <v>202</v>
      </c>
      <c r="D72" s="238">
        <v>5</v>
      </c>
    </row>
    <row r="73" spans="2:4" x14ac:dyDescent="0.2">
      <c r="B73" s="131" t="s">
        <v>203</v>
      </c>
      <c r="C73" s="120" t="s">
        <v>204</v>
      </c>
      <c r="D73" s="238">
        <v>6</v>
      </c>
    </row>
    <row r="74" spans="2:4" x14ac:dyDescent="0.2">
      <c r="B74" s="131" t="s">
        <v>205</v>
      </c>
      <c r="C74" s="121" t="s">
        <v>206</v>
      </c>
      <c r="D74" s="238">
        <v>4</v>
      </c>
    </row>
    <row r="75" spans="2:4" ht="16" thickBot="1" x14ac:dyDescent="0.25">
      <c r="B75" s="132" t="s">
        <v>207</v>
      </c>
      <c r="C75" s="148" t="s">
        <v>199</v>
      </c>
      <c r="D75" s="239">
        <v>2</v>
      </c>
    </row>
    <row r="76" spans="2:4" x14ac:dyDescent="0.2">
      <c r="B76" s="145" t="s">
        <v>208</v>
      </c>
      <c r="C76" s="146" t="s">
        <v>209</v>
      </c>
      <c r="D76" s="240">
        <v>5</v>
      </c>
    </row>
    <row r="77" spans="2:4" x14ac:dyDescent="0.2">
      <c r="B77" s="131" t="s">
        <v>210</v>
      </c>
      <c r="C77" s="119" t="s">
        <v>313</v>
      </c>
      <c r="D77" s="238">
        <v>5</v>
      </c>
    </row>
    <row r="78" spans="2:4" x14ac:dyDescent="0.2">
      <c r="B78" s="131" t="s">
        <v>211</v>
      </c>
      <c r="C78" s="120" t="s">
        <v>212</v>
      </c>
      <c r="D78" s="238">
        <v>5</v>
      </c>
    </row>
    <row r="79" spans="2:4" ht="16" thickBot="1" x14ac:dyDescent="0.25">
      <c r="B79" s="132" t="s">
        <v>213</v>
      </c>
      <c r="C79" s="147" t="s">
        <v>199</v>
      </c>
      <c r="D79" s="239">
        <v>5</v>
      </c>
    </row>
    <row r="80" spans="2:4" x14ac:dyDescent="0.2">
      <c r="B80" s="130"/>
      <c r="C80" s="149"/>
      <c r="D80" s="144"/>
    </row>
    <row r="81" spans="2:4" x14ac:dyDescent="0.2">
      <c r="B81" s="131"/>
      <c r="C81" s="115"/>
      <c r="D81" s="116"/>
    </row>
    <row r="82" spans="2:4" x14ac:dyDescent="0.2">
      <c r="B82" s="131"/>
      <c r="C82" s="115"/>
      <c r="D82" s="116"/>
    </row>
    <row r="83" spans="2:4" x14ac:dyDescent="0.2">
      <c r="B83" s="131"/>
      <c r="C83" s="115"/>
      <c r="D83" s="116"/>
    </row>
    <row r="84" spans="2:4" x14ac:dyDescent="0.2">
      <c r="B84" s="131"/>
      <c r="C84" s="115"/>
      <c r="D84" s="116"/>
    </row>
    <row r="85" spans="2:4" x14ac:dyDescent="0.2">
      <c r="B85" s="131"/>
      <c r="C85" s="115"/>
      <c r="D85" s="116"/>
    </row>
    <row r="86" spans="2:4" ht="16" thickBot="1" x14ac:dyDescent="0.25">
      <c r="B86" s="132"/>
      <c r="C86" s="117"/>
      <c r="D86" s="118"/>
    </row>
  </sheetData>
  <sheetProtection selectLockedCells="1" selectUnlockedCells="1"/>
  <mergeCells count="36">
    <mergeCell ref="G57:J58"/>
    <mergeCell ref="G59:J60"/>
    <mergeCell ref="F55:F56"/>
    <mergeCell ref="F57:F58"/>
    <mergeCell ref="F59:F60"/>
    <mergeCell ref="G55:J56"/>
    <mergeCell ref="F47:F48"/>
    <mergeCell ref="F49:F50"/>
    <mergeCell ref="F51:F52"/>
    <mergeCell ref="F53:F54"/>
    <mergeCell ref="G46:J46"/>
    <mergeCell ref="G47:J48"/>
    <mergeCell ref="G49:J50"/>
    <mergeCell ref="G51:J52"/>
    <mergeCell ref="G53:J54"/>
    <mergeCell ref="B19:B26"/>
    <mergeCell ref="B27:B40"/>
    <mergeCell ref="B3:B6"/>
    <mergeCell ref="B7:B10"/>
    <mergeCell ref="B11:B14"/>
    <mergeCell ref="B15:B18"/>
    <mergeCell ref="B55:B56"/>
    <mergeCell ref="B57:B58"/>
    <mergeCell ref="B59:B60"/>
    <mergeCell ref="D43:D44"/>
    <mergeCell ref="D47:D48"/>
    <mergeCell ref="D49:D50"/>
    <mergeCell ref="D51:D52"/>
    <mergeCell ref="D53:D54"/>
    <mergeCell ref="D55:D56"/>
    <mergeCell ref="D57:D58"/>
    <mergeCell ref="D59:D60"/>
    <mergeCell ref="B47:B48"/>
    <mergeCell ref="B49:B50"/>
    <mergeCell ref="B51:B52"/>
    <mergeCell ref="B53:B54"/>
  </mergeCells>
  <phoneticPr fontId="16" type="noConversion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ColorMatchesFromD">
                <anchor moveWithCells="1" sizeWithCells="1">
                  <from>
                    <xdr:col>4</xdr:col>
                    <xdr:colOff>812800</xdr:colOff>
                    <xdr:row>40</xdr:row>
                    <xdr:rowOff>139700</xdr:rowOff>
                  </from>
                  <to>
                    <xdr:col>10</xdr:col>
                    <xdr:colOff>12700</xdr:colOff>
                    <xdr:row>43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DeleteAllSemesters">
                <anchor moveWithCells="1" sizeWithCells="1">
                  <from>
                    <xdr:col>14</xdr:col>
                    <xdr:colOff>190500</xdr:colOff>
                    <xdr:row>9</xdr:row>
                    <xdr:rowOff>38100</xdr:rowOff>
                  </from>
                  <to>
                    <xdr:col>15</xdr:col>
                    <xdr:colOff>279400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Generate_Semesters">
                <anchor moveWithCells="1" sizeWithCells="1">
                  <from>
                    <xdr:col>15</xdr:col>
                    <xdr:colOff>812800</xdr:colOff>
                    <xdr:row>9</xdr:row>
                    <xdr:rowOff>38100</xdr:rowOff>
                  </from>
                  <to>
                    <xdr:col>17</xdr:col>
                    <xdr:colOff>76200</xdr:colOff>
                    <xdr:row>14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" r:id="rId7" name="Button 7">
              <controlPr defaultSize="0" print="0" autoFill="0" autoPict="0" macro="[0]!ImportVbaFilesToProject">
                <anchor moveWithCells="1" sizeWithCells="1">
                  <from>
                    <xdr:col>14</xdr:col>
                    <xdr:colOff>609600</xdr:colOff>
                    <xdr:row>15</xdr:row>
                    <xdr:rowOff>76200</xdr:rowOff>
                  </from>
                  <to>
                    <xdr:col>16</xdr:col>
                    <xdr:colOff>482600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59267-5627-A442-82B4-1E4543FEC42B}">
  <sheetPr codeName="Sheet7"/>
  <dimension ref="B2:M74"/>
  <sheetViews>
    <sheetView workbookViewId="0">
      <selection activeCell="D4" sqref="D4:D7"/>
    </sheetView>
  </sheetViews>
  <sheetFormatPr baseColWidth="10" defaultRowHeight="15" x14ac:dyDescent="0.2"/>
  <cols>
    <col min="1" max="1" width="4.1640625" style="107" customWidth="1"/>
    <col min="2" max="3" width="13.33203125" style="107" customWidth="1"/>
    <col min="4" max="4" width="19" style="107" customWidth="1"/>
    <col min="5" max="5" width="13.33203125" style="107" customWidth="1"/>
    <col min="6" max="7" width="20" style="107" customWidth="1"/>
    <col min="8" max="8" width="34.33203125" style="107" customWidth="1"/>
    <col min="9" max="10" width="20" style="107" customWidth="1"/>
    <col min="11" max="11" width="10.83203125" style="107"/>
    <col min="12" max="12" width="10.83203125" style="326"/>
    <col min="13" max="13" width="21.6640625" style="107" customWidth="1"/>
    <col min="14" max="16384" width="10.83203125" style="107"/>
  </cols>
  <sheetData>
    <row r="2" spans="2:13" ht="17" thickBot="1" x14ac:dyDescent="0.25">
      <c r="L2" s="355" t="s">
        <v>87</v>
      </c>
      <c r="M2" s="345" t="s">
        <v>342</v>
      </c>
    </row>
    <row r="3" spans="2:13" ht="18" thickBot="1" x14ac:dyDescent="0.25">
      <c r="B3" s="349" t="s">
        <v>339</v>
      </c>
      <c r="C3" s="349" t="s">
        <v>340</v>
      </c>
      <c r="D3" s="349"/>
      <c r="E3" s="349" t="s">
        <v>341</v>
      </c>
      <c r="F3" s="350" t="s">
        <v>250</v>
      </c>
      <c r="G3" s="349" t="s">
        <v>252</v>
      </c>
      <c r="H3" s="351" t="s">
        <v>229</v>
      </c>
      <c r="I3" s="349" t="s">
        <v>243</v>
      </c>
      <c r="J3" s="352" t="s">
        <v>246</v>
      </c>
      <c r="L3" s="356" t="str">
        <f>IF(Data!C47="","",IF(Data!C48="","1. Sem","1. Sem A"))</f>
        <v>1. Sem</v>
      </c>
      <c r="M3" s="332"/>
    </row>
    <row r="4" spans="2:13" ht="16" customHeight="1" thickBot="1" x14ac:dyDescent="0.25">
      <c r="B4" s="515" t="s">
        <v>349</v>
      </c>
      <c r="C4" s="516">
        <v>90</v>
      </c>
      <c r="D4" s="505" t="s">
        <v>307</v>
      </c>
      <c r="E4" s="342" t="s">
        <v>7</v>
      </c>
      <c r="F4" s="81" t="str">
        <f>IF($D$4=0,"",$D$4)</f>
        <v>1. Sem A</v>
      </c>
      <c r="G4" s="46" t="str">
        <f t="shared" ref="G4:G7" si="0">IF($D$4=0,"",$D$4)</f>
        <v>1. Sem A</v>
      </c>
      <c r="H4" s="46" t="str">
        <f>IF(AND($D$4&lt;&gt;"",$D$8&lt;&gt;"",LEFT($D$4,6)=LEFT($D$8,6)),
"flex",
_xlfn.TEXTJOIN(" ",TRUE,
IF($D$4&lt;&gt;"",$D$4&amp;" (lige)",""),
IF($D$8&lt;&gt;"",$D$8&amp;" (ulige)","")))</f>
        <v>flex</v>
      </c>
      <c r="I4" s="46" t="str">
        <f t="shared" ref="I4:J7" si="1">IF($D$8=0,"",$D$8)</f>
        <v>1. Sem B</v>
      </c>
      <c r="J4" s="78" t="str">
        <f t="shared" si="1"/>
        <v>1. Sem B</v>
      </c>
      <c r="L4" s="357" t="str">
        <f>IF(AND(Data!C47&lt;&gt;"",Data!C48&lt;&gt;""),"1. Sem B","")</f>
        <v/>
      </c>
      <c r="M4" s="338"/>
    </row>
    <row r="5" spans="2:13" ht="16" customHeight="1" x14ac:dyDescent="0.2">
      <c r="B5" s="509"/>
      <c r="C5" s="509"/>
      <c r="D5" s="506"/>
      <c r="E5" s="342" t="s">
        <v>15</v>
      </c>
      <c r="F5" s="57" t="str">
        <f t="shared" ref="F5:F7" si="2">IF($D$4=0,"",$D$4)</f>
        <v>1. Sem A</v>
      </c>
      <c r="G5" s="55" t="str">
        <f t="shared" si="0"/>
        <v>1. Sem A</v>
      </c>
      <c r="H5" s="55" t="str">
        <f t="shared" ref="H5:H7" si="3">IF(AND($D$4&lt;&gt;"",$D$8&lt;&gt;"",LEFT($D$4,6)=LEFT($D$8,6)),
"flex",
_xlfn.TEXTJOIN(" ",TRUE,
IF($D$4&lt;&gt;"",$D$4&amp;" (lige)",""),
IF($D$8&lt;&gt;"",$D$8&amp;" (ulige)","")))</f>
        <v>flex</v>
      </c>
      <c r="I5" s="55" t="str">
        <f t="shared" si="1"/>
        <v>1. Sem B</v>
      </c>
      <c r="J5" s="58" t="str">
        <f t="shared" si="1"/>
        <v>1. Sem B</v>
      </c>
      <c r="L5" s="358" t="str">
        <f>IF(Data!C49="","",IF(Data!C50="","2. Sem","2. Sem A"))</f>
        <v>2. Sem A</v>
      </c>
      <c r="M5" s="334"/>
    </row>
    <row r="6" spans="2:13" ht="16" customHeight="1" x14ac:dyDescent="0.2">
      <c r="B6" s="509"/>
      <c r="C6" s="509"/>
      <c r="D6" s="506"/>
      <c r="E6" s="342" t="s">
        <v>16</v>
      </c>
      <c r="F6" s="57" t="str">
        <f t="shared" si="2"/>
        <v>1. Sem A</v>
      </c>
      <c r="G6" s="55" t="str">
        <f t="shared" si="0"/>
        <v>1. Sem A</v>
      </c>
      <c r="H6" s="55" t="str">
        <f t="shared" si="3"/>
        <v>flex</v>
      </c>
      <c r="I6" s="55" t="str">
        <f t="shared" si="1"/>
        <v>1. Sem B</v>
      </c>
      <c r="J6" s="58" t="str">
        <f t="shared" si="1"/>
        <v>1. Sem B</v>
      </c>
      <c r="L6" s="359" t="str">
        <f>IF(AND(Data!C49&lt;&gt;"",Data!C50&lt;&gt;""),"2. Sem B","")</f>
        <v>2. Sem B</v>
      </c>
      <c r="M6" s="335"/>
    </row>
    <row r="7" spans="2:13" ht="16" customHeight="1" thickBot="1" x14ac:dyDescent="0.25">
      <c r="B7" s="509"/>
      <c r="C7" s="509"/>
      <c r="D7" s="506"/>
      <c r="E7" s="342" t="s">
        <v>17</v>
      </c>
      <c r="F7" s="57" t="str">
        <f t="shared" si="2"/>
        <v>1. Sem A</v>
      </c>
      <c r="G7" s="55" t="str">
        <f t="shared" si="0"/>
        <v>1. Sem A</v>
      </c>
      <c r="H7" s="55" t="str">
        <f t="shared" si="3"/>
        <v>flex</v>
      </c>
      <c r="I7" s="55" t="str">
        <f t="shared" si="1"/>
        <v>1. Sem B</v>
      </c>
      <c r="J7" s="58" t="str">
        <f t="shared" si="1"/>
        <v>1. Sem B</v>
      </c>
      <c r="L7" s="360" t="str">
        <f>IF(Data!C51="","",IF(Data!C52="","3. Sem","3. Sem A"))</f>
        <v>3. Sem</v>
      </c>
      <c r="M7" s="336"/>
    </row>
    <row r="8" spans="2:13" ht="16" customHeight="1" x14ac:dyDescent="0.2">
      <c r="B8" s="509"/>
      <c r="C8" s="509"/>
      <c r="D8" s="505" t="s">
        <v>308</v>
      </c>
      <c r="E8" s="342" t="s">
        <v>19</v>
      </c>
      <c r="F8" s="57" t="str">
        <f>IF($D$8=0,"",$D$8)</f>
        <v>1. Sem B</v>
      </c>
      <c r="G8" s="55" t="str">
        <f t="shared" ref="G8:G11" si="4">IF($D$8=0,"",$D$8)</f>
        <v>1. Sem B</v>
      </c>
      <c r="H8" s="353"/>
      <c r="I8" s="55" t="str">
        <f t="shared" ref="I8:J11" si="5">IF($D$4=0,"",$D$4)</f>
        <v>1. Sem A</v>
      </c>
      <c r="J8" s="58" t="str">
        <f t="shared" si="5"/>
        <v>1. Sem A</v>
      </c>
      <c r="L8" s="361" t="str">
        <f>IF(AND(Data!C51&lt;&gt;"",Data!C52&lt;&gt;""),"3. Sem B","")</f>
        <v/>
      </c>
      <c r="M8" s="337"/>
    </row>
    <row r="9" spans="2:13" ht="16" customHeight="1" x14ac:dyDescent="0.2">
      <c r="B9" s="509"/>
      <c r="C9" s="509"/>
      <c r="D9" s="506"/>
      <c r="E9" s="342" t="s">
        <v>21</v>
      </c>
      <c r="F9" s="57" t="str">
        <f t="shared" ref="F9:F11" si="6">IF($D$8=0,"",$D$8)</f>
        <v>1. Sem B</v>
      </c>
      <c r="G9" s="55" t="str">
        <f t="shared" si="4"/>
        <v>1. Sem B</v>
      </c>
      <c r="H9" s="353"/>
      <c r="I9" s="55" t="str">
        <f t="shared" si="5"/>
        <v>1. Sem A</v>
      </c>
      <c r="J9" s="58" t="str">
        <f t="shared" si="5"/>
        <v>1. Sem A</v>
      </c>
      <c r="L9" s="362" t="str">
        <f>IF(Data!C53="","",IF(Data!C54="","4. Sem","4. Sem A"))</f>
        <v>4. Sem A</v>
      </c>
      <c r="M9" s="333"/>
    </row>
    <row r="10" spans="2:13" ht="16" customHeight="1" x14ac:dyDescent="0.2">
      <c r="B10" s="509"/>
      <c r="C10" s="509"/>
      <c r="D10" s="506"/>
      <c r="E10" s="342" t="s">
        <v>22</v>
      </c>
      <c r="F10" s="57" t="str">
        <f t="shared" si="6"/>
        <v>1. Sem B</v>
      </c>
      <c r="G10" s="55" t="str">
        <f t="shared" si="4"/>
        <v>1. Sem B</v>
      </c>
      <c r="H10" s="353"/>
      <c r="I10" s="55" t="str">
        <f t="shared" si="5"/>
        <v>1. Sem A</v>
      </c>
      <c r="J10" s="58" t="str">
        <f t="shared" si="5"/>
        <v>1. Sem A</v>
      </c>
      <c r="L10" s="363" t="str">
        <f>IF(AND(Data!C53&lt;&gt;"",Data!C54&lt;&gt;""),"4. Sem B","")</f>
        <v>4. Sem B</v>
      </c>
      <c r="M10" s="339"/>
    </row>
    <row r="11" spans="2:13" ht="17" customHeight="1" thickBot="1" x14ac:dyDescent="0.25">
      <c r="B11" s="510"/>
      <c r="C11" s="510"/>
      <c r="D11" s="507"/>
      <c r="E11" s="343" t="s">
        <v>23</v>
      </c>
      <c r="F11" s="59" t="str">
        <f t="shared" si="6"/>
        <v>1. Sem B</v>
      </c>
      <c r="G11" s="60" t="str">
        <f t="shared" si="4"/>
        <v>1. Sem B</v>
      </c>
      <c r="H11" s="354"/>
      <c r="I11" s="60" t="str">
        <f t="shared" si="5"/>
        <v>1. Sem A</v>
      </c>
      <c r="J11" s="61" t="str">
        <f t="shared" si="5"/>
        <v>1. Sem A</v>
      </c>
      <c r="L11" s="364" t="s">
        <v>343</v>
      </c>
      <c r="M11" s="340"/>
    </row>
    <row r="12" spans="2:13" ht="16" customHeight="1" thickBot="1" x14ac:dyDescent="0.25">
      <c r="B12" s="346"/>
      <c r="C12" s="347"/>
      <c r="D12" s="347"/>
      <c r="E12" s="347"/>
      <c r="L12" s="365" t="s">
        <v>344</v>
      </c>
      <c r="M12" s="348"/>
    </row>
    <row r="13" spans="2:13" ht="17" customHeight="1" thickBot="1" x14ac:dyDescent="0.25">
      <c r="B13" s="512" t="s">
        <v>348</v>
      </c>
      <c r="C13" s="508">
        <v>66</v>
      </c>
      <c r="D13" s="505" t="s">
        <v>2</v>
      </c>
      <c r="E13" s="344" t="s">
        <v>7</v>
      </c>
      <c r="F13" s="81" t="str">
        <f>IF($D$13=0,"",$D$13)</f>
        <v>2. Sem</v>
      </c>
      <c r="G13" s="46" t="str">
        <f t="shared" ref="G13:G16" si="7">IF($D$13=0,"",$D$13)</f>
        <v>2. Sem</v>
      </c>
      <c r="H13" s="46" t="str">
        <f>IF(AND($D$13&lt;&gt;"",$D$17&lt;&gt;"",LEFT($D$13,6)=LEFT($D$17,6)),
"flex",
_xlfn.TEXTJOIN(" ",TRUE,
IF($D$13&lt;&gt;"",$D$13&amp;" (lige)",""),
IF($D$17&lt;&gt;"",$D$17&amp;" (ulige)","")))</f>
        <v>2. Sem (lige) 4. Sem (ulige)</v>
      </c>
      <c r="I13" s="46" t="str">
        <f t="shared" ref="I13:J16" si="8">IF($D$17=0,"",$D$17)</f>
        <v>4. Sem</v>
      </c>
      <c r="J13" s="78" t="str">
        <f t="shared" si="8"/>
        <v>4. Sem</v>
      </c>
      <c r="L13" s="366" t="s">
        <v>345</v>
      </c>
      <c r="M13" s="341"/>
    </row>
    <row r="14" spans="2:13" ht="16" customHeight="1" x14ac:dyDescent="0.2">
      <c r="B14" s="509"/>
      <c r="C14" s="509"/>
      <c r="D14" s="506"/>
      <c r="E14" s="342" t="s">
        <v>15</v>
      </c>
      <c r="F14" s="57" t="str">
        <f t="shared" ref="F14:F16" si="9">IF($D$13=0,"",$D$13)</f>
        <v>2. Sem</v>
      </c>
      <c r="G14" s="55" t="str">
        <f t="shared" si="7"/>
        <v>2. Sem</v>
      </c>
      <c r="H14" s="55" t="str">
        <f t="shared" ref="H14:H16" si="10">IF(AND($D$13&lt;&gt;"",$D$17&lt;&gt;"",LEFT($D$13,6)=LEFT($D$17,6)),
"flex",
_xlfn.TEXTJOIN(" ",TRUE,
IF($D$13&lt;&gt;"",$D$13&amp;" (lige)",""),
IF($D$17&lt;&gt;"",$D$17&amp;" (ulige)","")))</f>
        <v>2. Sem (lige) 4. Sem (ulige)</v>
      </c>
      <c r="I14" s="55" t="str">
        <f t="shared" si="8"/>
        <v>4. Sem</v>
      </c>
      <c r="J14" s="58" t="str">
        <f t="shared" si="8"/>
        <v>4. Sem</v>
      </c>
    </row>
    <row r="15" spans="2:13" ht="16" customHeight="1" x14ac:dyDescent="0.2">
      <c r="B15" s="509"/>
      <c r="C15" s="509"/>
      <c r="D15" s="506"/>
      <c r="E15" s="342" t="s">
        <v>16</v>
      </c>
      <c r="F15" s="57" t="str">
        <f t="shared" si="9"/>
        <v>2. Sem</v>
      </c>
      <c r="G15" s="55" t="str">
        <f t="shared" si="7"/>
        <v>2. Sem</v>
      </c>
      <c r="H15" s="55" t="str">
        <f t="shared" si="10"/>
        <v>2. Sem (lige) 4. Sem (ulige)</v>
      </c>
      <c r="I15" s="55" t="str">
        <f t="shared" si="8"/>
        <v>4. Sem</v>
      </c>
      <c r="J15" s="58" t="str">
        <f t="shared" si="8"/>
        <v>4. Sem</v>
      </c>
      <c r="L15" s="135"/>
      <c r="M15" s="287"/>
    </row>
    <row r="16" spans="2:13" ht="16" customHeight="1" thickBot="1" x14ac:dyDescent="0.25">
      <c r="B16" s="509"/>
      <c r="C16" s="509"/>
      <c r="D16" s="506"/>
      <c r="E16" s="342" t="s">
        <v>17</v>
      </c>
      <c r="F16" s="57" t="str">
        <f t="shared" si="9"/>
        <v>2. Sem</v>
      </c>
      <c r="G16" s="55" t="str">
        <f t="shared" si="7"/>
        <v>2. Sem</v>
      </c>
      <c r="H16" s="55" t="str">
        <f t="shared" si="10"/>
        <v>2. Sem (lige) 4. Sem (ulige)</v>
      </c>
      <c r="I16" s="55" t="str">
        <f t="shared" si="8"/>
        <v>4. Sem</v>
      </c>
      <c r="J16" s="58" t="str">
        <f t="shared" si="8"/>
        <v>4. Sem</v>
      </c>
    </row>
    <row r="17" spans="2:10" ht="16" customHeight="1" x14ac:dyDescent="0.2">
      <c r="B17" s="509"/>
      <c r="C17" s="509"/>
      <c r="D17" s="505" t="s">
        <v>311</v>
      </c>
      <c r="E17" s="342" t="s">
        <v>19</v>
      </c>
      <c r="F17" s="57" t="str">
        <f>IF($D$17=0,"",$D$17)</f>
        <v>4. Sem</v>
      </c>
      <c r="G17" s="55" t="str">
        <f t="shared" ref="G17:G20" si="11">IF($D$17=0,"",$D$17)</f>
        <v>4. Sem</v>
      </c>
      <c r="H17" s="353"/>
      <c r="I17" s="55" t="str">
        <f t="shared" ref="I17:J20" si="12">IF($D$13=0,"",$D$13)</f>
        <v>2. Sem</v>
      </c>
      <c r="J17" s="58" t="str">
        <f t="shared" si="12"/>
        <v>2. Sem</v>
      </c>
    </row>
    <row r="18" spans="2:10" ht="16" customHeight="1" x14ac:dyDescent="0.2">
      <c r="B18" s="509"/>
      <c r="C18" s="509"/>
      <c r="D18" s="506"/>
      <c r="E18" s="342" t="s">
        <v>21</v>
      </c>
      <c r="F18" s="57" t="str">
        <f t="shared" ref="F18:F20" si="13">IF($D$17=0,"",$D$17)</f>
        <v>4. Sem</v>
      </c>
      <c r="G18" s="55" t="str">
        <f t="shared" si="11"/>
        <v>4. Sem</v>
      </c>
      <c r="H18" s="353"/>
      <c r="I18" s="55" t="str">
        <f t="shared" si="12"/>
        <v>2. Sem</v>
      </c>
      <c r="J18" s="58" t="str">
        <f t="shared" si="12"/>
        <v>2. Sem</v>
      </c>
    </row>
    <row r="19" spans="2:10" ht="16" customHeight="1" x14ac:dyDescent="0.2">
      <c r="B19" s="509"/>
      <c r="C19" s="509"/>
      <c r="D19" s="506"/>
      <c r="E19" s="342" t="s">
        <v>22</v>
      </c>
      <c r="F19" s="57" t="str">
        <f t="shared" si="13"/>
        <v>4. Sem</v>
      </c>
      <c r="G19" s="55" t="str">
        <f t="shared" si="11"/>
        <v>4. Sem</v>
      </c>
      <c r="H19" s="353"/>
      <c r="I19" s="55" t="str">
        <f t="shared" si="12"/>
        <v>2. Sem</v>
      </c>
      <c r="J19" s="58" t="str">
        <f t="shared" si="12"/>
        <v>2. Sem</v>
      </c>
    </row>
    <row r="20" spans="2:10" ht="16" customHeight="1" thickBot="1" x14ac:dyDescent="0.25">
      <c r="B20" s="510"/>
      <c r="C20" s="510"/>
      <c r="D20" s="507"/>
      <c r="E20" s="343" t="s">
        <v>23</v>
      </c>
      <c r="F20" s="59" t="str">
        <f t="shared" si="13"/>
        <v>4. Sem</v>
      </c>
      <c r="G20" s="60" t="str">
        <f t="shared" si="11"/>
        <v>4. Sem</v>
      </c>
      <c r="H20" s="354"/>
      <c r="I20" s="60" t="str">
        <f t="shared" si="12"/>
        <v>2. Sem</v>
      </c>
      <c r="J20" s="61" t="str">
        <f t="shared" si="12"/>
        <v>2. Sem</v>
      </c>
    </row>
    <row r="21" spans="2:10" ht="16" customHeight="1" thickBot="1" x14ac:dyDescent="0.25">
      <c r="B21" s="346"/>
      <c r="C21" s="347"/>
      <c r="D21" s="347"/>
      <c r="E21" s="347"/>
    </row>
    <row r="22" spans="2:10" ht="17" customHeight="1" thickBot="1" x14ac:dyDescent="0.25">
      <c r="B22" s="513" t="s">
        <v>346</v>
      </c>
      <c r="C22" s="508">
        <v>56</v>
      </c>
      <c r="D22" s="505" t="s">
        <v>309</v>
      </c>
      <c r="E22" s="344" t="s">
        <v>7</v>
      </c>
      <c r="F22" s="81" t="str">
        <f>IF($D$22=0,"",$D$22)</f>
        <v>3. Sem A</v>
      </c>
      <c r="G22" s="46" t="str">
        <f t="shared" ref="G22:G25" si="14">IF($D$22=0,"",$D$22)</f>
        <v>3. Sem A</v>
      </c>
      <c r="H22" s="46" t="str">
        <f>IF(AND($D$22&lt;&gt;"",$D$26&lt;&gt;"",LEFT($D$22,6)=LEFT($D$26,6)),
"flex",
_xlfn.TEXTJOIN(" ",TRUE,
IF($D$22&lt;&gt;"",$D$22&amp;" (lige)",""),
IF($D$26&lt;&gt;"",$D$26&amp;" (ulige)","")))</f>
        <v>flex</v>
      </c>
      <c r="I22" s="46" t="str">
        <f t="shared" ref="I22:J25" si="15">IF($D$26=0,"",$D$26)</f>
        <v>3. Sem B</v>
      </c>
      <c r="J22" s="78" t="str">
        <f t="shared" si="15"/>
        <v>3. Sem B</v>
      </c>
    </row>
    <row r="23" spans="2:10" ht="16" customHeight="1" x14ac:dyDescent="0.2">
      <c r="B23" s="509"/>
      <c r="C23" s="509"/>
      <c r="D23" s="506"/>
      <c r="E23" s="342" t="s">
        <v>15</v>
      </c>
      <c r="F23" s="57" t="str">
        <f t="shared" ref="F23:F25" si="16">IF($D$22=0,"",$D$22)</f>
        <v>3. Sem A</v>
      </c>
      <c r="G23" s="55" t="str">
        <f t="shared" si="14"/>
        <v>3. Sem A</v>
      </c>
      <c r="H23" s="55" t="str">
        <f t="shared" ref="H23:H25" si="17">IF(AND($D$22&lt;&gt;"",$D$26&lt;&gt;"",LEFT($D$22,6)=LEFT($D$26,6)),
"flex",
_xlfn.TEXTJOIN(" ",TRUE,
IF($D$22&lt;&gt;"",$D$22&amp;" (lige)",""),
IF($D$26&lt;&gt;"",$D$26&amp;" (ulige)","")))</f>
        <v>flex</v>
      </c>
      <c r="I23" s="55" t="str">
        <f t="shared" si="15"/>
        <v>3. Sem B</v>
      </c>
      <c r="J23" s="58" t="str">
        <f t="shared" si="15"/>
        <v>3. Sem B</v>
      </c>
    </row>
    <row r="24" spans="2:10" ht="16" customHeight="1" x14ac:dyDescent="0.2">
      <c r="B24" s="509"/>
      <c r="C24" s="509"/>
      <c r="D24" s="506"/>
      <c r="E24" s="342" t="s">
        <v>16</v>
      </c>
      <c r="F24" s="57" t="str">
        <f t="shared" si="16"/>
        <v>3. Sem A</v>
      </c>
      <c r="G24" s="55" t="str">
        <f t="shared" si="14"/>
        <v>3. Sem A</v>
      </c>
      <c r="H24" s="55" t="str">
        <f t="shared" si="17"/>
        <v>flex</v>
      </c>
      <c r="I24" s="55" t="str">
        <f t="shared" si="15"/>
        <v>3. Sem B</v>
      </c>
      <c r="J24" s="58" t="str">
        <f t="shared" si="15"/>
        <v>3. Sem B</v>
      </c>
    </row>
    <row r="25" spans="2:10" ht="16" customHeight="1" thickBot="1" x14ac:dyDescent="0.25">
      <c r="B25" s="509"/>
      <c r="C25" s="509"/>
      <c r="D25" s="506"/>
      <c r="E25" s="342" t="s">
        <v>17</v>
      </c>
      <c r="F25" s="57" t="str">
        <f t="shared" si="16"/>
        <v>3. Sem A</v>
      </c>
      <c r="G25" s="55" t="str">
        <f t="shared" si="14"/>
        <v>3. Sem A</v>
      </c>
      <c r="H25" s="55" t="str">
        <f t="shared" si="17"/>
        <v>flex</v>
      </c>
      <c r="I25" s="55" t="str">
        <f t="shared" si="15"/>
        <v>3. Sem B</v>
      </c>
      <c r="J25" s="58" t="str">
        <f t="shared" si="15"/>
        <v>3. Sem B</v>
      </c>
    </row>
    <row r="26" spans="2:10" ht="16" customHeight="1" x14ac:dyDescent="0.2">
      <c r="B26" s="509"/>
      <c r="C26" s="509"/>
      <c r="D26" s="505" t="s">
        <v>310</v>
      </c>
      <c r="E26" s="342" t="s">
        <v>19</v>
      </c>
      <c r="F26" s="57" t="str">
        <f>IF($D$26=0,"",$D$26)</f>
        <v>3. Sem B</v>
      </c>
      <c r="G26" s="55" t="str">
        <f t="shared" ref="G26:G29" si="18">IF($D$26=0,"",$D$26)</f>
        <v>3. Sem B</v>
      </c>
      <c r="H26" s="353"/>
      <c r="I26" s="55" t="str">
        <f t="shared" ref="I26:J29" si="19">IF($D$22=0,"",$D$22)</f>
        <v>3. Sem A</v>
      </c>
      <c r="J26" s="58" t="str">
        <f t="shared" si="19"/>
        <v>3. Sem A</v>
      </c>
    </row>
    <row r="27" spans="2:10" ht="16" customHeight="1" x14ac:dyDescent="0.2">
      <c r="B27" s="509"/>
      <c r="C27" s="509"/>
      <c r="D27" s="506"/>
      <c r="E27" s="342" t="s">
        <v>21</v>
      </c>
      <c r="F27" s="57" t="str">
        <f t="shared" ref="F27:F29" si="20">IF($D$26=0,"",$D$26)</f>
        <v>3. Sem B</v>
      </c>
      <c r="G27" s="55" t="str">
        <f t="shared" si="18"/>
        <v>3. Sem B</v>
      </c>
      <c r="H27" s="353"/>
      <c r="I27" s="55" t="str">
        <f t="shared" si="19"/>
        <v>3. Sem A</v>
      </c>
      <c r="J27" s="58" t="str">
        <f t="shared" si="19"/>
        <v>3. Sem A</v>
      </c>
    </row>
    <row r="28" spans="2:10" ht="16" customHeight="1" x14ac:dyDescent="0.2">
      <c r="B28" s="509"/>
      <c r="C28" s="509"/>
      <c r="D28" s="506"/>
      <c r="E28" s="342" t="s">
        <v>22</v>
      </c>
      <c r="F28" s="57" t="str">
        <f t="shared" si="20"/>
        <v>3. Sem B</v>
      </c>
      <c r="G28" s="55" t="str">
        <f t="shared" si="18"/>
        <v>3. Sem B</v>
      </c>
      <c r="H28" s="353"/>
      <c r="I28" s="55" t="str">
        <f t="shared" si="19"/>
        <v>3. Sem A</v>
      </c>
      <c r="J28" s="58" t="str">
        <f t="shared" si="19"/>
        <v>3. Sem A</v>
      </c>
    </row>
    <row r="29" spans="2:10" ht="17" customHeight="1" thickBot="1" x14ac:dyDescent="0.25">
      <c r="B29" s="510"/>
      <c r="C29" s="510"/>
      <c r="D29" s="507"/>
      <c r="E29" s="343" t="s">
        <v>23</v>
      </c>
      <c r="F29" s="59" t="str">
        <f t="shared" si="20"/>
        <v>3. Sem B</v>
      </c>
      <c r="G29" s="60" t="str">
        <f t="shared" si="18"/>
        <v>3. Sem B</v>
      </c>
      <c r="H29" s="354"/>
      <c r="I29" s="60" t="str">
        <f t="shared" si="19"/>
        <v>3. Sem A</v>
      </c>
      <c r="J29" s="61" t="str">
        <f t="shared" si="19"/>
        <v>3. Sem A</v>
      </c>
    </row>
    <row r="30" spans="2:10" ht="16" customHeight="1" thickBot="1" x14ac:dyDescent="0.25">
      <c r="B30" s="346"/>
      <c r="C30" s="347"/>
      <c r="D30" s="347"/>
      <c r="E30" s="347"/>
    </row>
    <row r="31" spans="2:10" ht="17" customHeight="1" thickBot="1" x14ac:dyDescent="0.25">
      <c r="B31" s="514" t="s">
        <v>350</v>
      </c>
      <c r="C31" s="508">
        <v>69</v>
      </c>
      <c r="D31" s="505"/>
      <c r="E31" s="344" t="s">
        <v>7</v>
      </c>
      <c r="F31" s="81">
        <f>D31</f>
        <v>0</v>
      </c>
      <c r="G31" s="46">
        <f>D31</f>
        <v>0</v>
      </c>
      <c r="H31" s="46"/>
      <c r="I31" s="46">
        <f>D35</f>
        <v>0</v>
      </c>
      <c r="J31" s="78">
        <f>D35</f>
        <v>0</v>
      </c>
    </row>
    <row r="32" spans="2:10" ht="16" customHeight="1" x14ac:dyDescent="0.2">
      <c r="B32" s="509"/>
      <c r="C32" s="509"/>
      <c r="D32" s="506"/>
      <c r="E32" s="342" t="s">
        <v>15</v>
      </c>
      <c r="F32" s="57">
        <f>D31</f>
        <v>0</v>
      </c>
      <c r="G32" s="55">
        <f>D31</f>
        <v>0</v>
      </c>
      <c r="H32" s="55"/>
      <c r="I32" s="55">
        <f>D35</f>
        <v>0</v>
      </c>
      <c r="J32" s="58">
        <f>D35</f>
        <v>0</v>
      </c>
    </row>
    <row r="33" spans="2:10" ht="16" customHeight="1" x14ac:dyDescent="0.2">
      <c r="B33" s="509"/>
      <c r="C33" s="509"/>
      <c r="D33" s="506"/>
      <c r="E33" s="342" t="s">
        <v>16</v>
      </c>
      <c r="F33" s="57">
        <f>D31</f>
        <v>0</v>
      </c>
      <c r="G33" s="55">
        <f>D31</f>
        <v>0</v>
      </c>
      <c r="H33" s="55"/>
      <c r="I33" s="55">
        <f>D35</f>
        <v>0</v>
      </c>
      <c r="J33" s="58">
        <f>D35</f>
        <v>0</v>
      </c>
    </row>
    <row r="34" spans="2:10" ht="16" customHeight="1" thickBot="1" x14ac:dyDescent="0.25">
      <c r="B34" s="509"/>
      <c r="C34" s="509"/>
      <c r="D34" s="506"/>
      <c r="E34" s="342" t="s">
        <v>17</v>
      </c>
      <c r="F34" s="57">
        <f>D31</f>
        <v>0</v>
      </c>
      <c r="G34" s="55">
        <f>D31</f>
        <v>0</v>
      </c>
      <c r="H34" s="55"/>
      <c r="I34" s="55">
        <f>D35</f>
        <v>0</v>
      </c>
      <c r="J34" s="58">
        <f>D35</f>
        <v>0</v>
      </c>
    </row>
    <row r="35" spans="2:10" ht="16" customHeight="1" x14ac:dyDescent="0.2">
      <c r="B35" s="509"/>
      <c r="C35" s="509"/>
      <c r="D35" s="505"/>
      <c r="E35" s="342" t="s">
        <v>19</v>
      </c>
      <c r="F35" s="57">
        <f>D35</f>
        <v>0</v>
      </c>
      <c r="G35" s="55">
        <f>D35</f>
        <v>0</v>
      </c>
      <c r="H35" s="353"/>
      <c r="I35" s="55">
        <f>D31</f>
        <v>0</v>
      </c>
      <c r="J35" s="58">
        <f>D31</f>
        <v>0</v>
      </c>
    </row>
    <row r="36" spans="2:10" ht="16" customHeight="1" x14ac:dyDescent="0.2">
      <c r="B36" s="509"/>
      <c r="C36" s="509"/>
      <c r="D36" s="506"/>
      <c r="E36" s="342" t="s">
        <v>21</v>
      </c>
      <c r="F36" s="57">
        <f>D35</f>
        <v>0</v>
      </c>
      <c r="G36" s="55">
        <f>D35</f>
        <v>0</v>
      </c>
      <c r="H36" s="353"/>
      <c r="I36" s="55">
        <f>D31</f>
        <v>0</v>
      </c>
      <c r="J36" s="58">
        <f>D31</f>
        <v>0</v>
      </c>
    </row>
    <row r="37" spans="2:10" ht="16" customHeight="1" x14ac:dyDescent="0.2">
      <c r="B37" s="509"/>
      <c r="C37" s="509"/>
      <c r="D37" s="506"/>
      <c r="E37" s="342" t="s">
        <v>22</v>
      </c>
      <c r="F37" s="57">
        <f>D35</f>
        <v>0</v>
      </c>
      <c r="G37" s="55">
        <f>D35</f>
        <v>0</v>
      </c>
      <c r="H37" s="353"/>
      <c r="I37" s="55">
        <f>D31</f>
        <v>0</v>
      </c>
      <c r="J37" s="58">
        <f>D31</f>
        <v>0</v>
      </c>
    </row>
    <row r="38" spans="2:10" ht="17" customHeight="1" thickBot="1" x14ac:dyDescent="0.25">
      <c r="B38" s="510"/>
      <c r="C38" s="510"/>
      <c r="D38" s="506"/>
      <c r="E38" s="343" t="s">
        <v>23</v>
      </c>
      <c r="F38" s="59">
        <f>D35</f>
        <v>0</v>
      </c>
      <c r="G38" s="60">
        <f>D35</f>
        <v>0</v>
      </c>
      <c r="H38" s="354"/>
      <c r="I38" s="60">
        <f>D31</f>
        <v>0</v>
      </c>
      <c r="J38" s="61">
        <f>D31</f>
        <v>0</v>
      </c>
    </row>
    <row r="39" spans="2:10" ht="16" customHeight="1" thickBot="1" x14ac:dyDescent="0.25">
      <c r="B39" s="346"/>
      <c r="C39" s="347"/>
      <c r="D39" s="347"/>
      <c r="E39" s="347"/>
    </row>
    <row r="40" spans="2:10" ht="17" customHeight="1" thickBot="1" x14ac:dyDescent="0.25">
      <c r="B40" s="517"/>
      <c r="C40" s="508"/>
      <c r="D40" s="505"/>
      <c r="E40" s="344" t="s">
        <v>7</v>
      </c>
      <c r="F40" s="81">
        <f>D40</f>
        <v>0</v>
      </c>
      <c r="G40" s="46">
        <f>D40</f>
        <v>0</v>
      </c>
      <c r="H40" s="46"/>
      <c r="I40" s="46">
        <f>D44</f>
        <v>0</v>
      </c>
      <c r="J40" s="78">
        <f>D44</f>
        <v>0</v>
      </c>
    </row>
    <row r="41" spans="2:10" ht="16" customHeight="1" x14ac:dyDescent="0.2">
      <c r="B41" s="509"/>
      <c r="C41" s="509"/>
      <c r="D41" s="506"/>
      <c r="E41" s="342" t="s">
        <v>15</v>
      </c>
      <c r="F41" s="57">
        <f>D40</f>
        <v>0</v>
      </c>
      <c r="G41" s="55">
        <f>D40</f>
        <v>0</v>
      </c>
      <c r="H41" s="55"/>
      <c r="I41" s="55">
        <f>D44</f>
        <v>0</v>
      </c>
      <c r="J41" s="58">
        <f>D44</f>
        <v>0</v>
      </c>
    </row>
    <row r="42" spans="2:10" ht="16" customHeight="1" x14ac:dyDescent="0.2">
      <c r="B42" s="509"/>
      <c r="C42" s="509"/>
      <c r="D42" s="506"/>
      <c r="E42" s="342" t="s">
        <v>16</v>
      </c>
      <c r="F42" s="57">
        <f>D40</f>
        <v>0</v>
      </c>
      <c r="G42" s="55">
        <f>D40</f>
        <v>0</v>
      </c>
      <c r="H42" s="55"/>
      <c r="I42" s="55">
        <f>D44</f>
        <v>0</v>
      </c>
      <c r="J42" s="58">
        <f>D44</f>
        <v>0</v>
      </c>
    </row>
    <row r="43" spans="2:10" ht="17" customHeight="1" thickBot="1" x14ac:dyDescent="0.25">
      <c r="B43" s="509"/>
      <c r="C43" s="509"/>
      <c r="D43" s="506"/>
      <c r="E43" s="342" t="s">
        <v>17</v>
      </c>
      <c r="F43" s="57">
        <f>D40</f>
        <v>0</v>
      </c>
      <c r="G43" s="55">
        <f>D40</f>
        <v>0</v>
      </c>
      <c r="H43" s="55"/>
      <c r="I43" s="55">
        <f>D44</f>
        <v>0</v>
      </c>
      <c r="J43" s="58">
        <f>D44</f>
        <v>0</v>
      </c>
    </row>
    <row r="44" spans="2:10" ht="16" customHeight="1" x14ac:dyDescent="0.2">
      <c r="B44" s="509"/>
      <c r="C44" s="509"/>
      <c r="D44" s="505"/>
      <c r="E44" s="342" t="s">
        <v>19</v>
      </c>
      <c r="F44" s="57">
        <f>D44</f>
        <v>0</v>
      </c>
      <c r="G44" s="55">
        <f>D44</f>
        <v>0</v>
      </c>
      <c r="H44" s="353"/>
      <c r="I44" s="55">
        <f>D40</f>
        <v>0</v>
      </c>
      <c r="J44" s="58">
        <f>D40</f>
        <v>0</v>
      </c>
    </row>
    <row r="45" spans="2:10" ht="16" customHeight="1" x14ac:dyDescent="0.2">
      <c r="B45" s="509"/>
      <c r="C45" s="509"/>
      <c r="D45" s="506"/>
      <c r="E45" s="342" t="s">
        <v>21</v>
      </c>
      <c r="F45" s="57">
        <f>D44</f>
        <v>0</v>
      </c>
      <c r="G45" s="55">
        <f>D44</f>
        <v>0</v>
      </c>
      <c r="H45" s="353"/>
      <c r="I45" s="55">
        <f>D40</f>
        <v>0</v>
      </c>
      <c r="J45" s="58">
        <f>D40</f>
        <v>0</v>
      </c>
    </row>
    <row r="46" spans="2:10" ht="16" customHeight="1" x14ac:dyDescent="0.2">
      <c r="B46" s="509"/>
      <c r="C46" s="509"/>
      <c r="D46" s="506"/>
      <c r="E46" s="342" t="s">
        <v>22</v>
      </c>
      <c r="F46" s="57">
        <f>D44</f>
        <v>0</v>
      </c>
      <c r="G46" s="55">
        <f>D44</f>
        <v>0</v>
      </c>
      <c r="H46" s="353"/>
      <c r="I46" s="55">
        <f>D40</f>
        <v>0</v>
      </c>
      <c r="J46" s="58">
        <f>D40</f>
        <v>0</v>
      </c>
    </row>
    <row r="47" spans="2:10" ht="17" customHeight="1" thickBot="1" x14ac:dyDescent="0.25">
      <c r="B47" s="510"/>
      <c r="C47" s="510"/>
      <c r="D47" s="507"/>
      <c r="E47" s="343" t="s">
        <v>23</v>
      </c>
      <c r="F47" s="59">
        <f>D44</f>
        <v>0</v>
      </c>
      <c r="G47" s="60">
        <f>D44</f>
        <v>0</v>
      </c>
      <c r="H47" s="354"/>
      <c r="I47" s="60">
        <f>D40</f>
        <v>0</v>
      </c>
      <c r="J47" s="61">
        <f>D40</f>
        <v>0</v>
      </c>
    </row>
    <row r="48" spans="2:10" ht="16" customHeight="1" thickBot="1" x14ac:dyDescent="0.25">
      <c r="B48" s="346"/>
      <c r="C48" s="347"/>
      <c r="D48" s="347"/>
      <c r="E48" s="347"/>
    </row>
    <row r="49" spans="2:10" ht="17" customHeight="1" thickBot="1" x14ac:dyDescent="0.25">
      <c r="B49" s="511"/>
      <c r="C49" s="508">
        <v>0</v>
      </c>
      <c r="D49" s="505"/>
      <c r="E49" s="344" t="s">
        <v>7</v>
      </c>
      <c r="F49" s="81">
        <f>D49</f>
        <v>0</v>
      </c>
      <c r="G49" s="46">
        <f>D49</f>
        <v>0</v>
      </c>
      <c r="H49" s="46"/>
      <c r="I49" s="46">
        <f>D53</f>
        <v>0</v>
      </c>
      <c r="J49" s="78">
        <f>D53</f>
        <v>0</v>
      </c>
    </row>
    <row r="50" spans="2:10" ht="16" customHeight="1" x14ac:dyDescent="0.2">
      <c r="B50" s="509"/>
      <c r="C50" s="509"/>
      <c r="D50" s="506"/>
      <c r="E50" s="342" t="s">
        <v>15</v>
      </c>
      <c r="F50" s="57">
        <f>D49</f>
        <v>0</v>
      </c>
      <c r="G50" s="55">
        <f>D49</f>
        <v>0</v>
      </c>
      <c r="H50" s="55"/>
      <c r="I50" s="55">
        <f>D53</f>
        <v>0</v>
      </c>
      <c r="J50" s="58">
        <f>D53</f>
        <v>0</v>
      </c>
    </row>
    <row r="51" spans="2:10" ht="16" customHeight="1" x14ac:dyDescent="0.2">
      <c r="B51" s="509"/>
      <c r="C51" s="509"/>
      <c r="D51" s="506"/>
      <c r="E51" s="342" t="s">
        <v>16</v>
      </c>
      <c r="F51" s="57">
        <f>D49</f>
        <v>0</v>
      </c>
      <c r="G51" s="55">
        <f>D49</f>
        <v>0</v>
      </c>
      <c r="H51" s="55"/>
      <c r="I51" s="55">
        <f>D53</f>
        <v>0</v>
      </c>
      <c r="J51" s="58">
        <f>D53</f>
        <v>0</v>
      </c>
    </row>
    <row r="52" spans="2:10" ht="17" customHeight="1" thickBot="1" x14ac:dyDescent="0.25">
      <c r="B52" s="509"/>
      <c r="C52" s="509"/>
      <c r="D52" s="506"/>
      <c r="E52" s="342" t="s">
        <v>17</v>
      </c>
      <c r="F52" s="57">
        <f>D49</f>
        <v>0</v>
      </c>
      <c r="G52" s="55">
        <f>D49</f>
        <v>0</v>
      </c>
      <c r="H52" s="55"/>
      <c r="I52" s="55">
        <f>D53</f>
        <v>0</v>
      </c>
      <c r="J52" s="58">
        <f>D53</f>
        <v>0</v>
      </c>
    </row>
    <row r="53" spans="2:10" ht="16" customHeight="1" x14ac:dyDescent="0.2">
      <c r="B53" s="509"/>
      <c r="C53" s="509"/>
      <c r="D53" s="505"/>
      <c r="E53" s="342" t="s">
        <v>19</v>
      </c>
      <c r="F53" s="57">
        <f>D53</f>
        <v>0</v>
      </c>
      <c r="G53" s="55">
        <f>D53</f>
        <v>0</v>
      </c>
      <c r="H53" s="353"/>
      <c r="I53" s="55">
        <f>D49</f>
        <v>0</v>
      </c>
      <c r="J53" s="58">
        <f>D49</f>
        <v>0</v>
      </c>
    </row>
    <row r="54" spans="2:10" ht="16" customHeight="1" x14ac:dyDescent="0.2">
      <c r="B54" s="509"/>
      <c r="C54" s="509"/>
      <c r="D54" s="506"/>
      <c r="E54" s="342" t="s">
        <v>21</v>
      </c>
      <c r="F54" s="57">
        <f>D53</f>
        <v>0</v>
      </c>
      <c r="G54" s="55">
        <f>D53</f>
        <v>0</v>
      </c>
      <c r="H54" s="353"/>
      <c r="I54" s="55">
        <f>D49</f>
        <v>0</v>
      </c>
      <c r="J54" s="58">
        <f>D49</f>
        <v>0</v>
      </c>
    </row>
    <row r="55" spans="2:10" ht="16" customHeight="1" x14ac:dyDescent="0.2">
      <c r="B55" s="509"/>
      <c r="C55" s="509"/>
      <c r="D55" s="506"/>
      <c r="E55" s="342" t="s">
        <v>22</v>
      </c>
      <c r="F55" s="57">
        <f>D53</f>
        <v>0</v>
      </c>
      <c r="G55" s="55">
        <f>D53</f>
        <v>0</v>
      </c>
      <c r="H55" s="353"/>
      <c r="I55" s="55">
        <f>D49</f>
        <v>0</v>
      </c>
      <c r="J55" s="58">
        <f>D49</f>
        <v>0</v>
      </c>
    </row>
    <row r="56" spans="2:10" ht="17" customHeight="1" thickBot="1" x14ac:dyDescent="0.25">
      <c r="B56" s="510"/>
      <c r="C56" s="510"/>
      <c r="D56" s="507"/>
      <c r="E56" s="343" t="s">
        <v>23</v>
      </c>
      <c r="F56" s="59">
        <f>D53</f>
        <v>0</v>
      </c>
      <c r="G56" s="60">
        <f>D53</f>
        <v>0</v>
      </c>
      <c r="H56" s="354"/>
      <c r="I56" s="60">
        <f>D49</f>
        <v>0</v>
      </c>
      <c r="J56" s="61">
        <f>D49</f>
        <v>0</v>
      </c>
    </row>
    <row r="57" spans="2:10" ht="16" customHeight="1" thickBot="1" x14ac:dyDescent="0.25">
      <c r="B57" s="346"/>
      <c r="C57" s="347"/>
      <c r="D57" s="347"/>
      <c r="E57" s="347"/>
    </row>
    <row r="58" spans="2:10" ht="17" customHeight="1" thickBot="1" x14ac:dyDescent="0.25">
      <c r="B58" s="508">
        <v>0</v>
      </c>
      <c r="C58" s="508">
        <v>0</v>
      </c>
      <c r="D58" s="505"/>
      <c r="E58" s="344" t="s">
        <v>7</v>
      </c>
      <c r="F58" s="81">
        <f>D58</f>
        <v>0</v>
      </c>
      <c r="G58" s="46">
        <f>D58</f>
        <v>0</v>
      </c>
      <c r="H58" s="46"/>
      <c r="I58" s="46">
        <f>D62</f>
        <v>0</v>
      </c>
      <c r="J58" s="78">
        <f>D62</f>
        <v>0</v>
      </c>
    </row>
    <row r="59" spans="2:10" ht="16" customHeight="1" x14ac:dyDescent="0.2">
      <c r="B59" s="509"/>
      <c r="C59" s="509"/>
      <c r="D59" s="506"/>
      <c r="E59" s="342" t="s">
        <v>15</v>
      </c>
      <c r="F59" s="57">
        <f>D58</f>
        <v>0</v>
      </c>
      <c r="G59" s="55">
        <f>D58</f>
        <v>0</v>
      </c>
      <c r="H59" s="55"/>
      <c r="I59" s="55">
        <f>D62</f>
        <v>0</v>
      </c>
      <c r="J59" s="58">
        <f>D62</f>
        <v>0</v>
      </c>
    </row>
    <row r="60" spans="2:10" ht="16" customHeight="1" x14ac:dyDescent="0.2">
      <c r="B60" s="509"/>
      <c r="C60" s="509"/>
      <c r="D60" s="506"/>
      <c r="E60" s="342" t="s">
        <v>16</v>
      </c>
      <c r="F60" s="57">
        <f>D58</f>
        <v>0</v>
      </c>
      <c r="G60" s="55">
        <f>D58</f>
        <v>0</v>
      </c>
      <c r="H60" s="55"/>
      <c r="I60" s="55">
        <f>D62</f>
        <v>0</v>
      </c>
      <c r="J60" s="58">
        <f>D62</f>
        <v>0</v>
      </c>
    </row>
    <row r="61" spans="2:10" ht="17" customHeight="1" thickBot="1" x14ac:dyDescent="0.25">
      <c r="B61" s="509"/>
      <c r="C61" s="509"/>
      <c r="D61" s="506"/>
      <c r="E61" s="342" t="s">
        <v>17</v>
      </c>
      <c r="F61" s="57">
        <f>D58</f>
        <v>0</v>
      </c>
      <c r="G61" s="55">
        <f>D58</f>
        <v>0</v>
      </c>
      <c r="H61" s="55"/>
      <c r="I61" s="55">
        <f>D62</f>
        <v>0</v>
      </c>
      <c r="J61" s="58">
        <f>D62</f>
        <v>0</v>
      </c>
    </row>
    <row r="62" spans="2:10" ht="16" customHeight="1" x14ac:dyDescent="0.2">
      <c r="B62" s="509"/>
      <c r="C62" s="509"/>
      <c r="D62" s="505"/>
      <c r="E62" s="342" t="s">
        <v>19</v>
      </c>
      <c r="F62" s="57">
        <f>D62</f>
        <v>0</v>
      </c>
      <c r="G62" s="55">
        <f>D62</f>
        <v>0</v>
      </c>
      <c r="H62" s="353"/>
      <c r="I62" s="55">
        <f>D58</f>
        <v>0</v>
      </c>
      <c r="J62" s="58">
        <f>D58</f>
        <v>0</v>
      </c>
    </row>
    <row r="63" spans="2:10" ht="16" customHeight="1" x14ac:dyDescent="0.2">
      <c r="B63" s="509"/>
      <c r="C63" s="509"/>
      <c r="D63" s="506"/>
      <c r="E63" s="342" t="s">
        <v>21</v>
      </c>
      <c r="F63" s="57">
        <f>D62</f>
        <v>0</v>
      </c>
      <c r="G63" s="55">
        <f>D62</f>
        <v>0</v>
      </c>
      <c r="H63" s="353"/>
      <c r="I63" s="55">
        <f>D58</f>
        <v>0</v>
      </c>
      <c r="J63" s="58">
        <f>D58</f>
        <v>0</v>
      </c>
    </row>
    <row r="64" spans="2:10" ht="16" customHeight="1" x14ac:dyDescent="0.2">
      <c r="B64" s="509"/>
      <c r="C64" s="509"/>
      <c r="D64" s="506"/>
      <c r="E64" s="342" t="s">
        <v>22</v>
      </c>
      <c r="F64" s="57">
        <f>D62</f>
        <v>0</v>
      </c>
      <c r="G64" s="55">
        <f>D62</f>
        <v>0</v>
      </c>
      <c r="H64" s="353"/>
      <c r="I64" s="55">
        <f>D58</f>
        <v>0</v>
      </c>
      <c r="J64" s="58">
        <f>D58</f>
        <v>0</v>
      </c>
    </row>
    <row r="65" spans="2:10" ht="17" customHeight="1" thickBot="1" x14ac:dyDescent="0.25">
      <c r="B65" s="510"/>
      <c r="C65" s="510"/>
      <c r="D65" s="507"/>
      <c r="E65" s="343" t="s">
        <v>23</v>
      </c>
      <c r="F65" s="59">
        <f>D62</f>
        <v>0</v>
      </c>
      <c r="G65" s="60">
        <f>D62</f>
        <v>0</v>
      </c>
      <c r="H65" s="354"/>
      <c r="I65" s="60">
        <f>D58</f>
        <v>0</v>
      </c>
      <c r="J65" s="61">
        <f>D58</f>
        <v>0</v>
      </c>
    </row>
    <row r="66" spans="2:10" ht="16" customHeight="1" thickBot="1" x14ac:dyDescent="0.25">
      <c r="B66" s="346"/>
      <c r="C66" s="347"/>
      <c r="D66" s="347"/>
      <c r="E66" s="347"/>
    </row>
    <row r="67" spans="2:10" ht="17" customHeight="1" thickBot="1" x14ac:dyDescent="0.25">
      <c r="B67" s="508">
        <v>0</v>
      </c>
      <c r="C67" s="508">
        <v>0</v>
      </c>
      <c r="D67" s="505"/>
      <c r="E67" s="344" t="s">
        <v>7</v>
      </c>
      <c r="F67" s="81">
        <f>D67</f>
        <v>0</v>
      </c>
      <c r="G67" s="46">
        <f>D67</f>
        <v>0</v>
      </c>
      <c r="H67" s="46"/>
      <c r="I67" s="46">
        <f>D71</f>
        <v>0</v>
      </c>
      <c r="J67" s="78">
        <f>D71</f>
        <v>0</v>
      </c>
    </row>
    <row r="68" spans="2:10" ht="16" customHeight="1" x14ac:dyDescent="0.2">
      <c r="B68" s="509"/>
      <c r="C68" s="509"/>
      <c r="D68" s="506"/>
      <c r="E68" s="342" t="s">
        <v>15</v>
      </c>
      <c r="F68" s="57">
        <f>D67</f>
        <v>0</v>
      </c>
      <c r="G68" s="55">
        <f>D67</f>
        <v>0</v>
      </c>
      <c r="H68" s="55"/>
      <c r="I68" s="55">
        <f>D71</f>
        <v>0</v>
      </c>
      <c r="J68" s="58">
        <f>D71</f>
        <v>0</v>
      </c>
    </row>
    <row r="69" spans="2:10" ht="16" customHeight="1" x14ac:dyDescent="0.2">
      <c r="B69" s="509"/>
      <c r="C69" s="509"/>
      <c r="D69" s="506"/>
      <c r="E69" s="342" t="s">
        <v>16</v>
      </c>
      <c r="F69" s="57">
        <f>D67</f>
        <v>0</v>
      </c>
      <c r="G69" s="55">
        <f>D67</f>
        <v>0</v>
      </c>
      <c r="H69" s="55"/>
      <c r="I69" s="55">
        <f>D71</f>
        <v>0</v>
      </c>
      <c r="J69" s="58">
        <f>D71</f>
        <v>0</v>
      </c>
    </row>
    <row r="70" spans="2:10" ht="17" customHeight="1" thickBot="1" x14ac:dyDescent="0.25">
      <c r="B70" s="509"/>
      <c r="C70" s="509"/>
      <c r="D70" s="506"/>
      <c r="E70" s="342" t="s">
        <v>17</v>
      </c>
      <c r="F70" s="57">
        <f>D67</f>
        <v>0</v>
      </c>
      <c r="G70" s="55">
        <f>D67</f>
        <v>0</v>
      </c>
      <c r="H70" s="55"/>
      <c r="I70" s="55">
        <f>D71</f>
        <v>0</v>
      </c>
      <c r="J70" s="58">
        <f>D71</f>
        <v>0</v>
      </c>
    </row>
    <row r="71" spans="2:10" ht="16" customHeight="1" x14ac:dyDescent="0.2">
      <c r="B71" s="509"/>
      <c r="C71" s="509"/>
      <c r="D71" s="505"/>
      <c r="E71" s="342" t="s">
        <v>19</v>
      </c>
      <c r="F71" s="57">
        <f>D71</f>
        <v>0</v>
      </c>
      <c r="G71" s="55">
        <f>D71</f>
        <v>0</v>
      </c>
      <c r="H71" s="353"/>
      <c r="I71" s="55">
        <f>D67</f>
        <v>0</v>
      </c>
      <c r="J71" s="58">
        <f>D67</f>
        <v>0</v>
      </c>
    </row>
    <row r="72" spans="2:10" ht="16" customHeight="1" x14ac:dyDescent="0.2">
      <c r="B72" s="509"/>
      <c r="C72" s="509"/>
      <c r="D72" s="506"/>
      <c r="E72" s="342" t="s">
        <v>21</v>
      </c>
      <c r="F72" s="57">
        <f>D71</f>
        <v>0</v>
      </c>
      <c r="G72" s="55">
        <f>D71</f>
        <v>0</v>
      </c>
      <c r="H72" s="353"/>
      <c r="I72" s="55">
        <f>D67</f>
        <v>0</v>
      </c>
      <c r="J72" s="58">
        <f>D67</f>
        <v>0</v>
      </c>
    </row>
    <row r="73" spans="2:10" ht="16" customHeight="1" x14ac:dyDescent="0.2">
      <c r="B73" s="509"/>
      <c r="C73" s="509"/>
      <c r="D73" s="506"/>
      <c r="E73" s="342" t="s">
        <v>22</v>
      </c>
      <c r="F73" s="57">
        <f>D71</f>
        <v>0</v>
      </c>
      <c r="G73" s="55">
        <f>D71</f>
        <v>0</v>
      </c>
      <c r="H73" s="353"/>
      <c r="I73" s="55">
        <f>D67</f>
        <v>0</v>
      </c>
      <c r="J73" s="58">
        <f>D67</f>
        <v>0</v>
      </c>
    </row>
    <row r="74" spans="2:10" ht="17" customHeight="1" thickBot="1" x14ac:dyDescent="0.25">
      <c r="B74" s="510"/>
      <c r="C74" s="510"/>
      <c r="D74" s="507"/>
      <c r="E74" s="343" t="s">
        <v>23</v>
      </c>
      <c r="F74" s="59">
        <f>D71</f>
        <v>0</v>
      </c>
      <c r="G74" s="60">
        <f>D71</f>
        <v>0</v>
      </c>
      <c r="H74" s="354"/>
      <c r="I74" s="60">
        <f>D67</f>
        <v>0</v>
      </c>
      <c r="J74" s="61">
        <f>D67</f>
        <v>0</v>
      </c>
    </row>
  </sheetData>
  <mergeCells count="32">
    <mergeCell ref="B4:B11"/>
    <mergeCell ref="C4:C11"/>
    <mergeCell ref="B40:B47"/>
    <mergeCell ref="B58:B65"/>
    <mergeCell ref="C58:C65"/>
    <mergeCell ref="B67:B74"/>
    <mergeCell ref="C67:C74"/>
    <mergeCell ref="B13:B20"/>
    <mergeCell ref="C13:C20"/>
    <mergeCell ref="B22:B29"/>
    <mergeCell ref="C22:C29"/>
    <mergeCell ref="B31:B38"/>
    <mergeCell ref="C31:C38"/>
    <mergeCell ref="D26:D29"/>
    <mergeCell ref="D31:D34"/>
    <mergeCell ref="D35:D38"/>
    <mergeCell ref="C40:C47"/>
    <mergeCell ref="B49:B56"/>
    <mergeCell ref="C49:C56"/>
    <mergeCell ref="D4:D7"/>
    <mergeCell ref="D8:D11"/>
    <mergeCell ref="D13:D16"/>
    <mergeCell ref="D17:D20"/>
    <mergeCell ref="D22:D25"/>
    <mergeCell ref="D67:D70"/>
    <mergeCell ref="D71:D74"/>
    <mergeCell ref="D40:D43"/>
    <mergeCell ref="D44:D47"/>
    <mergeCell ref="D49:D52"/>
    <mergeCell ref="D53:D56"/>
    <mergeCell ref="D58:D61"/>
    <mergeCell ref="D62:D65"/>
  </mergeCells>
  <dataValidations count="1">
    <dataValidation type="list" allowBlank="1" showInputMessage="1" showErrorMessage="1" sqref="D67:D74 H53:H56 H44:H47 H35:H38 H26:H29 H17:H20 H8:H11 D4:D11 D13:D20 D22:D29 D31:D38 D40:D47 D49:D56 D58:D65 H62:H65 H71:H74" xr:uid="{CD34E062-707D-9542-AFB8-FA5B906FF8DD}">
      <formula1>$L$3:$L$13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5EA3E-2D8B-6A49-BF63-73FED32B7564}">
  <sheetPr codeName="Sheet4"/>
  <dimension ref="A1:DC72"/>
  <sheetViews>
    <sheetView workbookViewId="0">
      <selection activeCell="I53" sqref="I53"/>
    </sheetView>
  </sheetViews>
  <sheetFormatPr baseColWidth="10" defaultColWidth="8.6640625" defaultRowHeight="15" x14ac:dyDescent="0.2"/>
  <cols>
    <col min="1" max="1" width="4.1640625" customWidth="1"/>
    <col min="2" max="2" width="3.6640625" customWidth="1"/>
    <col min="3" max="3" width="23.1640625" style="243" customWidth="1"/>
    <col min="4" max="4" width="12" style="243" customWidth="1"/>
    <col min="5" max="94" width="12.6640625" customWidth="1"/>
  </cols>
  <sheetData>
    <row r="1" spans="1:107" s="280" customFormat="1" x14ac:dyDescent="0.2">
      <c r="C1" s="279"/>
      <c r="D1" s="279"/>
    </row>
    <row r="2" spans="1:107" s="280" customFormat="1" ht="16" thickBot="1" x14ac:dyDescent="0.25">
      <c r="C2" s="279"/>
      <c r="D2" s="279"/>
    </row>
    <row r="3" spans="1:107" s="243" customFormat="1" x14ac:dyDescent="0.2">
      <c r="A3" s="279"/>
      <c r="B3" s="279"/>
      <c r="C3" s="279"/>
      <c r="D3" s="281"/>
      <c r="E3" s="518" t="str">
        <f>_xlfn.CONCAT("Uge ",WEEKNUM(E5))</f>
        <v>Uge 6</v>
      </c>
      <c r="F3" s="519"/>
      <c r="G3" s="519"/>
      <c r="H3" s="519"/>
      <c r="I3" s="521"/>
      <c r="J3" s="518" t="str">
        <f>_xlfn.CONCAT("Uge ",WEEKNUM(J5+1))</f>
        <v>Uge 7</v>
      </c>
      <c r="K3" s="519"/>
      <c r="L3" s="519"/>
      <c r="M3" s="519"/>
      <c r="N3" s="520"/>
      <c r="O3" s="518" t="str">
        <f>_xlfn.CONCAT("Uge ",WEEKNUM(O5+1))</f>
        <v>Uge 8</v>
      </c>
      <c r="P3" s="519"/>
      <c r="Q3" s="519"/>
      <c r="R3" s="519"/>
      <c r="S3" s="520"/>
      <c r="T3" s="518" t="str">
        <f>_xlfn.CONCAT("Uge ",WEEKNUM(T5+1))</f>
        <v>Uge 9</v>
      </c>
      <c r="U3" s="519"/>
      <c r="V3" s="519"/>
      <c r="W3" s="519"/>
      <c r="X3" s="520"/>
      <c r="Y3" s="518" t="str">
        <f>_xlfn.CONCAT("Uge ",WEEKNUM(Y5+1))</f>
        <v>Uge 10</v>
      </c>
      <c r="Z3" s="519"/>
      <c r="AA3" s="519"/>
      <c r="AB3" s="519"/>
      <c r="AC3" s="520"/>
      <c r="AD3" s="518" t="str">
        <f>_xlfn.CONCAT("Uge ",WEEKNUM(AD5+1))</f>
        <v>Uge 11</v>
      </c>
      <c r="AE3" s="519"/>
      <c r="AF3" s="519"/>
      <c r="AG3" s="519"/>
      <c r="AH3" s="520"/>
      <c r="AI3" s="518" t="str">
        <f>_xlfn.CONCAT("Uge ",WEEKNUM(AI5+1))</f>
        <v>Uge 12</v>
      </c>
      <c r="AJ3" s="519"/>
      <c r="AK3" s="519"/>
      <c r="AL3" s="519"/>
      <c r="AM3" s="520"/>
      <c r="AN3" s="518" t="str">
        <f>_xlfn.CONCAT("Uge ",WEEKNUM(AN5+1))</f>
        <v>Uge 13</v>
      </c>
      <c r="AO3" s="519"/>
      <c r="AP3" s="519"/>
      <c r="AQ3" s="519"/>
      <c r="AR3" s="520"/>
      <c r="AS3" s="518" t="str">
        <f>_xlfn.CONCAT("Uge ",WEEKNUM(AS5+1))</f>
        <v>Uge 14</v>
      </c>
      <c r="AT3" s="519"/>
      <c r="AU3" s="519"/>
      <c r="AV3" s="519"/>
      <c r="AW3" s="520"/>
      <c r="AX3" s="518" t="str">
        <f>_xlfn.CONCAT("Uge ",WEEKNUM(AX5+1))</f>
        <v>Uge 15</v>
      </c>
      <c r="AY3" s="519"/>
      <c r="AZ3" s="519"/>
      <c r="BA3" s="519"/>
      <c r="BB3" s="520"/>
      <c r="BC3" s="518" t="str">
        <f>_xlfn.CONCAT("Uge ",WEEKNUM(BC5+1))</f>
        <v>Uge 16</v>
      </c>
      <c r="BD3" s="519"/>
      <c r="BE3" s="519"/>
      <c r="BF3" s="519"/>
      <c r="BG3" s="520"/>
      <c r="BH3" s="518" t="str">
        <f>_xlfn.CONCAT("Uge ",WEEKNUM(BH5+1))</f>
        <v>Uge 17</v>
      </c>
      <c r="BI3" s="519"/>
      <c r="BJ3" s="519"/>
      <c r="BK3" s="519"/>
      <c r="BL3" s="520"/>
      <c r="BM3" s="518" t="str">
        <f>_xlfn.CONCAT("Uge ",WEEKNUM(BM5+1))</f>
        <v>Uge 18</v>
      </c>
      <c r="BN3" s="519"/>
      <c r="BO3" s="519"/>
      <c r="BP3" s="519"/>
      <c r="BQ3" s="520"/>
      <c r="BR3" s="518" t="str">
        <f>_xlfn.CONCAT("Uge ",WEEKNUM(BR5+1))</f>
        <v>Uge 19</v>
      </c>
      <c r="BS3" s="519"/>
      <c r="BT3" s="519"/>
      <c r="BU3" s="519"/>
      <c r="BV3" s="520"/>
      <c r="BW3" s="518" t="str">
        <f>_xlfn.CONCAT("Uge ",WEEKNUM(BW5+1))</f>
        <v>Uge 20</v>
      </c>
      <c r="BX3" s="519"/>
      <c r="BY3" s="519"/>
      <c r="BZ3" s="519"/>
      <c r="CA3" s="520"/>
      <c r="CB3" s="518" t="str">
        <f>_xlfn.CONCAT("Uge ",WEEKNUM(CB5+1))</f>
        <v>Uge 21</v>
      </c>
      <c r="CC3" s="519"/>
      <c r="CD3" s="519"/>
      <c r="CE3" s="519"/>
      <c r="CF3" s="520"/>
      <c r="CG3" s="518" t="str">
        <f>_xlfn.CONCAT("Uge ",WEEKNUM(CG5+1))</f>
        <v>Uge 22</v>
      </c>
      <c r="CH3" s="519"/>
      <c r="CI3" s="519"/>
      <c r="CJ3" s="519"/>
      <c r="CK3" s="520"/>
      <c r="CL3" s="518" t="str">
        <f>_xlfn.CONCAT("Uge ",WEEKNUM(CL5+1))</f>
        <v>Uge 23</v>
      </c>
      <c r="CM3" s="519"/>
      <c r="CN3" s="519"/>
      <c r="CO3" s="519"/>
      <c r="CP3" s="520"/>
    </row>
    <row r="4" spans="1:107" s="243" customFormat="1" x14ac:dyDescent="0.2">
      <c r="A4" s="279"/>
      <c r="B4" s="279"/>
      <c r="C4" s="279"/>
      <c r="D4" s="281"/>
      <c r="E4" s="251" t="s">
        <v>250</v>
      </c>
      <c r="F4" s="244" t="s">
        <v>252</v>
      </c>
      <c r="G4" s="244" t="s">
        <v>229</v>
      </c>
      <c r="H4" s="244" t="s">
        <v>243</v>
      </c>
      <c r="I4" s="256" t="s">
        <v>246</v>
      </c>
      <c r="J4" s="251" t="s">
        <v>250</v>
      </c>
      <c r="K4" s="244" t="s">
        <v>252</v>
      </c>
      <c r="L4" s="244" t="s">
        <v>229</v>
      </c>
      <c r="M4" s="244" t="s">
        <v>243</v>
      </c>
      <c r="N4" s="252" t="s">
        <v>246</v>
      </c>
      <c r="O4" s="251" t="s">
        <v>250</v>
      </c>
      <c r="P4" s="244" t="s">
        <v>252</v>
      </c>
      <c r="Q4" s="244" t="s">
        <v>229</v>
      </c>
      <c r="R4" s="244" t="s">
        <v>243</v>
      </c>
      <c r="S4" s="252" t="s">
        <v>246</v>
      </c>
      <c r="T4" s="251" t="s">
        <v>250</v>
      </c>
      <c r="U4" s="244" t="s">
        <v>252</v>
      </c>
      <c r="V4" s="244" t="s">
        <v>229</v>
      </c>
      <c r="W4" s="244" t="s">
        <v>243</v>
      </c>
      <c r="X4" s="252" t="s">
        <v>246</v>
      </c>
      <c r="Y4" s="251" t="s">
        <v>250</v>
      </c>
      <c r="Z4" s="244" t="s">
        <v>252</v>
      </c>
      <c r="AA4" s="244" t="s">
        <v>229</v>
      </c>
      <c r="AB4" s="244" t="s">
        <v>243</v>
      </c>
      <c r="AC4" s="252" t="s">
        <v>246</v>
      </c>
      <c r="AD4" s="251" t="s">
        <v>250</v>
      </c>
      <c r="AE4" s="244" t="s">
        <v>252</v>
      </c>
      <c r="AF4" s="244" t="s">
        <v>229</v>
      </c>
      <c r="AG4" s="244" t="s">
        <v>243</v>
      </c>
      <c r="AH4" s="252" t="s">
        <v>246</v>
      </c>
      <c r="AI4" s="251" t="s">
        <v>250</v>
      </c>
      <c r="AJ4" s="244" t="s">
        <v>252</v>
      </c>
      <c r="AK4" s="244" t="s">
        <v>229</v>
      </c>
      <c r="AL4" s="244" t="s">
        <v>243</v>
      </c>
      <c r="AM4" s="252" t="s">
        <v>246</v>
      </c>
      <c r="AN4" s="251" t="s">
        <v>250</v>
      </c>
      <c r="AO4" s="244" t="s">
        <v>252</v>
      </c>
      <c r="AP4" s="244" t="s">
        <v>229</v>
      </c>
      <c r="AQ4" s="244" t="s">
        <v>243</v>
      </c>
      <c r="AR4" s="252" t="s">
        <v>246</v>
      </c>
      <c r="AS4" s="251" t="s">
        <v>250</v>
      </c>
      <c r="AT4" s="244" t="s">
        <v>252</v>
      </c>
      <c r="AU4" s="244" t="s">
        <v>229</v>
      </c>
      <c r="AV4" s="244" t="s">
        <v>243</v>
      </c>
      <c r="AW4" s="252" t="s">
        <v>246</v>
      </c>
      <c r="AX4" s="251" t="s">
        <v>250</v>
      </c>
      <c r="AY4" s="244" t="s">
        <v>252</v>
      </c>
      <c r="AZ4" s="244" t="s">
        <v>229</v>
      </c>
      <c r="BA4" s="244" t="s">
        <v>243</v>
      </c>
      <c r="BB4" s="252" t="s">
        <v>246</v>
      </c>
      <c r="BC4" s="251" t="s">
        <v>250</v>
      </c>
      <c r="BD4" s="244" t="s">
        <v>252</v>
      </c>
      <c r="BE4" s="244" t="s">
        <v>229</v>
      </c>
      <c r="BF4" s="244" t="s">
        <v>243</v>
      </c>
      <c r="BG4" s="252" t="s">
        <v>246</v>
      </c>
      <c r="BH4" s="251" t="s">
        <v>250</v>
      </c>
      <c r="BI4" s="244" t="s">
        <v>252</v>
      </c>
      <c r="BJ4" s="244" t="s">
        <v>229</v>
      </c>
      <c r="BK4" s="244" t="s">
        <v>243</v>
      </c>
      <c r="BL4" s="252" t="s">
        <v>246</v>
      </c>
      <c r="BM4" s="251" t="s">
        <v>250</v>
      </c>
      <c r="BN4" s="244" t="s">
        <v>252</v>
      </c>
      <c r="BO4" s="244" t="s">
        <v>229</v>
      </c>
      <c r="BP4" s="244" t="s">
        <v>243</v>
      </c>
      <c r="BQ4" s="252" t="s">
        <v>246</v>
      </c>
      <c r="BR4" s="251" t="s">
        <v>250</v>
      </c>
      <c r="BS4" s="244" t="s">
        <v>252</v>
      </c>
      <c r="BT4" s="244" t="s">
        <v>229</v>
      </c>
      <c r="BU4" s="244" t="s">
        <v>243</v>
      </c>
      <c r="BV4" s="252" t="s">
        <v>246</v>
      </c>
      <c r="BW4" s="251" t="s">
        <v>250</v>
      </c>
      <c r="BX4" s="244" t="s">
        <v>252</v>
      </c>
      <c r="BY4" s="244" t="s">
        <v>229</v>
      </c>
      <c r="BZ4" s="244" t="s">
        <v>243</v>
      </c>
      <c r="CA4" s="252" t="s">
        <v>246</v>
      </c>
      <c r="CB4" s="251" t="s">
        <v>250</v>
      </c>
      <c r="CC4" s="244" t="s">
        <v>252</v>
      </c>
      <c r="CD4" s="244" t="s">
        <v>229</v>
      </c>
      <c r="CE4" s="244" t="s">
        <v>243</v>
      </c>
      <c r="CF4" s="252" t="s">
        <v>246</v>
      </c>
      <c r="CG4" s="251" t="s">
        <v>250</v>
      </c>
      <c r="CH4" s="244" t="s">
        <v>252</v>
      </c>
      <c r="CI4" s="244" t="s">
        <v>229</v>
      </c>
      <c r="CJ4" s="244" t="s">
        <v>243</v>
      </c>
      <c r="CK4" s="252" t="s">
        <v>246</v>
      </c>
      <c r="CL4" s="251" t="s">
        <v>250</v>
      </c>
      <c r="CM4" s="244" t="s">
        <v>252</v>
      </c>
      <c r="CN4" s="244" t="s">
        <v>229</v>
      </c>
      <c r="CO4" s="244" t="s">
        <v>243</v>
      </c>
      <c r="CP4" s="252" t="s">
        <v>246</v>
      </c>
    </row>
    <row r="5" spans="1:107" s="243" customFormat="1" ht="16" thickBot="1" x14ac:dyDescent="0.25">
      <c r="A5" s="279"/>
      <c r="B5" s="279"/>
      <c r="C5" s="279"/>
      <c r="D5" s="281"/>
      <c r="E5" s="253">
        <f>Data!M2</f>
        <v>46419</v>
      </c>
      <c r="F5" s="254">
        <f>E5+1</f>
        <v>46420</v>
      </c>
      <c r="G5" s="254">
        <f t="shared" ref="G5:I5" si="0">F5+1</f>
        <v>46421</v>
      </c>
      <c r="H5" s="254">
        <f t="shared" si="0"/>
        <v>46422</v>
      </c>
      <c r="I5" s="257">
        <f t="shared" si="0"/>
        <v>46423</v>
      </c>
      <c r="J5" s="253">
        <f>I5+3</f>
        <v>46426</v>
      </c>
      <c r="K5" s="254">
        <f>J5+1</f>
        <v>46427</v>
      </c>
      <c r="L5" s="254">
        <f t="shared" ref="L5:N5" si="1">K5+1</f>
        <v>46428</v>
      </c>
      <c r="M5" s="254">
        <f t="shared" si="1"/>
        <v>46429</v>
      </c>
      <c r="N5" s="255">
        <f t="shared" si="1"/>
        <v>46430</v>
      </c>
      <c r="O5" s="253">
        <f>N5+3</f>
        <v>46433</v>
      </c>
      <c r="P5" s="254">
        <f>O5+1</f>
        <v>46434</v>
      </c>
      <c r="Q5" s="254">
        <f t="shared" ref="Q5:S5" si="2">P5+1</f>
        <v>46435</v>
      </c>
      <c r="R5" s="254">
        <f t="shared" si="2"/>
        <v>46436</v>
      </c>
      <c r="S5" s="255">
        <f t="shared" si="2"/>
        <v>46437</v>
      </c>
      <c r="T5" s="253">
        <f>S5+3</f>
        <v>46440</v>
      </c>
      <c r="U5" s="254">
        <f>T5+1</f>
        <v>46441</v>
      </c>
      <c r="V5" s="254">
        <f t="shared" ref="V5:X5" si="3">U5+1</f>
        <v>46442</v>
      </c>
      <c r="W5" s="254">
        <f t="shared" si="3"/>
        <v>46443</v>
      </c>
      <c r="X5" s="255">
        <f t="shared" si="3"/>
        <v>46444</v>
      </c>
      <c r="Y5" s="253">
        <f>X5+3</f>
        <v>46447</v>
      </c>
      <c r="Z5" s="254">
        <f>Y5+1</f>
        <v>46448</v>
      </c>
      <c r="AA5" s="254">
        <f t="shared" ref="AA5:AC5" si="4">Z5+1</f>
        <v>46449</v>
      </c>
      <c r="AB5" s="254">
        <f t="shared" si="4"/>
        <v>46450</v>
      </c>
      <c r="AC5" s="255">
        <f t="shared" si="4"/>
        <v>46451</v>
      </c>
      <c r="AD5" s="253">
        <f>AC5+3</f>
        <v>46454</v>
      </c>
      <c r="AE5" s="254">
        <f>AD5+1</f>
        <v>46455</v>
      </c>
      <c r="AF5" s="254">
        <f t="shared" ref="AF5:AH5" si="5">AE5+1</f>
        <v>46456</v>
      </c>
      <c r="AG5" s="254">
        <f t="shared" si="5"/>
        <v>46457</v>
      </c>
      <c r="AH5" s="255">
        <f t="shared" si="5"/>
        <v>46458</v>
      </c>
      <c r="AI5" s="253">
        <f>AH5+3</f>
        <v>46461</v>
      </c>
      <c r="AJ5" s="254">
        <f>AI5+1</f>
        <v>46462</v>
      </c>
      <c r="AK5" s="254">
        <f t="shared" ref="AK5:AM5" si="6">AJ5+1</f>
        <v>46463</v>
      </c>
      <c r="AL5" s="254">
        <f t="shared" si="6"/>
        <v>46464</v>
      </c>
      <c r="AM5" s="255">
        <f t="shared" si="6"/>
        <v>46465</v>
      </c>
      <c r="AN5" s="253">
        <f>AM5+3</f>
        <v>46468</v>
      </c>
      <c r="AO5" s="254">
        <f>AN5+1</f>
        <v>46469</v>
      </c>
      <c r="AP5" s="254">
        <f t="shared" ref="AP5:AR5" si="7">AO5+1</f>
        <v>46470</v>
      </c>
      <c r="AQ5" s="254">
        <f t="shared" si="7"/>
        <v>46471</v>
      </c>
      <c r="AR5" s="255">
        <f t="shared" si="7"/>
        <v>46472</v>
      </c>
      <c r="AS5" s="253">
        <f>AR5+3</f>
        <v>46475</v>
      </c>
      <c r="AT5" s="254">
        <f>AS5+1</f>
        <v>46476</v>
      </c>
      <c r="AU5" s="254">
        <f t="shared" ref="AU5:AW5" si="8">AT5+1</f>
        <v>46477</v>
      </c>
      <c r="AV5" s="254">
        <f t="shared" si="8"/>
        <v>46478</v>
      </c>
      <c r="AW5" s="255">
        <f t="shared" si="8"/>
        <v>46479</v>
      </c>
      <c r="AX5" s="253">
        <f>AW5+3</f>
        <v>46482</v>
      </c>
      <c r="AY5" s="254">
        <f>AX5+1</f>
        <v>46483</v>
      </c>
      <c r="AZ5" s="254">
        <f t="shared" ref="AZ5:BB5" si="9">AY5+1</f>
        <v>46484</v>
      </c>
      <c r="BA5" s="254">
        <f t="shared" si="9"/>
        <v>46485</v>
      </c>
      <c r="BB5" s="255">
        <f t="shared" si="9"/>
        <v>46486</v>
      </c>
      <c r="BC5" s="253">
        <f>BB5+3</f>
        <v>46489</v>
      </c>
      <c r="BD5" s="254">
        <f>BC5+1</f>
        <v>46490</v>
      </c>
      <c r="BE5" s="254">
        <f t="shared" ref="BE5:BG5" si="10">BD5+1</f>
        <v>46491</v>
      </c>
      <c r="BF5" s="254">
        <f t="shared" si="10"/>
        <v>46492</v>
      </c>
      <c r="BG5" s="255">
        <f t="shared" si="10"/>
        <v>46493</v>
      </c>
      <c r="BH5" s="253">
        <f>BG5+3</f>
        <v>46496</v>
      </c>
      <c r="BI5" s="254">
        <f>BH5+1</f>
        <v>46497</v>
      </c>
      <c r="BJ5" s="254">
        <f t="shared" ref="BJ5:BL5" si="11">BI5+1</f>
        <v>46498</v>
      </c>
      <c r="BK5" s="254">
        <f t="shared" si="11"/>
        <v>46499</v>
      </c>
      <c r="BL5" s="255">
        <f t="shared" si="11"/>
        <v>46500</v>
      </c>
      <c r="BM5" s="253">
        <f>BL5+3</f>
        <v>46503</v>
      </c>
      <c r="BN5" s="254">
        <f>BM5+1</f>
        <v>46504</v>
      </c>
      <c r="BO5" s="254">
        <f t="shared" ref="BO5:BQ5" si="12">BN5+1</f>
        <v>46505</v>
      </c>
      <c r="BP5" s="254">
        <f t="shared" si="12"/>
        <v>46506</v>
      </c>
      <c r="BQ5" s="255">
        <f t="shared" si="12"/>
        <v>46507</v>
      </c>
      <c r="BR5" s="253">
        <f>BQ5+3</f>
        <v>46510</v>
      </c>
      <c r="BS5" s="254">
        <f>BR5+1</f>
        <v>46511</v>
      </c>
      <c r="BT5" s="254">
        <f t="shared" ref="BT5:BV5" si="13">BS5+1</f>
        <v>46512</v>
      </c>
      <c r="BU5" s="254">
        <f t="shared" si="13"/>
        <v>46513</v>
      </c>
      <c r="BV5" s="255">
        <f t="shared" si="13"/>
        <v>46514</v>
      </c>
      <c r="BW5" s="253">
        <f>BV5+3</f>
        <v>46517</v>
      </c>
      <c r="BX5" s="254">
        <f>BW5+1</f>
        <v>46518</v>
      </c>
      <c r="BY5" s="254">
        <f t="shared" ref="BY5:CA5" si="14">BX5+1</f>
        <v>46519</v>
      </c>
      <c r="BZ5" s="254">
        <f t="shared" si="14"/>
        <v>46520</v>
      </c>
      <c r="CA5" s="255">
        <f t="shared" si="14"/>
        <v>46521</v>
      </c>
      <c r="CB5" s="253">
        <f>CA5+3</f>
        <v>46524</v>
      </c>
      <c r="CC5" s="254">
        <f>CB5+1</f>
        <v>46525</v>
      </c>
      <c r="CD5" s="254">
        <f t="shared" ref="CD5:CF5" si="15">CC5+1</f>
        <v>46526</v>
      </c>
      <c r="CE5" s="254">
        <f t="shared" si="15"/>
        <v>46527</v>
      </c>
      <c r="CF5" s="255">
        <f t="shared" si="15"/>
        <v>46528</v>
      </c>
      <c r="CG5" s="253">
        <f>CF5+3</f>
        <v>46531</v>
      </c>
      <c r="CH5" s="254">
        <f>CG5+1</f>
        <v>46532</v>
      </c>
      <c r="CI5" s="254">
        <f t="shared" ref="CI5:CK5" si="16">CH5+1</f>
        <v>46533</v>
      </c>
      <c r="CJ5" s="254">
        <f t="shared" si="16"/>
        <v>46534</v>
      </c>
      <c r="CK5" s="255">
        <f t="shared" si="16"/>
        <v>46535</v>
      </c>
      <c r="CL5" s="253">
        <f>CK5+3</f>
        <v>46538</v>
      </c>
      <c r="CM5" s="254">
        <f>CL5+1</f>
        <v>46539</v>
      </c>
      <c r="CN5" s="254">
        <f t="shared" ref="CN5:CP5" si="17">CM5+1</f>
        <v>46540</v>
      </c>
      <c r="CO5" s="254">
        <f t="shared" si="17"/>
        <v>46541</v>
      </c>
      <c r="CP5" s="255">
        <f t="shared" si="17"/>
        <v>46542</v>
      </c>
    </row>
    <row r="6" spans="1:107" s="279" customFormat="1" ht="16" thickBot="1" x14ac:dyDescent="0.25">
      <c r="C6" s="243"/>
      <c r="D6" s="301"/>
      <c r="E6" s="302"/>
      <c r="F6" s="302"/>
      <c r="G6" s="302"/>
      <c r="H6" s="302"/>
      <c r="I6" s="302"/>
      <c r="J6" s="302"/>
      <c r="K6" s="302"/>
      <c r="L6" s="302"/>
      <c r="M6" s="302"/>
      <c r="N6" s="302"/>
      <c r="O6" s="302"/>
      <c r="P6" s="302"/>
      <c r="Q6" s="302"/>
      <c r="R6" s="302"/>
      <c r="S6" s="302"/>
      <c r="T6" s="302"/>
      <c r="U6" s="302"/>
      <c r="V6" s="302"/>
      <c r="W6" s="302"/>
      <c r="X6" s="302"/>
      <c r="Y6" s="302"/>
      <c r="Z6" s="302"/>
      <c r="AA6" s="302"/>
      <c r="AB6" s="302"/>
      <c r="AC6" s="302"/>
      <c r="AD6" s="302"/>
      <c r="AE6" s="302"/>
      <c r="AF6" s="302"/>
      <c r="AG6" s="302"/>
      <c r="AH6" s="302"/>
      <c r="AI6" s="302"/>
      <c r="AJ6" s="302"/>
      <c r="AK6" s="302"/>
      <c r="AL6" s="302"/>
      <c r="AM6" s="302"/>
      <c r="AN6" s="302"/>
      <c r="AO6" s="302"/>
      <c r="AP6" s="302"/>
      <c r="AQ6" s="302"/>
      <c r="AR6" s="302"/>
      <c r="AS6" s="302"/>
      <c r="AT6" s="302"/>
      <c r="AU6" s="302"/>
      <c r="AV6" s="302"/>
      <c r="AW6" s="302"/>
      <c r="AX6" s="302"/>
      <c r="AY6" s="302"/>
      <c r="AZ6" s="302"/>
      <c r="BA6" s="302"/>
      <c r="BB6" s="302"/>
      <c r="BC6" s="302"/>
      <c r="BD6" s="302"/>
      <c r="BE6" s="302"/>
      <c r="BF6" s="302"/>
      <c r="BG6" s="302"/>
      <c r="BH6" s="302"/>
      <c r="BI6" s="302"/>
      <c r="BJ6" s="302"/>
      <c r="BK6" s="302"/>
      <c r="BL6" s="302"/>
      <c r="BM6" s="302"/>
      <c r="BN6" s="302"/>
      <c r="BO6" s="302"/>
      <c r="BP6" s="302"/>
      <c r="BQ6" s="302"/>
      <c r="BR6" s="302"/>
      <c r="BS6" s="302"/>
      <c r="BT6" s="302"/>
      <c r="BU6" s="302"/>
      <c r="BV6" s="302"/>
      <c r="BW6" s="302"/>
      <c r="BX6" s="302"/>
      <c r="BY6" s="302"/>
      <c r="BZ6" s="302"/>
      <c r="CA6" s="302"/>
      <c r="CB6" s="302"/>
      <c r="CC6" s="302"/>
      <c r="CD6" s="302"/>
      <c r="CE6" s="302"/>
      <c r="CF6" s="302"/>
      <c r="CG6" s="302"/>
      <c r="CH6" s="302"/>
      <c r="CI6" s="302"/>
      <c r="CJ6" s="302"/>
      <c r="CK6" s="302"/>
      <c r="CL6" s="302"/>
      <c r="CM6" s="302"/>
      <c r="CN6" s="302"/>
      <c r="CO6" s="302"/>
      <c r="CP6" s="302"/>
      <c r="CQ6" s="243"/>
      <c r="CR6" s="243"/>
      <c r="CS6" s="243"/>
      <c r="CT6" s="243"/>
      <c r="CU6" s="243"/>
      <c r="CV6" s="243"/>
      <c r="CW6" s="243"/>
      <c r="CX6" s="243"/>
      <c r="CY6" s="243"/>
      <c r="CZ6" s="243"/>
      <c r="DA6" s="243"/>
      <c r="DB6" s="243"/>
      <c r="DC6" s="243"/>
    </row>
    <row r="7" spans="1:107" x14ac:dyDescent="0.2">
      <c r="A7" s="280"/>
      <c r="B7" s="280"/>
      <c r="C7" s="243" t="str">
        <f>Data!G47</f>
        <v>???</v>
      </c>
      <c r="D7" s="263" t="s">
        <v>7</v>
      </c>
      <c r="E7" s="266" t="str" cm="1">
        <f t="array" aca="1" ref="E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7" s="267" t="str" cm="1">
        <f t="array" aca="1" ref="F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7" s="267" t="str" cm="1">
        <f t="array" aca="1" ref="G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7" s="267" t="str" cm="1">
        <f t="array" aca="1" ref="H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7" s="268" t="str" cm="1">
        <f t="array" aca="1" ref="I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7" s="266" t="str" cm="1">
        <f t="array" aca="1" ref="J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7" s="267" t="str" cm="1">
        <f t="array" aca="1" ref="K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7" s="267" t="str" cm="1">
        <f t="array" aca="1" ref="L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7" s="267" t="str" cm="1">
        <f t="array" aca="1" ref="M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7" s="268" t="str" cm="1">
        <f t="array" aca="1" ref="N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7" s="266" t="str" cm="1">
        <f t="array" aca="1" ref="O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7" s="267" t="str" cm="1">
        <f t="array" aca="1" ref="P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7" s="267" t="str" cm="1">
        <f t="array" aca="1" ref="Q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7" s="267" t="str" cm="1">
        <f t="array" aca="1" ref="R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7" s="268" t="str" cm="1">
        <f t="array" aca="1" ref="S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7" s="266" t="str" cm="1">
        <f t="array" aca="1" ref="T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7" s="267" t="str" cm="1">
        <f t="array" aca="1" ref="U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7" s="267" t="str" cm="1">
        <f t="array" aca="1" ref="V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7" s="267" t="str" cm="1">
        <f t="array" aca="1" ref="W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7" s="268" t="str" cm="1">
        <f t="array" aca="1" ref="X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7" s="266" t="str" cm="1">
        <f t="array" aca="1" ref="Y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7" s="267" t="str" cm="1">
        <f t="array" aca="1" ref="Z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7" s="267" t="str" cm="1">
        <f t="array" aca="1" ref="AA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7" s="267" t="str" cm="1">
        <f t="array" aca="1" ref="AB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7" s="268" t="str" cm="1">
        <f t="array" aca="1" ref="AC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7" s="266" t="str" cm="1">
        <f t="array" aca="1" ref="AD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7" s="267" t="str" cm="1">
        <f t="array" aca="1" ref="AE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7" s="267" t="str" cm="1">
        <f t="array" aca="1" ref="AF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7" s="267" t="str" cm="1">
        <f t="array" aca="1" ref="AG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7" s="268" t="str" cm="1">
        <f t="array" aca="1" ref="AH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7" s="266" t="str" cm="1">
        <f t="array" aca="1" ref="AI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7" s="267" t="str" cm="1">
        <f t="array" aca="1" ref="AJ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7" s="267" t="str" cm="1">
        <f t="array" aca="1" ref="AK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7" s="267" t="str" cm="1">
        <f t="array" aca="1" ref="AL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7" s="268" t="str" cm="1">
        <f t="array" aca="1" ref="AM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7" s="266" t="str" cm="1">
        <f t="array" aca="1" ref="AN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7" s="267" t="str" cm="1">
        <f t="array" aca="1" ref="AO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7" s="267" t="str" cm="1">
        <f t="array" aca="1" ref="AP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7" s="267" t="str" cm="1">
        <f t="array" aca="1" ref="AQ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7" s="268" t="str" cm="1">
        <f t="array" aca="1" ref="AR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7" s="266" t="str" cm="1">
        <f t="array" aca="1" ref="AS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7" s="267" t="str" cm="1">
        <f t="array" aca="1" ref="AT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7" s="267" t="str" cm="1">
        <f t="array" aca="1" ref="AU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7" s="267" t="str" cm="1">
        <f t="array" aca="1" ref="AV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7" s="268" t="str" cm="1">
        <f t="array" aca="1" ref="AW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7" s="266" t="str" cm="1">
        <f t="array" aca="1" ref="AX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7" s="267" t="str" cm="1">
        <f t="array" aca="1" ref="AY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7" s="267" t="str" cm="1">
        <f t="array" aca="1" ref="AZ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7" s="267" t="str" cm="1">
        <f t="array" aca="1" ref="BA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7" s="268" t="str" cm="1">
        <f t="array" aca="1" ref="BB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7" s="266" t="str" cm="1">
        <f t="array" aca="1" ref="BC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7" s="267" t="str" cm="1">
        <f t="array" aca="1" ref="BD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7" s="267" t="str" cm="1">
        <f t="array" aca="1" ref="BE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7" s="267" t="str" cm="1">
        <f t="array" aca="1" ref="BF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7" s="268" t="str" cm="1">
        <f t="array" aca="1" ref="BG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7" s="266" t="str" cm="1">
        <f t="array" aca="1" ref="BH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7" s="267" t="str" cm="1">
        <f t="array" aca="1" ref="BI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7" s="267" t="str" cm="1">
        <f t="array" aca="1" ref="BJ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7" s="267" t="str" cm="1">
        <f t="array" aca="1" ref="BK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7" s="268" t="str" cm="1">
        <f t="array" aca="1" ref="BL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7" s="266" t="str" cm="1">
        <f t="array" aca="1" ref="BM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7" s="267" t="str" cm="1">
        <f t="array" aca="1" ref="BN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7" s="267" t="str" cm="1">
        <f t="array" aca="1" ref="BO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7" s="267" t="str" cm="1">
        <f t="array" aca="1" ref="BP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7" s="268" t="str" cm="1">
        <f t="array" aca="1" ref="BQ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7" s="266" t="str" cm="1">
        <f t="array" aca="1" ref="BR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7" s="267" t="str" cm="1">
        <f t="array" aca="1" ref="BS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7" s="267" t="str" cm="1">
        <f t="array" aca="1" ref="BT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7" s="267" t="str" cm="1">
        <f t="array" aca="1" ref="BU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7" s="268" t="str" cm="1">
        <f t="array" aca="1" ref="BV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7" s="266" t="str" cm="1">
        <f t="array" aca="1" ref="BW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7" s="267" t="str" cm="1">
        <f t="array" aca="1" ref="BX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7" s="267" t="str" cm="1">
        <f t="array" aca="1" ref="BY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7" s="267" t="str" cm="1">
        <f t="array" aca="1" ref="BZ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7" s="268" t="str" cm="1">
        <f t="array" aca="1" ref="CA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7" s="266" t="str" cm="1">
        <f t="array" aca="1" ref="CB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7" s="267" t="str" cm="1">
        <f t="array" aca="1" ref="CC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7" s="267" t="str" cm="1">
        <f t="array" aca="1" ref="CD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7" s="267" t="str" cm="1">
        <f t="array" aca="1" ref="CE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7" s="268" t="str" cm="1">
        <f t="array" aca="1" ref="CF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7" s="266" t="str" cm="1">
        <f t="array" aca="1" ref="CG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7" s="267" t="str" cm="1">
        <f t="array" aca="1" ref="CH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7" s="267" t="str" cm="1">
        <f t="array" aca="1" ref="CI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7" s="267" t="str" cm="1">
        <f t="array" aca="1" ref="CJ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7" s="268" t="str" cm="1">
        <f t="array" aca="1" ref="CK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7" s="266" t="str" cm="1">
        <f t="array" aca="1" ref="CL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7" s="267" t="str" cm="1">
        <f t="array" aca="1" ref="CM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7" s="267" t="str" cm="1">
        <f t="array" aca="1" ref="CN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7" s="267" t="str" cm="1">
        <f t="array" aca="1" ref="CO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7" s="268" t="str" cm="1">
        <f t="array" aca="1" ref="CP7" ca="1">_xlfn.LET(
_xlpm.lbl,IFERROR(LOOKUP(2,1/(ISNUMBER(SEARCH(". sem",LOWER($C$1:INDEX($C:$C,ROW()+1))))),$C$1:INDEX($C:$C,ROW()+1)),""),
_xlpm.sem,IFERROR(VALUE(LEFT(_xlpm.lbl,FIND(".",_xlpm.lbl)-1)),""),
_xlpm.slot,IFERROR(MATCH($D7,$D$7:$D$14,0),""),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8" spans="1:107" x14ac:dyDescent="0.2">
      <c r="A8" s="280"/>
      <c r="B8" s="280"/>
      <c r="C8" s="303" t="s">
        <v>337</v>
      </c>
      <c r="D8" s="278" t="s">
        <v>15</v>
      </c>
      <c r="E8" s="269" t="str" cm="1">
        <f t="array" aca="1" ref="E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8" s="270" t="str" cm="1">
        <f t="array" aca="1" ref="F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8" s="270" t="str" cm="1">
        <f t="array" aca="1" ref="G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8" s="270" t="str" cm="1">
        <f t="array" aca="1" ref="H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8" s="271" t="str" cm="1">
        <f t="array" aca="1" ref="I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8" s="269" t="str" cm="1">
        <f t="array" aca="1" ref="J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8" s="270" t="str" cm="1">
        <f t="array" aca="1" ref="K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8" s="270" t="str" cm="1">
        <f t="array" aca="1" ref="L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8" s="270" t="str" cm="1">
        <f t="array" aca="1" ref="M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8" s="271" t="str" cm="1">
        <f t="array" aca="1" ref="N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8" s="269" t="str" cm="1">
        <f t="array" aca="1" ref="O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8" s="270" t="str" cm="1">
        <f t="array" aca="1" ref="P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8" s="270" t="str" cm="1">
        <f t="array" aca="1" ref="Q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8" s="270" t="str" cm="1">
        <f t="array" aca="1" ref="R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8" s="271" t="str" cm="1">
        <f t="array" aca="1" ref="S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8" s="269" t="str" cm="1">
        <f t="array" aca="1" ref="T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8" s="270" t="str" cm="1">
        <f t="array" aca="1" ref="U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8" s="270" t="str" cm="1">
        <f t="array" aca="1" ref="V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8" s="270" t="str" cm="1">
        <f t="array" aca="1" ref="W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8" s="271" t="str" cm="1">
        <f t="array" aca="1" ref="X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8" s="269" t="str" cm="1">
        <f t="array" aca="1" ref="Y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8" s="270" t="str" cm="1">
        <f t="array" aca="1" ref="Z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8" s="270" t="str" cm="1">
        <f t="array" aca="1" ref="AA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8" s="270" t="str" cm="1">
        <f t="array" aca="1" ref="AB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8" s="271" t="str" cm="1">
        <f t="array" aca="1" ref="AC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8" s="269" t="str" cm="1">
        <f t="array" aca="1" ref="AD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8" s="270" t="str" cm="1">
        <f t="array" aca="1" ref="AE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8" s="270" t="str" cm="1">
        <f t="array" aca="1" ref="AF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8" s="270" t="str" cm="1">
        <f t="array" aca="1" ref="AG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8" s="271" t="str" cm="1">
        <f t="array" aca="1" ref="AH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8" s="269" t="str" cm="1">
        <f t="array" aca="1" ref="AI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8" s="270" t="str" cm="1">
        <f t="array" aca="1" ref="AJ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8" s="270" t="str" cm="1">
        <f t="array" aca="1" ref="AK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8" s="270" t="str" cm="1">
        <f t="array" aca="1" ref="AL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8" s="271" t="str" cm="1">
        <f t="array" aca="1" ref="AM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8" s="269" t="str" cm="1">
        <f t="array" aca="1" ref="AN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8" s="270" t="str" cm="1">
        <f t="array" aca="1" ref="AO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8" s="270" t="str" cm="1">
        <f t="array" aca="1" ref="AP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8" s="270" t="str" cm="1">
        <f t="array" aca="1" ref="AQ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8" s="271" t="str" cm="1">
        <f t="array" aca="1" ref="AR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8" s="269" t="str" cm="1">
        <f t="array" aca="1" ref="AS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8" s="270" t="str" cm="1">
        <f t="array" aca="1" ref="AT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8" s="270" t="str" cm="1">
        <f t="array" aca="1" ref="AU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8" s="270" t="str" cm="1">
        <f t="array" aca="1" ref="AV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8" s="271" t="str" cm="1">
        <f t="array" aca="1" ref="AW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8" s="269" t="str" cm="1">
        <f t="array" aca="1" ref="AX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8" s="270" t="str" cm="1">
        <f t="array" aca="1" ref="AY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8" s="270" t="str" cm="1">
        <f t="array" aca="1" ref="AZ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8" s="270" t="str" cm="1">
        <f t="array" aca="1" ref="BA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8" s="271" t="str" cm="1">
        <f t="array" aca="1" ref="BB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8" s="269" t="str" cm="1">
        <f t="array" aca="1" ref="BC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8" s="270" t="str" cm="1">
        <f t="array" aca="1" ref="BD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8" s="270" t="str" cm="1">
        <f t="array" aca="1" ref="BE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8" s="270" t="str" cm="1">
        <f t="array" aca="1" ref="BF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8" s="271" t="str" cm="1">
        <f t="array" aca="1" ref="BG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8" s="269" t="str" cm="1">
        <f t="array" aca="1" ref="BH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8" s="270" t="str" cm="1">
        <f t="array" aca="1" ref="BI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8" s="270" t="str" cm="1">
        <f t="array" aca="1" ref="BJ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8" s="270" t="str" cm="1">
        <f t="array" aca="1" ref="BK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8" s="271" t="str" cm="1">
        <f t="array" aca="1" ref="BL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8" s="269" t="str" cm="1">
        <f t="array" aca="1" ref="BM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8" s="270" t="str" cm="1">
        <f t="array" aca="1" ref="BN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8" s="270" t="str" cm="1">
        <f t="array" aca="1" ref="BO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8" s="270" t="str" cm="1">
        <f t="array" aca="1" ref="BP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8" s="271" t="str" cm="1">
        <f t="array" aca="1" ref="BQ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8" s="269" t="str" cm="1">
        <f t="array" aca="1" ref="BR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8" s="270" t="str" cm="1">
        <f t="array" aca="1" ref="BS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8" s="270" t="str" cm="1">
        <f t="array" aca="1" ref="BT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8" s="270" t="str" cm="1">
        <f t="array" aca="1" ref="BU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8" s="271" t="str" cm="1">
        <f t="array" aca="1" ref="BV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8" s="269" t="str" cm="1">
        <f t="array" aca="1" ref="BW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8" s="270" t="str" cm="1">
        <f t="array" aca="1" ref="BX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8" s="270" t="str" cm="1">
        <f t="array" aca="1" ref="BY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8" s="270" t="str" cm="1">
        <f t="array" aca="1" ref="BZ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8" s="271" t="str" cm="1">
        <f t="array" aca="1" ref="CA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8" s="269" t="str" cm="1">
        <f t="array" aca="1" ref="CB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8" s="270" t="str" cm="1">
        <f t="array" aca="1" ref="CC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8" s="270" t="str" cm="1">
        <f t="array" aca="1" ref="CD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8" s="270" t="str" cm="1">
        <f t="array" aca="1" ref="CE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8" s="271" t="str" cm="1">
        <f t="array" aca="1" ref="CF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8" s="269" t="str" cm="1">
        <f t="array" aca="1" ref="CG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8" s="270" t="str" cm="1">
        <f t="array" aca="1" ref="CH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8" s="270" t="str" cm="1">
        <f t="array" aca="1" ref="CI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8" s="270" t="str" cm="1">
        <f t="array" aca="1" ref="CJ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8" s="271" t="str" cm="1">
        <f t="array" aca="1" ref="CK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8" s="269" t="str" cm="1">
        <f t="array" aca="1" ref="CL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8" s="270" t="str" cm="1">
        <f t="array" aca="1" ref="CM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8" s="270" t="str" cm="1">
        <f t="array" aca="1" ref="CN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8" s="270" t="str" cm="1">
        <f t="array" aca="1" ref="CO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8" s="271" t="str" cm="1">
        <f t="array" aca="1" ref="CP8" ca="1">_xlfn.LET(
_xlpm.lbl,IFERROR(LOOKUP(2,1/(ISNUMBER(SEARCH(". sem",LOWER($C$1:INDEX($C:$C,ROW()+1))))),$C$1:INDEX($C:$C,ROW()+1)),""),
_xlpm.sem,IFERROR(VALUE(LEFT(_xlpm.lbl,FIND(".",_xlpm.lbl)-1)),""),
_xlpm.slot,IFERROR(MATCH($D8,$D$7:$D$14,0),""),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9" spans="1:107" x14ac:dyDescent="0.2">
      <c r="A9" s="280"/>
      <c r="B9" s="280"/>
      <c r="D9" s="278" t="s">
        <v>16</v>
      </c>
      <c r="E9" s="269" t="str" cm="1">
        <f t="array" aca="1" ref="E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9" s="270"/>
      <c r="G9" s="270"/>
      <c r="H9" s="270"/>
      <c r="I9" s="271"/>
      <c r="J9" s="269" t="str" cm="1">
        <f t="array" aca="1" ref="J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9" s="270"/>
      <c r="L9" s="270"/>
      <c r="M9" s="270"/>
      <c r="N9" s="271"/>
      <c r="O9" s="269" t="str" cm="1">
        <f t="array" aca="1" ref="O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9" s="270"/>
      <c r="Q9" s="270"/>
      <c r="R9" s="270"/>
      <c r="S9" s="271"/>
      <c r="T9" s="269" t="str" cm="1">
        <f t="array" aca="1" ref="T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9" s="270"/>
      <c r="V9" s="270"/>
      <c r="W9" s="270"/>
      <c r="X9" s="271"/>
      <c r="Y9" s="269" t="str" cm="1">
        <f t="array" aca="1" ref="Y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9" s="270"/>
      <c r="AA9" s="270"/>
      <c r="AB9" s="270"/>
      <c r="AC9" s="271"/>
      <c r="AD9" s="269" t="str" cm="1">
        <f t="array" aca="1" ref="AD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9" s="270"/>
      <c r="AF9" s="270"/>
      <c r="AG9" s="270"/>
      <c r="AH9" s="271"/>
      <c r="AI9" s="269" t="str" cm="1">
        <f t="array" aca="1" ref="AI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9" s="270"/>
      <c r="AK9" s="270"/>
      <c r="AL9" s="270"/>
      <c r="AM9" s="271"/>
      <c r="AN9" s="269" t="str" cm="1">
        <f t="array" aca="1" ref="AN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9" s="270"/>
      <c r="AP9" s="270"/>
      <c r="AQ9" s="270"/>
      <c r="AR9" s="271"/>
      <c r="AS9" s="269" t="str" cm="1">
        <f t="array" aca="1" ref="AS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9" s="270"/>
      <c r="AU9" s="270"/>
      <c r="AV9" s="270"/>
      <c r="AW9" s="271"/>
      <c r="AX9" s="269" t="str" cm="1">
        <f t="array" aca="1" ref="AX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9" s="270"/>
      <c r="AZ9" s="270"/>
      <c r="BA9" s="270"/>
      <c r="BB9" s="271"/>
      <c r="BC9" s="269" t="str" cm="1">
        <f t="array" aca="1" ref="BC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9" s="270"/>
      <c r="BE9" s="270"/>
      <c r="BF9" s="270"/>
      <c r="BG9" s="271"/>
      <c r="BH9" s="269" t="str" cm="1">
        <f t="array" aca="1" ref="BH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9" s="270"/>
      <c r="BJ9" s="270"/>
      <c r="BK9" s="270"/>
      <c r="BL9" s="271"/>
      <c r="BM9" s="269" t="str" cm="1">
        <f t="array" aca="1" ref="BM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9" s="270"/>
      <c r="BO9" s="270"/>
      <c r="BP9" s="270"/>
      <c r="BQ9" s="271"/>
      <c r="BR9" s="269" t="str" cm="1">
        <f t="array" aca="1" ref="BR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9" s="270"/>
      <c r="BT9" s="270"/>
      <c r="BU9" s="270"/>
      <c r="BV9" s="271"/>
      <c r="BW9" s="269" t="str" cm="1">
        <f t="array" aca="1" ref="BW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9" s="270"/>
      <c r="BY9" s="270"/>
      <c r="BZ9" s="270"/>
      <c r="CA9" s="271"/>
      <c r="CB9" s="269" t="str" cm="1">
        <f t="array" aca="1" ref="CB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9" s="270"/>
      <c r="CD9" s="270"/>
      <c r="CE9" s="270"/>
      <c r="CF9" s="271"/>
      <c r="CG9" s="269" t="str" cm="1">
        <f t="array" aca="1" ref="CG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9" s="270"/>
      <c r="CI9" s="270"/>
      <c r="CJ9" s="270"/>
      <c r="CK9" s="271"/>
      <c r="CL9" s="269" t="str" cm="1">
        <f t="array" aca="1" ref="CL9" ca="1">_xlfn.LET(
_xlpm.lbl,IFERROR(LOOKUP(2,1/(ISNUMBER(SEARCH(". sem",LOWER($C$1:INDEX($C:$C,ROW()+1))))),$C$1:INDEX($C:$C,ROW()+1)),""),
_xlpm.sem,IFERROR(VALUE(LEFT(_xlpm.lbl,FIND(".",_xlpm.lbl)-1)),""),
_xlpm.slot,IFERROR(MATCH($D9,$D$7:$D$14,0),""),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9" s="270"/>
      <c r="CN9" s="270"/>
      <c r="CO9" s="270"/>
      <c r="CP9" s="271"/>
    </row>
    <row r="10" spans="1:107" x14ac:dyDescent="0.2">
      <c r="A10" s="280"/>
      <c r="B10" s="280"/>
      <c r="C10"/>
      <c r="D10" s="264" t="s">
        <v>17</v>
      </c>
      <c r="E10" s="269" t="str" cm="1">
        <f t="array" aca="1" ref="E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0" s="270" t="str" cm="1">
        <f t="array" aca="1" ref="F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10" s="270" t="str" cm="1">
        <f t="array" aca="1" ref="G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10" s="270" t="str" cm="1">
        <f t="array" aca="1" ref="H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10" s="271" t="str" cm="1">
        <f t="array" aca="1" ref="I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10" s="269" t="str" cm="1">
        <f t="array" aca="1" ref="J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0" s="270" t="str" cm="1">
        <f t="array" aca="1" ref="K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10" s="270" t="str" cm="1">
        <f t="array" aca="1" ref="L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10" s="270" t="str" cm="1">
        <f t="array" aca="1" ref="M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10" s="271" t="str" cm="1">
        <f t="array" aca="1" ref="N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10" s="269" t="str" cm="1">
        <f t="array" aca="1" ref="O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0" s="270" t="str" cm="1">
        <f t="array" aca="1" ref="P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10" s="270" t="str" cm="1">
        <f t="array" aca="1" ref="Q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10" s="270" t="str" cm="1">
        <f t="array" aca="1" ref="R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10" s="271" t="str" cm="1">
        <f t="array" aca="1" ref="S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10" s="269" t="str" cm="1">
        <f t="array" aca="1" ref="T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0" s="270" t="str" cm="1">
        <f t="array" aca="1" ref="U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10" s="270" t="str" cm="1">
        <f t="array" aca="1" ref="V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10" s="270" t="str" cm="1">
        <f t="array" aca="1" ref="W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10" s="271" t="str" cm="1">
        <f t="array" aca="1" ref="X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10" s="269" t="str" cm="1">
        <f t="array" aca="1" ref="Y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0" s="270" t="str" cm="1">
        <f t="array" aca="1" ref="Z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10" s="270" t="str" cm="1">
        <f t="array" aca="1" ref="AA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10" s="270" t="str" cm="1">
        <f t="array" aca="1" ref="AB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10" s="271" t="str" cm="1">
        <f t="array" aca="1" ref="AC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10" s="269" t="str" cm="1">
        <f t="array" aca="1" ref="AD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0" s="270" t="str" cm="1">
        <f t="array" aca="1" ref="AE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10" s="270" t="str" cm="1">
        <f t="array" aca="1" ref="AF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10" s="270" t="str" cm="1">
        <f t="array" aca="1" ref="AG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10" s="271" t="str" cm="1">
        <f t="array" aca="1" ref="AH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10" s="269" t="str" cm="1">
        <f t="array" aca="1" ref="AI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0" s="270" t="str" cm="1">
        <f t="array" aca="1" ref="AJ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10" s="270" t="str" cm="1">
        <f t="array" aca="1" ref="AK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10" s="270" t="str" cm="1">
        <f t="array" aca="1" ref="AL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10" s="271" t="str" cm="1">
        <f t="array" aca="1" ref="AM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10" s="269" t="str" cm="1">
        <f t="array" aca="1" ref="AN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0" s="270" t="str" cm="1">
        <f t="array" aca="1" ref="AO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10" s="270" t="str" cm="1">
        <f t="array" aca="1" ref="AP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10" s="270" t="str" cm="1">
        <f t="array" aca="1" ref="AQ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10" s="271" t="str" cm="1">
        <f t="array" aca="1" ref="AR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10" s="269" t="str" cm="1">
        <f t="array" aca="1" ref="AS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0" s="270" t="str" cm="1">
        <f t="array" aca="1" ref="AT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10" s="270" t="str" cm="1">
        <f t="array" aca="1" ref="AU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10" s="270" t="str" cm="1">
        <f t="array" aca="1" ref="AV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10" s="271" t="str" cm="1">
        <f t="array" aca="1" ref="AW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10" s="269" t="str" cm="1">
        <f t="array" aca="1" ref="AX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0" s="270" t="str" cm="1">
        <f t="array" aca="1" ref="AY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10" s="270" t="str" cm="1">
        <f t="array" aca="1" ref="AZ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10" s="270" t="str" cm="1">
        <f t="array" aca="1" ref="BA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10" s="271" t="str" cm="1">
        <f t="array" aca="1" ref="BB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10" s="269" t="str" cm="1">
        <f t="array" aca="1" ref="BC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0" s="270" t="str" cm="1">
        <f t="array" aca="1" ref="BD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10" s="270" t="str" cm="1">
        <f t="array" aca="1" ref="BE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10" s="270" t="str" cm="1">
        <f t="array" aca="1" ref="BF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10" s="271" t="str" cm="1">
        <f t="array" aca="1" ref="BG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10" s="269" t="str" cm="1">
        <f t="array" aca="1" ref="BH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0" s="270" t="str" cm="1">
        <f t="array" aca="1" ref="BI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10" s="270" t="str" cm="1">
        <f t="array" aca="1" ref="BJ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10" s="270" t="str" cm="1">
        <f t="array" aca="1" ref="BK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10" s="271" t="str" cm="1">
        <f t="array" aca="1" ref="BL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10" s="269" t="str" cm="1">
        <f t="array" aca="1" ref="BM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0" s="270" t="str" cm="1">
        <f t="array" aca="1" ref="BN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10" s="270" t="str" cm="1">
        <f t="array" aca="1" ref="BO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10" s="270" t="str" cm="1">
        <f t="array" aca="1" ref="BP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10" s="271" t="str" cm="1">
        <f t="array" aca="1" ref="BQ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10" s="269" t="str" cm="1">
        <f t="array" aca="1" ref="BR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0" s="270" t="str" cm="1">
        <f t="array" aca="1" ref="BS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10" s="270" t="str" cm="1">
        <f t="array" aca="1" ref="BT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10" s="270" t="str" cm="1">
        <f t="array" aca="1" ref="BU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10" s="271" t="str" cm="1">
        <f t="array" aca="1" ref="BV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10" s="269" t="str" cm="1">
        <f t="array" aca="1" ref="BW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0" s="270" t="str" cm="1">
        <f t="array" aca="1" ref="BX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10" s="270" t="str" cm="1">
        <f t="array" aca="1" ref="BY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10" s="270" t="str" cm="1">
        <f t="array" aca="1" ref="BZ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10" s="271" t="str" cm="1">
        <f t="array" aca="1" ref="CA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10" s="269" t="str" cm="1">
        <f t="array" aca="1" ref="CB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0" s="270" t="str" cm="1">
        <f t="array" aca="1" ref="CC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10" s="270" t="str" cm="1">
        <f t="array" aca="1" ref="CD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10" s="270" t="str" cm="1">
        <f t="array" aca="1" ref="CE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10" s="271" t="str" cm="1">
        <f t="array" aca="1" ref="CF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10" s="269" t="str" cm="1">
        <f t="array" aca="1" ref="CG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0" s="270" t="str" cm="1">
        <f t="array" aca="1" ref="CH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10" s="270" t="str" cm="1">
        <f t="array" aca="1" ref="CI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10" s="270" t="str" cm="1">
        <f t="array" aca="1" ref="CJ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10" s="271" t="str" cm="1">
        <f t="array" aca="1" ref="CK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10" s="269" t="str" cm="1">
        <f t="array" aca="1" ref="CL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0" s="270" t="str" cm="1">
        <f t="array" aca="1" ref="CM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10" s="270" t="str" cm="1">
        <f t="array" aca="1" ref="CN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10" s="270" t="str" cm="1">
        <f t="array" aca="1" ref="CO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10" s="271" t="str" cm="1">
        <f t="array" aca="1" ref="CP10" ca="1">_xlfn.LET(
_xlpm.lbl,IFERROR(LOOKUP(2,1/(ISNUMBER(SEARCH(". sem",LOWER($C$1:INDEX($C:$C,ROW()+1))))),$C$1:INDEX($C:$C,ROW()+1)),""),
_xlpm.sem,IFERROR(VALUE(LEFT(_xlpm.lbl,FIND(".",_xlpm.lbl)-1)),""),
_xlpm.slot,IFERROR(MATCH($D10,$D$7:$D$14,0),""),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11" spans="1:107" x14ac:dyDescent="0.2">
      <c r="A11" s="280"/>
      <c r="B11" s="280"/>
      <c r="D11" s="264" t="s">
        <v>19</v>
      </c>
      <c r="E11" s="269" t="str" cm="1">
        <f t="array" aca="1" ref="E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1" s="270" t="str" cm="1">
        <f t="array" aca="1" ref="F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11" s="270"/>
      <c r="H11" s="270" t="str" cm="1">
        <f t="array" aca="1" ref="H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11" s="271" t="str" cm="1">
        <f t="array" aca="1" ref="I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11" s="269" t="str" cm="1">
        <f t="array" aca="1" ref="J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1" s="270" t="str" cm="1">
        <f t="array" aca="1" ref="K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11" s="270"/>
      <c r="M11" s="270" t="str" cm="1">
        <f t="array" aca="1" ref="M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11" s="271" t="str" cm="1">
        <f t="array" aca="1" ref="N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11" s="269" t="str" cm="1">
        <f t="array" aca="1" ref="O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1" s="270" t="str" cm="1">
        <f t="array" aca="1" ref="P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11" s="270"/>
      <c r="R11" s="270" t="str" cm="1">
        <f t="array" aca="1" ref="R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11" s="271" t="str" cm="1">
        <f t="array" aca="1" ref="S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11" s="269" t="str" cm="1">
        <f t="array" aca="1" ref="T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1" s="270" t="str" cm="1">
        <f t="array" aca="1" ref="U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11" s="270"/>
      <c r="W11" s="270" t="str" cm="1">
        <f t="array" aca="1" ref="W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11" s="271" t="str" cm="1">
        <f t="array" aca="1" ref="X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11" s="269" t="str" cm="1">
        <f t="array" aca="1" ref="Y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1" s="270" t="str" cm="1">
        <f t="array" aca="1" ref="Z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11" s="270"/>
      <c r="AB11" s="270" t="str" cm="1">
        <f t="array" aca="1" ref="AB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11" s="271" t="str" cm="1">
        <f t="array" aca="1" ref="AC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11" s="269" t="str" cm="1">
        <f t="array" aca="1" ref="AD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1" s="270" t="str" cm="1">
        <f t="array" aca="1" ref="AE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11" s="270"/>
      <c r="AG11" s="270" t="str" cm="1">
        <f t="array" aca="1" ref="AG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11" s="271" t="str" cm="1">
        <f t="array" aca="1" ref="AH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11" s="269" t="str" cm="1">
        <f t="array" aca="1" ref="AI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1" s="270" t="str" cm="1">
        <f t="array" aca="1" ref="AJ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11" s="270"/>
      <c r="AL11" s="270" t="str" cm="1">
        <f t="array" aca="1" ref="AL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11" s="271" t="str" cm="1">
        <f t="array" aca="1" ref="AM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11" s="269" t="str" cm="1">
        <f t="array" aca="1" ref="AN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1" s="270" t="str" cm="1">
        <f t="array" aca="1" ref="AO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11" s="270"/>
      <c r="AQ11" s="270" t="str" cm="1">
        <f t="array" aca="1" ref="AQ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11" s="271" t="str" cm="1">
        <f t="array" aca="1" ref="AR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11" s="269" t="str" cm="1">
        <f t="array" aca="1" ref="AS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1" s="270" t="str" cm="1">
        <f t="array" aca="1" ref="AT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11" s="270"/>
      <c r="AV11" s="270" t="str" cm="1">
        <f t="array" aca="1" ref="AV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11" s="271" t="str" cm="1">
        <f t="array" aca="1" ref="AW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11" s="269" t="str" cm="1">
        <f t="array" aca="1" ref="AX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1" s="270" t="str" cm="1">
        <f t="array" aca="1" ref="AY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11" s="270"/>
      <c r="BA11" s="270" t="str" cm="1">
        <f t="array" aca="1" ref="BA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11" s="271" t="str" cm="1">
        <f t="array" aca="1" ref="BB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11" s="269" t="str" cm="1">
        <f t="array" aca="1" ref="BC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1" s="270" t="str" cm="1">
        <f t="array" aca="1" ref="BD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11" s="270"/>
      <c r="BF11" s="270" t="str" cm="1">
        <f t="array" aca="1" ref="BF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11" s="271" t="str" cm="1">
        <f t="array" aca="1" ref="BG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11" s="269" t="str" cm="1">
        <f t="array" aca="1" ref="BH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1" s="270" t="str" cm="1">
        <f t="array" aca="1" ref="BI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11" s="270"/>
      <c r="BK11" s="270" t="str" cm="1">
        <f t="array" aca="1" ref="BK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11" s="271" t="str" cm="1">
        <f t="array" aca="1" ref="BL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11" s="269" t="str" cm="1">
        <f t="array" aca="1" ref="BM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1" s="270" t="str" cm="1">
        <f t="array" aca="1" ref="BN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11" s="270"/>
      <c r="BP11" s="270" t="str" cm="1">
        <f t="array" aca="1" ref="BP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11" s="271" t="str" cm="1">
        <f t="array" aca="1" ref="BQ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11" s="269" t="str" cm="1">
        <f t="array" aca="1" ref="BR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1" s="270" t="str" cm="1">
        <f t="array" aca="1" ref="BS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11" s="270"/>
      <c r="BU11" s="270" t="str" cm="1">
        <f t="array" aca="1" ref="BU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11" s="271" t="str" cm="1">
        <f t="array" aca="1" ref="BV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11" s="269" t="str" cm="1">
        <f t="array" aca="1" ref="BW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1" s="270" t="str" cm="1">
        <f t="array" aca="1" ref="BX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11" s="270"/>
      <c r="BZ11" s="270" t="str" cm="1">
        <f t="array" aca="1" ref="BZ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11" s="271" t="str" cm="1">
        <f t="array" aca="1" ref="CA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11" s="269" t="str" cm="1">
        <f t="array" aca="1" ref="CB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1" s="270" t="str" cm="1">
        <f t="array" aca="1" ref="CC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11" s="270"/>
      <c r="CE11" s="270" t="str" cm="1">
        <f t="array" aca="1" ref="CE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11" s="271" t="str" cm="1">
        <f t="array" aca="1" ref="CF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11" s="269" t="str" cm="1">
        <f t="array" aca="1" ref="CG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1" s="270" t="str" cm="1">
        <f t="array" aca="1" ref="CH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11" s="270"/>
      <c r="CJ11" s="270" t="str" cm="1">
        <f t="array" aca="1" ref="CJ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11" s="271" t="str" cm="1">
        <f t="array" aca="1" ref="CK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11" s="269" t="str" cm="1">
        <f t="array" aca="1" ref="CL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1" s="270" t="str" cm="1">
        <f t="array" aca="1" ref="CM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11" s="270"/>
      <c r="CO11" s="270" t="str" cm="1">
        <f t="array" aca="1" ref="CO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11" s="271" t="str" cm="1">
        <f t="array" aca="1" ref="CP11" ca="1">_xlfn.LET(
_xlpm.lbl,IFERROR(LOOKUP(2,1/(ISNUMBER(SEARCH(". sem",LOWER($C$1:INDEX($C:$C,ROW()+1))))),$C$1:INDEX($C:$C,ROW()+1)),""),
_xlpm.sem,IFERROR(VALUE(LEFT(_xlpm.lbl,FIND(".",_xlpm.lbl)-1)),""),
_xlpm.slot,IFERROR(MATCH($D11,$D$7:$D$14,0),""),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12" spans="1:107" x14ac:dyDescent="0.2">
      <c r="A12" s="280"/>
      <c r="B12" s="280"/>
      <c r="D12" s="277" t="s">
        <v>21</v>
      </c>
      <c r="E12" s="269" t="str" cm="1">
        <f t="array" aca="1" ref="E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2" s="270" t="str" cm="1">
        <f t="array" aca="1" ref="F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12" s="270"/>
      <c r="H12" s="270" t="str" cm="1">
        <f t="array" aca="1" ref="H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12" s="271" t="str" cm="1">
        <f t="array" aca="1" ref="I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12" s="269" t="str" cm="1">
        <f t="array" aca="1" ref="J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2" s="270" t="str" cm="1">
        <f t="array" aca="1" ref="K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12" s="270"/>
      <c r="M12" s="270" t="str" cm="1">
        <f t="array" aca="1" ref="M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12" s="271" t="str" cm="1">
        <f t="array" aca="1" ref="N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12" s="269" t="str" cm="1">
        <f t="array" aca="1" ref="O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2" s="270" t="str" cm="1">
        <f t="array" aca="1" ref="P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12" s="270"/>
      <c r="R12" s="270" t="str" cm="1">
        <f t="array" aca="1" ref="R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12" s="271" t="str" cm="1">
        <f t="array" aca="1" ref="S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12" s="269" t="str" cm="1">
        <f t="array" aca="1" ref="T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2" s="270" t="str" cm="1">
        <f t="array" aca="1" ref="U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12" s="270"/>
      <c r="W12" s="270" t="str" cm="1">
        <f t="array" aca="1" ref="W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12" s="271" t="str" cm="1">
        <f t="array" aca="1" ref="X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12" s="269" t="str" cm="1">
        <f t="array" aca="1" ref="Y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2" s="270" t="str" cm="1">
        <f t="array" aca="1" ref="Z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12" s="270"/>
      <c r="AB12" s="270" t="str" cm="1">
        <f t="array" aca="1" ref="AB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12" s="271" t="str" cm="1">
        <f t="array" aca="1" ref="AC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12" s="269" t="str" cm="1">
        <f t="array" aca="1" ref="AD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2" s="270" t="str" cm="1">
        <f t="array" aca="1" ref="AE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12" s="270"/>
      <c r="AG12" s="270" t="str" cm="1">
        <f t="array" aca="1" ref="AG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12" s="271" t="str" cm="1">
        <f t="array" aca="1" ref="AH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12" s="269" t="str" cm="1">
        <f t="array" aca="1" ref="AI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2" s="270" t="str" cm="1">
        <f t="array" aca="1" ref="AJ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12" s="270"/>
      <c r="AL12" s="270" t="str" cm="1">
        <f t="array" aca="1" ref="AL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12" s="271" t="str" cm="1">
        <f t="array" aca="1" ref="AM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12" s="269" t="str" cm="1">
        <f t="array" aca="1" ref="AN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2" s="270" t="str" cm="1">
        <f t="array" aca="1" ref="AO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12" s="270"/>
      <c r="AQ12" s="270" t="str" cm="1">
        <f t="array" aca="1" ref="AQ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12" s="271" t="str" cm="1">
        <f t="array" aca="1" ref="AR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12" s="269" t="str" cm="1">
        <f t="array" aca="1" ref="AS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2" s="270" t="str" cm="1">
        <f t="array" aca="1" ref="AT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12" s="270"/>
      <c r="AV12" s="270" t="str" cm="1">
        <f t="array" aca="1" ref="AV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12" s="271" t="str" cm="1">
        <f t="array" aca="1" ref="AW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12" s="269" t="str" cm="1">
        <f t="array" aca="1" ref="AX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2" s="270" t="str" cm="1">
        <f t="array" aca="1" ref="AY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12" s="270"/>
      <c r="BA12" s="270" t="str" cm="1">
        <f t="array" aca="1" ref="BA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12" s="271" t="str" cm="1">
        <f t="array" aca="1" ref="BB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12" s="269" t="str" cm="1">
        <f t="array" aca="1" ref="BC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2" s="270" t="str" cm="1">
        <f t="array" aca="1" ref="BD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12" s="270"/>
      <c r="BF12" s="270" t="str" cm="1">
        <f t="array" aca="1" ref="BF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12" s="271" t="str" cm="1">
        <f t="array" aca="1" ref="BG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12" s="269" t="str" cm="1">
        <f t="array" aca="1" ref="BH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2" s="270" t="str" cm="1">
        <f t="array" aca="1" ref="BI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12" s="270"/>
      <c r="BK12" s="270" t="str" cm="1">
        <f t="array" aca="1" ref="BK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12" s="271" t="str" cm="1">
        <f t="array" aca="1" ref="BL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12" s="269" t="str" cm="1">
        <f t="array" aca="1" ref="BM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2" s="270" t="str" cm="1">
        <f t="array" aca="1" ref="BN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12" s="270"/>
      <c r="BP12" s="270" t="str" cm="1">
        <f t="array" aca="1" ref="BP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12" s="271" t="str" cm="1">
        <f t="array" aca="1" ref="BQ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12" s="269" t="str" cm="1">
        <f t="array" aca="1" ref="BR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2" s="270" t="str" cm="1">
        <f t="array" aca="1" ref="BS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12" s="270"/>
      <c r="BU12" s="270" t="str" cm="1">
        <f t="array" aca="1" ref="BU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12" s="271" t="str" cm="1">
        <f t="array" aca="1" ref="BV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12" s="269" t="str" cm="1">
        <f t="array" aca="1" ref="BW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2" s="270" t="str" cm="1">
        <f t="array" aca="1" ref="BX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12" s="270"/>
      <c r="BZ12" s="270" t="str" cm="1">
        <f t="array" aca="1" ref="BZ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12" s="271" t="str" cm="1">
        <f t="array" aca="1" ref="CA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12" s="269" t="str" cm="1">
        <f t="array" aca="1" ref="CB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2" s="270" t="str" cm="1">
        <f t="array" aca="1" ref="CC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12" s="270"/>
      <c r="CE12" s="270" t="str" cm="1">
        <f t="array" aca="1" ref="CE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12" s="271" t="str" cm="1">
        <f t="array" aca="1" ref="CF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12" s="269" t="str" cm="1">
        <f t="array" aca="1" ref="CG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2" s="270" t="str" cm="1">
        <f t="array" aca="1" ref="CH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12" s="270"/>
      <c r="CJ12" s="270" t="str" cm="1">
        <f t="array" aca="1" ref="CJ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12" s="271" t="str" cm="1">
        <f t="array" aca="1" ref="CK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12" s="269" t="str" cm="1">
        <f t="array" aca="1" ref="CL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2" s="270" t="str" cm="1">
        <f t="array" aca="1" ref="CM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12" s="270"/>
      <c r="CO12" s="270" t="str" cm="1">
        <f t="array" aca="1" ref="CO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12" s="271" t="str" cm="1">
        <f t="array" aca="1" ref="CP12" ca="1">_xlfn.LET(
_xlpm.lbl,IFERROR(LOOKUP(2,1/(ISNUMBER(SEARCH(". sem",LOWER($C$1:INDEX($C:$C,ROW()+1))))),$C$1:INDEX($C:$C,ROW()+1)),""),
_xlpm.sem,IFERROR(VALUE(LEFT(_xlpm.lbl,FIND(".",_xlpm.lbl)-1)),""),
_xlpm.slot,IFERROR(MATCH($D12,$D$7:$D$14,0),""),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13" spans="1:107" x14ac:dyDescent="0.2">
      <c r="A13" s="280"/>
      <c r="B13" s="280"/>
      <c r="D13" s="277" t="s">
        <v>22</v>
      </c>
      <c r="E13" s="269" t="str" cm="1">
        <f t="array" aca="1" ref="E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3" s="270" t="str" cm="1">
        <f t="array" aca="1" ref="F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13" s="270"/>
      <c r="H13" s="270" t="str" cm="1">
        <f t="array" aca="1" ref="H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13" s="271" t="str" cm="1">
        <f t="array" aca="1" ref="I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13" s="269" t="str" cm="1">
        <f t="array" aca="1" ref="J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3" s="270" t="str" cm="1">
        <f t="array" aca="1" ref="K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13" s="270"/>
      <c r="M13" s="270" t="str" cm="1">
        <f t="array" aca="1" ref="M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13" s="271" t="str" cm="1">
        <f t="array" aca="1" ref="N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13" s="269" t="str" cm="1">
        <f t="array" aca="1" ref="O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3" s="270" t="str" cm="1">
        <f t="array" aca="1" ref="P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13" s="270"/>
      <c r="R13" s="270" t="str" cm="1">
        <f t="array" aca="1" ref="R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13" s="271" t="str" cm="1">
        <f t="array" aca="1" ref="S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13" s="269" t="str" cm="1">
        <f t="array" aca="1" ref="T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3" s="270" t="str" cm="1">
        <f t="array" aca="1" ref="U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13" s="270"/>
      <c r="W13" s="270" t="str" cm="1">
        <f t="array" aca="1" ref="W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13" s="271" t="str" cm="1">
        <f t="array" aca="1" ref="X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13" s="269" t="str" cm="1">
        <f t="array" aca="1" ref="Y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3" s="270" t="str" cm="1">
        <f t="array" aca="1" ref="Z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13" s="270"/>
      <c r="AB13" s="270" t="str" cm="1">
        <f t="array" aca="1" ref="AB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13" s="271" t="str" cm="1">
        <f t="array" aca="1" ref="AC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13" s="269" t="str" cm="1">
        <f t="array" aca="1" ref="AD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3" s="270" t="str" cm="1">
        <f t="array" aca="1" ref="AE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13" s="270"/>
      <c r="AG13" s="270" t="str" cm="1">
        <f t="array" aca="1" ref="AG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13" s="271" t="str" cm="1">
        <f t="array" aca="1" ref="AH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13" s="269" t="str" cm="1">
        <f t="array" aca="1" ref="AI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3" s="270" t="str" cm="1">
        <f t="array" aca="1" ref="AJ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13" s="270"/>
      <c r="AL13" s="270" t="str" cm="1">
        <f t="array" aca="1" ref="AL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13" s="271" t="str" cm="1">
        <f t="array" aca="1" ref="AM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13" s="269" t="str" cm="1">
        <f t="array" aca="1" ref="AN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3" s="270" t="str" cm="1">
        <f t="array" aca="1" ref="AO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13" s="270"/>
      <c r="AQ13" s="270" t="str" cm="1">
        <f t="array" aca="1" ref="AQ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13" s="271" t="str" cm="1">
        <f t="array" aca="1" ref="AR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13" s="269" t="str" cm="1">
        <f t="array" aca="1" ref="AS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3" s="270" t="str" cm="1">
        <f t="array" aca="1" ref="AT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13" s="270"/>
      <c r="AV13" s="270" t="str" cm="1">
        <f t="array" aca="1" ref="AV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13" s="271" t="str" cm="1">
        <f t="array" aca="1" ref="AW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13" s="269" t="str" cm="1">
        <f t="array" aca="1" ref="AX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3" s="270" t="str" cm="1">
        <f t="array" aca="1" ref="AY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13" s="270"/>
      <c r="BA13" s="270" t="str" cm="1">
        <f t="array" aca="1" ref="BA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13" s="271" t="str" cm="1">
        <f t="array" aca="1" ref="BB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13" s="269" t="str" cm="1">
        <f t="array" aca="1" ref="BC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3" s="270" t="str" cm="1">
        <f t="array" aca="1" ref="BD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13" s="270"/>
      <c r="BF13" s="270" t="str" cm="1">
        <f t="array" aca="1" ref="BF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13" s="271" t="str" cm="1">
        <f t="array" aca="1" ref="BG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13" s="269" t="str" cm="1">
        <f t="array" aca="1" ref="BH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3" s="270" t="str" cm="1">
        <f t="array" aca="1" ref="BI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13" s="270"/>
      <c r="BK13" s="270" t="str" cm="1">
        <f t="array" aca="1" ref="BK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13" s="271" t="str" cm="1">
        <f t="array" aca="1" ref="BL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13" s="269" t="str" cm="1">
        <f t="array" aca="1" ref="BM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3" s="270" t="str" cm="1">
        <f t="array" aca="1" ref="BN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13" s="270"/>
      <c r="BP13" s="270" t="str" cm="1">
        <f t="array" aca="1" ref="BP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13" s="271" t="str" cm="1">
        <f t="array" aca="1" ref="BQ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13" s="269" t="str" cm="1">
        <f t="array" aca="1" ref="BR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3" s="270" t="str" cm="1">
        <f t="array" aca="1" ref="BS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13" s="270"/>
      <c r="BU13" s="270" t="str" cm="1">
        <f t="array" aca="1" ref="BU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13" s="271" t="str" cm="1">
        <f t="array" aca="1" ref="BV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13" s="269" t="str" cm="1">
        <f t="array" aca="1" ref="BW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3" s="270" t="str" cm="1">
        <f t="array" aca="1" ref="BX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13" s="270"/>
      <c r="BZ13" s="270" t="str" cm="1">
        <f t="array" aca="1" ref="BZ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13" s="271" t="str" cm="1">
        <f t="array" aca="1" ref="CA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13" s="269" t="str" cm="1">
        <f t="array" aca="1" ref="CB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3" s="270" t="str" cm="1">
        <f t="array" aca="1" ref="CC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13" s="270"/>
      <c r="CE13" s="270" t="str" cm="1">
        <f t="array" aca="1" ref="CE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13" s="271" t="str" cm="1">
        <f t="array" aca="1" ref="CF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13" s="269" t="str" cm="1">
        <f t="array" aca="1" ref="CG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3" s="270" t="str" cm="1">
        <f t="array" aca="1" ref="CH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13" s="270"/>
      <c r="CJ13" s="270" t="str" cm="1">
        <f t="array" aca="1" ref="CJ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13" s="271" t="str" cm="1">
        <f t="array" aca="1" ref="CK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13" s="269" t="str" cm="1">
        <f t="array" aca="1" ref="CL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3" s="270" t="str" cm="1">
        <f t="array" aca="1" ref="CM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13" s="270"/>
      <c r="CO13" s="270" t="str" cm="1">
        <f t="array" aca="1" ref="CO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13" s="271" t="str" cm="1">
        <f t="array" aca="1" ref="CP13" ca="1">_xlfn.LET(
_xlpm.lbl,IFERROR(LOOKUP(2,1/(ISNUMBER(SEARCH(". sem",LOWER($C$1:INDEX($C:$C,ROW()+1))))),$C$1:INDEX($C:$C,ROW()+1)),""),
_xlpm.sem,IFERROR(VALUE(LEFT(_xlpm.lbl,FIND(".",_xlpm.lbl)-1)),""),
_xlpm.slot,IFERROR(MATCH($D13,$D$7:$D$14,0),""),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14" spans="1:107" ht="16" thickBot="1" x14ac:dyDescent="0.25">
      <c r="A14" s="280"/>
      <c r="B14" s="280"/>
      <c r="D14" s="265" t="s">
        <v>23</v>
      </c>
      <c r="E14" s="273" t="str" cm="1">
        <f t="array" aca="1" ref="E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4" s="274" t="str" cm="1">
        <f t="array" aca="1" ref="F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14" s="274"/>
      <c r="H14" s="274" t="str" cm="1">
        <f t="array" aca="1" ref="H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14" s="276" t="str" cm="1">
        <f t="array" aca="1" ref="I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14" s="273" t="str" cm="1">
        <f t="array" aca="1" ref="J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4" s="274" t="str" cm="1">
        <f t="array" aca="1" ref="K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14" s="274"/>
      <c r="M14" s="274" t="str" cm="1">
        <f t="array" aca="1" ref="M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14" s="276" t="str" cm="1">
        <f t="array" aca="1" ref="N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14" s="273" t="str" cm="1">
        <f t="array" aca="1" ref="O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4" s="274" t="str" cm="1">
        <f t="array" aca="1" ref="P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14" s="274"/>
      <c r="R14" s="274" t="str" cm="1">
        <f t="array" aca="1" ref="R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14" s="276" t="str" cm="1">
        <f t="array" aca="1" ref="S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14" s="273" t="str" cm="1">
        <f t="array" aca="1" ref="T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4" s="274" t="str" cm="1">
        <f t="array" aca="1" ref="U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14" s="274"/>
      <c r="W14" s="274" t="str" cm="1">
        <f t="array" aca="1" ref="W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14" s="276" t="str" cm="1">
        <f t="array" aca="1" ref="X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14" s="273" t="str" cm="1">
        <f t="array" aca="1" ref="Y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4" s="274" t="str" cm="1">
        <f t="array" aca="1" ref="Z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14" s="274"/>
      <c r="AB14" s="274" t="str" cm="1">
        <f t="array" aca="1" ref="AB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14" s="276" t="str" cm="1">
        <f t="array" aca="1" ref="AC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14" s="273" t="str" cm="1">
        <f t="array" aca="1" ref="AD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4" s="274" t="str" cm="1">
        <f t="array" aca="1" ref="AE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14" s="274"/>
      <c r="AG14" s="274" t="str" cm="1">
        <f t="array" aca="1" ref="AG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14" s="276" t="str" cm="1">
        <f t="array" aca="1" ref="AH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14" s="273" t="str" cm="1">
        <f t="array" aca="1" ref="AI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4" s="274" t="str" cm="1">
        <f t="array" aca="1" ref="AJ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14" s="274"/>
      <c r="AL14" s="274" t="str" cm="1">
        <f t="array" aca="1" ref="AL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14" s="276" t="str" cm="1">
        <f t="array" aca="1" ref="AM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14" s="273" t="str" cm="1">
        <f t="array" aca="1" ref="AN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4" s="274" t="str" cm="1">
        <f t="array" aca="1" ref="AO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14" s="274"/>
      <c r="AQ14" s="274" t="str" cm="1">
        <f t="array" aca="1" ref="AQ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14" s="276" t="str" cm="1">
        <f t="array" aca="1" ref="AR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14" s="273" t="str" cm="1">
        <f t="array" aca="1" ref="AS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4" s="274" t="str" cm="1">
        <f t="array" aca="1" ref="AT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14" s="274"/>
      <c r="AV14" s="274" t="str" cm="1">
        <f t="array" aca="1" ref="AV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14" s="276" t="str" cm="1">
        <f t="array" aca="1" ref="AW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14" s="273" t="str" cm="1">
        <f t="array" aca="1" ref="AX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4" s="274" t="str" cm="1">
        <f t="array" aca="1" ref="AY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14" s="274"/>
      <c r="BA14" s="274" t="str" cm="1">
        <f t="array" aca="1" ref="BA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14" s="276" t="str" cm="1">
        <f t="array" aca="1" ref="BB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14" s="273" t="str" cm="1">
        <f t="array" aca="1" ref="BC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4" s="274" t="str" cm="1">
        <f t="array" aca="1" ref="BD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14" s="274"/>
      <c r="BF14" s="274" t="str" cm="1">
        <f t="array" aca="1" ref="BF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14" s="276" t="str" cm="1">
        <f t="array" aca="1" ref="BG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14" s="273" t="str" cm="1">
        <f t="array" aca="1" ref="BH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4" s="274" t="str" cm="1">
        <f t="array" aca="1" ref="BI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14" s="274"/>
      <c r="BK14" s="274" t="str" cm="1">
        <f t="array" aca="1" ref="BK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14" s="276" t="str" cm="1">
        <f t="array" aca="1" ref="BL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14" s="273" t="str" cm="1">
        <f t="array" aca="1" ref="BM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4" s="274" t="str" cm="1">
        <f t="array" aca="1" ref="BN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14" s="274"/>
      <c r="BP14" s="274" t="str" cm="1">
        <f t="array" aca="1" ref="BP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14" s="276" t="str" cm="1">
        <f t="array" aca="1" ref="BQ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14" s="273" t="str" cm="1">
        <f t="array" aca="1" ref="BR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4" s="274" t="str" cm="1">
        <f t="array" aca="1" ref="BS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14" s="274"/>
      <c r="BU14" s="274" t="str" cm="1">
        <f t="array" aca="1" ref="BU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14" s="276" t="str" cm="1">
        <f t="array" aca="1" ref="BV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14" s="273" t="str" cm="1">
        <f t="array" aca="1" ref="BW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4" s="274" t="str" cm="1">
        <f t="array" aca="1" ref="BX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14" s="274"/>
      <c r="BZ14" s="274" t="str" cm="1">
        <f t="array" aca="1" ref="BZ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14" s="276" t="str" cm="1">
        <f t="array" aca="1" ref="CA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14" s="273" t="str" cm="1">
        <f t="array" aca="1" ref="CB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4" s="274" t="str" cm="1">
        <f t="array" aca="1" ref="CC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14" s="274"/>
      <c r="CE14" s="274" t="str" cm="1">
        <f t="array" aca="1" ref="CE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14" s="276" t="str" cm="1">
        <f t="array" aca="1" ref="CF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14" s="273" t="str" cm="1">
        <f t="array" aca="1" ref="CG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4" s="274" t="str" cm="1">
        <f t="array" aca="1" ref="CH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14" s="274"/>
      <c r="CJ14" s="274" t="str" cm="1">
        <f t="array" aca="1" ref="CJ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14" s="276" t="str" cm="1">
        <f t="array" aca="1" ref="CK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14" s="273" t="str" cm="1">
        <f t="array" aca="1" ref="CL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4" s="274" t="str" cm="1">
        <f t="array" aca="1" ref="CM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14" s="274"/>
      <c r="CO14" s="274" t="str" cm="1">
        <f t="array" aca="1" ref="CO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14" s="276" t="str" cm="1">
        <f t="array" aca="1" ref="CP14" ca="1">_xlfn.LET(
_xlpm.lbl,IFERROR(LOOKUP(2,1/(ISNUMBER(SEARCH(". sem",LOWER($C$1:INDEX($C:$C,ROW()+1))))),$C$1:INDEX($C:$C,ROW()+1)),""),
_xlpm.sem,IFERROR(VALUE(LEFT(_xlpm.lbl,FIND(".",_xlpm.lbl)-1)),""),
_xlpm.slot,IFERROR(MATCH($D14,$D$7:$D$14,0),""),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15" spans="1:107" s="280" customFormat="1" ht="16" thickBot="1" x14ac:dyDescent="0.25">
      <c r="C15" s="243"/>
      <c r="D15" s="304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</row>
    <row r="16" spans="1:107" x14ac:dyDescent="0.2">
      <c r="A16" s="280"/>
      <c r="B16" s="280"/>
      <c r="C16" s="243" t="str">
        <f>Data!G49</f>
        <v>GBG.A367</v>
      </c>
      <c r="D16" s="263" t="s">
        <v>7</v>
      </c>
      <c r="E16" s="266" t="str" cm="1">
        <f t="array" aca="1" ref="E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6" s="267" t="str" cm="1">
        <f t="array" aca="1" ref="F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16" s="267" t="str" cm="1">
        <f t="array" aca="1" ref="G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16" s="267" t="str" cm="1">
        <f t="array" aca="1" ref="H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16" s="268" t="str" cm="1">
        <f t="array" aca="1" ref="I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16" s="266" t="str" cm="1">
        <f t="array" aca="1" ref="J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6" s="267" t="str" cm="1">
        <f t="array" aca="1" ref="K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16" s="267" t="str" cm="1">
        <f t="array" aca="1" ref="L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16" s="267" t="str" cm="1">
        <f t="array" aca="1" ref="M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16" s="268" t="str" cm="1">
        <f t="array" aca="1" ref="N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16" s="266" t="str" cm="1">
        <f t="array" aca="1" ref="O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6" s="267" t="str" cm="1">
        <f t="array" aca="1" ref="P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16" s="267" t="str" cm="1">
        <f t="array" aca="1" ref="Q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16" s="267" t="str" cm="1">
        <f t="array" aca="1" ref="R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16" s="268" t="str" cm="1">
        <f t="array" aca="1" ref="S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16" s="266" t="str" cm="1">
        <f t="array" aca="1" ref="T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6" s="267" t="str" cm="1">
        <f t="array" aca="1" ref="U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16" s="267" t="str" cm="1">
        <f t="array" aca="1" ref="V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16" s="267" t="str" cm="1">
        <f t="array" aca="1" ref="W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16" s="268" t="str" cm="1">
        <f t="array" aca="1" ref="X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16" s="266" t="str" cm="1">
        <f t="array" aca="1" ref="Y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6" s="267" t="str" cm="1">
        <f t="array" aca="1" ref="Z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16" s="267" t="str" cm="1">
        <f t="array" aca="1" ref="AA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16" s="267" t="str" cm="1">
        <f t="array" aca="1" ref="AB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16" s="268" t="str" cm="1">
        <f t="array" aca="1" ref="AC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16" s="266" t="str" cm="1">
        <f t="array" aca="1" ref="AD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6" s="267" t="str" cm="1">
        <f t="array" aca="1" ref="AE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16" s="267" t="str" cm="1">
        <f t="array" aca="1" ref="AF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16" s="267" t="str" cm="1">
        <f t="array" aca="1" ref="AG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16" s="268" t="str" cm="1">
        <f t="array" aca="1" ref="AH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16" s="266" t="str" cm="1">
        <f t="array" aca="1" ref="AI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6" s="267" t="str" cm="1">
        <f t="array" aca="1" ref="AJ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16" s="267" t="str" cm="1">
        <f t="array" aca="1" ref="AK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16" s="267" t="str" cm="1">
        <f t="array" aca="1" ref="AL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16" s="268" t="str" cm="1">
        <f t="array" aca="1" ref="AM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16" s="266" t="str" cm="1">
        <f t="array" aca="1" ref="AN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6" s="267" t="str" cm="1">
        <f t="array" aca="1" ref="AO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16" s="267" t="str" cm="1">
        <f t="array" aca="1" ref="AP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16" s="267" t="str" cm="1">
        <f t="array" aca="1" ref="AQ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16" s="268" t="str" cm="1">
        <f t="array" aca="1" ref="AR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16" s="266" t="str" cm="1">
        <f t="array" aca="1" ref="AS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6" s="267" t="str" cm="1">
        <f t="array" aca="1" ref="AT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16" s="267" t="str" cm="1">
        <f t="array" aca="1" ref="AU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16" s="267" t="str" cm="1">
        <f t="array" aca="1" ref="AV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16" s="268" t="str" cm="1">
        <f t="array" aca="1" ref="AW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16" s="266" t="str" cm="1">
        <f t="array" aca="1" ref="AX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6" s="267" t="str" cm="1">
        <f t="array" aca="1" ref="AY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16" s="267" t="str" cm="1">
        <f t="array" aca="1" ref="AZ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16" s="267" t="str" cm="1">
        <f t="array" aca="1" ref="BA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16" s="268" t="str" cm="1">
        <f t="array" aca="1" ref="BB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16" s="266" t="str" cm="1">
        <f t="array" aca="1" ref="BC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6" s="267" t="str" cm="1">
        <f t="array" aca="1" ref="BD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16" s="267" t="str" cm="1">
        <f t="array" aca="1" ref="BE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16" s="267" t="str" cm="1">
        <f t="array" aca="1" ref="BF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16" s="268" t="str" cm="1">
        <f t="array" aca="1" ref="BG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16" s="266" t="str" cm="1">
        <f t="array" aca="1" ref="BH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6" s="267" t="str" cm="1">
        <f t="array" aca="1" ref="BI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16" s="267" t="str" cm="1">
        <f t="array" aca="1" ref="BJ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16" s="267" t="str" cm="1">
        <f t="array" aca="1" ref="BK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16" s="268" t="str" cm="1">
        <f t="array" aca="1" ref="BL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16" s="266" t="str" cm="1">
        <f t="array" aca="1" ref="BM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6" s="267" t="str" cm="1">
        <f t="array" aca="1" ref="BN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16" s="267" t="str" cm="1">
        <f t="array" aca="1" ref="BO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16" s="267" t="str" cm="1">
        <f t="array" aca="1" ref="BP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16" s="268" t="str" cm="1">
        <f t="array" aca="1" ref="BQ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16" s="266" t="str" cm="1">
        <f t="array" aca="1" ref="BR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6" s="267" t="str" cm="1">
        <f t="array" aca="1" ref="BS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16" s="267" t="str" cm="1">
        <f t="array" aca="1" ref="BT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16" s="267" t="str" cm="1">
        <f t="array" aca="1" ref="BU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16" s="268" t="str" cm="1">
        <f t="array" aca="1" ref="BV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16" s="266" t="str" cm="1">
        <f t="array" aca="1" ref="BW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6" s="267" t="str" cm="1">
        <f t="array" aca="1" ref="BX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16" s="267" t="str" cm="1">
        <f t="array" aca="1" ref="BY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16" s="267" t="str" cm="1">
        <f t="array" aca="1" ref="BZ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16" s="268" t="str" cm="1">
        <f t="array" aca="1" ref="CA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16" s="266" t="str" cm="1">
        <f t="array" aca="1" ref="CB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6" s="267" t="str" cm="1">
        <f t="array" aca="1" ref="CC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16" s="267" t="str" cm="1">
        <f t="array" aca="1" ref="CD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16" s="267" t="str" cm="1">
        <f t="array" aca="1" ref="CE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16" s="268" t="str" cm="1">
        <f t="array" aca="1" ref="CF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16" s="266" t="str" cm="1">
        <f t="array" aca="1" ref="CG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6" s="267" t="str" cm="1">
        <f t="array" aca="1" ref="CH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16" s="267" t="str" cm="1">
        <f t="array" aca="1" ref="CI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16" s="267" t="str" cm="1">
        <f t="array" aca="1" ref="CJ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16" s="268" t="str" cm="1">
        <f t="array" aca="1" ref="CK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16" s="266" t="str" cm="1">
        <f t="array" aca="1" ref="CL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6" s="267" t="str" cm="1">
        <f t="array" aca="1" ref="CM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16" s="267" t="str" cm="1">
        <f t="array" aca="1" ref="CN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16" s="267" t="str" cm="1">
        <f t="array" aca="1" ref="CO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16" s="268" t="str" cm="1">
        <f t="array" aca="1" ref="CP16" ca="1">_xlfn.LET(
_xlpm.lbl,IFERROR(LOOKUP(2,1/(ISNUMBER(SEARCH(". sem",LOWER($C$1:INDEX($C:$C,ROW()+1))))),$C$1:INDEX($C:$C,ROW()+1)),""),
_xlpm.sem,IFERROR(VALUE(LEFT(_xlpm.lbl,FIND(".",_xlpm.lbl)-1)),""),
_xlpm.slot,IFERROR(MATCH($D16,$D$7:$D$14,0),""),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17" spans="1:94" x14ac:dyDescent="0.2">
      <c r="A17" s="280"/>
      <c r="B17" s="280"/>
      <c r="C17" t="s">
        <v>312</v>
      </c>
      <c r="D17" s="278" t="s">
        <v>15</v>
      </c>
      <c r="E17" s="269" t="str" cm="1">
        <f t="array" aca="1" ref="E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7" s="270" t="str" cm="1">
        <f t="array" aca="1" ref="F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17" s="270" t="str" cm="1">
        <f t="array" aca="1" ref="G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17" s="270" t="str" cm="1">
        <f t="array" aca="1" ref="H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17" s="271" t="str" cm="1">
        <f t="array" aca="1" ref="I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17" s="269" t="str" cm="1">
        <f t="array" aca="1" ref="J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7" s="270" t="str" cm="1">
        <f t="array" aca="1" ref="K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17" s="270" t="str" cm="1">
        <f t="array" aca="1" ref="L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17" s="270" t="str" cm="1">
        <f t="array" aca="1" ref="M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17" s="271" t="str" cm="1">
        <f t="array" aca="1" ref="N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17" s="269" t="str" cm="1">
        <f t="array" aca="1" ref="O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7" s="270" t="str" cm="1">
        <f t="array" aca="1" ref="P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17" s="270" t="str" cm="1">
        <f t="array" aca="1" ref="Q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17" s="270" t="str" cm="1">
        <f t="array" aca="1" ref="R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17" s="271" t="str" cm="1">
        <f t="array" aca="1" ref="S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17" s="269" t="str" cm="1">
        <f t="array" aca="1" ref="T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7" s="270" t="str" cm="1">
        <f t="array" aca="1" ref="U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17" s="270" t="str" cm="1">
        <f t="array" aca="1" ref="V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17" s="270" t="str" cm="1">
        <f t="array" aca="1" ref="W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17" s="271" t="str" cm="1">
        <f t="array" aca="1" ref="X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17" s="269" t="str" cm="1">
        <f t="array" aca="1" ref="Y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7" s="270" t="str" cm="1">
        <f t="array" aca="1" ref="Z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17" s="270" t="str" cm="1">
        <f t="array" aca="1" ref="AA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17" s="270" t="str" cm="1">
        <f t="array" aca="1" ref="AB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17" s="271" t="str" cm="1">
        <f t="array" aca="1" ref="AC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17" s="269" t="str" cm="1">
        <f t="array" aca="1" ref="AD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7" s="270" t="str" cm="1">
        <f t="array" aca="1" ref="AE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17" s="270" t="str" cm="1">
        <f t="array" aca="1" ref="AF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17" s="270" t="str" cm="1">
        <f t="array" aca="1" ref="AG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17" s="271" t="str" cm="1">
        <f t="array" aca="1" ref="AH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17" s="269" t="str" cm="1">
        <f t="array" aca="1" ref="AI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7" s="270" t="str" cm="1">
        <f t="array" aca="1" ref="AJ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17" s="270" t="str" cm="1">
        <f t="array" aca="1" ref="AK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17" s="270" t="str" cm="1">
        <f t="array" aca="1" ref="AL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17" s="271" t="str" cm="1">
        <f t="array" aca="1" ref="AM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17" s="269" t="str" cm="1">
        <f t="array" aca="1" ref="AN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7" s="270" t="str" cm="1">
        <f t="array" aca="1" ref="AO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17" s="270" t="str" cm="1">
        <f t="array" aca="1" ref="AP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17" s="270" t="str" cm="1">
        <f t="array" aca="1" ref="AQ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17" s="271" t="str" cm="1">
        <f t="array" aca="1" ref="AR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17" s="269" t="str" cm="1">
        <f t="array" aca="1" ref="AS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7" s="270" t="str" cm="1">
        <f t="array" aca="1" ref="AT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17" s="270" t="str" cm="1">
        <f t="array" aca="1" ref="AU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17" s="270" t="str" cm="1">
        <f t="array" aca="1" ref="AV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17" s="271" t="str" cm="1">
        <f t="array" aca="1" ref="AW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17" s="269" t="str" cm="1">
        <f t="array" aca="1" ref="AX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7" s="270" t="str" cm="1">
        <f t="array" aca="1" ref="AY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17" s="270" t="str" cm="1">
        <f t="array" aca="1" ref="AZ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17" s="270" t="str" cm="1">
        <f t="array" aca="1" ref="BA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17" s="271" t="str" cm="1">
        <f t="array" aca="1" ref="BB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17" s="269" t="str" cm="1">
        <f t="array" aca="1" ref="BC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7" s="270" t="str" cm="1">
        <f t="array" aca="1" ref="BD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17" s="270" t="str" cm="1">
        <f t="array" aca="1" ref="BE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17" s="270" t="str" cm="1">
        <f t="array" aca="1" ref="BF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17" s="271" t="str" cm="1">
        <f t="array" aca="1" ref="BG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17" s="269" t="str" cm="1">
        <f t="array" aca="1" ref="BH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7" s="270" t="str" cm="1">
        <f t="array" aca="1" ref="BI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17" s="270" t="str" cm="1">
        <f t="array" aca="1" ref="BJ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17" s="270" t="str" cm="1">
        <f t="array" aca="1" ref="BK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17" s="271" t="str" cm="1">
        <f t="array" aca="1" ref="BL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17" s="269" t="str" cm="1">
        <f t="array" aca="1" ref="BM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7" s="270" t="str" cm="1">
        <f t="array" aca="1" ref="BN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17" s="270" t="str" cm="1">
        <f t="array" aca="1" ref="BO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17" s="270" t="str" cm="1">
        <f t="array" aca="1" ref="BP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17" s="271" t="str" cm="1">
        <f t="array" aca="1" ref="BQ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17" s="269" t="str" cm="1">
        <f t="array" aca="1" ref="BR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7" s="270" t="str" cm="1">
        <f t="array" aca="1" ref="BS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17" s="270" t="str" cm="1">
        <f t="array" aca="1" ref="BT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17" s="270" t="str" cm="1">
        <f t="array" aca="1" ref="BU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17" s="271" t="str" cm="1">
        <f t="array" aca="1" ref="BV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17" s="269" t="str" cm="1">
        <f t="array" aca="1" ref="BW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7" s="270" t="str" cm="1">
        <f t="array" aca="1" ref="BX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17" s="270" t="str" cm="1">
        <f t="array" aca="1" ref="BY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17" s="270" t="str" cm="1">
        <f t="array" aca="1" ref="BZ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17" s="271" t="str" cm="1">
        <f t="array" aca="1" ref="CA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17" s="269" t="str" cm="1">
        <f t="array" aca="1" ref="CB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7" s="270" t="str" cm="1">
        <f t="array" aca="1" ref="CC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17" s="270" t="str" cm="1">
        <f t="array" aca="1" ref="CD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17" s="270" t="str" cm="1">
        <f t="array" aca="1" ref="CE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17" s="271" t="str" cm="1">
        <f t="array" aca="1" ref="CF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17" s="269" t="str" cm="1">
        <f t="array" aca="1" ref="CG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7" s="270" t="str" cm="1">
        <f t="array" aca="1" ref="CH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17" s="270" t="str" cm="1">
        <f t="array" aca="1" ref="CI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17" s="270" t="str" cm="1">
        <f t="array" aca="1" ref="CJ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17" s="271" t="str" cm="1">
        <f t="array" aca="1" ref="CK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17" s="269" t="str" cm="1">
        <f t="array" aca="1" ref="CL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7" s="270" t="str" cm="1">
        <f t="array" aca="1" ref="CM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17" s="270" t="str" cm="1">
        <f t="array" aca="1" ref="CN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17" s="270" t="str" cm="1">
        <f t="array" aca="1" ref="CO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17" s="271" t="str" cm="1">
        <f t="array" aca="1" ref="CP17" ca="1">_xlfn.LET(
_xlpm.lbl,IFERROR(LOOKUP(2,1/(ISNUMBER(SEARCH(". sem",LOWER($C$1:INDEX($C:$C,ROW()+1))))),$C$1:INDEX($C:$C,ROW()+1)),""),
_xlpm.sem,IFERROR(VALUE(LEFT(_xlpm.lbl,FIND(".",_xlpm.lbl)-1)),""),
_xlpm.slot,IFERROR(MATCH($D17,$D$7:$D$14,0),""),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18" spans="1:94" x14ac:dyDescent="0.2">
      <c r="A18" s="280"/>
      <c r="B18" s="280"/>
      <c r="C18" s="305" t="s">
        <v>322</v>
      </c>
      <c r="D18" s="278" t="s">
        <v>16</v>
      </c>
      <c r="E18" s="269" t="str" cm="1">
        <f t="array" aca="1" ref="E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8" s="270"/>
      <c r="G18" s="270"/>
      <c r="H18" s="270"/>
      <c r="I18" s="271"/>
      <c r="J18" s="269" t="str" cm="1">
        <f t="array" aca="1" ref="J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8" s="270"/>
      <c r="L18" s="270"/>
      <c r="M18" s="270"/>
      <c r="N18" s="271"/>
      <c r="O18" s="269" t="str" cm="1">
        <f t="array" aca="1" ref="O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8" s="270"/>
      <c r="Q18" s="270"/>
      <c r="R18" s="270"/>
      <c r="S18" s="271"/>
      <c r="T18" s="269" t="str" cm="1">
        <f t="array" aca="1" ref="T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8" s="270"/>
      <c r="V18" s="270"/>
      <c r="W18" s="270"/>
      <c r="X18" s="271"/>
      <c r="Y18" s="269" t="str" cm="1">
        <f t="array" aca="1" ref="Y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8" s="270"/>
      <c r="AA18" s="270"/>
      <c r="AB18" s="270"/>
      <c r="AC18" s="271"/>
      <c r="AD18" s="269" t="str" cm="1">
        <f t="array" aca="1" ref="AD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8" s="270"/>
      <c r="AF18" s="270"/>
      <c r="AG18" s="270"/>
      <c r="AH18" s="271"/>
      <c r="AI18" s="269" t="str" cm="1">
        <f t="array" aca="1" ref="AI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8" s="270"/>
      <c r="AK18" s="270"/>
      <c r="AL18" s="270"/>
      <c r="AM18" s="271"/>
      <c r="AN18" s="269" t="str" cm="1">
        <f t="array" aca="1" ref="AN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8" s="270"/>
      <c r="AP18" s="270"/>
      <c r="AQ18" s="270"/>
      <c r="AR18" s="271"/>
      <c r="AS18" s="269" t="str" cm="1">
        <f t="array" aca="1" ref="AS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8" s="270"/>
      <c r="AU18" s="270"/>
      <c r="AV18" s="270"/>
      <c r="AW18" s="271"/>
      <c r="AX18" s="269" t="str" cm="1">
        <f t="array" aca="1" ref="AX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8" s="270"/>
      <c r="AZ18" s="270"/>
      <c r="BA18" s="270"/>
      <c r="BB18" s="271"/>
      <c r="BC18" s="269" t="str" cm="1">
        <f t="array" aca="1" ref="BC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8" s="270"/>
      <c r="BE18" s="270"/>
      <c r="BF18" s="270"/>
      <c r="BG18" s="271"/>
      <c r="BH18" s="269" t="str" cm="1">
        <f t="array" aca="1" ref="BH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8" s="270"/>
      <c r="BJ18" s="270"/>
      <c r="BK18" s="270"/>
      <c r="BL18" s="271"/>
      <c r="BM18" s="269" t="str" cm="1">
        <f t="array" aca="1" ref="BM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8" s="270"/>
      <c r="BO18" s="270"/>
      <c r="BP18" s="270"/>
      <c r="BQ18" s="271"/>
      <c r="BR18" s="269" t="str" cm="1">
        <f t="array" aca="1" ref="BR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8" s="270"/>
      <c r="BT18" s="270"/>
      <c r="BU18" s="270"/>
      <c r="BV18" s="271"/>
      <c r="BW18" s="269" t="str" cm="1">
        <f t="array" aca="1" ref="BW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8" s="270"/>
      <c r="BY18" s="270"/>
      <c r="BZ18" s="270"/>
      <c r="CA18" s="271"/>
      <c r="CB18" s="269" t="str" cm="1">
        <f t="array" aca="1" ref="CB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8" s="270"/>
      <c r="CD18" s="270"/>
      <c r="CE18" s="270"/>
      <c r="CF18" s="271"/>
      <c r="CG18" s="269" t="str" cm="1">
        <f t="array" aca="1" ref="CG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8" s="270"/>
      <c r="CI18" s="270"/>
      <c r="CJ18" s="270"/>
      <c r="CK18" s="271"/>
      <c r="CL18" s="269" t="str" cm="1">
        <f t="array" aca="1" ref="CL18" ca="1">_xlfn.LET(
_xlpm.lbl,IFERROR(LOOKUP(2,1/(ISNUMBER(SEARCH(". sem",LOWER($C$1:INDEX($C:$C,ROW()+1))))),$C$1:INDEX($C:$C,ROW()+1)),""),
_xlpm.sem,IFERROR(VALUE(LEFT(_xlpm.lbl,FIND(".",_xlpm.lbl)-1)),""),
_xlpm.slot,IFERROR(MATCH($D18,$D$7:$D$14,0),""),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8" s="270"/>
      <c r="CN18" s="270"/>
      <c r="CO18" s="270"/>
      <c r="CP18" s="271"/>
    </row>
    <row r="19" spans="1:94" x14ac:dyDescent="0.2">
      <c r="A19" s="280"/>
      <c r="B19" s="280"/>
      <c r="C19"/>
      <c r="D19" s="264" t="s">
        <v>17</v>
      </c>
      <c r="E19" s="269" t="str" cm="1">
        <f t="array" aca="1" ref="E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19" s="270" t="str" cm="1">
        <f t="array" aca="1" ref="F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19" s="270" t="str" cm="1">
        <f t="array" aca="1" ref="G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19" s="270" t="str" cm="1">
        <f t="array" aca="1" ref="H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19" s="271" t="str" cm="1">
        <f t="array" aca="1" ref="I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19" s="269" t="str" cm="1">
        <f t="array" aca="1" ref="J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19" s="270" t="str" cm="1">
        <f t="array" aca="1" ref="K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19" s="270" t="str" cm="1">
        <f t="array" aca="1" ref="L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19" s="270" t="str" cm="1">
        <f t="array" aca="1" ref="M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19" s="271" t="str" cm="1">
        <f t="array" aca="1" ref="N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19" s="269" t="str" cm="1">
        <f t="array" aca="1" ref="O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19" s="270" t="str" cm="1">
        <f t="array" aca="1" ref="P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19" s="270" t="str" cm="1">
        <f t="array" aca="1" ref="Q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19" s="270" t="str" cm="1">
        <f t="array" aca="1" ref="R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19" s="271" t="str" cm="1">
        <f t="array" aca="1" ref="S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19" s="269" t="str" cm="1">
        <f t="array" aca="1" ref="T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19" s="270" t="str" cm="1">
        <f t="array" aca="1" ref="U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19" s="270" t="str" cm="1">
        <f t="array" aca="1" ref="V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19" s="270" t="str" cm="1">
        <f t="array" aca="1" ref="W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19" s="271" t="str" cm="1">
        <f t="array" aca="1" ref="X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19" s="269" t="str" cm="1">
        <f t="array" aca="1" ref="Y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19" s="270" t="str" cm="1">
        <f t="array" aca="1" ref="Z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19" s="270" t="str" cm="1">
        <f t="array" aca="1" ref="AA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19" s="270" t="str" cm="1">
        <f t="array" aca="1" ref="AB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19" s="271" t="str" cm="1">
        <f t="array" aca="1" ref="AC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19" s="269" t="str" cm="1">
        <f t="array" aca="1" ref="AD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19" s="270" t="str" cm="1">
        <f t="array" aca="1" ref="AE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19" s="270" t="str" cm="1">
        <f t="array" aca="1" ref="AF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19" s="270" t="str" cm="1">
        <f t="array" aca="1" ref="AG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19" s="271" t="str" cm="1">
        <f t="array" aca="1" ref="AH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19" s="269" t="str" cm="1">
        <f t="array" aca="1" ref="AI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19" s="270" t="str" cm="1">
        <f t="array" aca="1" ref="AJ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19" s="270" t="str" cm="1">
        <f t="array" aca="1" ref="AK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19" s="270" t="str" cm="1">
        <f t="array" aca="1" ref="AL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19" s="271" t="str" cm="1">
        <f t="array" aca="1" ref="AM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19" s="269" t="str" cm="1">
        <f t="array" aca="1" ref="AN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19" s="270" t="str" cm="1">
        <f t="array" aca="1" ref="AO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19" s="270" t="str" cm="1">
        <f t="array" aca="1" ref="AP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19" s="270" t="str" cm="1">
        <f t="array" aca="1" ref="AQ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19" s="271" t="str" cm="1">
        <f t="array" aca="1" ref="AR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19" s="269" t="str" cm="1">
        <f t="array" aca="1" ref="AS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19" s="270" t="str" cm="1">
        <f t="array" aca="1" ref="AT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19" s="270" t="str" cm="1">
        <f t="array" aca="1" ref="AU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19" s="270" t="str" cm="1">
        <f t="array" aca="1" ref="AV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19" s="271" t="str" cm="1">
        <f t="array" aca="1" ref="AW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19" s="269" t="str" cm="1">
        <f t="array" aca="1" ref="AX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19" s="270" t="str" cm="1">
        <f t="array" aca="1" ref="AY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19" s="270" t="str" cm="1">
        <f t="array" aca="1" ref="AZ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19" s="270" t="str" cm="1">
        <f t="array" aca="1" ref="BA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19" s="271" t="str" cm="1">
        <f t="array" aca="1" ref="BB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19" s="269" t="str" cm="1">
        <f t="array" aca="1" ref="BC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19" s="270" t="str" cm="1">
        <f t="array" aca="1" ref="BD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19" s="270" t="str" cm="1">
        <f t="array" aca="1" ref="BE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19" s="270" t="str" cm="1">
        <f t="array" aca="1" ref="BF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19" s="271" t="str" cm="1">
        <f t="array" aca="1" ref="BG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19" s="269" t="str" cm="1">
        <f t="array" aca="1" ref="BH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19" s="270" t="str" cm="1">
        <f t="array" aca="1" ref="BI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19" s="270" t="str" cm="1">
        <f t="array" aca="1" ref="BJ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19" s="270" t="str" cm="1">
        <f t="array" aca="1" ref="BK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19" s="271" t="str" cm="1">
        <f t="array" aca="1" ref="BL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19" s="269" t="str" cm="1">
        <f t="array" aca="1" ref="BM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19" s="270" t="str" cm="1">
        <f t="array" aca="1" ref="BN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19" s="270" t="str" cm="1">
        <f t="array" aca="1" ref="BO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19" s="270" t="str" cm="1">
        <f t="array" aca="1" ref="BP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19" s="271" t="str" cm="1">
        <f t="array" aca="1" ref="BQ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19" s="269" t="str" cm="1">
        <f t="array" aca="1" ref="BR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19" s="270" t="str" cm="1">
        <f t="array" aca="1" ref="BS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19" s="270" t="str" cm="1">
        <f t="array" aca="1" ref="BT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19" s="270" t="str" cm="1">
        <f t="array" aca="1" ref="BU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19" s="271" t="str" cm="1">
        <f t="array" aca="1" ref="BV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19" s="269" t="str" cm="1">
        <f t="array" aca="1" ref="BW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19" s="270" t="str" cm="1">
        <f t="array" aca="1" ref="BX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19" s="270" t="str" cm="1">
        <f t="array" aca="1" ref="BY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19" s="270" t="str" cm="1">
        <f t="array" aca="1" ref="BZ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19" s="271" t="str" cm="1">
        <f t="array" aca="1" ref="CA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19" s="269" t="str" cm="1">
        <f t="array" aca="1" ref="CB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19" s="270" t="str" cm="1">
        <f t="array" aca="1" ref="CC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19" s="270" t="str" cm="1">
        <f t="array" aca="1" ref="CD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19" s="270" t="str" cm="1">
        <f t="array" aca="1" ref="CE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19" s="271" t="str" cm="1">
        <f t="array" aca="1" ref="CF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19" s="269" t="str" cm="1">
        <f t="array" aca="1" ref="CG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19" s="270" t="str" cm="1">
        <f t="array" aca="1" ref="CH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19" s="270" t="str" cm="1">
        <f t="array" aca="1" ref="CI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19" s="270" t="str" cm="1">
        <f t="array" aca="1" ref="CJ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19" s="271" t="str" cm="1">
        <f t="array" aca="1" ref="CK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19" s="269" t="str" cm="1">
        <f t="array" aca="1" ref="CL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19" s="270" t="str" cm="1">
        <f t="array" aca="1" ref="CM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19" s="270" t="str" cm="1">
        <f t="array" aca="1" ref="CN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19" s="270" t="str" cm="1">
        <f t="array" aca="1" ref="CO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19" s="271" t="str" cm="1">
        <f t="array" aca="1" ref="CP19" ca="1">_xlfn.LET(
_xlpm.lbl,IFERROR(LOOKUP(2,1/(ISNUMBER(SEARCH(". sem",LOWER($C$1:INDEX($C:$C,ROW()+1))))),$C$1:INDEX($C:$C,ROW()+1)),""),
_xlpm.sem,IFERROR(VALUE(LEFT(_xlpm.lbl,FIND(".",_xlpm.lbl)-1)),""),
_xlpm.slot,IFERROR(MATCH($D19,$D$7:$D$14,0),""),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20" spans="1:94" x14ac:dyDescent="0.2">
      <c r="A20" s="280"/>
      <c r="B20" s="280"/>
      <c r="C20"/>
      <c r="D20" s="264" t="s">
        <v>19</v>
      </c>
      <c r="E20" s="269" t="str" cm="1">
        <f t="array" aca="1" ref="E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0" s="270" t="str" cm="1">
        <f t="array" aca="1" ref="F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20" s="270"/>
      <c r="H20" s="270" t="str" cm="1">
        <f t="array" aca="1" ref="H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20" s="271" t="str" cm="1">
        <f t="array" aca="1" ref="I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20" s="269" t="str" cm="1">
        <f t="array" aca="1" ref="J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0" s="270" t="str" cm="1">
        <f t="array" aca="1" ref="K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20" s="270"/>
      <c r="M20" s="270" t="str" cm="1">
        <f t="array" aca="1" ref="M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20" s="271" t="str" cm="1">
        <f t="array" aca="1" ref="N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20" s="269" t="str" cm="1">
        <f t="array" aca="1" ref="O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0" s="270" t="str" cm="1">
        <f t="array" aca="1" ref="P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20" s="270"/>
      <c r="R20" s="270" t="str" cm="1">
        <f t="array" aca="1" ref="R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20" s="271" t="str" cm="1">
        <f t="array" aca="1" ref="S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20" s="269" t="str" cm="1">
        <f t="array" aca="1" ref="T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0" s="270" t="str" cm="1">
        <f t="array" aca="1" ref="U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20" s="270"/>
      <c r="W20" s="270" t="str" cm="1">
        <f t="array" aca="1" ref="W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20" s="271" t="str" cm="1">
        <f t="array" aca="1" ref="X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20" s="269" t="str" cm="1">
        <f t="array" aca="1" ref="Y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0" s="270" t="str" cm="1">
        <f t="array" aca="1" ref="Z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20" s="270"/>
      <c r="AB20" s="270" t="str" cm="1">
        <f t="array" aca="1" ref="AB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20" s="271" t="str" cm="1">
        <f t="array" aca="1" ref="AC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20" s="269" t="str" cm="1">
        <f t="array" aca="1" ref="AD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0" s="270" t="str" cm="1">
        <f t="array" aca="1" ref="AE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20" s="270"/>
      <c r="AG20" s="270" t="str" cm="1">
        <f t="array" aca="1" ref="AG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20" s="271" t="str" cm="1">
        <f t="array" aca="1" ref="AH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20" s="269" t="str" cm="1">
        <f t="array" aca="1" ref="AI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0" s="270" t="str" cm="1">
        <f t="array" aca="1" ref="AJ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20" s="270"/>
      <c r="AL20" s="270" t="str" cm="1">
        <f t="array" aca="1" ref="AL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20" s="271" t="str" cm="1">
        <f t="array" aca="1" ref="AM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20" s="269" t="str" cm="1">
        <f t="array" aca="1" ref="AN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0" s="270" t="str" cm="1">
        <f t="array" aca="1" ref="AO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20" s="270"/>
      <c r="AQ20" s="270" t="str" cm="1">
        <f t="array" aca="1" ref="AQ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20" s="271" t="str" cm="1">
        <f t="array" aca="1" ref="AR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20" s="269" t="str" cm="1">
        <f t="array" aca="1" ref="AS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0" s="270" t="str" cm="1">
        <f t="array" aca="1" ref="AT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20" s="270"/>
      <c r="AV20" s="270" t="str" cm="1">
        <f t="array" aca="1" ref="AV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20" s="271" t="str" cm="1">
        <f t="array" aca="1" ref="AW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20" s="269" t="str" cm="1">
        <f t="array" aca="1" ref="AX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0" s="270" t="str" cm="1">
        <f t="array" aca="1" ref="AY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20" s="270"/>
      <c r="BA20" s="270" t="str" cm="1">
        <f t="array" aca="1" ref="BA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20" s="271" t="str" cm="1">
        <f t="array" aca="1" ref="BB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20" s="269" t="str" cm="1">
        <f t="array" aca="1" ref="BC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0" s="270" t="str" cm="1">
        <f t="array" aca="1" ref="BD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20" s="270"/>
      <c r="BF20" s="270" t="str" cm="1">
        <f t="array" aca="1" ref="BF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20" s="271" t="str" cm="1">
        <f t="array" aca="1" ref="BG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20" s="269" t="str" cm="1">
        <f t="array" aca="1" ref="BH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0" s="270" t="str" cm="1">
        <f t="array" aca="1" ref="BI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20" s="270"/>
      <c r="BK20" s="270" t="str" cm="1">
        <f t="array" aca="1" ref="BK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20" s="271" t="str" cm="1">
        <f t="array" aca="1" ref="BL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20" s="269" t="str" cm="1">
        <f t="array" aca="1" ref="BM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0" s="270" t="str" cm="1">
        <f t="array" aca="1" ref="BN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20" s="270"/>
      <c r="BP20" s="270" t="str" cm="1">
        <f t="array" aca="1" ref="BP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20" s="271" t="str" cm="1">
        <f t="array" aca="1" ref="BQ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20" s="269" t="str" cm="1">
        <f t="array" aca="1" ref="BR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0" s="270" t="str" cm="1">
        <f t="array" aca="1" ref="BS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20" s="270"/>
      <c r="BU20" s="270" t="str" cm="1">
        <f t="array" aca="1" ref="BU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20" s="271" t="str" cm="1">
        <f t="array" aca="1" ref="BV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20" s="269" t="str" cm="1">
        <f t="array" aca="1" ref="BW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0" s="270" t="str" cm="1">
        <f t="array" aca="1" ref="BX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20" s="270"/>
      <c r="BZ20" s="270" t="str" cm="1">
        <f t="array" aca="1" ref="BZ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20" s="271" t="str" cm="1">
        <f t="array" aca="1" ref="CA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20" s="269" t="str" cm="1">
        <f t="array" aca="1" ref="CB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0" s="270" t="str" cm="1">
        <f t="array" aca="1" ref="CC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20" s="270"/>
      <c r="CE20" s="270" t="str" cm="1">
        <f t="array" aca="1" ref="CE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20" s="271" t="str" cm="1">
        <f t="array" aca="1" ref="CF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20" s="269" t="str" cm="1">
        <f t="array" aca="1" ref="CG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0" s="270" t="str" cm="1">
        <f t="array" aca="1" ref="CH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20" s="270"/>
      <c r="CJ20" s="270" t="str" cm="1">
        <f t="array" aca="1" ref="CJ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20" s="271" t="str" cm="1">
        <f t="array" aca="1" ref="CK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20" s="269" t="str" cm="1">
        <f t="array" aca="1" ref="CL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0" s="270" t="str" cm="1">
        <f t="array" aca="1" ref="CM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20" s="270"/>
      <c r="CO20" s="270" t="str" cm="1">
        <f t="array" aca="1" ref="CO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20" s="271" t="str" cm="1">
        <f t="array" aca="1" ref="CP20" ca="1">_xlfn.LET(
_xlpm.lbl,IFERROR(LOOKUP(2,1/(ISNUMBER(SEARCH(". sem",LOWER($C$1:INDEX($C:$C,ROW()+1))))),$C$1:INDEX($C:$C,ROW()+1)),""),
_xlpm.sem,IFERROR(VALUE(LEFT(_xlpm.lbl,FIND(".",_xlpm.lbl)-1)),""),
_xlpm.slot,IFERROR(MATCH($D20,$D$7:$D$14,0),""),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21" spans="1:94" x14ac:dyDescent="0.2">
      <c r="A21" s="280"/>
      <c r="B21" s="280"/>
      <c r="C21" s="285"/>
      <c r="D21" s="277" t="s">
        <v>21</v>
      </c>
      <c r="E21" s="269" t="str" cm="1">
        <f t="array" aca="1" ref="E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1" s="270" t="str" cm="1">
        <f t="array" aca="1" ref="F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21" s="272"/>
      <c r="H21" s="270" t="str" cm="1">
        <f t="array" aca="1" ref="H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21" s="271" t="str" cm="1">
        <f t="array" aca="1" ref="I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21" s="269" t="str" cm="1">
        <f t="array" aca="1" ref="J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1" s="270" t="str" cm="1">
        <f t="array" aca="1" ref="K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21" s="272"/>
      <c r="M21" s="270" t="str" cm="1">
        <f t="array" aca="1" ref="M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21" s="271" t="str" cm="1">
        <f t="array" aca="1" ref="N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21" s="269" t="str" cm="1">
        <f t="array" aca="1" ref="O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1" s="270" t="str" cm="1">
        <f t="array" aca="1" ref="P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21" s="272"/>
      <c r="R21" s="270" t="str" cm="1">
        <f t="array" aca="1" ref="R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21" s="271" t="str" cm="1">
        <f t="array" aca="1" ref="S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21" s="269" t="str" cm="1">
        <f t="array" aca="1" ref="T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1" s="270" t="str" cm="1">
        <f t="array" aca="1" ref="U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21" s="272"/>
      <c r="W21" s="270" t="str" cm="1">
        <f t="array" aca="1" ref="W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21" s="271" t="str" cm="1">
        <f t="array" aca="1" ref="X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21" s="269" t="str" cm="1">
        <f t="array" aca="1" ref="Y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1" s="270" t="str" cm="1">
        <f t="array" aca="1" ref="Z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21" s="272"/>
      <c r="AB21" s="270" t="str" cm="1">
        <f t="array" aca="1" ref="AB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21" s="271" t="str" cm="1">
        <f t="array" aca="1" ref="AC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21" s="269" t="str" cm="1">
        <f t="array" aca="1" ref="AD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1" s="270" t="str" cm="1">
        <f t="array" aca="1" ref="AE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21" s="272"/>
      <c r="AG21" s="270" t="str" cm="1">
        <f t="array" aca="1" ref="AG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21" s="271" t="str" cm="1">
        <f t="array" aca="1" ref="AH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21" s="269" t="str" cm="1">
        <f t="array" aca="1" ref="AI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1" s="270" t="str" cm="1">
        <f t="array" aca="1" ref="AJ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21" s="272"/>
      <c r="AL21" s="270" t="str" cm="1">
        <f t="array" aca="1" ref="AL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21" s="271" t="str" cm="1">
        <f t="array" aca="1" ref="AM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21" s="269" t="str" cm="1">
        <f t="array" aca="1" ref="AN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1" s="270" t="str" cm="1">
        <f t="array" aca="1" ref="AO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21" s="272"/>
      <c r="AQ21" s="270" t="str" cm="1">
        <f t="array" aca="1" ref="AQ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21" s="271" t="str" cm="1">
        <f t="array" aca="1" ref="AR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21" s="269" t="str" cm="1">
        <f t="array" aca="1" ref="AS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1" s="270" t="str" cm="1">
        <f t="array" aca="1" ref="AT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21" s="272"/>
      <c r="AV21" s="270" t="str" cm="1">
        <f t="array" aca="1" ref="AV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21" s="271" t="str" cm="1">
        <f t="array" aca="1" ref="AW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21" s="269" t="str" cm="1">
        <f t="array" aca="1" ref="AX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1" s="270" t="str" cm="1">
        <f t="array" aca="1" ref="AY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21" s="272"/>
      <c r="BA21" s="270" t="str" cm="1">
        <f t="array" aca="1" ref="BA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21" s="271" t="str" cm="1">
        <f t="array" aca="1" ref="BB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21" s="269" t="str" cm="1">
        <f t="array" aca="1" ref="BC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1" s="270" t="str" cm="1">
        <f t="array" aca="1" ref="BD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21" s="272"/>
      <c r="BF21" s="270" t="str" cm="1">
        <f t="array" aca="1" ref="BF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21" s="271" t="str" cm="1">
        <f t="array" aca="1" ref="BG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21" s="269" t="str" cm="1">
        <f t="array" aca="1" ref="BH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1" s="270" t="str" cm="1">
        <f t="array" aca="1" ref="BI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21" s="272"/>
      <c r="BK21" s="270" t="str" cm="1">
        <f t="array" aca="1" ref="BK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21" s="271" t="str" cm="1">
        <f t="array" aca="1" ref="BL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21" s="269" t="str" cm="1">
        <f t="array" aca="1" ref="BM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1" s="270" t="str" cm="1">
        <f t="array" aca="1" ref="BN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21" s="272"/>
      <c r="BP21" s="270" t="str" cm="1">
        <f t="array" aca="1" ref="BP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21" s="271" t="str" cm="1">
        <f t="array" aca="1" ref="BQ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21" s="269" t="str" cm="1">
        <f t="array" aca="1" ref="BR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1" s="270" t="str" cm="1">
        <f t="array" aca="1" ref="BS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21" s="272"/>
      <c r="BU21" s="270" t="str" cm="1">
        <f t="array" aca="1" ref="BU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21" s="271" t="str" cm="1">
        <f t="array" aca="1" ref="BV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21" s="269" t="str" cm="1">
        <f t="array" aca="1" ref="BW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1" s="270" t="str" cm="1">
        <f t="array" aca="1" ref="BX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21" s="272"/>
      <c r="BZ21" s="270" t="str" cm="1">
        <f t="array" aca="1" ref="BZ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21" s="271" t="str" cm="1">
        <f t="array" aca="1" ref="CA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21" s="269" t="str" cm="1">
        <f t="array" aca="1" ref="CB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1" s="270" t="str" cm="1">
        <f t="array" aca="1" ref="CC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21" s="272"/>
      <c r="CE21" s="270" t="str" cm="1">
        <f t="array" aca="1" ref="CE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21" s="271" t="str" cm="1">
        <f t="array" aca="1" ref="CF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21" s="269" t="str" cm="1">
        <f t="array" aca="1" ref="CG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1" s="270" t="str" cm="1">
        <f t="array" aca="1" ref="CH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21" s="272"/>
      <c r="CJ21" s="270" t="str" cm="1">
        <f t="array" aca="1" ref="CJ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21" s="271" t="str" cm="1">
        <f t="array" aca="1" ref="CK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21" s="269" t="str" cm="1">
        <f t="array" aca="1" ref="CL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1" s="270" t="str" cm="1">
        <f t="array" aca="1" ref="CM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21" s="272"/>
      <c r="CO21" s="270" t="str" cm="1">
        <f t="array" aca="1" ref="CO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21" s="271" t="str" cm="1">
        <f t="array" aca="1" ref="CP21" ca="1">_xlfn.LET(
_xlpm.lbl,IFERROR(LOOKUP(2,1/(ISNUMBER(SEARCH(". sem",LOWER($C$1:INDEX($C:$C,ROW()+1))))),$C$1:INDEX($C:$C,ROW()+1)),""),
_xlpm.sem,IFERROR(VALUE(LEFT(_xlpm.lbl,FIND(".",_xlpm.lbl)-1)),""),
_xlpm.slot,IFERROR(MATCH($D21,$D$7:$D$14,0),""),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22" spans="1:94" x14ac:dyDescent="0.2">
      <c r="A22" s="280"/>
      <c r="B22" s="280"/>
      <c r="C22" s="285"/>
      <c r="D22" s="277" t="s">
        <v>22</v>
      </c>
      <c r="E22" s="269" t="str" cm="1">
        <f t="array" aca="1" ref="E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2" s="270" t="str" cm="1">
        <f t="array" aca="1" ref="F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22" s="272"/>
      <c r="H22" s="270" t="str" cm="1">
        <f t="array" aca="1" ref="H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22" s="271" t="str" cm="1">
        <f t="array" aca="1" ref="I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22" s="269" t="str" cm="1">
        <f t="array" aca="1" ref="J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2" s="270" t="str" cm="1">
        <f t="array" aca="1" ref="K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22" s="272"/>
      <c r="M22" s="270" t="str" cm="1">
        <f t="array" aca="1" ref="M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22" s="271" t="str" cm="1">
        <f t="array" aca="1" ref="N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22" s="269" t="str" cm="1">
        <f t="array" aca="1" ref="O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2" s="270" t="str" cm="1">
        <f t="array" aca="1" ref="P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22" s="272"/>
      <c r="R22" s="270" t="str" cm="1">
        <f t="array" aca="1" ref="R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22" s="271" t="str" cm="1">
        <f t="array" aca="1" ref="S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22" s="269" t="str" cm="1">
        <f t="array" aca="1" ref="T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2" s="270" t="str" cm="1">
        <f t="array" aca="1" ref="U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22" s="272"/>
      <c r="W22" s="270" t="str" cm="1">
        <f t="array" aca="1" ref="W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22" s="271" t="str" cm="1">
        <f t="array" aca="1" ref="X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22" s="269" t="str" cm="1">
        <f t="array" aca="1" ref="Y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2" s="270" t="str" cm="1">
        <f t="array" aca="1" ref="Z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22" s="272"/>
      <c r="AB22" s="270" t="str" cm="1">
        <f t="array" aca="1" ref="AB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22" s="271" t="str" cm="1">
        <f t="array" aca="1" ref="AC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22" s="269" t="str" cm="1">
        <f t="array" aca="1" ref="AD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2" s="270" t="str" cm="1">
        <f t="array" aca="1" ref="AE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22" s="272"/>
      <c r="AG22" s="270" t="str" cm="1">
        <f t="array" aca="1" ref="AG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22" s="271" t="str" cm="1">
        <f t="array" aca="1" ref="AH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22" s="269" t="str" cm="1">
        <f t="array" aca="1" ref="AI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2" s="270" t="str" cm="1">
        <f t="array" aca="1" ref="AJ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22" s="272"/>
      <c r="AL22" s="270" t="str" cm="1">
        <f t="array" aca="1" ref="AL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22" s="271" t="str" cm="1">
        <f t="array" aca="1" ref="AM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22" s="269" t="str" cm="1">
        <f t="array" aca="1" ref="AN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2" s="270" t="str" cm="1">
        <f t="array" aca="1" ref="AO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22" s="272"/>
      <c r="AQ22" s="270" t="str" cm="1">
        <f t="array" aca="1" ref="AQ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22" s="271" t="str" cm="1">
        <f t="array" aca="1" ref="AR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22" s="269" t="str" cm="1">
        <f t="array" aca="1" ref="AS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2" s="270" t="str" cm="1">
        <f t="array" aca="1" ref="AT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22" s="272"/>
      <c r="AV22" s="270" t="str" cm="1">
        <f t="array" aca="1" ref="AV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22" s="271" t="str" cm="1">
        <f t="array" aca="1" ref="AW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22" s="269" t="str" cm="1">
        <f t="array" aca="1" ref="AX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2" s="270" t="str" cm="1">
        <f t="array" aca="1" ref="AY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22" s="272"/>
      <c r="BA22" s="270" t="str" cm="1">
        <f t="array" aca="1" ref="BA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22" s="271" t="str" cm="1">
        <f t="array" aca="1" ref="BB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22" s="269" t="str" cm="1">
        <f t="array" aca="1" ref="BC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2" s="270" t="str" cm="1">
        <f t="array" aca="1" ref="BD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22" s="272"/>
      <c r="BF22" s="270" t="str" cm="1">
        <f t="array" aca="1" ref="BF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22" s="271" t="str" cm="1">
        <f t="array" aca="1" ref="BG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22" s="269" t="str" cm="1">
        <f t="array" aca="1" ref="BH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2" s="270" t="str" cm="1">
        <f t="array" aca="1" ref="BI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22" s="272"/>
      <c r="BK22" s="270" t="str" cm="1">
        <f t="array" aca="1" ref="BK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22" s="271" t="str" cm="1">
        <f t="array" aca="1" ref="BL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22" s="269" t="str" cm="1">
        <f t="array" aca="1" ref="BM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2" s="270" t="str" cm="1">
        <f t="array" aca="1" ref="BN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22" s="272"/>
      <c r="BP22" s="270" t="str" cm="1">
        <f t="array" aca="1" ref="BP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22" s="271" t="str" cm="1">
        <f t="array" aca="1" ref="BQ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22" s="269" t="str" cm="1">
        <f t="array" aca="1" ref="BR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2" s="270" t="str" cm="1">
        <f t="array" aca="1" ref="BS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22" s="272"/>
      <c r="BU22" s="270" t="str" cm="1">
        <f t="array" aca="1" ref="BU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22" s="271" t="str" cm="1">
        <f t="array" aca="1" ref="BV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22" s="269" t="str" cm="1">
        <f t="array" aca="1" ref="BW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2" s="270" t="str" cm="1">
        <f t="array" aca="1" ref="BX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22" s="272"/>
      <c r="BZ22" s="270" t="str" cm="1">
        <f t="array" aca="1" ref="BZ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22" s="271" t="str" cm="1">
        <f t="array" aca="1" ref="CA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22" s="269" t="str" cm="1">
        <f t="array" aca="1" ref="CB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2" s="270" t="str" cm="1">
        <f t="array" aca="1" ref="CC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22" s="272"/>
      <c r="CE22" s="270" t="str" cm="1">
        <f t="array" aca="1" ref="CE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22" s="271" t="str" cm="1">
        <f t="array" aca="1" ref="CF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22" s="269" t="str" cm="1">
        <f t="array" aca="1" ref="CG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2" s="270" t="str" cm="1">
        <f t="array" aca="1" ref="CH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22" s="272"/>
      <c r="CJ22" s="270" t="str" cm="1">
        <f t="array" aca="1" ref="CJ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22" s="271" t="str" cm="1">
        <f t="array" aca="1" ref="CK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22" s="269" t="str" cm="1">
        <f t="array" aca="1" ref="CL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2" s="270" t="str" cm="1">
        <f t="array" aca="1" ref="CM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22" s="272"/>
      <c r="CO22" s="270" t="str" cm="1">
        <f t="array" aca="1" ref="CO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22" s="271" t="str" cm="1">
        <f t="array" aca="1" ref="CP22" ca="1">_xlfn.LET(
_xlpm.lbl,IFERROR(LOOKUP(2,1/(ISNUMBER(SEARCH(". sem",LOWER($C$1:INDEX($C:$C,ROW()+1))))),$C$1:INDEX($C:$C,ROW()+1)),""),
_xlpm.sem,IFERROR(VALUE(LEFT(_xlpm.lbl,FIND(".",_xlpm.lbl)-1)),""),
_xlpm.slot,IFERROR(MATCH($D22,$D$7:$D$14,0),""),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23" spans="1:94" ht="16" thickBot="1" x14ac:dyDescent="0.25">
      <c r="A23" s="280"/>
      <c r="B23" s="280"/>
      <c r="C23" s="279"/>
      <c r="D23" s="265" t="s">
        <v>23</v>
      </c>
      <c r="E23" s="273" t="str" cm="1">
        <f t="array" aca="1" ref="E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3" s="274" t="str" cm="1">
        <f t="array" aca="1" ref="F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23" s="275"/>
      <c r="H23" s="274" t="str" cm="1">
        <f t="array" aca="1" ref="H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23" s="276" t="str" cm="1">
        <f t="array" aca="1" ref="I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23" s="273" t="str" cm="1">
        <f t="array" aca="1" ref="J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3" s="274" t="str" cm="1">
        <f t="array" aca="1" ref="K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23" s="275"/>
      <c r="M23" s="274" t="str" cm="1">
        <f t="array" aca="1" ref="M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23" s="276" t="str" cm="1">
        <f t="array" aca="1" ref="N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23" s="273" t="str" cm="1">
        <f t="array" aca="1" ref="O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3" s="274" t="str" cm="1">
        <f t="array" aca="1" ref="P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23" s="275"/>
      <c r="R23" s="274" t="str" cm="1">
        <f t="array" aca="1" ref="R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23" s="276" t="str" cm="1">
        <f t="array" aca="1" ref="S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23" s="273" t="str" cm="1">
        <f t="array" aca="1" ref="T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3" s="274" t="str" cm="1">
        <f t="array" aca="1" ref="U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23" s="275"/>
      <c r="W23" s="274" t="str" cm="1">
        <f t="array" aca="1" ref="W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23" s="276" t="str" cm="1">
        <f t="array" aca="1" ref="X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23" s="273" t="str" cm="1">
        <f t="array" aca="1" ref="Y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3" s="274" t="str" cm="1">
        <f t="array" aca="1" ref="Z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23" s="275"/>
      <c r="AB23" s="274" t="str" cm="1">
        <f t="array" aca="1" ref="AB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23" s="276" t="str" cm="1">
        <f t="array" aca="1" ref="AC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23" s="273" t="str" cm="1">
        <f t="array" aca="1" ref="AD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3" s="274" t="str" cm="1">
        <f t="array" aca="1" ref="AE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23" s="275"/>
      <c r="AG23" s="274" t="str" cm="1">
        <f t="array" aca="1" ref="AG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23" s="276" t="str" cm="1">
        <f t="array" aca="1" ref="AH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23" s="273" t="str" cm="1">
        <f t="array" aca="1" ref="AI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3" s="274" t="str" cm="1">
        <f t="array" aca="1" ref="AJ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23" s="275"/>
      <c r="AL23" s="274" t="str" cm="1">
        <f t="array" aca="1" ref="AL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23" s="276" t="str" cm="1">
        <f t="array" aca="1" ref="AM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23" s="273" t="str" cm="1">
        <f t="array" aca="1" ref="AN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3" s="274" t="str" cm="1">
        <f t="array" aca="1" ref="AO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23" s="275"/>
      <c r="AQ23" s="274" t="str" cm="1">
        <f t="array" aca="1" ref="AQ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23" s="276" t="str" cm="1">
        <f t="array" aca="1" ref="AR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23" s="273" t="str" cm="1">
        <f t="array" aca="1" ref="AS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3" s="274" t="str" cm="1">
        <f t="array" aca="1" ref="AT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23" s="275"/>
      <c r="AV23" s="274" t="str" cm="1">
        <f t="array" aca="1" ref="AV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23" s="276" t="str" cm="1">
        <f t="array" aca="1" ref="AW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23" s="273" t="str" cm="1">
        <f t="array" aca="1" ref="AX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3" s="274" t="str" cm="1">
        <f t="array" aca="1" ref="AY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23" s="275"/>
      <c r="BA23" s="274" t="str" cm="1">
        <f t="array" aca="1" ref="BA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23" s="276" t="str" cm="1">
        <f t="array" aca="1" ref="BB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23" s="273" t="str" cm="1">
        <f t="array" aca="1" ref="BC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3" s="274" t="str" cm="1">
        <f t="array" aca="1" ref="BD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23" s="275"/>
      <c r="BF23" s="274" t="str" cm="1">
        <f t="array" aca="1" ref="BF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23" s="276" t="str" cm="1">
        <f t="array" aca="1" ref="BG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23" s="273" t="str" cm="1">
        <f t="array" aca="1" ref="BH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3" s="274" t="str" cm="1">
        <f t="array" aca="1" ref="BI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23" s="275"/>
      <c r="BK23" s="274" t="str" cm="1">
        <f t="array" aca="1" ref="BK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23" s="276" t="str" cm="1">
        <f t="array" aca="1" ref="BL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23" s="273" t="str" cm="1">
        <f t="array" aca="1" ref="BM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3" s="274" t="str" cm="1">
        <f t="array" aca="1" ref="BN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23" s="275"/>
      <c r="BP23" s="274" t="str" cm="1">
        <f t="array" aca="1" ref="BP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23" s="276" t="str" cm="1">
        <f t="array" aca="1" ref="BQ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23" s="273" t="str" cm="1">
        <f t="array" aca="1" ref="BR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3" s="274" t="str" cm="1">
        <f t="array" aca="1" ref="BS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23" s="275"/>
      <c r="BU23" s="274" t="str" cm="1">
        <f t="array" aca="1" ref="BU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23" s="276" t="str" cm="1">
        <f t="array" aca="1" ref="BV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23" s="273" t="str" cm="1">
        <f t="array" aca="1" ref="BW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3" s="274" t="str" cm="1">
        <f t="array" aca="1" ref="BX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23" s="275"/>
      <c r="BZ23" s="274" t="str" cm="1">
        <f t="array" aca="1" ref="BZ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23" s="276" t="str" cm="1">
        <f t="array" aca="1" ref="CA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23" s="273" t="str" cm="1">
        <f t="array" aca="1" ref="CB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3" s="274" t="str" cm="1">
        <f t="array" aca="1" ref="CC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23" s="275"/>
      <c r="CE23" s="274" t="str" cm="1">
        <f t="array" aca="1" ref="CE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23" s="276" t="str" cm="1">
        <f t="array" aca="1" ref="CF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23" s="273" t="str" cm="1">
        <f t="array" aca="1" ref="CG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3" s="274" t="str" cm="1">
        <f t="array" aca="1" ref="CH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23" s="275"/>
      <c r="CJ23" s="274" t="str" cm="1">
        <f t="array" aca="1" ref="CJ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23" s="276" t="str" cm="1">
        <f t="array" aca="1" ref="CK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23" s="273" t="str" cm="1">
        <f t="array" aca="1" ref="CL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3" s="274" t="str" cm="1">
        <f t="array" aca="1" ref="CM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23" s="275"/>
      <c r="CO23" s="274" t="str" cm="1">
        <f t="array" aca="1" ref="CO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23" s="276" t="str" cm="1">
        <f t="array" aca="1" ref="CP23" ca="1">_xlfn.LET(
_xlpm.lbl,IFERROR(LOOKUP(2,1/(ISNUMBER(SEARCH(". sem",LOWER($C$1:INDEX($C:$C,ROW()+1))))),$C$1:INDEX($C:$C,ROW()+1)),""),
_xlpm.sem,IFERROR(VALUE(LEFT(_xlpm.lbl,FIND(".",_xlpm.lbl)-1)),""),
_xlpm.slot,IFERROR(MATCH($D23,$D$7:$D$14,0),""),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24" spans="1:94" s="280" customFormat="1" ht="16" thickBot="1" x14ac:dyDescent="0.25">
      <c r="C24" s="279"/>
      <c r="D24" s="282"/>
    </row>
    <row r="25" spans="1:94" x14ac:dyDescent="0.2">
      <c r="A25" s="280"/>
      <c r="B25" s="280"/>
      <c r="C25" s="279" t="str">
        <f>Data!G51</f>
        <v>???</v>
      </c>
      <c r="D25" s="263" t="s">
        <v>7</v>
      </c>
      <c r="E25" s="266" t="str" cm="1">
        <f t="array" aca="1" ref="E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5" s="267" t="str" cm="1">
        <f t="array" aca="1" ref="F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25" s="267" t="str" cm="1">
        <f t="array" aca="1" ref="G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25" s="267" t="str" cm="1">
        <f t="array" aca="1" ref="H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25" s="268" t="str" cm="1">
        <f t="array" aca="1" ref="I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25" s="266" t="str" cm="1">
        <f t="array" aca="1" ref="J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5" s="267" t="str" cm="1">
        <f t="array" aca="1" ref="K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25" s="267" t="str" cm="1">
        <f t="array" aca="1" ref="L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25" s="267" t="str" cm="1">
        <f t="array" aca="1" ref="M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25" s="268" t="str" cm="1">
        <f t="array" aca="1" ref="N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25" s="266" t="str" cm="1">
        <f t="array" aca="1" ref="O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5" s="267" t="str" cm="1">
        <f t="array" aca="1" ref="P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25" s="267" t="str" cm="1">
        <f t="array" aca="1" ref="Q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25" s="267" t="str" cm="1">
        <f t="array" aca="1" ref="R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25" s="268" t="str" cm="1">
        <f t="array" aca="1" ref="S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25" s="266" t="str" cm="1">
        <f t="array" aca="1" ref="T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5" s="267" t="str" cm="1">
        <f t="array" aca="1" ref="U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25" s="267" t="str" cm="1">
        <f t="array" aca="1" ref="V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25" s="267" t="str" cm="1">
        <f t="array" aca="1" ref="W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25" s="268" t="str" cm="1">
        <f t="array" aca="1" ref="X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25" s="266" t="str" cm="1">
        <f t="array" aca="1" ref="Y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5" s="267" t="str" cm="1">
        <f t="array" aca="1" ref="Z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25" s="267" t="str" cm="1">
        <f t="array" aca="1" ref="AA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25" s="267" t="str" cm="1">
        <f t="array" aca="1" ref="AB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25" s="268" t="str" cm="1">
        <f t="array" aca="1" ref="AC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25" s="266" t="str" cm="1">
        <f t="array" aca="1" ref="AD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5" s="267" t="str" cm="1">
        <f t="array" aca="1" ref="AE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25" s="267" t="str" cm="1">
        <f t="array" aca="1" ref="AF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25" s="267" t="str" cm="1">
        <f t="array" aca="1" ref="AG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25" s="268" t="str" cm="1">
        <f t="array" aca="1" ref="AH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25" s="266" t="str" cm="1">
        <f t="array" aca="1" ref="AI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5" s="267" t="str" cm="1">
        <f t="array" aca="1" ref="AJ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25" s="267" t="str" cm="1">
        <f t="array" aca="1" ref="AK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25" s="267" t="str" cm="1">
        <f t="array" aca="1" ref="AL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25" s="268" t="str" cm="1">
        <f t="array" aca="1" ref="AM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25" s="266" t="str" cm="1">
        <f t="array" aca="1" ref="AN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5" s="267" t="str" cm="1">
        <f t="array" aca="1" ref="AO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25" s="267" t="str" cm="1">
        <f t="array" aca="1" ref="AP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25" s="267" t="str" cm="1">
        <f t="array" aca="1" ref="AQ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25" s="268" t="str" cm="1">
        <f t="array" aca="1" ref="AR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25" s="266" t="str" cm="1">
        <f t="array" aca="1" ref="AS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5" s="267" t="str" cm="1">
        <f t="array" aca="1" ref="AT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25" s="267" t="str" cm="1">
        <f t="array" aca="1" ref="AU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25" s="267" t="str" cm="1">
        <f t="array" aca="1" ref="AV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25" s="268" t="str" cm="1">
        <f t="array" aca="1" ref="AW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25" s="266" t="str" cm="1">
        <f t="array" aca="1" ref="AX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5" s="267" t="str" cm="1">
        <f t="array" aca="1" ref="AY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25" s="267" t="str" cm="1">
        <f t="array" aca="1" ref="AZ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25" s="267" t="str" cm="1">
        <f t="array" aca="1" ref="BA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25" s="268" t="str" cm="1">
        <f t="array" aca="1" ref="BB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25" s="266" t="str" cm="1">
        <f t="array" aca="1" ref="BC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5" s="267" t="str" cm="1">
        <f t="array" aca="1" ref="BD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25" s="267" t="str" cm="1">
        <f t="array" aca="1" ref="BE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25" s="267" t="str" cm="1">
        <f t="array" aca="1" ref="BF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25" s="268" t="str" cm="1">
        <f t="array" aca="1" ref="BG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25" s="266" t="str" cm="1">
        <f t="array" aca="1" ref="BH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5" s="267" t="str" cm="1">
        <f t="array" aca="1" ref="BI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25" s="267" t="str" cm="1">
        <f t="array" aca="1" ref="BJ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25" s="267" t="str" cm="1">
        <f t="array" aca="1" ref="BK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25" s="268" t="str" cm="1">
        <f t="array" aca="1" ref="BL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25" s="266" t="str" cm="1">
        <f t="array" aca="1" ref="BM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5" s="267" t="str" cm="1">
        <f t="array" aca="1" ref="BN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25" s="267" t="str" cm="1">
        <f t="array" aca="1" ref="BO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25" s="267" t="str" cm="1">
        <f t="array" aca="1" ref="BP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25" s="268" t="str" cm="1">
        <f t="array" aca="1" ref="BQ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25" s="266" t="str" cm="1">
        <f t="array" aca="1" ref="BR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5" s="267" t="str" cm="1">
        <f t="array" aca="1" ref="BS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25" s="267" t="str" cm="1">
        <f t="array" aca="1" ref="BT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25" s="267" t="str" cm="1">
        <f t="array" aca="1" ref="BU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25" s="268" t="str" cm="1">
        <f t="array" aca="1" ref="BV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25" s="266" t="str" cm="1">
        <f t="array" aca="1" ref="BW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5" s="267" t="str" cm="1">
        <f t="array" aca="1" ref="BX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25" s="267" t="str" cm="1">
        <f t="array" aca="1" ref="BY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25" s="267" t="str" cm="1">
        <f t="array" aca="1" ref="BZ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25" s="268" t="str" cm="1">
        <f t="array" aca="1" ref="CA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25" s="266" t="str" cm="1">
        <f t="array" aca="1" ref="CB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5" s="267" t="str" cm="1">
        <f t="array" aca="1" ref="CC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25" s="267" t="str" cm="1">
        <f t="array" aca="1" ref="CD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25" s="267" t="str" cm="1">
        <f t="array" aca="1" ref="CE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25" s="268" t="str" cm="1">
        <f t="array" aca="1" ref="CF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25" s="266" t="str" cm="1">
        <f t="array" aca="1" ref="CG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5" s="267" t="str" cm="1">
        <f t="array" aca="1" ref="CH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25" s="267" t="str" cm="1">
        <f t="array" aca="1" ref="CI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25" s="267" t="str" cm="1">
        <f t="array" aca="1" ref="CJ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25" s="268" t="str" cm="1">
        <f t="array" aca="1" ref="CK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25" s="266" t="str" cm="1">
        <f t="array" aca="1" ref="CL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5" s="267" t="str" cm="1">
        <f t="array" aca="1" ref="CM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25" s="267" t="str" cm="1">
        <f t="array" aca="1" ref="CN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25" s="267" t="str" cm="1">
        <f t="array" aca="1" ref="CO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25" s="268" t="str" cm="1">
        <f t="array" aca="1" ref="CP25" ca="1">_xlfn.LET(
_xlpm.lbl,IFERROR(LOOKUP(2,1/(ISNUMBER(SEARCH(". sem",LOWER($C$1:INDEX($C:$C,ROW()+1))))),$C$1:INDEX($C:$C,ROW()+1)),""),
_xlpm.sem,IFERROR(VALUE(LEFT(_xlpm.lbl,FIND(".",_xlpm.lbl)-1)),""),
_xlpm.slot,IFERROR(MATCH($D25,$D$7:$D$14,0),""),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26" spans="1:94" x14ac:dyDescent="0.2">
      <c r="A26" s="280"/>
      <c r="B26" s="280"/>
      <c r="C26" s="280" t="s">
        <v>338</v>
      </c>
      <c r="D26" s="278" t="s">
        <v>15</v>
      </c>
      <c r="E26" s="269" t="str" cm="1">
        <f t="array" aca="1" ref="E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6" s="270" t="str" cm="1">
        <f t="array" aca="1" ref="F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26" s="270" t="str" cm="1">
        <f t="array" aca="1" ref="G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26" s="270" t="str" cm="1">
        <f t="array" aca="1" ref="H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26" s="271" t="str" cm="1">
        <f t="array" aca="1" ref="I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26" s="269" t="str" cm="1">
        <f t="array" aca="1" ref="J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6" s="270" t="str" cm="1">
        <f t="array" aca="1" ref="K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26" s="270" t="str" cm="1">
        <f t="array" aca="1" ref="L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26" s="270" t="str" cm="1">
        <f t="array" aca="1" ref="M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26" s="271" t="str" cm="1">
        <f t="array" aca="1" ref="N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26" s="269" t="str" cm="1">
        <f t="array" aca="1" ref="O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6" s="270" t="str" cm="1">
        <f t="array" aca="1" ref="P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26" s="270" t="str" cm="1">
        <f t="array" aca="1" ref="Q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26" s="270" t="str" cm="1">
        <f t="array" aca="1" ref="R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26" s="271" t="str" cm="1">
        <f t="array" aca="1" ref="S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26" s="269" t="str" cm="1">
        <f t="array" aca="1" ref="T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6" s="270" t="str" cm="1">
        <f t="array" aca="1" ref="U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26" s="270" t="str" cm="1">
        <f t="array" aca="1" ref="V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26" s="270" t="str" cm="1">
        <f t="array" aca="1" ref="W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26" s="271" t="str" cm="1">
        <f t="array" aca="1" ref="X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26" s="269" t="str" cm="1">
        <f t="array" aca="1" ref="Y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6" s="270" t="str" cm="1">
        <f t="array" aca="1" ref="Z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26" s="270" t="str" cm="1">
        <f t="array" aca="1" ref="AA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26" s="270" t="str" cm="1">
        <f t="array" aca="1" ref="AB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26" s="271" t="str" cm="1">
        <f t="array" aca="1" ref="AC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26" s="269" t="str" cm="1">
        <f t="array" aca="1" ref="AD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6" s="270" t="str" cm="1">
        <f t="array" aca="1" ref="AE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26" s="270" t="str" cm="1">
        <f t="array" aca="1" ref="AF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26" s="270" t="str" cm="1">
        <f t="array" aca="1" ref="AG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26" s="271" t="str" cm="1">
        <f t="array" aca="1" ref="AH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26" s="269" t="str" cm="1">
        <f t="array" aca="1" ref="AI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6" s="270" t="str" cm="1">
        <f t="array" aca="1" ref="AJ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26" s="270" t="str" cm="1">
        <f t="array" aca="1" ref="AK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26" s="270" t="str" cm="1">
        <f t="array" aca="1" ref="AL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26" s="271" t="str" cm="1">
        <f t="array" aca="1" ref="AM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26" s="269" t="str" cm="1">
        <f t="array" aca="1" ref="AN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6" s="270" t="str" cm="1">
        <f t="array" aca="1" ref="AO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26" s="270" t="str" cm="1">
        <f t="array" aca="1" ref="AP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26" s="270" t="str" cm="1">
        <f t="array" aca="1" ref="AQ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26" s="271" t="str" cm="1">
        <f t="array" aca="1" ref="AR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26" s="269" t="str" cm="1">
        <f t="array" aca="1" ref="AS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6" s="270" t="str" cm="1">
        <f t="array" aca="1" ref="AT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26" s="270" t="str" cm="1">
        <f t="array" aca="1" ref="AU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26" s="270" t="str" cm="1">
        <f t="array" aca="1" ref="AV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26" s="271" t="str" cm="1">
        <f t="array" aca="1" ref="AW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26" s="269" t="str" cm="1">
        <f t="array" aca="1" ref="AX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6" s="270" t="str" cm="1">
        <f t="array" aca="1" ref="AY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26" s="270" t="str" cm="1">
        <f t="array" aca="1" ref="AZ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26" s="270" t="str" cm="1">
        <f t="array" aca="1" ref="BA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26" s="271" t="str" cm="1">
        <f t="array" aca="1" ref="BB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26" s="269" t="str" cm="1">
        <f t="array" aca="1" ref="BC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6" s="270" t="str" cm="1">
        <f t="array" aca="1" ref="BD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26" s="270" t="str" cm="1">
        <f t="array" aca="1" ref="BE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26" s="270" t="str" cm="1">
        <f t="array" aca="1" ref="BF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26" s="271" t="str" cm="1">
        <f t="array" aca="1" ref="BG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26" s="269" t="str" cm="1">
        <f t="array" aca="1" ref="BH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6" s="270" t="str" cm="1">
        <f t="array" aca="1" ref="BI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26" s="270" t="str" cm="1">
        <f t="array" aca="1" ref="BJ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26" s="270" t="str" cm="1">
        <f t="array" aca="1" ref="BK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26" s="271" t="str" cm="1">
        <f t="array" aca="1" ref="BL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26" s="269" t="str" cm="1">
        <f t="array" aca="1" ref="BM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6" s="270" t="str" cm="1">
        <f t="array" aca="1" ref="BN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26" s="270" t="str" cm="1">
        <f t="array" aca="1" ref="BO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26" s="270" t="str" cm="1">
        <f t="array" aca="1" ref="BP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26" s="271" t="str" cm="1">
        <f t="array" aca="1" ref="BQ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26" s="269" t="str" cm="1">
        <f t="array" aca="1" ref="BR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6" s="270" t="str" cm="1">
        <f t="array" aca="1" ref="BS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26" s="270" t="str" cm="1">
        <f t="array" aca="1" ref="BT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26" s="270" t="str" cm="1">
        <f t="array" aca="1" ref="BU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26" s="271" t="str" cm="1">
        <f t="array" aca="1" ref="BV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26" s="269" t="str" cm="1">
        <f t="array" aca="1" ref="BW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6" s="270" t="str" cm="1">
        <f t="array" aca="1" ref="BX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26" s="270" t="str" cm="1">
        <f t="array" aca="1" ref="BY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26" s="270" t="str" cm="1">
        <f t="array" aca="1" ref="BZ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26" s="271" t="str" cm="1">
        <f t="array" aca="1" ref="CA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26" s="269" t="str" cm="1">
        <f t="array" aca="1" ref="CB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6" s="270" t="str" cm="1">
        <f t="array" aca="1" ref="CC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26" s="270" t="str" cm="1">
        <f t="array" aca="1" ref="CD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26" s="270" t="str" cm="1">
        <f t="array" aca="1" ref="CE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26" s="271" t="str" cm="1">
        <f t="array" aca="1" ref="CF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26" s="269" t="str" cm="1">
        <f t="array" aca="1" ref="CG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6" s="270" t="str" cm="1">
        <f t="array" aca="1" ref="CH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26" s="270" t="str" cm="1">
        <f t="array" aca="1" ref="CI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26" s="270" t="str" cm="1">
        <f t="array" aca="1" ref="CJ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26" s="271" t="str" cm="1">
        <f t="array" aca="1" ref="CK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26" s="269" t="str" cm="1">
        <f t="array" aca="1" ref="CL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6" s="270" t="str" cm="1">
        <f t="array" aca="1" ref="CM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26" s="270" t="str" cm="1">
        <f t="array" aca="1" ref="CN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26" s="270" t="str" cm="1">
        <f t="array" aca="1" ref="CO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26" s="271" t="str" cm="1">
        <f t="array" aca="1" ref="CP26" ca="1">_xlfn.LET(
_xlpm.lbl,IFERROR(LOOKUP(2,1/(ISNUMBER(SEARCH(". sem",LOWER($C$1:INDEX($C:$C,ROW()+1))))),$C$1:INDEX($C:$C,ROW()+1)),""),
_xlpm.sem,IFERROR(VALUE(LEFT(_xlpm.lbl,FIND(".",_xlpm.lbl)-1)),""),
_xlpm.slot,IFERROR(MATCH($D26,$D$7:$D$14,0),""),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27" spans="1:94" x14ac:dyDescent="0.2">
      <c r="A27" s="280"/>
      <c r="B27" s="280"/>
      <c r="C27" s="279"/>
      <c r="D27" s="278" t="s">
        <v>16</v>
      </c>
      <c r="E27" s="269" t="str" cm="1">
        <f t="array" aca="1" ref="E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7" s="270"/>
      <c r="G27" s="270"/>
      <c r="H27" s="270"/>
      <c r="I27" s="271"/>
      <c r="J27" s="269" t="str" cm="1">
        <f t="array" aca="1" ref="J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7" s="270"/>
      <c r="L27" s="270"/>
      <c r="M27" s="270"/>
      <c r="N27" s="271"/>
      <c r="O27" s="269" t="str" cm="1">
        <f t="array" aca="1" ref="O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7" s="270"/>
      <c r="Q27" s="270"/>
      <c r="R27" s="270"/>
      <c r="S27" s="271"/>
      <c r="T27" s="269" t="str" cm="1">
        <f t="array" aca="1" ref="T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7" s="270"/>
      <c r="V27" s="270"/>
      <c r="W27" s="270"/>
      <c r="X27" s="271"/>
      <c r="Y27" s="269" t="str" cm="1">
        <f t="array" aca="1" ref="Y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7" s="270"/>
      <c r="AA27" s="270"/>
      <c r="AB27" s="270"/>
      <c r="AC27" s="271"/>
      <c r="AD27" s="269" t="str" cm="1">
        <f t="array" aca="1" ref="AD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7" s="270"/>
      <c r="AF27" s="270"/>
      <c r="AG27" s="270"/>
      <c r="AH27" s="271"/>
      <c r="AI27" s="269" t="str" cm="1">
        <f t="array" aca="1" ref="AI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7" s="270"/>
      <c r="AK27" s="270"/>
      <c r="AL27" s="270"/>
      <c r="AM27" s="271"/>
      <c r="AN27" s="269" t="str" cm="1">
        <f t="array" aca="1" ref="AN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7" s="270"/>
      <c r="AP27" s="270"/>
      <c r="AQ27" s="270"/>
      <c r="AR27" s="271"/>
      <c r="AS27" s="269" t="str" cm="1">
        <f t="array" aca="1" ref="AS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7" s="270"/>
      <c r="AU27" s="270"/>
      <c r="AV27" s="270"/>
      <c r="AW27" s="271"/>
      <c r="AX27" s="269" t="str" cm="1">
        <f t="array" aca="1" ref="AX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7" s="270"/>
      <c r="AZ27" s="270"/>
      <c r="BA27" s="270"/>
      <c r="BB27" s="271"/>
      <c r="BC27" s="269" t="str" cm="1">
        <f t="array" aca="1" ref="BC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7" s="270"/>
      <c r="BE27" s="270"/>
      <c r="BF27" s="270"/>
      <c r="BG27" s="271"/>
      <c r="BH27" s="269" t="str" cm="1">
        <f t="array" aca="1" ref="BH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7" s="270"/>
      <c r="BJ27" s="270"/>
      <c r="BK27" s="270"/>
      <c r="BL27" s="271"/>
      <c r="BM27" s="269" t="str" cm="1">
        <f t="array" aca="1" ref="BM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7" s="270"/>
      <c r="BO27" s="270"/>
      <c r="BP27" s="270"/>
      <c r="BQ27" s="271"/>
      <c r="BR27" s="269" t="str" cm="1">
        <f t="array" aca="1" ref="BR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7" s="270"/>
      <c r="BT27" s="270"/>
      <c r="BU27" s="270"/>
      <c r="BV27" s="271"/>
      <c r="BW27" s="269" t="str" cm="1">
        <f t="array" aca="1" ref="BW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7" s="270"/>
      <c r="BY27" s="270"/>
      <c r="BZ27" s="270"/>
      <c r="CA27" s="271"/>
      <c r="CB27" s="269" t="str" cm="1">
        <f t="array" aca="1" ref="CB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7" s="270"/>
      <c r="CD27" s="270"/>
      <c r="CE27" s="270"/>
      <c r="CF27" s="271"/>
      <c r="CG27" s="269" t="str" cm="1">
        <f t="array" aca="1" ref="CG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7" s="270"/>
      <c r="CI27" s="270"/>
      <c r="CJ27" s="270"/>
      <c r="CK27" s="271"/>
      <c r="CL27" s="269" t="str" cm="1">
        <f t="array" aca="1" ref="CL27" ca="1">_xlfn.LET(
_xlpm.lbl,IFERROR(LOOKUP(2,1/(ISNUMBER(SEARCH(". sem",LOWER($C$1:INDEX($C:$C,ROW()+1))))),$C$1:INDEX($C:$C,ROW()+1)),""),
_xlpm.sem,IFERROR(VALUE(LEFT(_xlpm.lbl,FIND(".",_xlpm.lbl)-1)),""),
_xlpm.slot,IFERROR(MATCH($D27,$D$7:$D$14,0),""),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7" s="270"/>
      <c r="CN27" s="270"/>
      <c r="CO27" s="270"/>
      <c r="CP27" s="271"/>
    </row>
    <row r="28" spans="1:94" x14ac:dyDescent="0.2">
      <c r="A28" s="280"/>
      <c r="B28" s="280"/>
      <c r="C28" s="279"/>
      <c r="D28" s="264" t="s">
        <v>17</v>
      </c>
      <c r="E28" s="269" t="str" cm="1">
        <f t="array" aca="1" ref="E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8" s="270" t="str" cm="1">
        <f t="array" aca="1" ref="F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28" s="270" t="str" cm="1">
        <f t="array" aca="1" ref="G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H28" s="270" t="str" cm="1">
        <f t="array" aca="1" ref="H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28" s="271" t="str" cm="1">
        <f t="array" aca="1" ref="I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28" s="269" t="str" cm="1">
        <f t="array" aca="1" ref="J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8" s="270" t="str" cm="1">
        <f t="array" aca="1" ref="K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28" s="270" t="str" cm="1">
        <f t="array" aca="1" ref="L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M28" s="270" t="str" cm="1">
        <f t="array" aca="1" ref="M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28" s="271" t="str" cm="1">
        <f t="array" aca="1" ref="N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28" s="269" t="str" cm="1">
        <f t="array" aca="1" ref="O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8" s="270" t="str" cm="1">
        <f t="array" aca="1" ref="P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28" s="270" t="str" cm="1">
        <f t="array" aca="1" ref="Q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R28" s="270" t="str" cm="1">
        <f t="array" aca="1" ref="R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28" s="271" t="str" cm="1">
        <f t="array" aca="1" ref="S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28" s="269" t="str" cm="1">
        <f t="array" aca="1" ref="T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8" s="270" t="str" cm="1">
        <f t="array" aca="1" ref="U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28" s="270" t="str" cm="1">
        <f t="array" aca="1" ref="V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W28" s="270" t="str" cm="1">
        <f t="array" aca="1" ref="W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28" s="271" t="str" cm="1">
        <f t="array" aca="1" ref="X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28" s="269" t="str" cm="1">
        <f t="array" aca="1" ref="Y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8" s="270" t="str" cm="1">
        <f t="array" aca="1" ref="Z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28" s="270" t="str" cm="1">
        <f t="array" aca="1" ref="AA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B28" s="270" t="str" cm="1">
        <f t="array" aca="1" ref="AB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28" s="271" t="str" cm="1">
        <f t="array" aca="1" ref="AC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28" s="269" t="str" cm="1">
        <f t="array" aca="1" ref="AD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8" s="270" t="str" cm="1">
        <f t="array" aca="1" ref="AE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28" s="270" t="str" cm="1">
        <f t="array" aca="1" ref="AF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G28" s="270" t="str" cm="1">
        <f t="array" aca="1" ref="AG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28" s="271" t="str" cm="1">
        <f t="array" aca="1" ref="AH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28" s="269" t="str" cm="1">
        <f t="array" aca="1" ref="AI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8" s="270" t="str" cm="1">
        <f t="array" aca="1" ref="AJ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28" s="270" t="str" cm="1">
        <f t="array" aca="1" ref="AK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L28" s="270" t="str" cm="1">
        <f t="array" aca="1" ref="AL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28" s="271" t="str" cm="1">
        <f t="array" aca="1" ref="AM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28" s="269" t="str" cm="1">
        <f t="array" aca="1" ref="AN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8" s="270" t="str" cm="1">
        <f t="array" aca="1" ref="AO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28" s="270" t="str" cm="1">
        <f t="array" aca="1" ref="AP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Q28" s="270" t="str" cm="1">
        <f t="array" aca="1" ref="AQ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28" s="271" t="str" cm="1">
        <f t="array" aca="1" ref="AR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28" s="269" t="str" cm="1">
        <f t="array" aca="1" ref="AS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8" s="270" t="str" cm="1">
        <f t="array" aca="1" ref="AT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28" s="270" t="str" cm="1">
        <f t="array" aca="1" ref="AU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V28" s="270" t="str" cm="1">
        <f t="array" aca="1" ref="AV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28" s="271" t="str" cm="1">
        <f t="array" aca="1" ref="AW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28" s="269" t="str" cm="1">
        <f t="array" aca="1" ref="AX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8" s="270" t="str" cm="1">
        <f t="array" aca="1" ref="AY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28" s="270" t="str" cm="1">
        <f t="array" aca="1" ref="AZ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A28" s="270" t="str" cm="1">
        <f t="array" aca="1" ref="BA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28" s="271" t="str" cm="1">
        <f t="array" aca="1" ref="BB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28" s="269" t="str" cm="1">
        <f t="array" aca="1" ref="BC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8" s="270" t="str" cm="1">
        <f t="array" aca="1" ref="BD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28" s="270" t="str" cm="1">
        <f t="array" aca="1" ref="BE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F28" s="270" t="str" cm="1">
        <f t="array" aca="1" ref="BF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28" s="271" t="str" cm="1">
        <f t="array" aca="1" ref="BG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28" s="269" t="str" cm="1">
        <f t="array" aca="1" ref="BH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8" s="270" t="str" cm="1">
        <f t="array" aca="1" ref="BI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28" s="270" t="str" cm="1">
        <f t="array" aca="1" ref="BJ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K28" s="270" t="str" cm="1">
        <f t="array" aca="1" ref="BK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28" s="271" t="str" cm="1">
        <f t="array" aca="1" ref="BL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28" s="269" t="str" cm="1">
        <f t="array" aca="1" ref="BM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8" s="270" t="str" cm="1">
        <f t="array" aca="1" ref="BN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28" s="270" t="str" cm="1">
        <f t="array" aca="1" ref="BO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P28" s="270" t="str" cm="1">
        <f t="array" aca="1" ref="BP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28" s="271" t="str" cm="1">
        <f t="array" aca="1" ref="BQ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28" s="269" t="str" cm="1">
        <f t="array" aca="1" ref="BR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8" s="270" t="str" cm="1">
        <f t="array" aca="1" ref="BS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28" s="270" t="str" cm="1">
        <f t="array" aca="1" ref="BT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U28" s="270" t="str" cm="1">
        <f t="array" aca="1" ref="BU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28" s="271" t="str" cm="1">
        <f t="array" aca="1" ref="BV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28" s="269" t="str" cm="1">
        <f t="array" aca="1" ref="BW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8" s="270" t="str" cm="1">
        <f t="array" aca="1" ref="BX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28" s="270" t="str" cm="1">
        <f t="array" aca="1" ref="BY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Z28" s="270" t="str" cm="1">
        <f t="array" aca="1" ref="BZ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28" s="271" t="str" cm="1">
        <f t="array" aca="1" ref="CA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28" s="269" t="str" cm="1">
        <f t="array" aca="1" ref="CB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8" s="270" t="str" cm="1">
        <f t="array" aca="1" ref="CC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28" s="270" t="str" cm="1">
        <f t="array" aca="1" ref="CD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E28" s="270" t="str" cm="1">
        <f t="array" aca="1" ref="CE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28" s="271" t="str" cm="1">
        <f t="array" aca="1" ref="CF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28" s="269" t="str" cm="1">
        <f t="array" aca="1" ref="CG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8" s="270" t="str" cm="1">
        <f t="array" aca="1" ref="CH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28" s="270" t="str" cm="1">
        <f t="array" aca="1" ref="CI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J28" s="270" t="str" cm="1">
        <f t="array" aca="1" ref="CJ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28" s="271" t="str" cm="1">
        <f t="array" aca="1" ref="CK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28" s="269" t="str" cm="1">
        <f t="array" aca="1" ref="CL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8" s="270" t="str" cm="1">
        <f t="array" aca="1" ref="CM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28" s="270" t="str" cm="1">
        <f t="array" aca="1" ref="CN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O28" s="270" t="str" cm="1">
        <f t="array" aca="1" ref="CO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28" s="271" t="str" cm="1">
        <f t="array" aca="1" ref="CP28" ca="1">_xlfn.LET(
_xlpm.lbl,IFERROR(LOOKUP(2,1/(ISNUMBER(SEARCH(". sem",LOWER($C$1:INDEX($C:$C,ROW()+1))))),$C$1:INDEX($C:$C,ROW()+1)),""),
_xlpm.sem,IFERROR(VALUE(LEFT(_xlpm.lbl,FIND(".",_xlpm.lbl)-1)),""),
_xlpm.slot,IFERROR(MATCH($D28,$D$7:$D$14,0),""),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29" spans="1:94" x14ac:dyDescent="0.2">
      <c r="A29" s="280"/>
      <c r="B29" s="280"/>
      <c r="C29" s="279"/>
      <c r="D29" s="264" t="s">
        <v>19</v>
      </c>
      <c r="E29" s="269" t="str" cm="1">
        <f t="array" aca="1" ref="E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29" s="270" t="str" cm="1">
        <f t="array" aca="1" ref="F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29" s="272"/>
      <c r="H29" s="270" t="str" cm="1">
        <f t="array" aca="1" ref="H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29" s="271" t="str" cm="1">
        <f t="array" aca="1" ref="I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29" s="269" t="str" cm="1">
        <f t="array" aca="1" ref="J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29" s="270" t="str" cm="1">
        <f t="array" aca="1" ref="K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29" s="272"/>
      <c r="M29" s="270" t="str" cm="1">
        <f t="array" aca="1" ref="M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29" s="271" t="str" cm="1">
        <f t="array" aca="1" ref="N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29" s="269" t="str" cm="1">
        <f t="array" aca="1" ref="O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29" s="270" t="str" cm="1">
        <f t="array" aca="1" ref="P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29" s="272"/>
      <c r="R29" s="270" t="str" cm="1">
        <f t="array" aca="1" ref="R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29" s="271" t="str" cm="1">
        <f t="array" aca="1" ref="S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29" s="269" t="str" cm="1">
        <f t="array" aca="1" ref="T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29" s="270" t="str" cm="1">
        <f t="array" aca="1" ref="U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29" s="272"/>
      <c r="W29" s="270" t="str" cm="1">
        <f t="array" aca="1" ref="W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29" s="271" t="str" cm="1">
        <f t="array" aca="1" ref="X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29" s="269" t="str" cm="1">
        <f t="array" aca="1" ref="Y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29" s="270" t="str" cm="1">
        <f t="array" aca="1" ref="Z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29" s="272"/>
      <c r="AB29" s="270" t="str" cm="1">
        <f t="array" aca="1" ref="AB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29" s="271" t="str" cm="1">
        <f t="array" aca="1" ref="AC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29" s="269" t="str" cm="1">
        <f t="array" aca="1" ref="AD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29" s="270" t="str" cm="1">
        <f t="array" aca="1" ref="AE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29" s="272"/>
      <c r="AG29" s="270" t="str" cm="1">
        <f t="array" aca="1" ref="AG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29" s="271" t="str" cm="1">
        <f t="array" aca="1" ref="AH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29" s="269" t="str" cm="1">
        <f t="array" aca="1" ref="AI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29" s="270" t="str" cm="1">
        <f t="array" aca="1" ref="AJ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29" s="272"/>
      <c r="AL29" s="270" t="str" cm="1">
        <f t="array" aca="1" ref="AL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29" s="271" t="str" cm="1">
        <f t="array" aca="1" ref="AM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29" s="269" t="str" cm="1">
        <f t="array" aca="1" ref="AN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29" s="270" t="str" cm="1">
        <f t="array" aca="1" ref="AO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29" s="272"/>
      <c r="AQ29" s="270" t="str" cm="1">
        <f t="array" aca="1" ref="AQ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29" s="271" t="str" cm="1">
        <f t="array" aca="1" ref="AR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29" s="269" t="str" cm="1">
        <f t="array" aca="1" ref="AS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29" s="270" t="str" cm="1">
        <f t="array" aca="1" ref="AT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29" s="272"/>
      <c r="AV29" s="270" t="str" cm="1">
        <f t="array" aca="1" ref="AV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29" s="271" t="str" cm="1">
        <f t="array" aca="1" ref="AW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29" s="269" t="str" cm="1">
        <f t="array" aca="1" ref="AX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29" s="270" t="str" cm="1">
        <f t="array" aca="1" ref="AY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29" s="272"/>
      <c r="BA29" s="270" t="str" cm="1">
        <f t="array" aca="1" ref="BA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29" s="271" t="str" cm="1">
        <f t="array" aca="1" ref="BB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29" s="269" t="str" cm="1">
        <f t="array" aca="1" ref="BC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29" s="270" t="str" cm="1">
        <f t="array" aca="1" ref="BD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29" s="272"/>
      <c r="BF29" s="270" t="str" cm="1">
        <f t="array" aca="1" ref="BF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29" s="271" t="str" cm="1">
        <f t="array" aca="1" ref="BG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29" s="269" t="str" cm="1">
        <f t="array" aca="1" ref="BH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29" s="270" t="str" cm="1">
        <f t="array" aca="1" ref="BI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29" s="272"/>
      <c r="BK29" s="270" t="str" cm="1">
        <f t="array" aca="1" ref="BK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29" s="271" t="str" cm="1">
        <f t="array" aca="1" ref="BL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29" s="269" t="str" cm="1">
        <f t="array" aca="1" ref="BM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29" s="270" t="str" cm="1">
        <f t="array" aca="1" ref="BN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29" s="272"/>
      <c r="BP29" s="270" t="str" cm="1">
        <f t="array" aca="1" ref="BP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29" s="271" t="str" cm="1">
        <f t="array" aca="1" ref="BQ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29" s="269" t="str" cm="1">
        <f t="array" aca="1" ref="BR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29" s="270" t="str" cm="1">
        <f t="array" aca="1" ref="BS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29" s="272"/>
      <c r="BU29" s="270" t="str" cm="1">
        <f t="array" aca="1" ref="BU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29" s="271" t="str" cm="1">
        <f t="array" aca="1" ref="BV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29" s="269" t="str" cm="1">
        <f t="array" aca="1" ref="BW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29" s="270" t="str" cm="1">
        <f t="array" aca="1" ref="BX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29" s="272"/>
      <c r="BZ29" s="270" t="str" cm="1">
        <f t="array" aca="1" ref="BZ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29" s="271" t="str" cm="1">
        <f t="array" aca="1" ref="CA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29" s="269" t="str" cm="1">
        <f t="array" aca="1" ref="CB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29" s="270" t="str" cm="1">
        <f t="array" aca="1" ref="CC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29" s="272"/>
      <c r="CE29" s="270" t="str" cm="1">
        <f t="array" aca="1" ref="CE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29" s="271" t="str" cm="1">
        <f t="array" aca="1" ref="CF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29" s="269" t="str" cm="1">
        <f t="array" aca="1" ref="CG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29" s="270" t="str" cm="1">
        <f t="array" aca="1" ref="CH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29" s="272"/>
      <c r="CJ29" s="270" t="str" cm="1">
        <f t="array" aca="1" ref="CJ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29" s="271" t="str" cm="1">
        <f t="array" aca="1" ref="CK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29" s="269" t="str" cm="1">
        <f t="array" aca="1" ref="CL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29" s="270" t="str" cm="1">
        <f t="array" aca="1" ref="CM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29" s="272"/>
      <c r="CO29" s="270" t="str" cm="1">
        <f t="array" aca="1" ref="CO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29" s="271" t="str" cm="1">
        <f t="array" aca="1" ref="CP29" ca="1">_xlfn.LET(
_xlpm.lbl,IFERROR(LOOKUP(2,1/(ISNUMBER(SEARCH(". sem",LOWER($C$1:INDEX($C:$C,ROW()+1))))),$C$1:INDEX($C:$C,ROW()+1)),""),
_xlpm.sem,IFERROR(VALUE(LEFT(_xlpm.lbl,FIND(".",_xlpm.lbl)-1)),""),
_xlpm.slot,IFERROR(MATCH($D29,$D$7:$D$14,0),""),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30" spans="1:94" x14ac:dyDescent="0.2">
      <c r="A30" s="280"/>
      <c r="B30" s="280"/>
      <c r="C30" s="279"/>
      <c r="D30" s="277" t="s">
        <v>21</v>
      </c>
      <c r="E30" s="269" t="str" cm="1">
        <f t="array" aca="1" ref="E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30" s="270" t="str" cm="1">
        <f t="array" aca="1" ref="F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30" s="272"/>
      <c r="H30" s="270" t="str" cm="1">
        <f t="array" aca="1" ref="H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30" s="271" t="str" cm="1">
        <f t="array" aca="1" ref="I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30" s="269" t="str" cm="1">
        <f t="array" aca="1" ref="J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30" s="270" t="str" cm="1">
        <f t="array" aca="1" ref="K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30" s="272"/>
      <c r="M30" s="270" t="str" cm="1">
        <f t="array" aca="1" ref="M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30" s="271" t="str" cm="1">
        <f t="array" aca="1" ref="N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30" s="269" t="str" cm="1">
        <f t="array" aca="1" ref="O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30" s="270" t="str" cm="1">
        <f t="array" aca="1" ref="P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30" s="272"/>
      <c r="R30" s="270" t="str" cm="1">
        <f t="array" aca="1" ref="R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30" s="271" t="str" cm="1">
        <f t="array" aca="1" ref="S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30" s="269" t="str" cm="1">
        <f t="array" aca="1" ref="T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30" s="270" t="str" cm="1">
        <f t="array" aca="1" ref="U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30" s="272"/>
      <c r="W30" s="270" t="str" cm="1">
        <f t="array" aca="1" ref="W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30" s="271" t="str" cm="1">
        <f t="array" aca="1" ref="X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30" s="269" t="str" cm="1">
        <f t="array" aca="1" ref="Y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30" s="270" t="str" cm="1">
        <f t="array" aca="1" ref="Z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30" s="272"/>
      <c r="AB30" s="270" t="str" cm="1">
        <f t="array" aca="1" ref="AB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30" s="271" t="str" cm="1">
        <f t="array" aca="1" ref="AC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30" s="269" t="str" cm="1">
        <f t="array" aca="1" ref="AD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30" s="270" t="str" cm="1">
        <f t="array" aca="1" ref="AE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30" s="272"/>
      <c r="AG30" s="270" t="str" cm="1">
        <f t="array" aca="1" ref="AG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30" s="271" t="str" cm="1">
        <f t="array" aca="1" ref="AH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30" s="269" t="str" cm="1">
        <f t="array" aca="1" ref="AI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30" s="270" t="str" cm="1">
        <f t="array" aca="1" ref="AJ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30" s="272"/>
      <c r="AL30" s="270" t="str" cm="1">
        <f t="array" aca="1" ref="AL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30" s="271" t="str" cm="1">
        <f t="array" aca="1" ref="AM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30" s="269" t="str" cm="1">
        <f t="array" aca="1" ref="AN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30" s="270" t="str" cm="1">
        <f t="array" aca="1" ref="AO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30" s="272"/>
      <c r="AQ30" s="270" t="str" cm="1">
        <f t="array" aca="1" ref="AQ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30" s="271" t="str" cm="1">
        <f t="array" aca="1" ref="AR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30" s="269" t="str" cm="1">
        <f t="array" aca="1" ref="AS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30" s="270" t="str" cm="1">
        <f t="array" aca="1" ref="AT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30" s="272"/>
      <c r="AV30" s="270" t="str" cm="1">
        <f t="array" aca="1" ref="AV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30" s="271" t="str" cm="1">
        <f t="array" aca="1" ref="AW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30" s="269" t="str" cm="1">
        <f t="array" aca="1" ref="AX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30" s="270" t="str" cm="1">
        <f t="array" aca="1" ref="AY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30" s="272"/>
      <c r="BA30" s="270" t="str" cm="1">
        <f t="array" aca="1" ref="BA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30" s="271" t="str" cm="1">
        <f t="array" aca="1" ref="BB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30" s="269" t="str" cm="1">
        <f t="array" aca="1" ref="BC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30" s="270" t="str" cm="1">
        <f t="array" aca="1" ref="BD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30" s="272"/>
      <c r="BF30" s="270" t="str" cm="1">
        <f t="array" aca="1" ref="BF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30" s="271" t="str" cm="1">
        <f t="array" aca="1" ref="BG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30" s="269" t="str" cm="1">
        <f t="array" aca="1" ref="BH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30" s="270" t="str" cm="1">
        <f t="array" aca="1" ref="BI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30" s="272"/>
      <c r="BK30" s="270" t="str" cm="1">
        <f t="array" aca="1" ref="BK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30" s="271" t="str" cm="1">
        <f t="array" aca="1" ref="BL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30" s="269" t="str" cm="1">
        <f t="array" aca="1" ref="BM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30" s="270" t="str" cm="1">
        <f t="array" aca="1" ref="BN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30" s="272"/>
      <c r="BP30" s="270" t="str" cm="1">
        <f t="array" aca="1" ref="BP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30" s="271" t="str" cm="1">
        <f t="array" aca="1" ref="BQ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30" s="269" t="str" cm="1">
        <f t="array" aca="1" ref="BR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30" s="270" t="str" cm="1">
        <f t="array" aca="1" ref="BS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30" s="272"/>
      <c r="BU30" s="270" t="str" cm="1">
        <f t="array" aca="1" ref="BU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30" s="271" t="str" cm="1">
        <f t="array" aca="1" ref="BV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30" s="269" t="str" cm="1">
        <f t="array" aca="1" ref="BW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30" s="270" t="str" cm="1">
        <f t="array" aca="1" ref="BX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30" s="272"/>
      <c r="BZ30" s="270" t="str" cm="1">
        <f t="array" aca="1" ref="BZ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30" s="271" t="str" cm="1">
        <f t="array" aca="1" ref="CA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30" s="269" t="str" cm="1">
        <f t="array" aca="1" ref="CB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30" s="270" t="str" cm="1">
        <f t="array" aca="1" ref="CC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30" s="272"/>
      <c r="CE30" s="270" t="str" cm="1">
        <f t="array" aca="1" ref="CE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30" s="271" t="str" cm="1">
        <f t="array" aca="1" ref="CF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30" s="269" t="str" cm="1">
        <f t="array" aca="1" ref="CG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30" s="270" t="str" cm="1">
        <f t="array" aca="1" ref="CH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30" s="272"/>
      <c r="CJ30" s="270" t="str" cm="1">
        <f t="array" aca="1" ref="CJ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30" s="271" t="str" cm="1">
        <f t="array" aca="1" ref="CK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30" s="269" t="str" cm="1">
        <f t="array" aca="1" ref="CL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30" s="270" t="str" cm="1">
        <f t="array" aca="1" ref="CM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30" s="272"/>
      <c r="CO30" s="270" t="str" cm="1">
        <f t="array" aca="1" ref="CO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30" s="271" t="str" cm="1">
        <f t="array" aca="1" ref="CP30" ca="1">_xlfn.LET(
_xlpm.lbl,IFERROR(LOOKUP(2,1/(ISNUMBER(SEARCH(". sem",LOWER($C$1:INDEX($C:$C,ROW()+1))))),$C$1:INDEX($C:$C,ROW()+1)),""),
_xlpm.sem,IFERROR(VALUE(LEFT(_xlpm.lbl,FIND(".",_xlpm.lbl)-1)),""),
_xlpm.slot,IFERROR(MATCH($D30,$D$7:$D$14,0),""),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31" spans="1:94" x14ac:dyDescent="0.2">
      <c r="A31" s="280"/>
      <c r="B31" s="280"/>
      <c r="C31" s="279"/>
      <c r="D31" s="277" t="s">
        <v>22</v>
      </c>
      <c r="E31" s="269" t="str" cm="1">
        <f t="array" aca="1" ref="E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31" s="270" t="str" cm="1">
        <f t="array" aca="1" ref="F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31" s="272"/>
      <c r="H31" s="270" t="str" cm="1">
        <f t="array" aca="1" ref="H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31" s="271" t="str" cm="1">
        <f t="array" aca="1" ref="I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31" s="269" t="str" cm="1">
        <f t="array" aca="1" ref="J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31" s="270" t="str" cm="1">
        <f t="array" aca="1" ref="K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31" s="272"/>
      <c r="M31" s="270" t="str" cm="1">
        <f t="array" aca="1" ref="M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31" s="271" t="str" cm="1">
        <f t="array" aca="1" ref="N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31" s="269" t="str" cm="1">
        <f t="array" aca="1" ref="O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31" s="270" t="str" cm="1">
        <f t="array" aca="1" ref="P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31" s="272"/>
      <c r="R31" s="270" t="str" cm="1">
        <f t="array" aca="1" ref="R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31" s="271" t="str" cm="1">
        <f t="array" aca="1" ref="S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31" s="269" t="str" cm="1">
        <f t="array" aca="1" ref="T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31" s="270" t="str" cm="1">
        <f t="array" aca="1" ref="U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31" s="272"/>
      <c r="W31" s="270" t="str" cm="1">
        <f t="array" aca="1" ref="W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31" s="271" t="str" cm="1">
        <f t="array" aca="1" ref="X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31" s="269" t="str" cm="1">
        <f t="array" aca="1" ref="Y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31" s="270" t="str" cm="1">
        <f t="array" aca="1" ref="Z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31" s="272"/>
      <c r="AB31" s="270" t="str" cm="1">
        <f t="array" aca="1" ref="AB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31" s="271" t="str" cm="1">
        <f t="array" aca="1" ref="AC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31" s="269" t="str" cm="1">
        <f t="array" aca="1" ref="AD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31" s="270" t="str" cm="1">
        <f t="array" aca="1" ref="AE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31" s="272"/>
      <c r="AG31" s="270" t="str" cm="1">
        <f t="array" aca="1" ref="AG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31" s="271" t="str" cm="1">
        <f t="array" aca="1" ref="AH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31" s="269" t="str" cm="1">
        <f t="array" aca="1" ref="AI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31" s="270" t="str" cm="1">
        <f t="array" aca="1" ref="AJ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31" s="272"/>
      <c r="AL31" s="270" t="str" cm="1">
        <f t="array" aca="1" ref="AL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31" s="271" t="str" cm="1">
        <f t="array" aca="1" ref="AM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31" s="269" t="str" cm="1">
        <f t="array" aca="1" ref="AN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31" s="270" t="str" cm="1">
        <f t="array" aca="1" ref="AO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31" s="272"/>
      <c r="AQ31" s="270" t="str" cm="1">
        <f t="array" aca="1" ref="AQ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31" s="271" t="str" cm="1">
        <f t="array" aca="1" ref="AR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31" s="269" t="str" cm="1">
        <f t="array" aca="1" ref="AS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31" s="270" t="str" cm="1">
        <f t="array" aca="1" ref="AT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31" s="272"/>
      <c r="AV31" s="270" t="str" cm="1">
        <f t="array" aca="1" ref="AV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31" s="271" t="str" cm="1">
        <f t="array" aca="1" ref="AW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31" s="269" t="str" cm="1">
        <f t="array" aca="1" ref="AX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31" s="270" t="str" cm="1">
        <f t="array" aca="1" ref="AY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31" s="272"/>
      <c r="BA31" s="270" t="str" cm="1">
        <f t="array" aca="1" ref="BA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31" s="271" t="str" cm="1">
        <f t="array" aca="1" ref="BB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31" s="269" t="str" cm="1">
        <f t="array" aca="1" ref="BC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31" s="270" t="str" cm="1">
        <f t="array" aca="1" ref="BD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31" s="272"/>
      <c r="BF31" s="270" t="str" cm="1">
        <f t="array" aca="1" ref="BF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31" s="271" t="str" cm="1">
        <f t="array" aca="1" ref="BG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31" s="269" t="str" cm="1">
        <f t="array" aca="1" ref="BH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31" s="270" t="str" cm="1">
        <f t="array" aca="1" ref="BI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31" s="272"/>
      <c r="BK31" s="270" t="str" cm="1">
        <f t="array" aca="1" ref="BK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31" s="271" t="str" cm="1">
        <f t="array" aca="1" ref="BL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31" s="269" t="str" cm="1">
        <f t="array" aca="1" ref="BM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31" s="270" t="str" cm="1">
        <f t="array" aca="1" ref="BN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31" s="272"/>
      <c r="BP31" s="270" t="str" cm="1">
        <f t="array" aca="1" ref="BP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31" s="271" t="str" cm="1">
        <f t="array" aca="1" ref="BQ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31" s="269" t="str" cm="1">
        <f t="array" aca="1" ref="BR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31" s="270" t="str" cm="1">
        <f t="array" aca="1" ref="BS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31" s="272"/>
      <c r="BU31" s="270" t="str" cm="1">
        <f t="array" aca="1" ref="BU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31" s="271" t="str" cm="1">
        <f t="array" aca="1" ref="BV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31" s="269" t="str" cm="1">
        <f t="array" aca="1" ref="BW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31" s="270" t="str" cm="1">
        <f t="array" aca="1" ref="BX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31" s="272"/>
      <c r="BZ31" s="270" t="str" cm="1">
        <f t="array" aca="1" ref="BZ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31" s="271" t="str" cm="1">
        <f t="array" aca="1" ref="CA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31" s="269" t="str" cm="1">
        <f t="array" aca="1" ref="CB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31" s="270" t="str" cm="1">
        <f t="array" aca="1" ref="CC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31" s="272"/>
      <c r="CE31" s="270" t="str" cm="1">
        <f t="array" aca="1" ref="CE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31" s="271" t="str" cm="1">
        <f t="array" aca="1" ref="CF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31" s="269" t="str" cm="1">
        <f t="array" aca="1" ref="CG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31" s="270" t="str" cm="1">
        <f t="array" aca="1" ref="CH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31" s="272"/>
      <c r="CJ31" s="270" t="str" cm="1">
        <f t="array" aca="1" ref="CJ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31" s="271" t="str" cm="1">
        <f t="array" aca="1" ref="CK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31" s="269" t="str" cm="1">
        <f t="array" aca="1" ref="CL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31" s="270" t="str" cm="1">
        <f t="array" aca="1" ref="CM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31" s="272"/>
      <c r="CO31" s="270" t="str" cm="1">
        <f t="array" aca="1" ref="CO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31" s="271" t="str" cm="1">
        <f t="array" aca="1" ref="CP31" ca="1">_xlfn.LET(
_xlpm.lbl,IFERROR(LOOKUP(2,1/(ISNUMBER(SEARCH(". sem",LOWER($C$1:INDEX($C:$C,ROW()+1))))),$C$1:INDEX($C:$C,ROW()+1)),""),
_xlpm.sem,IFERROR(VALUE(LEFT(_xlpm.lbl,FIND(".",_xlpm.lbl)-1)),""),
_xlpm.slot,IFERROR(MATCH($D31,$D$7:$D$14,0),""),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32" spans="1:94" ht="16" thickBot="1" x14ac:dyDescent="0.25">
      <c r="A32" s="280"/>
      <c r="B32" s="280"/>
      <c r="C32" s="279"/>
      <c r="D32" s="265" t="s">
        <v>23</v>
      </c>
      <c r="E32" s="273" t="str" cm="1">
        <f t="array" aca="1" ref="E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F32" s="274" t="str" cm="1">
        <f t="array" aca="1" ref="F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G32" s="275"/>
      <c r="H32" s="274" t="str" cm="1">
        <f t="array" aca="1" ref="H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I32" s="276" t="str" cm="1">
        <f t="array" aca="1" ref="I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J32" s="273" t="str" cm="1">
        <f t="array" aca="1" ref="J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K32" s="274" t="str" cm="1">
        <f t="array" aca="1" ref="K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L32" s="275"/>
      <c r="M32" s="274" t="str" cm="1">
        <f t="array" aca="1" ref="M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N32" s="276" t="str" cm="1">
        <f t="array" aca="1" ref="N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O32" s="273" t="str" cm="1">
        <f t="array" aca="1" ref="O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P32" s="274" t="str" cm="1">
        <f t="array" aca="1" ref="P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Q32" s="275"/>
      <c r="R32" s="274" t="str" cm="1">
        <f t="array" aca="1" ref="R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S32" s="276" t="str" cm="1">
        <f t="array" aca="1" ref="S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T32" s="273" t="str" cm="1">
        <f t="array" aca="1" ref="T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U32" s="274" t="str" cm="1">
        <f t="array" aca="1" ref="U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V32" s="275"/>
      <c r="W32" s="274" t="str" cm="1">
        <f t="array" aca="1" ref="W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X32" s="276" t="str" cm="1">
        <f t="array" aca="1" ref="X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Y32" s="273" t="str" cm="1">
        <f t="array" aca="1" ref="Y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Z32" s="274" t="str" cm="1">
        <f t="array" aca="1" ref="Z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A32" s="275"/>
      <c r="AB32" s="274" t="str" cm="1">
        <f t="array" aca="1" ref="AB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C32" s="276" t="str" cm="1">
        <f t="array" aca="1" ref="AC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D32" s="273" t="str" cm="1">
        <f t="array" aca="1" ref="AD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E32" s="274" t="str" cm="1">
        <f t="array" aca="1" ref="AE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F32" s="275"/>
      <c r="AG32" s="274" t="str" cm="1">
        <f t="array" aca="1" ref="AG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H32" s="276" t="str" cm="1">
        <f t="array" aca="1" ref="AH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I32" s="273" t="str" cm="1">
        <f t="array" aca="1" ref="AI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J32" s="274" t="str" cm="1">
        <f t="array" aca="1" ref="AJ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K32" s="275"/>
      <c r="AL32" s="274" t="str" cm="1">
        <f t="array" aca="1" ref="AL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M32" s="276" t="str" cm="1">
        <f t="array" aca="1" ref="AM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N32" s="273" t="str" cm="1">
        <f t="array" aca="1" ref="AN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O32" s="274" t="str" cm="1">
        <f t="array" aca="1" ref="AO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P32" s="275"/>
      <c r="AQ32" s="274" t="str" cm="1">
        <f t="array" aca="1" ref="AQ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R32" s="276" t="str" cm="1">
        <f t="array" aca="1" ref="AR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S32" s="273" t="str" cm="1">
        <f t="array" aca="1" ref="AS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T32" s="274" t="str" cm="1">
        <f t="array" aca="1" ref="AT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U32" s="275"/>
      <c r="AV32" s="274" t="str" cm="1">
        <f t="array" aca="1" ref="AV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W32" s="276" t="str" cm="1">
        <f t="array" aca="1" ref="AW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X32" s="273" t="str" cm="1">
        <f t="array" aca="1" ref="AX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Y32" s="274" t="str" cm="1">
        <f t="array" aca="1" ref="AY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AZ32" s="275"/>
      <c r="BA32" s="274" t="str" cm="1">
        <f t="array" aca="1" ref="BA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B32" s="276" t="str" cm="1">
        <f t="array" aca="1" ref="BB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C32" s="273" t="str" cm="1">
        <f t="array" aca="1" ref="BC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D32" s="274" t="str" cm="1">
        <f t="array" aca="1" ref="BD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E32" s="275"/>
      <c r="BF32" s="274" t="str" cm="1">
        <f t="array" aca="1" ref="BF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G32" s="276" t="str" cm="1">
        <f t="array" aca="1" ref="BG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H32" s="273" t="str" cm="1">
        <f t="array" aca="1" ref="BH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I32" s="274" t="str" cm="1">
        <f t="array" aca="1" ref="BI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J32" s="275"/>
      <c r="BK32" s="274" t="str" cm="1">
        <f t="array" aca="1" ref="BK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L32" s="276" t="str" cm="1">
        <f t="array" aca="1" ref="BL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M32" s="273" t="str" cm="1">
        <f t="array" aca="1" ref="BM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N32" s="274" t="str" cm="1">
        <f t="array" aca="1" ref="BN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O32" s="275"/>
      <c r="BP32" s="274" t="str" cm="1">
        <f t="array" aca="1" ref="BP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Q32" s="276" t="str" cm="1">
        <f t="array" aca="1" ref="BQ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R32" s="273" t="str" cm="1">
        <f t="array" aca="1" ref="BR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S32" s="274" t="str" cm="1">
        <f t="array" aca="1" ref="BS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T32" s="275"/>
      <c r="BU32" s="274" t="str" cm="1">
        <f t="array" aca="1" ref="BU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V32" s="276" t="str" cm="1">
        <f t="array" aca="1" ref="BV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W32" s="273" t="str" cm="1">
        <f t="array" aca="1" ref="BW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X32" s="274" t="str" cm="1">
        <f t="array" aca="1" ref="BX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BY32" s="275"/>
      <c r="BZ32" s="274" t="str" cm="1">
        <f t="array" aca="1" ref="BZ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A32" s="276" t="str" cm="1">
        <f t="array" aca="1" ref="CA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B32" s="273" t="str" cm="1">
        <f t="array" aca="1" ref="CB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C32" s="274" t="str" cm="1">
        <f t="array" aca="1" ref="CC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D32" s="275"/>
      <c r="CE32" s="274" t="str" cm="1">
        <f t="array" aca="1" ref="CE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F32" s="276" t="str" cm="1">
        <f t="array" aca="1" ref="CF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G32" s="273" t="str" cm="1">
        <f t="array" aca="1" ref="CG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H32" s="274" t="str" cm="1">
        <f t="array" aca="1" ref="CH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I32" s="275"/>
      <c r="CJ32" s="274" t="str" cm="1">
        <f t="array" aca="1" ref="CJ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K32" s="276" t="str" cm="1">
        <f t="array" aca="1" ref="CK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L32" s="273" t="str" cm="1">
        <f t="array" aca="1" ref="CL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M32" s="274" t="str" cm="1">
        <f t="array" aca="1" ref="CM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N32" s="275"/>
      <c r="CO32" s="274" t="str" cm="1">
        <f t="array" aca="1" ref="CO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  <c r="CP32" s="276" t="str" cm="1">
        <f t="array" aca="1" ref="CP32" ca="1">_xlfn.LET(
_xlpm.lbl,IFERROR(LOOKUP(2,1/(ISNUMBER(SEARCH(". sem",LOWER($C$1:INDEX($C:$C,ROW()+1))))),$C$1:INDEX($C:$C,ROW()+1)),""),
_xlpm.sem,IFERROR(VALUE(LEFT(_xlpm.lbl,FIND(".",_xlpm.lbl)-1)),""),
_xlpm.slot,IFERROR(MATCH($D32,$D$7:$D$14,0),""),
_xlpm.colIx,COLUMN()-4,
_xlpm.srcRow,IF(_xlpm.slot="","",IF(_xlpm.slot&lt;=4,_xlpm.slot+6,_xlpm.slot+7)),
_xlpm.sh,_xlpm.sem&amp;". Sem",
_xlpm.top,IF(OR(_xlpm.sem="",_xlpm.srcRow="",_xlpm.colIx&lt;1),"",IFERROR(INDEX(INDIRECT("'"&amp;_xlpm.sh&amp;"'!$E:$DE"),_xlpm.srcRow,_xlpm.colIx),"")),
_xlpm.isBig,IF(_xlpm.sem="",FALSE,IF(Data!$D$43,MOD(_xlpm.sem,2)=1,MOD(_xlpm.sem,2)=0)),
_xlpm.bot,IF(NOT(_xlpm.isBig),"",IFERROR(INDEX(INDIRECT("'"&amp;_xlpm.sh&amp;"'!$E:$DE"),_xlpm.srcRow+21,_xlpm.colIx),"")),
_xlpm.hasTop,LEN(TRIM(_xlpm.top&amp;""))&gt;0,
_xlpm.hasBot,LEN(TRIM(_xlpm.bot&amp;""))&gt;0,
IF(_xlpm.sem="","",IF(_xlpm.isBig,IF(AND(_xlpm.hasTop,_xlpm.hasBot),_xlpm.lbl&amp;" A+B",IF(_xlpm.hasTop,_xlpm.lbl&amp;" A",IF(_xlpm.hasBot,_xlpm.lbl&amp;" B",""))),IF(_xlpm.hasTop,_xlpm.lbl,"")))
)</f>
        <v/>
      </c>
    </row>
    <row r="33" spans="1:94" s="280" customFormat="1" ht="16" thickBot="1" x14ac:dyDescent="0.25">
      <c r="C33" s="279"/>
      <c r="D33" s="282"/>
    </row>
    <row r="34" spans="1:94" x14ac:dyDescent="0.2">
      <c r="A34" s="280"/>
      <c r="B34" s="280"/>
      <c r="C34" s="279" t="s">
        <v>314</v>
      </c>
      <c r="D34" s="260" t="s">
        <v>315</v>
      </c>
      <c r="E34" s="245"/>
      <c r="F34" s="113"/>
      <c r="G34" s="113"/>
      <c r="H34" s="113"/>
      <c r="I34" s="246"/>
      <c r="J34" s="245"/>
      <c r="K34" s="113"/>
      <c r="L34" s="113"/>
      <c r="M34" s="113"/>
      <c r="N34" s="246"/>
      <c r="O34" s="245"/>
      <c r="P34" s="113"/>
      <c r="Q34" s="113"/>
      <c r="R34" s="113"/>
      <c r="S34" s="246"/>
      <c r="T34" s="245"/>
      <c r="U34" s="113"/>
      <c r="V34" s="113"/>
      <c r="W34" s="113"/>
      <c r="X34" s="246"/>
      <c r="Y34" s="245"/>
      <c r="Z34" s="113"/>
      <c r="AA34" s="113"/>
      <c r="AB34" s="113"/>
      <c r="AC34" s="246"/>
      <c r="AD34" s="245"/>
      <c r="AE34" s="113"/>
      <c r="AF34" s="113"/>
      <c r="AG34" s="113"/>
      <c r="AH34" s="246"/>
      <c r="AI34" s="245"/>
      <c r="AJ34" s="113"/>
      <c r="AK34" s="113"/>
      <c r="AL34" s="113"/>
      <c r="AM34" s="246"/>
      <c r="AN34" s="245"/>
      <c r="AO34" s="113"/>
      <c r="AP34" s="113"/>
      <c r="AQ34" s="113"/>
      <c r="AR34" s="246"/>
      <c r="AS34" s="245"/>
      <c r="AT34" s="113"/>
      <c r="AU34" s="113"/>
      <c r="AV34" s="113"/>
      <c r="AW34" s="246"/>
      <c r="AX34" s="245"/>
      <c r="AY34" s="113"/>
      <c r="AZ34" s="113"/>
      <c r="BA34" s="113"/>
      <c r="BB34" s="246"/>
      <c r="BC34" s="245"/>
      <c r="BD34" s="113"/>
      <c r="BE34" s="113"/>
      <c r="BF34" s="113"/>
      <c r="BG34" s="246"/>
      <c r="BH34" s="245"/>
      <c r="BI34" s="113"/>
      <c r="BJ34" s="113"/>
      <c r="BK34" s="113"/>
      <c r="BL34" s="246"/>
      <c r="BM34" s="245"/>
      <c r="BN34" s="113"/>
      <c r="BO34" s="113"/>
      <c r="BP34" s="113"/>
      <c r="BQ34" s="246"/>
      <c r="BR34" s="245"/>
      <c r="BS34" s="113"/>
      <c r="BT34" s="113"/>
      <c r="BU34" s="113"/>
      <c r="BV34" s="246"/>
      <c r="BW34" s="245"/>
      <c r="BX34" s="113"/>
      <c r="BY34" s="113"/>
      <c r="BZ34" s="113"/>
      <c r="CA34" s="246"/>
      <c r="CB34" s="245"/>
      <c r="CC34" s="113"/>
      <c r="CD34" s="113"/>
      <c r="CE34" s="113"/>
      <c r="CF34" s="246"/>
      <c r="CG34" s="245"/>
      <c r="CH34" s="113"/>
      <c r="CI34" s="113"/>
      <c r="CJ34" s="113"/>
      <c r="CK34" s="246"/>
      <c r="CL34" s="245"/>
      <c r="CM34" s="113"/>
      <c r="CN34" s="113"/>
      <c r="CO34" s="113"/>
      <c r="CP34" s="246"/>
    </row>
    <row r="35" spans="1:94" x14ac:dyDescent="0.2">
      <c r="A35" s="280"/>
      <c r="B35" s="280"/>
      <c r="C35" s="280" t="s">
        <v>326</v>
      </c>
      <c r="D35" s="261" t="s">
        <v>316</v>
      </c>
      <c r="E35" s="247"/>
      <c r="F35" s="110"/>
      <c r="G35" s="110"/>
      <c r="H35" s="110"/>
      <c r="I35" s="248"/>
      <c r="J35" s="247"/>
      <c r="K35" s="110"/>
      <c r="L35" s="110"/>
      <c r="M35" s="110"/>
      <c r="N35" s="248"/>
      <c r="O35" s="247"/>
      <c r="P35" s="110"/>
      <c r="Q35" s="110"/>
      <c r="R35" s="110"/>
      <c r="S35" s="248"/>
      <c r="T35" s="247"/>
      <c r="U35" s="110"/>
      <c r="V35" s="110"/>
      <c r="W35" s="110"/>
      <c r="X35" s="248"/>
      <c r="Y35" s="247"/>
      <c r="Z35" s="110"/>
      <c r="AA35" s="110"/>
      <c r="AB35" s="110"/>
      <c r="AC35" s="248"/>
      <c r="AD35" s="247"/>
      <c r="AE35" s="110"/>
      <c r="AF35" s="110"/>
      <c r="AG35" s="110"/>
      <c r="AH35" s="248"/>
      <c r="AI35" s="247"/>
      <c r="AJ35" s="110"/>
      <c r="AK35" s="110"/>
      <c r="AL35" s="110"/>
      <c r="AM35" s="248"/>
      <c r="AN35" s="247"/>
      <c r="AO35" s="110"/>
      <c r="AP35" s="110"/>
      <c r="AQ35" s="110"/>
      <c r="AR35" s="248"/>
      <c r="AS35" s="247"/>
      <c r="AT35" s="110"/>
      <c r="AU35" s="110"/>
      <c r="AV35" s="110"/>
      <c r="AW35" s="248"/>
      <c r="AX35" s="247"/>
      <c r="AY35" s="110"/>
      <c r="AZ35" s="110"/>
      <c r="BA35" s="110"/>
      <c r="BB35" s="248"/>
      <c r="BC35" s="247"/>
      <c r="BD35" s="110"/>
      <c r="BE35" s="110"/>
      <c r="BF35" s="110"/>
      <c r="BG35" s="248"/>
      <c r="BH35" s="247"/>
      <c r="BI35" s="110"/>
      <c r="BJ35" s="110"/>
      <c r="BK35" s="110"/>
      <c r="BL35" s="248"/>
      <c r="BM35" s="247"/>
      <c r="BN35" s="110"/>
      <c r="BO35" s="110"/>
      <c r="BP35" s="110"/>
      <c r="BQ35" s="248"/>
      <c r="BR35" s="247"/>
      <c r="BS35" s="110"/>
      <c r="BT35" s="110"/>
      <c r="BU35" s="110"/>
      <c r="BV35" s="248"/>
      <c r="BW35" s="247"/>
      <c r="BX35" s="110"/>
      <c r="BY35" s="110"/>
      <c r="BZ35" s="110"/>
      <c r="CA35" s="248"/>
      <c r="CB35" s="247"/>
      <c r="CC35" s="110"/>
      <c r="CD35" s="110"/>
      <c r="CE35" s="110"/>
      <c r="CF35" s="248"/>
      <c r="CG35" s="247"/>
      <c r="CH35" s="110"/>
      <c r="CI35" s="110"/>
      <c r="CJ35" s="110"/>
      <c r="CK35" s="248"/>
      <c r="CL35" s="247"/>
      <c r="CM35" s="110"/>
      <c r="CN35" s="110"/>
      <c r="CO35" s="110"/>
      <c r="CP35" s="248"/>
    </row>
    <row r="36" spans="1:94" x14ac:dyDescent="0.2">
      <c r="A36" s="280"/>
      <c r="B36" s="280"/>
      <c r="C36" s="279"/>
      <c r="D36" s="261" t="s">
        <v>317</v>
      </c>
      <c r="E36" s="247"/>
      <c r="F36" s="110"/>
      <c r="G36" s="258"/>
      <c r="H36" s="110"/>
      <c r="I36" s="248"/>
      <c r="J36" s="247"/>
      <c r="K36" s="110"/>
      <c r="L36" s="258"/>
      <c r="M36" s="110"/>
      <c r="N36" s="248"/>
      <c r="O36" s="247"/>
      <c r="P36" s="110"/>
      <c r="Q36" s="258"/>
      <c r="R36" s="110"/>
      <c r="S36" s="248"/>
      <c r="T36" s="247"/>
      <c r="U36" s="110"/>
      <c r="V36" s="258"/>
      <c r="W36" s="110"/>
      <c r="X36" s="248"/>
      <c r="Y36" s="247"/>
      <c r="Z36" s="110"/>
      <c r="AA36" s="258"/>
      <c r="AB36" s="110"/>
      <c r="AC36" s="248"/>
      <c r="AD36" s="247"/>
      <c r="AE36" s="110"/>
      <c r="AF36" s="258"/>
      <c r="AG36" s="110"/>
      <c r="AH36" s="248"/>
      <c r="AI36" s="247"/>
      <c r="AJ36" s="110"/>
      <c r="AK36" s="258"/>
      <c r="AL36" s="110"/>
      <c r="AM36" s="248"/>
      <c r="AN36" s="247"/>
      <c r="AO36" s="110"/>
      <c r="AP36" s="258"/>
      <c r="AQ36" s="110"/>
      <c r="AR36" s="248"/>
      <c r="AS36" s="247"/>
      <c r="AT36" s="110"/>
      <c r="AU36" s="258"/>
      <c r="AV36" s="110"/>
      <c r="AW36" s="248"/>
      <c r="AX36" s="247"/>
      <c r="AY36" s="110"/>
      <c r="AZ36" s="258"/>
      <c r="BA36" s="110"/>
      <c r="BB36" s="248"/>
      <c r="BC36" s="247"/>
      <c r="BD36" s="110"/>
      <c r="BE36" s="258"/>
      <c r="BF36" s="110"/>
      <c r="BG36" s="248"/>
      <c r="BH36" s="247"/>
      <c r="BI36" s="110"/>
      <c r="BJ36" s="258"/>
      <c r="BK36" s="110"/>
      <c r="BL36" s="248"/>
      <c r="BM36" s="247"/>
      <c r="BN36" s="110"/>
      <c r="BO36" s="258"/>
      <c r="BP36" s="110"/>
      <c r="BQ36" s="248"/>
      <c r="BR36" s="247"/>
      <c r="BS36" s="110"/>
      <c r="BT36" s="258"/>
      <c r="BU36" s="110"/>
      <c r="BV36" s="248"/>
      <c r="BW36" s="247"/>
      <c r="BX36" s="110"/>
      <c r="BY36" s="258"/>
      <c r="BZ36" s="110"/>
      <c r="CA36" s="248"/>
      <c r="CB36" s="247"/>
      <c r="CC36" s="110"/>
      <c r="CD36" s="258"/>
      <c r="CE36" s="110"/>
      <c r="CF36" s="248"/>
      <c r="CG36" s="247"/>
      <c r="CH36" s="110"/>
      <c r="CI36" s="258"/>
      <c r="CJ36" s="110"/>
      <c r="CK36" s="248"/>
      <c r="CL36" s="247"/>
      <c r="CM36" s="110"/>
      <c r="CN36" s="258"/>
      <c r="CO36" s="110"/>
      <c r="CP36" s="248"/>
    </row>
    <row r="37" spans="1:94" ht="16" thickBot="1" x14ac:dyDescent="0.25">
      <c r="A37" s="280"/>
      <c r="B37" s="280"/>
      <c r="C37" s="279"/>
      <c r="D37" s="262" t="s">
        <v>318</v>
      </c>
      <c r="E37" s="249"/>
      <c r="F37" s="111"/>
      <c r="G37" s="259"/>
      <c r="H37" s="111"/>
      <c r="I37" s="250"/>
      <c r="J37" s="249"/>
      <c r="K37" s="111"/>
      <c r="L37" s="259"/>
      <c r="M37" s="111"/>
      <c r="N37" s="250"/>
      <c r="O37" s="249"/>
      <c r="P37" s="111"/>
      <c r="Q37" s="259"/>
      <c r="R37" s="111"/>
      <c r="S37" s="250"/>
      <c r="T37" s="249"/>
      <c r="U37" s="111"/>
      <c r="V37" s="259"/>
      <c r="W37" s="111"/>
      <c r="X37" s="250"/>
      <c r="Y37" s="249"/>
      <c r="Z37" s="111"/>
      <c r="AA37" s="259"/>
      <c r="AB37" s="111"/>
      <c r="AC37" s="250"/>
      <c r="AD37" s="249"/>
      <c r="AE37" s="111"/>
      <c r="AF37" s="259"/>
      <c r="AG37" s="111"/>
      <c r="AH37" s="250"/>
      <c r="AI37" s="249"/>
      <c r="AJ37" s="111"/>
      <c r="AK37" s="259"/>
      <c r="AL37" s="111"/>
      <c r="AM37" s="250"/>
      <c r="AN37" s="249"/>
      <c r="AO37" s="111"/>
      <c r="AP37" s="259"/>
      <c r="AQ37" s="111"/>
      <c r="AR37" s="250"/>
      <c r="AS37" s="249"/>
      <c r="AT37" s="111"/>
      <c r="AU37" s="259"/>
      <c r="AV37" s="111"/>
      <c r="AW37" s="250"/>
      <c r="AX37" s="249"/>
      <c r="AY37" s="111"/>
      <c r="AZ37" s="259"/>
      <c r="BA37" s="111"/>
      <c r="BB37" s="250"/>
      <c r="BC37" s="249"/>
      <c r="BD37" s="111"/>
      <c r="BE37" s="259"/>
      <c r="BF37" s="111"/>
      <c r="BG37" s="250"/>
      <c r="BH37" s="249"/>
      <c r="BI37" s="111"/>
      <c r="BJ37" s="259"/>
      <c r="BK37" s="111"/>
      <c r="BL37" s="250"/>
      <c r="BM37" s="249"/>
      <c r="BN37" s="111"/>
      <c r="BO37" s="259"/>
      <c r="BP37" s="111"/>
      <c r="BQ37" s="250"/>
      <c r="BR37" s="249"/>
      <c r="BS37" s="111"/>
      <c r="BT37" s="259"/>
      <c r="BU37" s="111"/>
      <c r="BV37" s="250"/>
      <c r="BW37" s="249"/>
      <c r="BX37" s="111"/>
      <c r="BY37" s="259"/>
      <c r="BZ37" s="111"/>
      <c r="CA37" s="250"/>
      <c r="CB37" s="249"/>
      <c r="CC37" s="111"/>
      <c r="CD37" s="259"/>
      <c r="CE37" s="111"/>
      <c r="CF37" s="250"/>
      <c r="CG37" s="249"/>
      <c r="CH37" s="111"/>
      <c r="CI37" s="259"/>
      <c r="CJ37" s="111"/>
      <c r="CK37" s="250"/>
      <c r="CL37" s="249"/>
      <c r="CM37" s="111"/>
      <c r="CN37" s="259"/>
      <c r="CO37" s="111"/>
      <c r="CP37" s="250"/>
    </row>
    <row r="38" spans="1:94" s="280" customFormat="1" ht="16" thickBot="1" x14ac:dyDescent="0.25">
      <c r="C38" s="279"/>
      <c r="D38" s="282"/>
    </row>
    <row r="39" spans="1:94" x14ac:dyDescent="0.2">
      <c r="A39" s="280"/>
      <c r="B39" s="280"/>
      <c r="C39" s="279" t="s">
        <v>327</v>
      </c>
      <c r="D39" s="260" t="s">
        <v>315</v>
      </c>
      <c r="E39" s="245"/>
      <c r="F39" s="113"/>
      <c r="G39" s="113"/>
      <c r="H39" s="113"/>
      <c r="I39" s="246"/>
      <c r="J39" s="245"/>
      <c r="K39" s="113"/>
      <c r="L39" s="113"/>
      <c r="M39" s="113"/>
      <c r="N39" s="246"/>
      <c r="O39" s="245"/>
      <c r="P39" s="113"/>
      <c r="Q39" s="113"/>
      <c r="R39" s="113"/>
      <c r="S39" s="246"/>
      <c r="T39" s="245"/>
      <c r="U39" s="113"/>
      <c r="V39" s="113"/>
      <c r="W39" s="113"/>
      <c r="X39" s="246"/>
      <c r="Y39" s="245"/>
      <c r="Z39" s="113"/>
      <c r="AA39" s="113"/>
      <c r="AB39" s="113"/>
      <c r="AC39" s="246"/>
      <c r="AD39" s="245"/>
      <c r="AE39" s="113"/>
      <c r="AF39" s="113"/>
      <c r="AG39" s="113"/>
      <c r="AH39" s="246"/>
      <c r="AI39" s="245"/>
      <c r="AJ39" s="113"/>
      <c r="AK39" s="113"/>
      <c r="AL39" s="113"/>
      <c r="AM39" s="246"/>
      <c r="AN39" s="245"/>
      <c r="AO39" s="113"/>
      <c r="AP39" s="113"/>
      <c r="AQ39" s="113"/>
      <c r="AR39" s="246"/>
      <c r="AS39" s="245"/>
      <c r="AT39" s="113"/>
      <c r="AU39" s="113"/>
      <c r="AV39" s="113"/>
      <c r="AW39" s="246"/>
      <c r="AX39" s="245"/>
      <c r="AY39" s="113"/>
      <c r="AZ39" s="113"/>
      <c r="BA39" s="113"/>
      <c r="BB39" s="246"/>
      <c r="BC39" s="245"/>
      <c r="BD39" s="113"/>
      <c r="BE39" s="113"/>
      <c r="BF39" s="113"/>
      <c r="BG39" s="246"/>
      <c r="BH39" s="245"/>
      <c r="BI39" s="113"/>
      <c r="BJ39" s="113"/>
      <c r="BK39" s="113"/>
      <c r="BL39" s="246"/>
      <c r="BM39" s="245"/>
      <c r="BN39" s="113"/>
      <c r="BO39" s="113"/>
      <c r="BP39" s="113"/>
      <c r="BQ39" s="246"/>
      <c r="BR39" s="245"/>
      <c r="BS39" s="113"/>
      <c r="BT39" s="113"/>
      <c r="BU39" s="113"/>
      <c r="BV39" s="246"/>
      <c r="BW39" s="245"/>
      <c r="BX39" s="113"/>
      <c r="BY39" s="113"/>
      <c r="BZ39" s="113"/>
      <c r="CA39" s="246"/>
      <c r="CB39" s="245"/>
      <c r="CC39" s="113"/>
      <c r="CD39" s="113"/>
      <c r="CE39" s="113"/>
      <c r="CF39" s="246"/>
      <c r="CG39" s="245"/>
      <c r="CH39" s="113"/>
      <c r="CI39" s="113"/>
      <c r="CJ39" s="113"/>
      <c r="CK39" s="246"/>
      <c r="CL39" s="245"/>
      <c r="CM39" s="113"/>
      <c r="CN39" s="113"/>
      <c r="CO39" s="113"/>
      <c r="CP39" s="246"/>
    </row>
    <row r="40" spans="1:94" x14ac:dyDescent="0.2">
      <c r="A40" s="280"/>
      <c r="B40" s="280"/>
      <c r="C40" s="280" t="s">
        <v>148</v>
      </c>
      <c r="D40" s="261" t="s">
        <v>316</v>
      </c>
      <c r="E40" s="247"/>
      <c r="F40" s="110"/>
      <c r="G40" s="110"/>
      <c r="H40" s="110"/>
      <c r="I40" s="248"/>
      <c r="J40" s="247"/>
      <c r="K40" s="110"/>
      <c r="L40" s="110"/>
      <c r="M40" s="110"/>
      <c r="N40" s="248"/>
      <c r="O40" s="247"/>
      <c r="P40" s="110"/>
      <c r="Q40" s="110"/>
      <c r="R40" s="110"/>
      <c r="S40" s="248"/>
      <c r="T40" s="247"/>
      <c r="U40" s="110"/>
      <c r="V40" s="110"/>
      <c r="W40" s="110"/>
      <c r="X40" s="248"/>
      <c r="Y40" s="247"/>
      <c r="Z40" s="110"/>
      <c r="AA40" s="110"/>
      <c r="AB40" s="110"/>
      <c r="AC40" s="248"/>
      <c r="AD40" s="247"/>
      <c r="AE40" s="110"/>
      <c r="AF40" s="110"/>
      <c r="AG40" s="110"/>
      <c r="AH40" s="248"/>
      <c r="AI40" s="247"/>
      <c r="AJ40" s="110"/>
      <c r="AK40" s="110"/>
      <c r="AL40" s="110"/>
      <c r="AM40" s="248"/>
      <c r="AN40" s="247"/>
      <c r="AO40" s="110"/>
      <c r="AP40" s="110"/>
      <c r="AQ40" s="110"/>
      <c r="AR40" s="248"/>
      <c r="AS40" s="247"/>
      <c r="AT40" s="110"/>
      <c r="AU40" s="110"/>
      <c r="AV40" s="110"/>
      <c r="AW40" s="248"/>
      <c r="AX40" s="247"/>
      <c r="AY40" s="110"/>
      <c r="AZ40" s="110"/>
      <c r="BA40" s="110"/>
      <c r="BB40" s="248"/>
      <c r="BC40" s="247"/>
      <c r="BD40" s="110"/>
      <c r="BE40" s="110"/>
      <c r="BF40" s="110"/>
      <c r="BG40" s="248"/>
      <c r="BH40" s="247"/>
      <c r="BI40" s="110"/>
      <c r="BJ40" s="110"/>
      <c r="BK40" s="110"/>
      <c r="BL40" s="248"/>
      <c r="BM40" s="247"/>
      <c r="BN40" s="110"/>
      <c r="BO40" s="110"/>
      <c r="BP40" s="110"/>
      <c r="BQ40" s="248"/>
      <c r="BR40" s="247"/>
      <c r="BS40" s="110"/>
      <c r="BT40" s="110"/>
      <c r="BU40" s="110"/>
      <c r="BV40" s="248"/>
      <c r="BW40" s="247"/>
      <c r="BX40" s="110"/>
      <c r="BY40" s="110"/>
      <c r="BZ40" s="110"/>
      <c r="CA40" s="248"/>
      <c r="CB40" s="247"/>
      <c r="CC40" s="110"/>
      <c r="CD40" s="110"/>
      <c r="CE40" s="110"/>
      <c r="CF40" s="248"/>
      <c r="CG40" s="247"/>
      <c r="CH40" s="110"/>
      <c r="CI40" s="110"/>
      <c r="CJ40" s="110"/>
      <c r="CK40" s="248"/>
      <c r="CL40" s="247"/>
      <c r="CM40" s="110"/>
      <c r="CN40" s="110"/>
      <c r="CO40" s="110"/>
      <c r="CP40" s="248"/>
    </row>
    <row r="41" spans="1:94" x14ac:dyDescent="0.2">
      <c r="A41" s="280"/>
      <c r="B41" s="280"/>
      <c r="C41" s="279"/>
      <c r="D41" s="261" t="s">
        <v>317</v>
      </c>
      <c r="E41" s="247"/>
      <c r="F41" s="110"/>
      <c r="G41" s="258"/>
      <c r="H41" s="110"/>
      <c r="I41" s="248"/>
      <c r="J41" s="247"/>
      <c r="K41" s="110"/>
      <c r="L41" s="258"/>
      <c r="M41" s="110"/>
      <c r="N41" s="248"/>
      <c r="O41" s="247"/>
      <c r="P41" s="110"/>
      <c r="Q41" s="258"/>
      <c r="R41" s="110"/>
      <c r="S41" s="248"/>
      <c r="T41" s="247"/>
      <c r="U41" s="110"/>
      <c r="V41" s="258"/>
      <c r="W41" s="110"/>
      <c r="X41" s="248"/>
      <c r="Y41" s="247"/>
      <c r="Z41" s="110"/>
      <c r="AA41" s="258"/>
      <c r="AB41" s="110"/>
      <c r="AC41" s="248"/>
      <c r="AD41" s="247"/>
      <c r="AE41" s="110"/>
      <c r="AF41" s="258"/>
      <c r="AG41" s="110"/>
      <c r="AH41" s="248"/>
      <c r="AI41" s="247"/>
      <c r="AJ41" s="110"/>
      <c r="AK41" s="258"/>
      <c r="AL41" s="110"/>
      <c r="AM41" s="248"/>
      <c r="AN41" s="247"/>
      <c r="AO41" s="110"/>
      <c r="AP41" s="258"/>
      <c r="AQ41" s="110"/>
      <c r="AR41" s="248"/>
      <c r="AS41" s="247"/>
      <c r="AT41" s="110"/>
      <c r="AU41" s="258"/>
      <c r="AV41" s="110"/>
      <c r="AW41" s="248"/>
      <c r="AX41" s="247"/>
      <c r="AY41" s="110"/>
      <c r="AZ41" s="258"/>
      <c r="BA41" s="110"/>
      <c r="BB41" s="248"/>
      <c r="BC41" s="247"/>
      <c r="BD41" s="110"/>
      <c r="BE41" s="258"/>
      <c r="BF41" s="110"/>
      <c r="BG41" s="248"/>
      <c r="BH41" s="247"/>
      <c r="BI41" s="110"/>
      <c r="BJ41" s="258"/>
      <c r="BK41" s="110"/>
      <c r="BL41" s="248"/>
      <c r="BM41" s="247"/>
      <c r="BN41" s="110"/>
      <c r="BO41" s="258"/>
      <c r="BP41" s="110"/>
      <c r="BQ41" s="248"/>
      <c r="BR41" s="247"/>
      <c r="BS41" s="110"/>
      <c r="BT41" s="258"/>
      <c r="BU41" s="110"/>
      <c r="BV41" s="248"/>
      <c r="BW41" s="247"/>
      <c r="BX41" s="110"/>
      <c r="BY41" s="258"/>
      <c r="BZ41" s="110"/>
      <c r="CA41" s="248"/>
      <c r="CB41" s="247"/>
      <c r="CC41" s="110"/>
      <c r="CD41" s="258"/>
      <c r="CE41" s="110"/>
      <c r="CF41" s="248"/>
      <c r="CG41" s="247"/>
      <c r="CH41" s="110"/>
      <c r="CI41" s="258"/>
      <c r="CJ41" s="110"/>
      <c r="CK41" s="248"/>
      <c r="CL41" s="247"/>
      <c r="CM41" s="110"/>
      <c r="CN41" s="258"/>
      <c r="CO41" s="110"/>
      <c r="CP41" s="248"/>
    </row>
    <row r="42" spans="1:94" ht="16" thickBot="1" x14ac:dyDescent="0.25">
      <c r="A42" s="280"/>
      <c r="B42" s="280"/>
      <c r="C42" s="279"/>
      <c r="D42" s="262" t="s">
        <v>318</v>
      </c>
      <c r="E42" s="249"/>
      <c r="F42" s="111"/>
      <c r="G42" s="259"/>
      <c r="H42" s="111"/>
      <c r="I42" s="250"/>
      <c r="J42" s="249"/>
      <c r="K42" s="111"/>
      <c r="L42" s="259"/>
      <c r="M42" s="111"/>
      <c r="N42" s="250"/>
      <c r="O42" s="249"/>
      <c r="P42" s="111"/>
      <c r="Q42" s="259"/>
      <c r="R42" s="111"/>
      <c r="S42" s="250"/>
      <c r="T42" s="249"/>
      <c r="U42" s="111"/>
      <c r="V42" s="259"/>
      <c r="W42" s="111"/>
      <c r="X42" s="250"/>
      <c r="Y42" s="249"/>
      <c r="Z42" s="111"/>
      <c r="AA42" s="259"/>
      <c r="AB42" s="111"/>
      <c r="AC42" s="250"/>
      <c r="AD42" s="249"/>
      <c r="AE42" s="111"/>
      <c r="AF42" s="259"/>
      <c r="AG42" s="111"/>
      <c r="AH42" s="250"/>
      <c r="AI42" s="249"/>
      <c r="AJ42" s="111"/>
      <c r="AK42" s="259"/>
      <c r="AL42" s="111"/>
      <c r="AM42" s="250"/>
      <c r="AN42" s="249"/>
      <c r="AO42" s="111"/>
      <c r="AP42" s="259"/>
      <c r="AQ42" s="111"/>
      <c r="AR42" s="250"/>
      <c r="AS42" s="249"/>
      <c r="AT42" s="111"/>
      <c r="AU42" s="259"/>
      <c r="AV42" s="111"/>
      <c r="AW42" s="250"/>
      <c r="AX42" s="249"/>
      <c r="AY42" s="111"/>
      <c r="AZ42" s="259"/>
      <c r="BA42" s="111"/>
      <c r="BB42" s="250"/>
      <c r="BC42" s="249"/>
      <c r="BD42" s="111"/>
      <c r="BE42" s="259"/>
      <c r="BF42" s="111"/>
      <c r="BG42" s="250"/>
      <c r="BH42" s="249"/>
      <c r="BI42" s="111"/>
      <c r="BJ42" s="259"/>
      <c r="BK42" s="111"/>
      <c r="BL42" s="250"/>
      <c r="BM42" s="249"/>
      <c r="BN42" s="111"/>
      <c r="BO42" s="259"/>
      <c r="BP42" s="111"/>
      <c r="BQ42" s="250"/>
      <c r="BR42" s="249"/>
      <c r="BS42" s="111"/>
      <c r="BT42" s="259"/>
      <c r="BU42" s="111"/>
      <c r="BV42" s="250"/>
      <c r="BW42" s="249"/>
      <c r="BX42" s="111"/>
      <c r="BY42" s="259"/>
      <c r="BZ42" s="111"/>
      <c r="CA42" s="250"/>
      <c r="CB42" s="249"/>
      <c r="CC42" s="111"/>
      <c r="CD42" s="259"/>
      <c r="CE42" s="111"/>
      <c r="CF42" s="250"/>
      <c r="CG42" s="249"/>
      <c r="CH42" s="111"/>
      <c r="CI42" s="259"/>
      <c r="CJ42" s="111"/>
      <c r="CK42" s="250"/>
      <c r="CL42" s="249"/>
      <c r="CM42" s="111"/>
      <c r="CN42" s="259"/>
      <c r="CO42" s="111"/>
      <c r="CP42" s="250"/>
    </row>
    <row r="43" spans="1:94" s="280" customFormat="1" ht="16" thickBot="1" x14ac:dyDescent="0.25">
      <c r="C43" s="279"/>
      <c r="D43" s="283"/>
      <c r="E43" s="284"/>
      <c r="F43" s="284"/>
      <c r="G43" s="284"/>
      <c r="H43" s="284"/>
      <c r="I43" s="284"/>
      <c r="J43" s="284"/>
      <c r="K43" s="284"/>
      <c r="L43" s="284"/>
      <c r="M43" s="284"/>
      <c r="N43" s="284"/>
      <c r="O43" s="284"/>
      <c r="P43" s="284"/>
      <c r="Q43" s="284"/>
      <c r="R43" s="284"/>
      <c r="S43" s="284"/>
      <c r="T43" s="284"/>
      <c r="U43" s="284"/>
      <c r="V43" s="284"/>
      <c r="W43" s="284"/>
      <c r="X43" s="284"/>
      <c r="Y43" s="284"/>
      <c r="Z43" s="284"/>
      <c r="AA43" s="284"/>
      <c r="AB43" s="284"/>
      <c r="AC43" s="284"/>
      <c r="AD43" s="284"/>
      <c r="AE43" s="284"/>
      <c r="AF43" s="284"/>
      <c r="AG43" s="284"/>
      <c r="AH43" s="284"/>
      <c r="AI43" s="284"/>
      <c r="AJ43" s="284"/>
      <c r="AK43" s="284"/>
      <c r="AL43" s="284"/>
      <c r="AM43" s="284"/>
      <c r="AN43" s="284"/>
      <c r="AO43" s="284"/>
      <c r="AP43" s="284"/>
      <c r="AQ43" s="284"/>
      <c r="AR43" s="284"/>
      <c r="AS43" s="284"/>
      <c r="AT43" s="284"/>
      <c r="AU43" s="284"/>
      <c r="AV43" s="284"/>
      <c r="AW43" s="284"/>
      <c r="AX43" s="284"/>
      <c r="AY43" s="284"/>
      <c r="AZ43" s="284"/>
      <c r="BA43" s="284"/>
      <c r="BB43" s="284"/>
      <c r="BC43" s="284"/>
      <c r="BD43" s="284"/>
      <c r="BE43" s="284"/>
      <c r="BF43" s="284"/>
      <c r="BG43" s="284"/>
      <c r="BH43" s="284"/>
      <c r="BI43" s="284"/>
      <c r="BJ43" s="284"/>
      <c r="BK43" s="284"/>
      <c r="BL43" s="284"/>
      <c r="BM43" s="284"/>
      <c r="BN43" s="284"/>
      <c r="BO43" s="284"/>
      <c r="BP43" s="284"/>
      <c r="BQ43" s="284"/>
      <c r="BR43" s="284"/>
      <c r="BS43" s="284"/>
      <c r="BT43" s="284"/>
      <c r="BU43" s="284"/>
      <c r="BV43" s="284"/>
      <c r="BW43" s="284"/>
      <c r="BX43" s="284"/>
      <c r="BY43" s="284"/>
      <c r="BZ43" s="284"/>
      <c r="CA43" s="284"/>
      <c r="CB43" s="284"/>
      <c r="CC43" s="284"/>
      <c r="CD43" s="284"/>
      <c r="CE43" s="284"/>
      <c r="CF43" s="284"/>
      <c r="CG43" s="284"/>
      <c r="CH43" s="284"/>
      <c r="CI43" s="284"/>
      <c r="CJ43" s="284"/>
      <c r="CK43" s="284"/>
      <c r="CL43" s="284"/>
      <c r="CM43" s="284"/>
      <c r="CN43" s="284"/>
      <c r="CO43" s="284"/>
      <c r="CP43" s="284"/>
    </row>
    <row r="44" spans="1:94" x14ac:dyDescent="0.2">
      <c r="A44" s="280"/>
      <c r="B44" s="280"/>
      <c r="C44" s="279" t="s">
        <v>329</v>
      </c>
      <c r="D44" s="260" t="s">
        <v>315</v>
      </c>
      <c r="E44" s="245"/>
      <c r="F44" s="113"/>
      <c r="G44" s="113"/>
      <c r="H44" s="113"/>
      <c r="I44" s="246"/>
      <c r="J44" s="245"/>
      <c r="K44" s="113"/>
      <c r="L44" s="113"/>
      <c r="M44" s="113"/>
      <c r="N44" s="246"/>
      <c r="O44" s="245"/>
      <c r="P44" s="113"/>
      <c r="Q44" s="113"/>
      <c r="R44" s="113"/>
      <c r="S44" s="246"/>
      <c r="T44" s="245"/>
      <c r="U44" s="113"/>
      <c r="V44" s="113"/>
      <c r="W44" s="113"/>
      <c r="X44" s="246"/>
      <c r="Y44" s="245"/>
      <c r="Z44" s="113"/>
      <c r="AA44" s="113"/>
      <c r="AB44" s="113"/>
      <c r="AC44" s="246"/>
      <c r="AD44" s="245"/>
      <c r="AE44" s="113"/>
      <c r="AF44" s="113"/>
      <c r="AG44" s="113"/>
      <c r="AH44" s="246"/>
      <c r="AI44" s="245"/>
      <c r="AJ44" s="113"/>
      <c r="AK44" s="113"/>
      <c r="AL44" s="113"/>
      <c r="AM44" s="246"/>
      <c r="AN44" s="245"/>
      <c r="AO44" s="113"/>
      <c r="AP44" s="113"/>
      <c r="AQ44" s="113"/>
      <c r="AR44" s="246"/>
      <c r="AS44" s="245"/>
      <c r="AT44" s="113"/>
      <c r="AU44" s="113"/>
      <c r="AV44" s="113"/>
      <c r="AW44" s="246"/>
      <c r="AX44" s="245"/>
      <c r="AY44" s="113"/>
      <c r="AZ44" s="113"/>
      <c r="BA44" s="113"/>
      <c r="BB44" s="246"/>
      <c r="BC44" s="245"/>
      <c r="BD44" s="113"/>
      <c r="BE44" s="113"/>
      <c r="BF44" s="113"/>
      <c r="BG44" s="246"/>
      <c r="BH44" s="245"/>
      <c r="BI44" s="113"/>
      <c r="BJ44" s="113"/>
      <c r="BK44" s="113"/>
      <c r="BL44" s="246"/>
      <c r="BM44" s="245"/>
      <c r="BN44" s="113"/>
      <c r="BO44" s="113"/>
      <c r="BP44" s="113"/>
      <c r="BQ44" s="246"/>
      <c r="BR44" s="245"/>
      <c r="BS44" s="113"/>
      <c r="BT44" s="113"/>
      <c r="BU44" s="113"/>
      <c r="BV44" s="246"/>
      <c r="BW44" s="245"/>
      <c r="BX44" s="113"/>
      <c r="BY44" s="113"/>
      <c r="BZ44" s="113"/>
      <c r="CA44" s="246"/>
      <c r="CB44" s="245"/>
      <c r="CC44" s="113"/>
      <c r="CD44" s="113"/>
      <c r="CE44" s="113"/>
      <c r="CF44" s="246"/>
      <c r="CG44" s="245"/>
      <c r="CH44" s="113"/>
      <c r="CI44" s="113"/>
      <c r="CJ44" s="113"/>
      <c r="CK44" s="246"/>
      <c r="CL44" s="245"/>
      <c r="CM44" s="113"/>
      <c r="CN44" s="113"/>
      <c r="CO44" s="113"/>
      <c r="CP44" s="246"/>
    </row>
    <row r="45" spans="1:94" x14ac:dyDescent="0.2">
      <c r="A45" s="280"/>
      <c r="B45" s="280"/>
      <c r="C45" s="280" t="s">
        <v>333</v>
      </c>
      <c r="D45" s="261" t="s">
        <v>316</v>
      </c>
      <c r="E45" s="247"/>
      <c r="F45" s="110"/>
      <c r="G45" s="110"/>
      <c r="H45" s="110"/>
      <c r="I45" s="248"/>
      <c r="J45" s="247"/>
      <c r="K45" s="110"/>
      <c r="L45" s="110"/>
      <c r="M45" s="110"/>
      <c r="N45" s="248"/>
      <c r="O45" s="247"/>
      <c r="P45" s="110"/>
      <c r="Q45" s="110"/>
      <c r="R45" s="110"/>
      <c r="S45" s="248"/>
      <c r="T45" s="247"/>
      <c r="U45" s="110"/>
      <c r="V45" s="110"/>
      <c r="W45" s="110"/>
      <c r="X45" s="248"/>
      <c r="Y45" s="247"/>
      <c r="Z45" s="110"/>
      <c r="AA45" s="110"/>
      <c r="AB45" s="110"/>
      <c r="AC45" s="248"/>
      <c r="AD45" s="247"/>
      <c r="AE45" s="110"/>
      <c r="AF45" s="110"/>
      <c r="AG45" s="110"/>
      <c r="AH45" s="248"/>
      <c r="AI45" s="247"/>
      <c r="AJ45" s="110"/>
      <c r="AK45" s="110"/>
      <c r="AL45" s="110"/>
      <c r="AM45" s="248"/>
      <c r="AN45" s="247"/>
      <c r="AO45" s="110"/>
      <c r="AP45" s="110"/>
      <c r="AQ45" s="110"/>
      <c r="AR45" s="248"/>
      <c r="AS45" s="247"/>
      <c r="AT45" s="110"/>
      <c r="AU45" s="110"/>
      <c r="AV45" s="110"/>
      <c r="AW45" s="248"/>
      <c r="AX45" s="247"/>
      <c r="AY45" s="110"/>
      <c r="AZ45" s="110"/>
      <c r="BA45" s="110"/>
      <c r="BB45" s="248"/>
      <c r="BC45" s="247"/>
      <c r="BD45" s="110"/>
      <c r="BE45" s="110"/>
      <c r="BF45" s="110"/>
      <c r="BG45" s="248"/>
      <c r="BH45" s="247"/>
      <c r="BI45" s="110"/>
      <c r="BJ45" s="110"/>
      <c r="BK45" s="110"/>
      <c r="BL45" s="248"/>
      <c r="BM45" s="247"/>
      <c r="BN45" s="110"/>
      <c r="BO45" s="110"/>
      <c r="BP45" s="110"/>
      <c r="BQ45" s="248"/>
      <c r="BR45" s="247"/>
      <c r="BS45" s="110"/>
      <c r="BT45" s="110"/>
      <c r="BU45" s="110"/>
      <c r="BV45" s="248"/>
      <c r="BW45" s="247"/>
      <c r="BX45" s="110"/>
      <c r="BY45" s="110"/>
      <c r="BZ45" s="110"/>
      <c r="CA45" s="248"/>
      <c r="CB45" s="247"/>
      <c r="CC45" s="110"/>
      <c r="CD45" s="110"/>
      <c r="CE45" s="110"/>
      <c r="CF45" s="248"/>
      <c r="CG45" s="247"/>
      <c r="CH45" s="110"/>
      <c r="CI45" s="110"/>
      <c r="CJ45" s="110"/>
      <c r="CK45" s="248"/>
      <c r="CL45" s="247"/>
      <c r="CM45" s="110"/>
      <c r="CN45" s="110"/>
      <c r="CO45" s="110"/>
      <c r="CP45" s="248"/>
    </row>
    <row r="46" spans="1:94" x14ac:dyDescent="0.2">
      <c r="A46" s="280"/>
      <c r="B46" s="280"/>
      <c r="C46" s="279"/>
      <c r="D46" s="261" t="s">
        <v>317</v>
      </c>
      <c r="E46" s="247"/>
      <c r="F46" s="110"/>
      <c r="G46" s="258"/>
      <c r="H46" s="110"/>
      <c r="I46" s="248"/>
      <c r="J46" s="247"/>
      <c r="K46" s="110"/>
      <c r="L46" s="258"/>
      <c r="M46" s="110"/>
      <c r="N46" s="248"/>
      <c r="O46" s="247"/>
      <c r="P46" s="110"/>
      <c r="Q46" s="258"/>
      <c r="R46" s="110"/>
      <c r="S46" s="248"/>
      <c r="T46" s="247"/>
      <c r="U46" s="110"/>
      <c r="V46" s="258"/>
      <c r="W46" s="110"/>
      <c r="X46" s="248"/>
      <c r="Y46" s="247"/>
      <c r="Z46" s="110"/>
      <c r="AA46" s="258"/>
      <c r="AB46" s="110"/>
      <c r="AC46" s="248"/>
      <c r="AD46" s="247"/>
      <c r="AE46" s="110"/>
      <c r="AF46" s="258"/>
      <c r="AG46" s="110"/>
      <c r="AH46" s="248"/>
      <c r="AI46" s="247"/>
      <c r="AJ46" s="110"/>
      <c r="AK46" s="258"/>
      <c r="AL46" s="110"/>
      <c r="AM46" s="248"/>
      <c r="AN46" s="247"/>
      <c r="AO46" s="110"/>
      <c r="AP46" s="258"/>
      <c r="AQ46" s="110"/>
      <c r="AR46" s="248"/>
      <c r="AS46" s="247"/>
      <c r="AT46" s="110"/>
      <c r="AU46" s="258"/>
      <c r="AV46" s="110"/>
      <c r="AW46" s="248"/>
      <c r="AX46" s="247"/>
      <c r="AY46" s="110"/>
      <c r="AZ46" s="258"/>
      <c r="BA46" s="110"/>
      <c r="BB46" s="248"/>
      <c r="BC46" s="247"/>
      <c r="BD46" s="110"/>
      <c r="BE46" s="258"/>
      <c r="BF46" s="110"/>
      <c r="BG46" s="248"/>
      <c r="BH46" s="247"/>
      <c r="BI46" s="110"/>
      <c r="BJ46" s="258"/>
      <c r="BK46" s="110"/>
      <c r="BL46" s="248"/>
      <c r="BM46" s="247"/>
      <c r="BN46" s="110"/>
      <c r="BO46" s="258"/>
      <c r="BP46" s="110"/>
      <c r="BQ46" s="248"/>
      <c r="BR46" s="247"/>
      <c r="BS46" s="110"/>
      <c r="BT46" s="258"/>
      <c r="BU46" s="110"/>
      <c r="BV46" s="248"/>
      <c r="BW46" s="247"/>
      <c r="BX46" s="110"/>
      <c r="BY46" s="258"/>
      <c r="BZ46" s="110"/>
      <c r="CA46" s="248"/>
      <c r="CB46" s="247"/>
      <c r="CC46" s="110"/>
      <c r="CD46" s="258"/>
      <c r="CE46" s="110"/>
      <c r="CF46" s="248"/>
      <c r="CG46" s="247"/>
      <c r="CH46" s="110"/>
      <c r="CI46" s="258"/>
      <c r="CJ46" s="110"/>
      <c r="CK46" s="248"/>
      <c r="CL46" s="247"/>
      <c r="CM46" s="110"/>
      <c r="CN46" s="258"/>
      <c r="CO46" s="110"/>
      <c r="CP46" s="248"/>
    </row>
    <row r="47" spans="1:94" ht="16" thickBot="1" x14ac:dyDescent="0.25">
      <c r="A47" s="280"/>
      <c r="B47" s="280"/>
      <c r="C47" s="279"/>
      <c r="D47" s="262" t="s">
        <v>318</v>
      </c>
      <c r="E47" s="249"/>
      <c r="F47" s="111"/>
      <c r="G47" s="259"/>
      <c r="H47" s="111"/>
      <c r="I47" s="250"/>
      <c r="J47" s="249"/>
      <c r="K47" s="111"/>
      <c r="L47" s="259"/>
      <c r="M47" s="111"/>
      <c r="N47" s="250"/>
      <c r="O47" s="249"/>
      <c r="P47" s="111"/>
      <c r="Q47" s="259"/>
      <c r="R47" s="111"/>
      <c r="S47" s="250"/>
      <c r="T47" s="249"/>
      <c r="U47" s="111"/>
      <c r="V47" s="259"/>
      <c r="W47" s="111"/>
      <c r="X47" s="250"/>
      <c r="Y47" s="249"/>
      <c r="Z47" s="111"/>
      <c r="AA47" s="259"/>
      <c r="AB47" s="111"/>
      <c r="AC47" s="250"/>
      <c r="AD47" s="249"/>
      <c r="AE47" s="111"/>
      <c r="AF47" s="259"/>
      <c r="AG47" s="111"/>
      <c r="AH47" s="250"/>
      <c r="AI47" s="249"/>
      <c r="AJ47" s="111"/>
      <c r="AK47" s="259"/>
      <c r="AL47" s="111"/>
      <c r="AM47" s="250"/>
      <c r="AN47" s="249"/>
      <c r="AO47" s="111"/>
      <c r="AP47" s="259"/>
      <c r="AQ47" s="111"/>
      <c r="AR47" s="250"/>
      <c r="AS47" s="249"/>
      <c r="AT47" s="111"/>
      <c r="AU47" s="259"/>
      <c r="AV47" s="111"/>
      <c r="AW47" s="250"/>
      <c r="AX47" s="249"/>
      <c r="AY47" s="111"/>
      <c r="AZ47" s="259"/>
      <c r="BA47" s="111"/>
      <c r="BB47" s="250"/>
      <c r="BC47" s="249"/>
      <c r="BD47" s="111"/>
      <c r="BE47" s="259"/>
      <c r="BF47" s="111"/>
      <c r="BG47" s="250"/>
      <c r="BH47" s="249"/>
      <c r="BI47" s="111"/>
      <c r="BJ47" s="259"/>
      <c r="BK47" s="111"/>
      <c r="BL47" s="250"/>
      <c r="BM47" s="249"/>
      <c r="BN47" s="111"/>
      <c r="BO47" s="259"/>
      <c r="BP47" s="111"/>
      <c r="BQ47" s="250"/>
      <c r="BR47" s="249"/>
      <c r="BS47" s="111"/>
      <c r="BT47" s="259"/>
      <c r="BU47" s="111"/>
      <c r="BV47" s="250"/>
      <c r="BW47" s="249"/>
      <c r="BX47" s="111"/>
      <c r="BY47" s="259"/>
      <c r="BZ47" s="111"/>
      <c r="CA47" s="250"/>
      <c r="CB47" s="249"/>
      <c r="CC47" s="111"/>
      <c r="CD47" s="259"/>
      <c r="CE47" s="111"/>
      <c r="CF47" s="250"/>
      <c r="CG47" s="249"/>
      <c r="CH47" s="111"/>
      <c r="CI47" s="259"/>
      <c r="CJ47" s="111"/>
      <c r="CK47" s="250"/>
      <c r="CL47" s="249"/>
      <c r="CM47" s="111"/>
      <c r="CN47" s="259"/>
      <c r="CO47" s="111"/>
      <c r="CP47" s="250"/>
    </row>
    <row r="48" spans="1:94" s="280" customFormat="1" x14ac:dyDescent="0.2">
      <c r="C48" s="279"/>
      <c r="D48" s="279"/>
    </row>
    <row r="49" spans="3:4" s="280" customFormat="1" x14ac:dyDescent="0.2">
      <c r="C49" s="279"/>
      <c r="D49" s="279"/>
    </row>
    <row r="50" spans="3:4" s="280" customFormat="1" x14ac:dyDescent="0.2">
      <c r="C50" s="279"/>
      <c r="D50" s="279"/>
    </row>
    <row r="51" spans="3:4" s="280" customFormat="1" x14ac:dyDescent="0.2">
      <c r="C51" s="279"/>
      <c r="D51" s="279"/>
    </row>
    <row r="52" spans="3:4" s="280" customFormat="1" x14ac:dyDescent="0.2">
      <c r="C52" s="279"/>
      <c r="D52" s="279"/>
    </row>
    <row r="53" spans="3:4" s="280" customFormat="1" x14ac:dyDescent="0.2">
      <c r="C53" s="279"/>
      <c r="D53" s="279"/>
    </row>
    <row r="54" spans="3:4" s="280" customFormat="1" x14ac:dyDescent="0.2">
      <c r="C54" s="279"/>
      <c r="D54" s="279"/>
    </row>
    <row r="55" spans="3:4" s="280" customFormat="1" x14ac:dyDescent="0.2">
      <c r="C55" s="279"/>
      <c r="D55" s="279"/>
    </row>
    <row r="56" spans="3:4" s="280" customFormat="1" x14ac:dyDescent="0.2">
      <c r="C56" s="279"/>
      <c r="D56" s="279"/>
    </row>
    <row r="57" spans="3:4" s="280" customFormat="1" x14ac:dyDescent="0.2">
      <c r="C57" s="279" t="s">
        <v>334</v>
      </c>
      <c r="D57" s="286" t="s">
        <v>320</v>
      </c>
    </row>
    <row r="58" spans="3:4" s="280" customFormat="1" x14ac:dyDescent="0.2">
      <c r="C58" s="279"/>
      <c r="D58" s="286" t="s">
        <v>321</v>
      </c>
    </row>
    <row r="59" spans="3:4" s="280" customFormat="1" x14ac:dyDescent="0.2">
      <c r="C59" s="279"/>
      <c r="D59" s="286" t="s">
        <v>319</v>
      </c>
    </row>
    <row r="60" spans="3:4" s="280" customFormat="1" x14ac:dyDescent="0.2">
      <c r="C60" s="279"/>
      <c r="D60" s="286" t="s">
        <v>312</v>
      </c>
    </row>
    <row r="61" spans="3:4" s="280" customFormat="1" x14ac:dyDescent="0.2">
      <c r="C61" s="279"/>
      <c r="D61" s="286" t="s">
        <v>323</v>
      </c>
    </row>
    <row r="62" spans="3:4" s="280" customFormat="1" x14ac:dyDescent="0.2">
      <c r="C62" s="279"/>
      <c r="D62" s="286" t="s">
        <v>324</v>
      </c>
    </row>
    <row r="63" spans="3:4" s="280" customFormat="1" x14ac:dyDescent="0.2">
      <c r="C63" s="279"/>
      <c r="D63" s="286" t="s">
        <v>335</v>
      </c>
    </row>
    <row r="64" spans="3:4" s="280" customFormat="1" x14ac:dyDescent="0.2">
      <c r="C64" s="279"/>
      <c r="D64" s="286" t="s">
        <v>322</v>
      </c>
    </row>
    <row r="65" spans="3:4" s="280" customFormat="1" x14ac:dyDescent="0.2">
      <c r="C65" s="279"/>
      <c r="D65" s="286" t="s">
        <v>332</v>
      </c>
    </row>
    <row r="66" spans="3:4" s="280" customFormat="1" x14ac:dyDescent="0.2">
      <c r="C66" s="279"/>
      <c r="D66" s="286" t="s">
        <v>336</v>
      </c>
    </row>
    <row r="67" spans="3:4" s="280" customFormat="1" x14ac:dyDescent="0.2">
      <c r="C67" s="279"/>
      <c r="D67" s="286" t="s">
        <v>330</v>
      </c>
    </row>
    <row r="68" spans="3:4" s="280" customFormat="1" x14ac:dyDescent="0.2">
      <c r="C68" s="279"/>
      <c r="D68" s="286" t="s">
        <v>328</v>
      </c>
    </row>
    <row r="69" spans="3:4" s="280" customFormat="1" x14ac:dyDescent="0.2">
      <c r="C69" s="279"/>
      <c r="D69" s="286" t="s">
        <v>325</v>
      </c>
    </row>
    <row r="70" spans="3:4" s="280" customFormat="1" x14ac:dyDescent="0.2">
      <c r="C70" s="279"/>
      <c r="D70" s="286" t="s">
        <v>331</v>
      </c>
    </row>
    <row r="71" spans="3:4" s="280" customFormat="1" x14ac:dyDescent="0.2">
      <c r="C71" s="279"/>
      <c r="D71" s="279"/>
    </row>
    <row r="72" spans="3:4" s="280" customFormat="1" x14ac:dyDescent="0.2">
      <c r="C72" s="279"/>
      <c r="D72" s="279"/>
    </row>
  </sheetData>
  <mergeCells count="18">
    <mergeCell ref="AD3:AH3"/>
    <mergeCell ref="E3:I3"/>
    <mergeCell ref="J3:N3"/>
    <mergeCell ref="O3:S3"/>
    <mergeCell ref="T3:X3"/>
    <mergeCell ref="Y3:AC3"/>
    <mergeCell ref="CL3:CP3"/>
    <mergeCell ref="AI3:AM3"/>
    <mergeCell ref="AN3:AR3"/>
    <mergeCell ref="AS3:AW3"/>
    <mergeCell ref="AX3:BB3"/>
    <mergeCell ref="BC3:BG3"/>
    <mergeCell ref="BH3:BL3"/>
    <mergeCell ref="BM3:BQ3"/>
    <mergeCell ref="BR3:BV3"/>
    <mergeCell ref="BW3:CA3"/>
    <mergeCell ref="CB3:CF3"/>
    <mergeCell ref="CG3:CK3"/>
  </mergeCells>
  <conditionalFormatting sqref="C6:DC20">
    <cfRule type="containsText" dxfId="1095" priority="1" operator="containsText" text="ØKO">
      <formula>NOT(ISERROR(SEARCH("ØKO",C6)))</formula>
    </cfRule>
    <cfRule type="containsText" dxfId="1094" priority="2" operator="containsText" text="ANALYSE">
      <formula>NOT(ISERROR(SEARCH("ANALYSE",C6)))</formula>
    </cfRule>
    <cfRule type="containsText" dxfId="1093" priority="3" operator="containsText" text="AGILE">
      <formula>NOT(ISERROR(SEARCH("AGILE",C6)))</formula>
    </cfRule>
    <cfRule type="containsText" dxfId="1092" priority="4" operator="containsText" text="DATA">
      <formula>NOT(ISERROR(SEARCH("DATA",C6)))</formula>
    </cfRule>
    <cfRule type="containsText" dxfId="1091" priority="5" operator="containsText" text="DRIFT">
      <formula>NOT(ISERROR(SEARCH("DRIFT",C6)))</formula>
    </cfRule>
    <cfRule type="containsText" dxfId="1090" priority="6" operator="containsText" text="ARKIT">
      <formula>NOT(ISERROR(SEARCH("ARKIT",C6)))</formula>
    </cfRule>
    <cfRule type="containsText" dxfId="1089" priority="7" operator="containsText" text="PROJEKT">
      <formula>NOT(ISERROR(SEARCH("PROJEKT",C6)))</formula>
    </cfRule>
    <cfRule type="containsText" dxfId="1088" priority="8" operator="containsText" text="DATARK">
      <formula>NOT(ISERROR(SEARCH("DATARK",C6)))</formula>
    </cfRule>
    <cfRule type="containsText" dxfId="1087" priority="9" operator="containsText" text="INNOV">
      <formula>NOT(ISERROR(SEARCH("INNOV",C6)))</formula>
    </cfRule>
    <cfRule type="containsText" dxfId="1086" priority="10" operator="containsText" text="PROCES">
      <formula>NOT(ISERROR(SEARCH("PROCES",C6)))</formula>
    </cfRule>
    <cfRule type="containsText" dxfId="1085" priority="11" operator="containsText" text="DIGORG">
      <formula>NOT(ISERROR(SEARCH("DIGORG",C6)))</formula>
    </cfRule>
    <cfRule type="containsText" dxfId="1084" priority="12" operator="containsText" text="TEKDAT">
      <formula>NOT(ISERROR(SEARCH("TEKDAT",C6)))</formula>
    </cfRule>
    <cfRule type="containsText" dxfId="1083" priority="13" operator="containsText" text="RESIL">
      <formula>NOT(ISERROR(SEARCH("RESIL",C6)))</formula>
    </cfRule>
    <cfRule type="containsText" dxfId="1082" priority="14" operator="containsText" text="DIGTRA">
      <formula>NOT(ISERROR(SEARCH("DIGTRA",C6)))</formula>
    </cfRule>
    <cfRule type="containsText" dxfId="1081" priority="15" operator="containsText" text="LØSNING">
      <formula>NOT(ISERROR(SEARCH("LØSNING",C6)))</formula>
    </cfRule>
    <cfRule type="containsText" dxfId="1080" priority="16" operator="containsText" text="SAP">
      <formula>NOT(ISERROR(SEARCH("SAP",C6)))</formula>
    </cfRule>
    <cfRule type="containsText" dxfId="1079" priority="17" operator="containsText" text="AIPRAK">
      <formula>NOT(ISERROR(SEARCH("AIPRAK",C6)))</formula>
    </cfRule>
    <cfRule type="containsText" dxfId="1078" priority="18" operator="containsText" text="VIDEN">
      <formula>NOT(ISERROR(SEARCH("VIDEN",C6)))</formula>
    </cfRule>
    <cfRule type="containsText" dxfId="1077" priority="19" operator="containsText" text="KONSUL">
      <formula>NOT(ISERROR(SEARCH("KONSUL",C6)))</formula>
    </cfRule>
    <cfRule type="containsText" dxfId="1076" priority="20" operator="containsText" text="DIGMARK">
      <formula>NOT(ISERROR(SEARCH("DIGMARK",C6)))</formula>
    </cfRule>
    <cfRule type="containsText" dxfId="1075" priority="21" operator="containsText" text="KOMPLKS">
      <formula>NOT(ISERROR(SEARCH("KOMPLKS",C6)))</formula>
    </cfRule>
    <cfRule type="containsText" dxfId="1074" priority="22" operator="containsText" text="COACH">
      <formula>NOT(ISERROR(SEARCH("COACH",C6)))</formula>
    </cfRule>
    <cfRule type="containsText" dxfId="1073" priority="23" operator="containsText" text="CASEPRÆS">
      <formula>NOT(ISERROR(SEARCH("CASEPRÆS",C6)))</formula>
    </cfRule>
    <cfRule type="containsText" dxfId="1072" priority="24" operator="containsText" text="FEEDBACK">
      <formula>NOT(ISERROR(SEARCH("FEEDBACK",C6)))</formula>
    </cfRule>
    <cfRule type="containsText" dxfId="1071" priority="25" operator="containsText" text="ØVELSER">
      <formula>NOT(ISERROR(SEARCH("ØVELSER",C6)))</formula>
    </cfRule>
    <cfRule type="containsText" dxfId="1070" priority="26" operator="containsText" text="EKSAM">
      <formula>NOT(ISERROR(SEARCH("EKSAM",C6)))</formula>
    </cfRule>
    <cfRule type="containsText" dxfId="1069" priority="27" operator="containsText" text="INTRO">
      <formula>NOT(ISERROR(SEARCH("INTRO",C6)))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11EB69-B5E7-5D4A-A13A-141F6FC1114D}">
  <sheetPr codeName="Sheet9"/>
  <dimension ref="A1:FI61"/>
  <sheetViews>
    <sheetView workbookViewId="0">
      <pane xSplit="4" topLeftCell="E1" activePane="topRight" state="frozen"/>
      <selection pane="topRight" activeCell="B2" sqref="B2:D2"/>
    </sheetView>
  </sheetViews>
  <sheetFormatPr baseColWidth="10" defaultColWidth="10.83203125" defaultRowHeight="16" x14ac:dyDescent="0.2"/>
  <cols>
    <col min="1" max="1" width="3.83203125" style="134" customWidth="1"/>
    <col min="2" max="25" width="12.83203125" style="134" customWidth="1"/>
    <col min="26" max="26" width="13" style="134" customWidth="1"/>
    <col min="27" max="109" width="12.83203125" style="134" customWidth="1"/>
    <col min="110" max="16384" width="10.83203125" style="134"/>
  </cols>
  <sheetData>
    <row r="1" spans="1:165" ht="17" thickBot="1" x14ac:dyDescent="0.25"/>
    <row r="2" spans="1:165" ht="17" thickBot="1" x14ac:dyDescent="0.25">
      <c r="B2" s="477"/>
      <c r="C2" s="477"/>
      <c r="D2" s="477"/>
      <c r="E2" s="464" t="str">
        <f>_xlfn.CONCAT("Uge ",_xlfn.ISOWEEKNUM(E5))</f>
        <v>Uge 5</v>
      </c>
      <c r="F2" s="465"/>
      <c r="G2" s="465"/>
      <c r="H2" s="465"/>
      <c r="I2" s="466"/>
      <c r="J2" s="464" t="str">
        <f t="shared" ref="J2" si="0">_xlfn.CONCAT("Uge ",_xlfn.ISOWEEKNUM(J5))</f>
        <v>Uge 6</v>
      </c>
      <c r="K2" s="465"/>
      <c r="L2" s="465"/>
      <c r="M2" s="465"/>
      <c r="N2" s="466"/>
      <c r="O2" s="464" t="str">
        <f t="shared" ref="O2" si="1">_xlfn.CONCAT("Uge ",_xlfn.ISOWEEKNUM(O5))</f>
        <v>Uge 7</v>
      </c>
      <c r="P2" s="465"/>
      <c r="Q2" s="465"/>
      <c r="R2" s="465"/>
      <c r="S2" s="466"/>
      <c r="T2" s="464" t="str">
        <f t="shared" ref="T2" si="2">_xlfn.CONCAT("Uge ",_xlfn.ISOWEEKNUM(T5))</f>
        <v>Uge 8</v>
      </c>
      <c r="U2" s="465"/>
      <c r="V2" s="465"/>
      <c r="W2" s="465"/>
      <c r="X2" s="466"/>
      <c r="Y2" s="464" t="str">
        <f t="shared" ref="Y2:CG2" si="3">_xlfn.CONCAT("Uge ",_xlfn.ISOWEEKNUM(Y5))</f>
        <v>Uge 9</v>
      </c>
      <c r="Z2" s="465"/>
      <c r="AA2" s="465"/>
      <c r="AB2" s="465"/>
      <c r="AC2" s="466"/>
      <c r="AD2" s="464" t="str">
        <f t="shared" ref="AD2:CL2" si="4">_xlfn.CONCAT("Uge ",_xlfn.ISOWEEKNUM(AD5))</f>
        <v>Uge 10</v>
      </c>
      <c r="AE2" s="465"/>
      <c r="AF2" s="465"/>
      <c r="AG2" s="465"/>
      <c r="AH2" s="466"/>
      <c r="AI2" s="464" t="str">
        <f t="shared" ref="AI2" si="5">_xlfn.CONCAT("Uge ",_xlfn.ISOWEEKNUM(AI5))</f>
        <v>Uge 11</v>
      </c>
      <c r="AJ2" s="465"/>
      <c r="AK2" s="465"/>
      <c r="AL2" s="465"/>
      <c r="AM2" s="466"/>
      <c r="AN2" s="464" t="str">
        <f t="shared" si="3"/>
        <v>Uge 12</v>
      </c>
      <c r="AO2" s="465"/>
      <c r="AP2" s="465"/>
      <c r="AQ2" s="465"/>
      <c r="AR2" s="466"/>
      <c r="AS2" s="464" t="str">
        <f t="shared" si="4"/>
        <v>Uge 13</v>
      </c>
      <c r="AT2" s="465"/>
      <c r="AU2" s="465"/>
      <c r="AV2" s="465"/>
      <c r="AW2" s="466"/>
      <c r="AX2" s="464" t="str">
        <f t="shared" ref="AX2" si="6">_xlfn.CONCAT("Uge ",_xlfn.ISOWEEKNUM(AX5))</f>
        <v>Uge 14</v>
      </c>
      <c r="AY2" s="465"/>
      <c r="AZ2" s="465"/>
      <c r="BA2" s="465"/>
      <c r="BB2" s="466"/>
      <c r="BC2" s="464" t="str">
        <f t="shared" si="3"/>
        <v>Uge 15</v>
      </c>
      <c r="BD2" s="465"/>
      <c r="BE2" s="465"/>
      <c r="BF2" s="465"/>
      <c r="BG2" s="466"/>
      <c r="BH2" s="464" t="str">
        <f t="shared" si="4"/>
        <v>Uge 16</v>
      </c>
      <c r="BI2" s="465"/>
      <c r="BJ2" s="465"/>
      <c r="BK2" s="465"/>
      <c r="BL2" s="466"/>
      <c r="BM2" s="464" t="str">
        <f t="shared" ref="BM2" si="7">_xlfn.CONCAT("Uge ",_xlfn.ISOWEEKNUM(BM5))</f>
        <v>Uge 17</v>
      </c>
      <c r="BN2" s="465"/>
      <c r="BO2" s="465"/>
      <c r="BP2" s="465"/>
      <c r="BQ2" s="466"/>
      <c r="BR2" s="464" t="str">
        <f t="shared" si="3"/>
        <v>Uge 18</v>
      </c>
      <c r="BS2" s="465"/>
      <c r="BT2" s="465"/>
      <c r="BU2" s="465"/>
      <c r="BV2" s="466"/>
      <c r="BW2" s="464" t="str">
        <f t="shared" si="4"/>
        <v>Uge 19</v>
      </c>
      <c r="BX2" s="465"/>
      <c r="BY2" s="465"/>
      <c r="BZ2" s="465"/>
      <c r="CA2" s="466"/>
      <c r="CB2" s="464" t="str">
        <f t="shared" ref="CB2" si="8">_xlfn.CONCAT("Uge ",_xlfn.ISOWEEKNUM(CB5))</f>
        <v>Uge 20</v>
      </c>
      <c r="CC2" s="465"/>
      <c r="CD2" s="465"/>
      <c r="CE2" s="465"/>
      <c r="CF2" s="466"/>
      <c r="CG2" s="464" t="str">
        <f t="shared" si="3"/>
        <v>Uge 21</v>
      </c>
      <c r="CH2" s="465"/>
      <c r="CI2" s="465"/>
      <c r="CJ2" s="465"/>
      <c r="CK2" s="466"/>
      <c r="CL2" s="464" t="str">
        <f t="shared" si="4"/>
        <v>Uge 22</v>
      </c>
      <c r="CM2" s="465"/>
      <c r="CN2" s="465"/>
      <c r="CO2" s="465"/>
      <c r="CP2" s="466"/>
      <c r="CQ2" s="464" t="str">
        <f t="shared" ref="CQ2" si="9">_xlfn.CONCAT("Uge ",_xlfn.ISOWEEKNUM(CQ5))</f>
        <v>Uge 23</v>
      </c>
      <c r="CR2" s="465"/>
      <c r="CS2" s="465"/>
      <c r="CT2" s="465"/>
      <c r="CU2" s="466"/>
      <c r="CV2" s="464" t="str">
        <f t="shared" ref="CV2" si="10">_xlfn.CONCAT("Uge ",_xlfn.ISOWEEKNUM(CV5))</f>
        <v>Uge 24</v>
      </c>
      <c r="CW2" s="465"/>
      <c r="CX2" s="465"/>
      <c r="CY2" s="465"/>
      <c r="CZ2" s="466"/>
      <c r="DA2" s="464" t="str">
        <f t="shared" ref="DA2" si="11">_xlfn.CONCAT("Uge ",_xlfn.ISOWEEKNUM(DA5))</f>
        <v>Uge 25</v>
      </c>
      <c r="DB2" s="465"/>
      <c r="DC2" s="465"/>
      <c r="DD2" s="465"/>
      <c r="DE2" s="466"/>
    </row>
    <row r="3" spans="1:165" ht="17" thickBot="1" x14ac:dyDescent="0.25">
      <c r="B3" s="467"/>
      <c r="C3" s="468"/>
      <c r="D3" s="469"/>
      <c r="E3" s="522"/>
      <c r="F3" s="523"/>
      <c r="G3" s="523"/>
      <c r="H3" s="523"/>
      <c r="I3" s="524"/>
      <c r="J3" s="522"/>
      <c r="K3" s="523"/>
      <c r="L3" s="523"/>
      <c r="M3" s="523"/>
      <c r="N3" s="524"/>
      <c r="O3" s="522"/>
      <c r="P3" s="523"/>
      <c r="Q3" s="523"/>
      <c r="R3" s="523"/>
      <c r="S3" s="524"/>
      <c r="T3" s="522"/>
      <c r="U3" s="523"/>
      <c r="V3" s="523"/>
      <c r="W3" s="523"/>
      <c r="X3" s="524"/>
      <c r="Y3" s="522"/>
      <c r="Z3" s="523"/>
      <c r="AA3" s="523"/>
      <c r="AB3" s="523"/>
      <c r="AC3" s="524"/>
      <c r="AD3" s="522"/>
      <c r="AE3" s="523"/>
      <c r="AF3" s="523"/>
      <c r="AG3" s="523"/>
      <c r="AH3" s="524"/>
      <c r="AI3" s="522"/>
      <c r="AJ3" s="523"/>
      <c r="AK3" s="523"/>
      <c r="AL3" s="523"/>
      <c r="AM3" s="524"/>
      <c r="AN3" s="522"/>
      <c r="AO3" s="523"/>
      <c r="AP3" s="523"/>
      <c r="AQ3" s="523"/>
      <c r="AR3" s="524"/>
      <c r="AS3" s="522"/>
      <c r="AT3" s="523"/>
      <c r="AU3" s="523"/>
      <c r="AV3" s="523"/>
      <c r="AW3" s="524"/>
      <c r="AX3" s="522"/>
      <c r="AY3" s="523"/>
      <c r="AZ3" s="523"/>
      <c r="BA3" s="523"/>
      <c r="BB3" s="524"/>
      <c r="BC3" s="522"/>
      <c r="BD3" s="523"/>
      <c r="BE3" s="523"/>
      <c r="BF3" s="523"/>
      <c r="BG3" s="524"/>
      <c r="BH3" s="522"/>
      <c r="BI3" s="523"/>
      <c r="BJ3" s="523"/>
      <c r="BK3" s="523"/>
      <c r="BL3" s="524"/>
      <c r="BM3" s="522"/>
      <c r="BN3" s="523"/>
      <c r="BO3" s="523"/>
      <c r="BP3" s="523"/>
      <c r="BQ3" s="524"/>
      <c r="BR3" s="522"/>
      <c r="BS3" s="523"/>
      <c r="BT3" s="523"/>
      <c r="BU3" s="523"/>
      <c r="BV3" s="524"/>
      <c r="BW3" s="522"/>
      <c r="BX3" s="523"/>
      <c r="BY3" s="523"/>
      <c r="BZ3" s="523"/>
      <c r="CA3" s="524"/>
      <c r="CB3" s="522"/>
      <c r="CC3" s="523"/>
      <c r="CD3" s="523"/>
      <c r="CE3" s="523"/>
      <c r="CF3" s="524"/>
      <c r="CG3" s="522"/>
      <c r="CH3" s="523"/>
      <c r="CI3" s="523"/>
      <c r="CJ3" s="523"/>
      <c r="CK3" s="524"/>
      <c r="CL3" s="522"/>
      <c r="CM3" s="523"/>
      <c r="CN3" s="523"/>
      <c r="CO3" s="523"/>
      <c r="CP3" s="524"/>
      <c r="CQ3" s="522"/>
      <c r="CR3" s="523"/>
      <c r="CS3" s="523"/>
      <c r="CT3" s="523"/>
      <c r="CU3" s="524"/>
      <c r="CV3" s="522"/>
      <c r="CW3" s="523"/>
      <c r="CX3" s="523"/>
      <c r="CY3" s="523"/>
      <c r="CZ3" s="524"/>
      <c r="DA3" s="522"/>
      <c r="DB3" s="523"/>
      <c r="DC3" s="523"/>
      <c r="DD3" s="523"/>
      <c r="DE3" s="524"/>
    </row>
    <row r="4" spans="1:165" s="135" customFormat="1" x14ac:dyDescent="0.2">
      <c r="B4" s="470"/>
      <c r="C4" s="471"/>
      <c r="D4" s="472"/>
      <c r="E4" s="316">
        <f>E5</f>
        <v>46419</v>
      </c>
      <c r="F4" s="317">
        <f t="shared" ref="F4:BQ4" si="12">F5</f>
        <v>46420</v>
      </c>
      <c r="G4" s="318">
        <f t="shared" si="12"/>
        <v>46421</v>
      </c>
      <c r="H4" s="318">
        <f t="shared" si="12"/>
        <v>46422</v>
      </c>
      <c r="I4" s="319">
        <f t="shared" si="12"/>
        <v>46423</v>
      </c>
      <c r="J4" s="320">
        <f t="shared" ref="J4:S4" si="13">J5</f>
        <v>46426</v>
      </c>
      <c r="K4" s="321">
        <f t="shared" si="13"/>
        <v>46427</v>
      </c>
      <c r="L4" s="322">
        <f t="shared" si="13"/>
        <v>46428</v>
      </c>
      <c r="M4" s="322">
        <f t="shared" si="13"/>
        <v>46429</v>
      </c>
      <c r="N4" s="323">
        <f t="shared" si="13"/>
        <v>46430</v>
      </c>
      <c r="O4" s="316">
        <f t="shared" si="13"/>
        <v>46433</v>
      </c>
      <c r="P4" s="317">
        <f t="shared" si="13"/>
        <v>46434</v>
      </c>
      <c r="Q4" s="318">
        <f t="shared" si="13"/>
        <v>46435</v>
      </c>
      <c r="R4" s="318">
        <f t="shared" si="13"/>
        <v>46436</v>
      </c>
      <c r="S4" s="319">
        <f t="shared" si="13"/>
        <v>46437</v>
      </c>
      <c r="T4" s="320">
        <f t="shared" si="12"/>
        <v>46440</v>
      </c>
      <c r="U4" s="322">
        <f t="shared" si="12"/>
        <v>46441</v>
      </c>
      <c r="V4" s="322">
        <f t="shared" si="12"/>
        <v>46442</v>
      </c>
      <c r="W4" s="322">
        <f t="shared" si="12"/>
        <v>46443</v>
      </c>
      <c r="X4" s="323">
        <f t="shared" si="12"/>
        <v>46444</v>
      </c>
      <c r="Y4" s="316">
        <f t="shared" si="12"/>
        <v>46447</v>
      </c>
      <c r="Z4" s="318">
        <f t="shared" si="12"/>
        <v>46448</v>
      </c>
      <c r="AA4" s="318">
        <f t="shared" si="12"/>
        <v>46449</v>
      </c>
      <c r="AB4" s="318">
        <f t="shared" si="12"/>
        <v>46450</v>
      </c>
      <c r="AC4" s="319">
        <f t="shared" si="12"/>
        <v>46451</v>
      </c>
      <c r="AD4" s="320">
        <f t="shared" si="12"/>
        <v>46454</v>
      </c>
      <c r="AE4" s="322">
        <f t="shared" si="12"/>
        <v>46455</v>
      </c>
      <c r="AF4" s="322">
        <f t="shared" si="12"/>
        <v>46456</v>
      </c>
      <c r="AG4" s="322">
        <f t="shared" si="12"/>
        <v>46457</v>
      </c>
      <c r="AH4" s="323">
        <f t="shared" si="12"/>
        <v>46458</v>
      </c>
      <c r="AI4" s="316">
        <f t="shared" si="12"/>
        <v>46461</v>
      </c>
      <c r="AJ4" s="318">
        <f t="shared" si="12"/>
        <v>46462</v>
      </c>
      <c r="AK4" s="318">
        <f t="shared" si="12"/>
        <v>46463</v>
      </c>
      <c r="AL4" s="318">
        <f t="shared" si="12"/>
        <v>46464</v>
      </c>
      <c r="AM4" s="319">
        <f t="shared" si="12"/>
        <v>46465</v>
      </c>
      <c r="AN4" s="320">
        <f t="shared" si="12"/>
        <v>46468</v>
      </c>
      <c r="AO4" s="322">
        <f t="shared" si="12"/>
        <v>46469</v>
      </c>
      <c r="AP4" s="322">
        <f t="shared" si="12"/>
        <v>46470</v>
      </c>
      <c r="AQ4" s="322">
        <f t="shared" si="12"/>
        <v>46471</v>
      </c>
      <c r="AR4" s="323">
        <f t="shared" si="12"/>
        <v>46472</v>
      </c>
      <c r="AS4" s="316">
        <f t="shared" si="12"/>
        <v>46475</v>
      </c>
      <c r="AT4" s="318">
        <f t="shared" si="12"/>
        <v>46476</v>
      </c>
      <c r="AU4" s="318">
        <f t="shared" si="12"/>
        <v>46477</v>
      </c>
      <c r="AV4" s="318">
        <f t="shared" si="12"/>
        <v>46478</v>
      </c>
      <c r="AW4" s="324">
        <f t="shared" si="12"/>
        <v>46479</v>
      </c>
      <c r="AX4" s="320">
        <f t="shared" si="12"/>
        <v>46482</v>
      </c>
      <c r="AY4" s="322">
        <f t="shared" si="12"/>
        <v>46483</v>
      </c>
      <c r="AZ4" s="322">
        <f t="shared" si="12"/>
        <v>46484</v>
      </c>
      <c r="BA4" s="322">
        <f t="shared" si="12"/>
        <v>46485</v>
      </c>
      <c r="BB4" s="325">
        <f t="shared" si="12"/>
        <v>46486</v>
      </c>
      <c r="BC4" s="316">
        <f t="shared" si="12"/>
        <v>46489</v>
      </c>
      <c r="BD4" s="318">
        <f t="shared" si="12"/>
        <v>46490</v>
      </c>
      <c r="BE4" s="318">
        <f t="shared" si="12"/>
        <v>46491</v>
      </c>
      <c r="BF4" s="318">
        <f t="shared" si="12"/>
        <v>46492</v>
      </c>
      <c r="BG4" s="324">
        <f t="shared" si="12"/>
        <v>46493</v>
      </c>
      <c r="BH4" s="320">
        <f t="shared" si="12"/>
        <v>46496</v>
      </c>
      <c r="BI4" s="322">
        <f t="shared" si="12"/>
        <v>46497</v>
      </c>
      <c r="BJ4" s="322">
        <f t="shared" si="12"/>
        <v>46498</v>
      </c>
      <c r="BK4" s="322">
        <f t="shared" si="12"/>
        <v>46499</v>
      </c>
      <c r="BL4" s="325">
        <f t="shared" si="12"/>
        <v>46500</v>
      </c>
      <c r="BM4" s="316">
        <f t="shared" si="12"/>
        <v>46503</v>
      </c>
      <c r="BN4" s="318">
        <f t="shared" si="12"/>
        <v>46504</v>
      </c>
      <c r="BO4" s="318">
        <f t="shared" si="12"/>
        <v>46505</v>
      </c>
      <c r="BP4" s="318">
        <f t="shared" si="12"/>
        <v>46506</v>
      </c>
      <c r="BQ4" s="324">
        <f t="shared" si="12"/>
        <v>46507</v>
      </c>
      <c r="BR4" s="320">
        <f t="shared" ref="BR4:DE4" si="14">BR5</f>
        <v>46510</v>
      </c>
      <c r="BS4" s="322">
        <f t="shared" si="14"/>
        <v>46511</v>
      </c>
      <c r="BT4" s="322">
        <f t="shared" si="14"/>
        <v>46512</v>
      </c>
      <c r="BU4" s="322">
        <f t="shared" si="14"/>
        <v>46513</v>
      </c>
      <c r="BV4" s="325">
        <f t="shared" si="14"/>
        <v>46514</v>
      </c>
      <c r="BW4" s="316">
        <f t="shared" si="14"/>
        <v>46517</v>
      </c>
      <c r="BX4" s="318">
        <f t="shared" si="14"/>
        <v>46518</v>
      </c>
      <c r="BY4" s="318">
        <f t="shared" si="14"/>
        <v>46519</v>
      </c>
      <c r="BZ4" s="318">
        <f t="shared" si="14"/>
        <v>46520</v>
      </c>
      <c r="CA4" s="324">
        <f t="shared" si="14"/>
        <v>46521</v>
      </c>
      <c r="CB4" s="320">
        <f t="shared" si="14"/>
        <v>46524</v>
      </c>
      <c r="CC4" s="322">
        <f t="shared" si="14"/>
        <v>46525</v>
      </c>
      <c r="CD4" s="322">
        <f t="shared" si="14"/>
        <v>46526</v>
      </c>
      <c r="CE4" s="322">
        <f t="shared" si="14"/>
        <v>46527</v>
      </c>
      <c r="CF4" s="325">
        <f t="shared" si="14"/>
        <v>46528</v>
      </c>
      <c r="CG4" s="316">
        <f t="shared" si="14"/>
        <v>46531</v>
      </c>
      <c r="CH4" s="318">
        <f t="shared" si="14"/>
        <v>46532</v>
      </c>
      <c r="CI4" s="318">
        <f t="shared" si="14"/>
        <v>46533</v>
      </c>
      <c r="CJ4" s="318">
        <f t="shared" si="14"/>
        <v>46534</v>
      </c>
      <c r="CK4" s="324">
        <f t="shared" si="14"/>
        <v>46535</v>
      </c>
      <c r="CL4" s="320">
        <f t="shared" si="14"/>
        <v>46538</v>
      </c>
      <c r="CM4" s="322">
        <f t="shared" si="14"/>
        <v>46539</v>
      </c>
      <c r="CN4" s="322">
        <f t="shared" si="14"/>
        <v>46540</v>
      </c>
      <c r="CO4" s="322">
        <f t="shared" si="14"/>
        <v>46541</v>
      </c>
      <c r="CP4" s="325">
        <f t="shared" si="14"/>
        <v>46542</v>
      </c>
      <c r="CQ4" s="316">
        <f t="shared" si="14"/>
        <v>46545</v>
      </c>
      <c r="CR4" s="318">
        <f t="shared" si="14"/>
        <v>46546</v>
      </c>
      <c r="CS4" s="318">
        <f t="shared" si="14"/>
        <v>46547</v>
      </c>
      <c r="CT4" s="318">
        <f t="shared" si="14"/>
        <v>46548</v>
      </c>
      <c r="CU4" s="319">
        <f t="shared" si="14"/>
        <v>46549</v>
      </c>
      <c r="CV4" s="320">
        <f t="shared" si="14"/>
        <v>46552</v>
      </c>
      <c r="CW4" s="322">
        <f t="shared" si="14"/>
        <v>46553</v>
      </c>
      <c r="CX4" s="322">
        <f t="shared" si="14"/>
        <v>46554</v>
      </c>
      <c r="CY4" s="322">
        <f t="shared" si="14"/>
        <v>46555</v>
      </c>
      <c r="CZ4" s="323">
        <f t="shared" si="14"/>
        <v>46556</v>
      </c>
      <c r="DA4" s="316">
        <f t="shared" si="14"/>
        <v>46559</v>
      </c>
      <c r="DB4" s="318">
        <f t="shared" si="14"/>
        <v>46560</v>
      </c>
      <c r="DC4" s="318">
        <f t="shared" si="14"/>
        <v>46561</v>
      </c>
      <c r="DD4" s="318">
        <f t="shared" si="14"/>
        <v>46562</v>
      </c>
      <c r="DE4" s="319">
        <f t="shared" si="14"/>
        <v>46563</v>
      </c>
    </row>
    <row r="5" spans="1:165" s="135" customFormat="1" ht="17" thickBot="1" x14ac:dyDescent="0.25">
      <c r="B5" s="473"/>
      <c r="C5" s="474"/>
      <c r="D5" s="475"/>
      <c r="E5" s="31">
        <f>Data!M2</f>
        <v>46419</v>
      </c>
      <c r="F5" s="32">
        <f>E5+1</f>
        <v>46420</v>
      </c>
      <c r="G5" s="33">
        <f>F5+1</f>
        <v>46421</v>
      </c>
      <c r="H5" s="33">
        <f>G5+1</f>
        <v>46422</v>
      </c>
      <c r="I5" s="34">
        <f>H5+1</f>
        <v>46423</v>
      </c>
      <c r="J5" s="35">
        <f>I5+3</f>
        <v>46426</v>
      </c>
      <c r="K5" s="36">
        <f>J5+1</f>
        <v>46427</v>
      </c>
      <c r="L5" s="37">
        <f>K5+1</f>
        <v>46428</v>
      </c>
      <c r="M5" s="37">
        <f>L5+1</f>
        <v>46429</v>
      </c>
      <c r="N5" s="38">
        <f>M5+1</f>
        <v>46430</v>
      </c>
      <c r="O5" s="31">
        <f>N5+3</f>
        <v>46433</v>
      </c>
      <c r="P5" s="32">
        <f>O5+1</f>
        <v>46434</v>
      </c>
      <c r="Q5" s="33">
        <f>P5+1</f>
        <v>46435</v>
      </c>
      <c r="R5" s="33">
        <f>Q5+1</f>
        <v>46436</v>
      </c>
      <c r="S5" s="34">
        <f>R5+1</f>
        <v>46437</v>
      </c>
      <c r="T5" s="35">
        <f>S5+3</f>
        <v>46440</v>
      </c>
      <c r="U5" s="37">
        <f>T5+1</f>
        <v>46441</v>
      </c>
      <c r="V5" s="37">
        <f>U5+1</f>
        <v>46442</v>
      </c>
      <c r="W5" s="37">
        <f>V5+1</f>
        <v>46443</v>
      </c>
      <c r="X5" s="38">
        <f>W5+1</f>
        <v>46444</v>
      </c>
      <c r="Y5" s="31">
        <f>X5+3</f>
        <v>46447</v>
      </c>
      <c r="Z5" s="33">
        <f>Y5+1</f>
        <v>46448</v>
      </c>
      <c r="AA5" s="33">
        <f>Z5+1</f>
        <v>46449</v>
      </c>
      <c r="AB5" s="33">
        <f>AA5+1</f>
        <v>46450</v>
      </c>
      <c r="AC5" s="34">
        <f>AB5+1</f>
        <v>46451</v>
      </c>
      <c r="AD5" s="35">
        <f>AC5+3</f>
        <v>46454</v>
      </c>
      <c r="AE5" s="37">
        <f>AD5+1</f>
        <v>46455</v>
      </c>
      <c r="AF5" s="37">
        <f>AE5+1</f>
        <v>46456</v>
      </c>
      <c r="AG5" s="37">
        <f>AF5+1</f>
        <v>46457</v>
      </c>
      <c r="AH5" s="38">
        <f>AG5+1</f>
        <v>46458</v>
      </c>
      <c r="AI5" s="31">
        <f>AH5+3</f>
        <v>46461</v>
      </c>
      <c r="AJ5" s="33">
        <f>AI5+1</f>
        <v>46462</v>
      </c>
      <c r="AK5" s="33">
        <f>AJ5+1</f>
        <v>46463</v>
      </c>
      <c r="AL5" s="33">
        <f>AK5+1</f>
        <v>46464</v>
      </c>
      <c r="AM5" s="34">
        <f>AL5+1</f>
        <v>46465</v>
      </c>
      <c r="AN5" s="35">
        <f>AM5+3</f>
        <v>46468</v>
      </c>
      <c r="AO5" s="37">
        <f>AN5+1</f>
        <v>46469</v>
      </c>
      <c r="AP5" s="37">
        <f>AO5+1</f>
        <v>46470</v>
      </c>
      <c r="AQ5" s="37">
        <f>AP5+1</f>
        <v>46471</v>
      </c>
      <c r="AR5" s="38">
        <f>AQ5+1</f>
        <v>46472</v>
      </c>
      <c r="AS5" s="31">
        <f>AR5+3</f>
        <v>46475</v>
      </c>
      <c r="AT5" s="33">
        <f>AS5+1</f>
        <v>46476</v>
      </c>
      <c r="AU5" s="33">
        <f>AT5+1</f>
        <v>46477</v>
      </c>
      <c r="AV5" s="33">
        <f>AU5+1</f>
        <v>46478</v>
      </c>
      <c r="AW5" s="39">
        <f>AV5+1</f>
        <v>46479</v>
      </c>
      <c r="AX5" s="35">
        <f>AW5+3</f>
        <v>46482</v>
      </c>
      <c r="AY5" s="37">
        <f>AX5+1</f>
        <v>46483</v>
      </c>
      <c r="AZ5" s="37">
        <f>AY5+1</f>
        <v>46484</v>
      </c>
      <c r="BA5" s="37">
        <f>AZ5+1</f>
        <v>46485</v>
      </c>
      <c r="BB5" s="40">
        <f>BA5+1</f>
        <v>46486</v>
      </c>
      <c r="BC5" s="31">
        <f>BB5+3</f>
        <v>46489</v>
      </c>
      <c r="BD5" s="33">
        <f>BC5+1</f>
        <v>46490</v>
      </c>
      <c r="BE5" s="33">
        <f>BD5+1</f>
        <v>46491</v>
      </c>
      <c r="BF5" s="33">
        <f>BE5+1</f>
        <v>46492</v>
      </c>
      <c r="BG5" s="39">
        <f>BF5+1</f>
        <v>46493</v>
      </c>
      <c r="BH5" s="35">
        <f>BG5+3</f>
        <v>46496</v>
      </c>
      <c r="BI5" s="37">
        <f>BH5+1</f>
        <v>46497</v>
      </c>
      <c r="BJ5" s="37">
        <f>BI5+1</f>
        <v>46498</v>
      </c>
      <c r="BK5" s="37">
        <f>BJ5+1</f>
        <v>46499</v>
      </c>
      <c r="BL5" s="40">
        <f>BK5+1</f>
        <v>46500</v>
      </c>
      <c r="BM5" s="31">
        <f>BL5+3</f>
        <v>46503</v>
      </c>
      <c r="BN5" s="33">
        <f>BM5+1</f>
        <v>46504</v>
      </c>
      <c r="BO5" s="33">
        <f>BN5+1</f>
        <v>46505</v>
      </c>
      <c r="BP5" s="33">
        <f>BO5+1</f>
        <v>46506</v>
      </c>
      <c r="BQ5" s="39">
        <f>BP5+1</f>
        <v>46507</v>
      </c>
      <c r="BR5" s="35">
        <f>BQ5+3</f>
        <v>46510</v>
      </c>
      <c r="BS5" s="37">
        <f>BR5+1</f>
        <v>46511</v>
      </c>
      <c r="BT5" s="37">
        <f>BS5+1</f>
        <v>46512</v>
      </c>
      <c r="BU5" s="37">
        <f>BT5+1</f>
        <v>46513</v>
      </c>
      <c r="BV5" s="40">
        <f>BU5+1</f>
        <v>46514</v>
      </c>
      <c r="BW5" s="31">
        <f>BV5+3</f>
        <v>46517</v>
      </c>
      <c r="BX5" s="33">
        <f>BW5+1</f>
        <v>46518</v>
      </c>
      <c r="BY5" s="33">
        <f>BX5+1</f>
        <v>46519</v>
      </c>
      <c r="BZ5" s="33">
        <f>BY5+1</f>
        <v>46520</v>
      </c>
      <c r="CA5" s="39">
        <f>BZ5+1</f>
        <v>46521</v>
      </c>
      <c r="CB5" s="35">
        <f>CA5+3</f>
        <v>46524</v>
      </c>
      <c r="CC5" s="37">
        <f>CB5+1</f>
        <v>46525</v>
      </c>
      <c r="CD5" s="37">
        <f>CC5+1</f>
        <v>46526</v>
      </c>
      <c r="CE5" s="37">
        <f>CD5+1</f>
        <v>46527</v>
      </c>
      <c r="CF5" s="40">
        <f>CE5+1</f>
        <v>46528</v>
      </c>
      <c r="CG5" s="31">
        <f>CF5+3</f>
        <v>46531</v>
      </c>
      <c r="CH5" s="33">
        <f>CG5+1</f>
        <v>46532</v>
      </c>
      <c r="CI5" s="33">
        <f>CH5+1</f>
        <v>46533</v>
      </c>
      <c r="CJ5" s="33">
        <f>CI5+1</f>
        <v>46534</v>
      </c>
      <c r="CK5" s="39">
        <f>CJ5+1</f>
        <v>46535</v>
      </c>
      <c r="CL5" s="35">
        <f>CK5+3</f>
        <v>46538</v>
      </c>
      <c r="CM5" s="37">
        <f>CL5+1</f>
        <v>46539</v>
      </c>
      <c r="CN5" s="37">
        <f>CM5+1</f>
        <v>46540</v>
      </c>
      <c r="CO5" s="37">
        <f>CN5+1</f>
        <v>46541</v>
      </c>
      <c r="CP5" s="40">
        <f>CO5+1</f>
        <v>46542</v>
      </c>
      <c r="CQ5" s="31">
        <f>CP5+3</f>
        <v>46545</v>
      </c>
      <c r="CR5" s="33">
        <f>CQ5+1</f>
        <v>46546</v>
      </c>
      <c r="CS5" s="33">
        <f>CR5+1</f>
        <v>46547</v>
      </c>
      <c r="CT5" s="33">
        <f>CS5+1</f>
        <v>46548</v>
      </c>
      <c r="CU5" s="34">
        <f>CT5+1</f>
        <v>46549</v>
      </c>
      <c r="CV5" s="35">
        <f>CU5+3</f>
        <v>46552</v>
      </c>
      <c r="CW5" s="37">
        <f>CV5+1</f>
        <v>46553</v>
      </c>
      <c r="CX5" s="37">
        <f>CW5+1</f>
        <v>46554</v>
      </c>
      <c r="CY5" s="37">
        <f>CX5+1</f>
        <v>46555</v>
      </c>
      <c r="CZ5" s="38">
        <f>CY5+1</f>
        <v>46556</v>
      </c>
      <c r="DA5" s="31">
        <f>CZ5+3</f>
        <v>46559</v>
      </c>
      <c r="DB5" s="33">
        <f>DA5+1</f>
        <v>46560</v>
      </c>
      <c r="DC5" s="33">
        <f>DB5+1</f>
        <v>46561</v>
      </c>
      <c r="DD5" s="33">
        <f>DC5+1</f>
        <v>46562</v>
      </c>
      <c r="DE5" s="34">
        <f>DD5+1</f>
        <v>46563</v>
      </c>
    </row>
    <row r="6" spans="1:165" s="138" customFormat="1" ht="17" thickBot="1" x14ac:dyDescent="0.25">
      <c r="A6" s="134"/>
      <c r="B6" s="457"/>
      <c r="C6" s="457"/>
      <c r="D6" s="45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6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5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</row>
    <row r="7" spans="1:165" x14ac:dyDescent="0.2">
      <c r="B7" s="458" t="s">
        <v>7</v>
      </c>
      <c r="C7" s="459"/>
      <c r="D7" s="460"/>
      <c r="E7" s="81"/>
      <c r="F7" s="42"/>
      <c r="G7" s="42"/>
      <c r="H7" s="42"/>
      <c r="I7" s="43"/>
      <c r="J7" s="77"/>
      <c r="K7" s="62"/>
      <c r="L7" s="62"/>
      <c r="M7" s="62"/>
      <c r="N7" s="44"/>
      <c r="O7" s="41"/>
      <c r="P7" s="42"/>
      <c r="Q7" s="42"/>
      <c r="R7" s="42"/>
      <c r="S7" s="43"/>
      <c r="T7" s="77"/>
      <c r="U7" s="62"/>
      <c r="V7" s="62"/>
      <c r="W7" s="62"/>
      <c r="X7" s="44"/>
      <c r="Y7" s="41"/>
      <c r="Z7" s="42"/>
      <c r="AA7" s="42"/>
      <c r="AB7" s="42"/>
      <c r="AC7" s="43"/>
      <c r="AD7" s="77"/>
      <c r="AE7" s="62"/>
      <c r="AF7" s="62"/>
      <c r="AG7" s="62"/>
      <c r="AH7" s="44"/>
      <c r="AI7" s="41"/>
      <c r="AJ7" s="42"/>
      <c r="AK7" s="42"/>
      <c r="AL7" s="42"/>
      <c r="AM7" s="43"/>
      <c r="AN7" s="77"/>
      <c r="AO7" s="62"/>
      <c r="AP7" s="62"/>
      <c r="AQ7" s="62"/>
      <c r="AR7" s="44"/>
      <c r="AS7" s="41"/>
      <c r="AT7" s="42"/>
      <c r="AU7" s="42"/>
      <c r="AV7" s="42"/>
      <c r="AW7" s="43"/>
      <c r="AX7" s="77"/>
      <c r="AY7" s="62"/>
      <c r="AZ7" s="62"/>
      <c r="BA7" s="62"/>
      <c r="BB7" s="44"/>
      <c r="BC7" s="41"/>
      <c r="BD7" s="42"/>
      <c r="BE7" s="42"/>
      <c r="BF7" s="42"/>
      <c r="BG7" s="43"/>
      <c r="BH7" s="77"/>
      <c r="BI7" s="62"/>
      <c r="BJ7" s="62"/>
      <c r="BK7" s="62"/>
      <c r="BL7" s="44"/>
      <c r="BM7" s="41"/>
      <c r="BN7" s="42"/>
      <c r="BO7" s="42"/>
      <c r="BP7" s="42"/>
      <c r="BQ7" s="43"/>
      <c r="BR7" s="77"/>
      <c r="BS7" s="62"/>
      <c r="BT7" s="62"/>
      <c r="BU7" s="62"/>
      <c r="BV7" s="44"/>
      <c r="BW7" s="41"/>
      <c r="BX7" s="42"/>
      <c r="BY7" s="42"/>
      <c r="BZ7" s="42"/>
      <c r="CA7" s="43"/>
      <c r="CB7" s="77"/>
      <c r="CC7" s="62"/>
      <c r="CD7" s="62"/>
      <c r="CE7" s="62"/>
      <c r="CF7" s="44"/>
      <c r="CG7" s="41"/>
      <c r="CH7" s="42"/>
      <c r="CI7" s="42"/>
      <c r="CJ7" s="42"/>
      <c r="CK7" s="43"/>
      <c r="CL7" s="77"/>
      <c r="CM7" s="62"/>
      <c r="CN7" s="62"/>
      <c r="CO7" s="62"/>
      <c r="CP7" s="44"/>
      <c r="CQ7" s="41"/>
      <c r="CR7" s="42"/>
      <c r="CS7" s="42"/>
      <c r="CT7" s="42"/>
      <c r="CU7" s="43"/>
      <c r="CV7" s="77"/>
      <c r="CW7" s="62"/>
      <c r="CX7" s="62"/>
      <c r="CY7" s="62"/>
      <c r="CZ7" s="44"/>
      <c r="DA7" s="41"/>
      <c r="DB7" s="42"/>
      <c r="DC7" s="42"/>
      <c r="DD7" s="42"/>
      <c r="DE7" s="43"/>
    </row>
    <row r="8" spans="1:165" x14ac:dyDescent="0.2">
      <c r="B8" s="48" t="s">
        <v>15</v>
      </c>
      <c r="C8" s="82"/>
      <c r="D8" s="49"/>
      <c r="E8" s="214"/>
      <c r="F8" s="51"/>
      <c r="G8" s="51"/>
      <c r="H8" s="51"/>
      <c r="I8" s="52"/>
      <c r="J8" s="69"/>
      <c r="K8" s="64"/>
      <c r="L8" s="64"/>
      <c r="M8" s="64"/>
      <c r="N8" s="53"/>
      <c r="O8" s="50"/>
      <c r="P8" s="51"/>
      <c r="Q8" s="51"/>
      <c r="R8" s="51"/>
      <c r="S8" s="52"/>
      <c r="T8" s="69"/>
      <c r="U8" s="64"/>
      <c r="V8" s="64"/>
      <c r="W8" s="64"/>
      <c r="X8" s="53"/>
      <c r="Y8" s="50"/>
      <c r="Z8" s="51"/>
      <c r="AA8" s="51"/>
      <c r="AB8" s="51"/>
      <c r="AC8" s="52"/>
      <c r="AD8" s="69"/>
      <c r="AE8" s="64"/>
      <c r="AF8" s="64"/>
      <c r="AG8" s="64"/>
      <c r="AH8" s="53"/>
      <c r="AI8" s="50"/>
      <c r="AJ8" s="51"/>
      <c r="AK8" s="51"/>
      <c r="AL8" s="51"/>
      <c r="AM8" s="52"/>
      <c r="AN8" s="69"/>
      <c r="AO8" s="64"/>
      <c r="AP8" s="64"/>
      <c r="AQ8" s="64"/>
      <c r="AR8" s="53"/>
      <c r="AS8" s="50"/>
      <c r="AT8" s="51"/>
      <c r="AU8" s="51"/>
      <c r="AV8" s="51"/>
      <c r="AW8" s="52"/>
      <c r="AX8" s="69"/>
      <c r="AY8" s="64"/>
      <c r="AZ8" s="64"/>
      <c r="BA8" s="64"/>
      <c r="BB8" s="53"/>
      <c r="BC8" s="50"/>
      <c r="BD8" s="51"/>
      <c r="BE8" s="51"/>
      <c r="BF8" s="51"/>
      <c r="BG8" s="52"/>
      <c r="BH8" s="69"/>
      <c r="BI8" s="64"/>
      <c r="BJ8" s="64"/>
      <c r="BK8" s="64"/>
      <c r="BL8" s="53"/>
      <c r="BM8" s="50"/>
      <c r="BN8" s="51"/>
      <c r="BO8" s="51"/>
      <c r="BP8" s="51"/>
      <c r="BQ8" s="52"/>
      <c r="BR8" s="69"/>
      <c r="BS8" s="64"/>
      <c r="BT8" s="64"/>
      <c r="BU8" s="64"/>
      <c r="BV8" s="53"/>
      <c r="BW8" s="50"/>
      <c r="BX8" s="51"/>
      <c r="BY8" s="51"/>
      <c r="BZ8" s="51"/>
      <c r="CA8" s="52"/>
      <c r="CB8" s="69"/>
      <c r="CC8" s="64"/>
      <c r="CD8" s="64"/>
      <c r="CE8" s="64"/>
      <c r="CF8" s="53"/>
      <c r="CG8" s="50"/>
      <c r="CH8" s="51"/>
      <c r="CI8" s="51"/>
      <c r="CJ8" s="51"/>
      <c r="CK8" s="52"/>
      <c r="CL8" s="69"/>
      <c r="CM8" s="64"/>
      <c r="CN8" s="64"/>
      <c r="CO8" s="64"/>
      <c r="CP8" s="53"/>
      <c r="CQ8" s="50"/>
      <c r="CR8" s="51"/>
      <c r="CS8" s="51"/>
      <c r="CT8" s="51"/>
      <c r="CU8" s="52"/>
      <c r="CV8" s="69"/>
      <c r="CW8" s="64"/>
      <c r="CX8" s="64"/>
      <c r="CY8" s="64"/>
      <c r="CZ8" s="53"/>
      <c r="DA8" s="50"/>
      <c r="DB8" s="51"/>
      <c r="DC8" s="51"/>
      <c r="DD8" s="51"/>
      <c r="DE8" s="52"/>
    </row>
    <row r="9" spans="1:165" x14ac:dyDescent="0.2">
      <c r="B9" s="448" t="s">
        <v>16</v>
      </c>
      <c r="C9" s="449"/>
      <c r="D9" s="450"/>
      <c r="E9" s="57"/>
      <c r="F9" s="51"/>
      <c r="G9" s="51"/>
      <c r="H9" s="51"/>
      <c r="I9" s="52"/>
      <c r="J9" s="69"/>
      <c r="K9" s="64"/>
      <c r="L9" s="64"/>
      <c r="M9" s="64"/>
      <c r="N9" s="45"/>
      <c r="O9" s="54"/>
      <c r="P9" s="51"/>
      <c r="Q9" s="51"/>
      <c r="R9" s="51"/>
      <c r="S9" s="52"/>
      <c r="T9" s="69"/>
      <c r="U9" s="64"/>
      <c r="V9" s="64"/>
      <c r="W9" s="64"/>
      <c r="X9" s="45"/>
      <c r="Y9" s="54"/>
      <c r="Z9" s="51"/>
      <c r="AA9" s="51"/>
      <c r="AB9" s="51"/>
      <c r="AC9" s="52"/>
      <c r="AD9" s="69"/>
      <c r="AE9" s="64"/>
      <c r="AF9" s="64"/>
      <c r="AG9" s="64"/>
      <c r="AH9" s="45"/>
      <c r="AI9" s="54"/>
      <c r="AJ9" s="51"/>
      <c r="AK9" s="51"/>
      <c r="AL9" s="51"/>
      <c r="AM9" s="52"/>
      <c r="AN9" s="69"/>
      <c r="AO9" s="64"/>
      <c r="AP9" s="64"/>
      <c r="AQ9" s="64"/>
      <c r="AR9" s="45"/>
      <c r="AS9" s="54"/>
      <c r="AT9" s="51"/>
      <c r="AU9" s="51"/>
      <c r="AV9" s="51"/>
      <c r="AW9" s="52"/>
      <c r="AX9" s="69"/>
      <c r="AY9" s="64"/>
      <c r="AZ9" s="64"/>
      <c r="BA9" s="64"/>
      <c r="BB9" s="45"/>
      <c r="BC9" s="54"/>
      <c r="BD9" s="51"/>
      <c r="BE9" s="51"/>
      <c r="BF9" s="51"/>
      <c r="BG9" s="52"/>
      <c r="BH9" s="69"/>
      <c r="BI9" s="64"/>
      <c r="BJ9" s="64"/>
      <c r="BK9" s="64"/>
      <c r="BL9" s="45"/>
      <c r="BM9" s="54"/>
      <c r="BN9" s="51"/>
      <c r="BO9" s="51"/>
      <c r="BP9" s="51"/>
      <c r="BQ9" s="52"/>
      <c r="BR9" s="69"/>
      <c r="BS9" s="64"/>
      <c r="BT9" s="64"/>
      <c r="BU9" s="64"/>
      <c r="BV9" s="45"/>
      <c r="BW9" s="54"/>
      <c r="BX9" s="51"/>
      <c r="BY9" s="51"/>
      <c r="BZ9" s="51"/>
      <c r="CA9" s="52"/>
      <c r="CB9" s="69"/>
      <c r="CC9" s="64"/>
      <c r="CD9" s="64"/>
      <c r="CE9" s="64"/>
      <c r="CF9" s="45"/>
      <c r="CG9" s="54"/>
      <c r="CH9" s="51"/>
      <c r="CI9" s="51"/>
      <c r="CJ9" s="51"/>
      <c r="CK9" s="52"/>
      <c r="CL9" s="69"/>
      <c r="CM9" s="64"/>
      <c r="CN9" s="64"/>
      <c r="CO9" s="64"/>
      <c r="CP9" s="45"/>
      <c r="CQ9" s="54"/>
      <c r="CR9" s="51"/>
      <c r="CS9" s="51"/>
      <c r="CT9" s="51"/>
      <c r="CU9" s="52"/>
      <c r="CV9" s="69"/>
      <c r="CW9" s="64"/>
      <c r="CX9" s="64"/>
      <c r="CY9" s="64"/>
      <c r="CZ9" s="45"/>
      <c r="DA9" s="54"/>
      <c r="DB9" s="51"/>
      <c r="DC9" s="51"/>
      <c r="DD9" s="51"/>
      <c r="DE9" s="52"/>
    </row>
    <row r="10" spans="1:165" ht="17" thickBot="1" x14ac:dyDescent="0.25">
      <c r="B10" s="448" t="s">
        <v>17</v>
      </c>
      <c r="C10" s="449"/>
      <c r="D10" s="450"/>
      <c r="E10" s="57"/>
      <c r="F10" s="51"/>
      <c r="G10" s="51"/>
      <c r="H10" s="51"/>
      <c r="I10" s="52"/>
      <c r="J10" s="69"/>
      <c r="K10" s="64"/>
      <c r="L10" s="64"/>
      <c r="M10" s="64"/>
      <c r="N10" s="45"/>
      <c r="O10" s="54"/>
      <c r="P10" s="51"/>
      <c r="Q10" s="51"/>
      <c r="R10" s="51"/>
      <c r="S10" s="52"/>
      <c r="T10" s="69"/>
      <c r="U10" s="64"/>
      <c r="V10" s="64"/>
      <c r="W10" s="64"/>
      <c r="X10" s="45"/>
      <c r="Y10" s="54"/>
      <c r="Z10" s="51"/>
      <c r="AA10" s="51"/>
      <c r="AB10" s="51"/>
      <c r="AC10" s="52"/>
      <c r="AD10" s="69"/>
      <c r="AE10" s="64"/>
      <c r="AF10" s="64"/>
      <c r="AG10" s="64"/>
      <c r="AH10" s="45"/>
      <c r="AI10" s="54"/>
      <c r="AJ10" s="51"/>
      <c r="AK10" s="51"/>
      <c r="AL10" s="51"/>
      <c r="AM10" s="52"/>
      <c r="AN10" s="69"/>
      <c r="AO10" s="64"/>
      <c r="AP10" s="64"/>
      <c r="AQ10" s="64"/>
      <c r="AR10" s="45"/>
      <c r="AS10" s="54"/>
      <c r="AT10" s="51"/>
      <c r="AU10" s="51"/>
      <c r="AV10" s="51"/>
      <c r="AW10" s="52"/>
      <c r="AX10" s="69"/>
      <c r="AY10" s="64"/>
      <c r="AZ10" s="64"/>
      <c r="BA10" s="64"/>
      <c r="BB10" s="45"/>
      <c r="BC10" s="54"/>
      <c r="BD10" s="51"/>
      <c r="BE10" s="51"/>
      <c r="BF10" s="51"/>
      <c r="BG10" s="52"/>
      <c r="BH10" s="69"/>
      <c r="BI10" s="64"/>
      <c r="BJ10" s="64"/>
      <c r="BK10" s="64"/>
      <c r="BL10" s="45"/>
      <c r="BM10" s="54"/>
      <c r="BN10" s="51"/>
      <c r="BO10" s="51"/>
      <c r="BP10" s="51"/>
      <c r="BQ10" s="52"/>
      <c r="BR10" s="69"/>
      <c r="BS10" s="64"/>
      <c r="BT10" s="64"/>
      <c r="BU10" s="64"/>
      <c r="BV10" s="45"/>
      <c r="BW10" s="54"/>
      <c r="BX10" s="51"/>
      <c r="BY10" s="51"/>
      <c r="BZ10" s="51"/>
      <c r="CA10" s="52"/>
      <c r="CB10" s="69"/>
      <c r="CC10" s="64"/>
      <c r="CD10" s="64"/>
      <c r="CE10" s="64"/>
      <c r="CF10" s="45"/>
      <c r="CG10" s="54"/>
      <c r="CH10" s="51"/>
      <c r="CI10" s="51"/>
      <c r="CJ10" s="51"/>
      <c r="CK10" s="52"/>
      <c r="CL10" s="69"/>
      <c r="CM10" s="64"/>
      <c r="CN10" s="64"/>
      <c r="CO10" s="64"/>
      <c r="CP10" s="45"/>
      <c r="CQ10" s="54"/>
      <c r="CR10" s="51"/>
      <c r="CS10" s="51"/>
      <c r="CT10" s="51"/>
      <c r="CU10" s="52"/>
      <c r="CV10" s="69"/>
      <c r="CW10" s="64"/>
      <c r="CX10" s="64"/>
      <c r="CY10" s="64"/>
      <c r="CZ10" s="45"/>
      <c r="DA10" s="54"/>
      <c r="DB10" s="51"/>
      <c r="DC10" s="51"/>
      <c r="DD10" s="51"/>
      <c r="DE10" s="52"/>
    </row>
    <row r="11" spans="1:165" ht="17" thickBot="1" x14ac:dyDescent="0.25">
      <c r="B11" s="48" t="s">
        <v>18</v>
      </c>
      <c r="C11" s="82"/>
      <c r="D11" s="49"/>
      <c r="E11" s="100"/>
      <c r="F11" s="101"/>
      <c r="G11" s="101"/>
      <c r="H11" s="101"/>
      <c r="I11" s="102"/>
      <c r="J11" s="103"/>
      <c r="K11" s="104"/>
      <c r="L11" s="104"/>
      <c r="M11" s="104"/>
      <c r="N11" s="105"/>
      <c r="O11" s="100"/>
      <c r="P11" s="101"/>
      <c r="Q11" s="101"/>
      <c r="R11" s="101"/>
      <c r="S11" s="102"/>
      <c r="T11" s="103"/>
      <c r="U11" s="104"/>
      <c r="V11" s="104"/>
      <c r="W11" s="104"/>
      <c r="X11" s="105"/>
      <c r="Y11" s="100"/>
      <c r="Z11" s="101"/>
      <c r="AA11" s="101"/>
      <c r="AB11" s="101"/>
      <c r="AC11" s="102"/>
      <c r="AD11" s="103"/>
      <c r="AE11" s="104"/>
      <c r="AF11" s="104"/>
      <c r="AG11" s="104"/>
      <c r="AH11" s="105"/>
      <c r="AI11" s="100"/>
      <c r="AJ11" s="101"/>
      <c r="AK11" s="101"/>
      <c r="AL11" s="101"/>
      <c r="AM11" s="102"/>
      <c r="AN11" s="103"/>
      <c r="AO11" s="104"/>
      <c r="AP11" s="104"/>
      <c r="AQ11" s="104"/>
      <c r="AR11" s="105"/>
      <c r="AS11" s="100"/>
      <c r="AT11" s="101"/>
      <c r="AU11" s="101"/>
      <c r="AV11" s="101"/>
      <c r="AW11" s="102"/>
      <c r="AX11" s="103"/>
      <c r="AY11" s="104"/>
      <c r="AZ11" s="104"/>
      <c r="BA11" s="104"/>
      <c r="BB11" s="105"/>
      <c r="BC11" s="100"/>
      <c r="BD11" s="101"/>
      <c r="BE11" s="101"/>
      <c r="BF11" s="101"/>
      <c r="BG11" s="102"/>
      <c r="BH11" s="103"/>
      <c r="BI11" s="104"/>
      <c r="BJ11" s="104"/>
      <c r="BK11" s="104"/>
      <c r="BL11" s="105"/>
      <c r="BM11" s="100"/>
      <c r="BN11" s="101"/>
      <c r="BO11" s="101"/>
      <c r="BP11" s="101"/>
      <c r="BQ11" s="102"/>
      <c r="BR11" s="103"/>
      <c r="BS11" s="104"/>
      <c r="BT11" s="104"/>
      <c r="BU11" s="104"/>
      <c r="BV11" s="105"/>
      <c r="BW11" s="100"/>
      <c r="BX11" s="101"/>
      <c r="BY11" s="101"/>
      <c r="BZ11" s="101"/>
      <c r="CA11" s="102"/>
      <c r="CB11" s="103"/>
      <c r="CC11" s="104"/>
      <c r="CD11" s="104"/>
      <c r="CE11" s="104"/>
      <c r="CF11" s="105"/>
      <c r="CG11" s="100"/>
      <c r="CH11" s="101"/>
      <c r="CI11" s="101"/>
      <c r="CJ11" s="101"/>
      <c r="CK11" s="102"/>
      <c r="CL11" s="103"/>
      <c r="CM11" s="104"/>
      <c r="CN11" s="104"/>
      <c r="CO11" s="104"/>
      <c r="CP11" s="105"/>
      <c r="CQ11" s="100"/>
      <c r="CR11" s="101"/>
      <c r="CS11" s="101"/>
      <c r="CT11" s="101"/>
      <c r="CU11" s="102"/>
      <c r="CV11" s="103"/>
      <c r="CW11" s="104"/>
      <c r="CX11" s="104"/>
      <c r="CY11" s="104"/>
      <c r="CZ11" s="105"/>
      <c r="DA11" s="100"/>
      <c r="DB11" s="101"/>
      <c r="DC11" s="101"/>
      <c r="DD11" s="101"/>
      <c r="DE11" s="102"/>
    </row>
    <row r="12" spans="1:165" x14ac:dyDescent="0.2">
      <c r="B12" s="48" t="s">
        <v>19</v>
      </c>
      <c r="C12" s="82"/>
      <c r="D12" s="49"/>
      <c r="E12" s="81"/>
      <c r="F12" s="42"/>
      <c r="G12" s="200"/>
      <c r="H12" s="42"/>
      <c r="I12" s="43"/>
      <c r="J12" s="77"/>
      <c r="K12" s="62"/>
      <c r="L12" s="200"/>
      <c r="M12" s="62"/>
      <c r="N12" s="44"/>
      <c r="O12" s="41"/>
      <c r="P12" s="42"/>
      <c r="Q12" s="200"/>
      <c r="R12" s="42"/>
      <c r="S12" s="43"/>
      <c r="T12" s="77"/>
      <c r="U12" s="62"/>
      <c r="V12" s="200"/>
      <c r="W12" s="62"/>
      <c r="X12" s="44"/>
      <c r="Y12" s="41"/>
      <c r="Z12" s="42"/>
      <c r="AA12" s="200"/>
      <c r="AB12" s="42"/>
      <c r="AC12" s="43"/>
      <c r="AD12" s="77"/>
      <c r="AE12" s="62"/>
      <c r="AF12" s="200"/>
      <c r="AG12" s="62"/>
      <c r="AH12" s="44"/>
      <c r="AI12" s="41"/>
      <c r="AJ12" s="42"/>
      <c r="AK12" s="200"/>
      <c r="AL12" s="42"/>
      <c r="AM12" s="43"/>
      <c r="AN12" s="77"/>
      <c r="AO12" s="62"/>
      <c r="AP12" s="200"/>
      <c r="AQ12" s="62"/>
      <c r="AR12" s="44"/>
      <c r="AS12" s="41"/>
      <c r="AT12" s="42"/>
      <c r="AU12" s="200"/>
      <c r="AV12" s="42"/>
      <c r="AW12" s="43"/>
      <c r="AX12" s="77"/>
      <c r="AY12" s="62"/>
      <c r="AZ12" s="200"/>
      <c r="BA12" s="62"/>
      <c r="BB12" s="44"/>
      <c r="BC12" s="41"/>
      <c r="BD12" s="42"/>
      <c r="BE12" s="200"/>
      <c r="BF12" s="42"/>
      <c r="BG12" s="43"/>
      <c r="BH12" s="77"/>
      <c r="BI12" s="62"/>
      <c r="BJ12" s="200"/>
      <c r="BK12" s="62"/>
      <c r="BL12" s="44"/>
      <c r="BM12" s="41"/>
      <c r="BN12" s="42"/>
      <c r="BO12" s="200"/>
      <c r="BP12" s="42"/>
      <c r="BQ12" s="43"/>
      <c r="BR12" s="77"/>
      <c r="BS12" s="62"/>
      <c r="BT12" s="200"/>
      <c r="BU12" s="62"/>
      <c r="BV12" s="44"/>
      <c r="BW12" s="41"/>
      <c r="BX12" s="42"/>
      <c r="BY12" s="200"/>
      <c r="BZ12" s="42"/>
      <c r="CA12" s="43"/>
      <c r="CB12" s="77"/>
      <c r="CC12" s="62"/>
      <c r="CD12" s="200"/>
      <c r="CE12" s="62"/>
      <c r="CF12" s="44"/>
      <c r="CG12" s="41"/>
      <c r="CH12" s="42"/>
      <c r="CI12" s="200"/>
      <c r="CJ12" s="42"/>
      <c r="CK12" s="43"/>
      <c r="CL12" s="77"/>
      <c r="CM12" s="62"/>
      <c r="CN12" s="200"/>
      <c r="CO12" s="62"/>
      <c r="CP12" s="44"/>
      <c r="CQ12" s="41"/>
      <c r="CR12" s="42"/>
      <c r="CS12" s="200"/>
      <c r="CT12" s="42"/>
      <c r="CU12" s="43"/>
      <c r="CV12" s="77"/>
      <c r="CW12" s="62"/>
      <c r="CX12" s="200"/>
      <c r="CY12" s="62"/>
      <c r="CZ12" s="44"/>
      <c r="DA12" s="41"/>
      <c r="DB12" s="42"/>
      <c r="DC12" s="200"/>
      <c r="DD12" s="42"/>
      <c r="DE12" s="43"/>
    </row>
    <row r="13" spans="1:165" x14ac:dyDescent="0.2">
      <c r="B13" s="448" t="s">
        <v>21</v>
      </c>
      <c r="C13" s="449"/>
      <c r="D13" s="450"/>
      <c r="E13" s="214"/>
      <c r="F13" s="51"/>
      <c r="G13" s="201"/>
      <c r="H13" s="51"/>
      <c r="I13" s="52"/>
      <c r="J13" s="69"/>
      <c r="K13" s="64"/>
      <c r="L13" s="201"/>
      <c r="M13" s="64"/>
      <c r="N13" s="53"/>
      <c r="O13" s="50"/>
      <c r="P13" s="51"/>
      <c r="Q13" s="201"/>
      <c r="R13" s="51"/>
      <c r="S13" s="52"/>
      <c r="T13" s="69"/>
      <c r="U13" s="64"/>
      <c r="V13" s="201"/>
      <c r="W13" s="64"/>
      <c r="X13" s="53"/>
      <c r="Y13" s="50"/>
      <c r="Z13" s="51"/>
      <c r="AA13" s="201"/>
      <c r="AB13" s="51"/>
      <c r="AC13" s="52"/>
      <c r="AD13" s="69"/>
      <c r="AE13" s="64"/>
      <c r="AF13" s="201"/>
      <c r="AG13" s="64"/>
      <c r="AH13" s="53"/>
      <c r="AI13" s="50"/>
      <c r="AJ13" s="51"/>
      <c r="AK13" s="201"/>
      <c r="AL13" s="51"/>
      <c r="AM13" s="52"/>
      <c r="AN13" s="69"/>
      <c r="AO13" s="64"/>
      <c r="AP13" s="201"/>
      <c r="AQ13" s="64"/>
      <c r="AR13" s="53"/>
      <c r="AS13" s="50"/>
      <c r="AT13" s="51"/>
      <c r="AU13" s="201"/>
      <c r="AV13" s="51"/>
      <c r="AW13" s="52"/>
      <c r="AX13" s="69"/>
      <c r="AY13" s="64"/>
      <c r="AZ13" s="201"/>
      <c r="BA13" s="64"/>
      <c r="BB13" s="53"/>
      <c r="BC13" s="50"/>
      <c r="BD13" s="51"/>
      <c r="BE13" s="201"/>
      <c r="BF13" s="51"/>
      <c r="BG13" s="52"/>
      <c r="BH13" s="69"/>
      <c r="BI13" s="64"/>
      <c r="BJ13" s="201"/>
      <c r="BK13" s="64"/>
      <c r="BL13" s="53"/>
      <c r="BM13" s="50"/>
      <c r="BN13" s="51"/>
      <c r="BO13" s="201"/>
      <c r="BP13" s="51"/>
      <c r="BQ13" s="52"/>
      <c r="BR13" s="69"/>
      <c r="BS13" s="64"/>
      <c r="BT13" s="201"/>
      <c r="BU13" s="64"/>
      <c r="BV13" s="53"/>
      <c r="BW13" s="50"/>
      <c r="BX13" s="51"/>
      <c r="BY13" s="201"/>
      <c r="BZ13" s="51"/>
      <c r="CA13" s="52"/>
      <c r="CB13" s="69"/>
      <c r="CC13" s="64"/>
      <c r="CD13" s="201"/>
      <c r="CE13" s="64"/>
      <c r="CF13" s="53"/>
      <c r="CG13" s="50"/>
      <c r="CH13" s="51"/>
      <c r="CI13" s="201"/>
      <c r="CJ13" s="51"/>
      <c r="CK13" s="52"/>
      <c r="CL13" s="69"/>
      <c r="CM13" s="64"/>
      <c r="CN13" s="201"/>
      <c r="CO13" s="64"/>
      <c r="CP13" s="53"/>
      <c r="CQ13" s="50"/>
      <c r="CR13" s="51"/>
      <c r="CS13" s="201"/>
      <c r="CT13" s="51"/>
      <c r="CU13" s="52"/>
      <c r="CV13" s="69"/>
      <c r="CW13" s="64"/>
      <c r="CX13" s="201"/>
      <c r="CY13" s="64"/>
      <c r="CZ13" s="53"/>
      <c r="DA13" s="50"/>
      <c r="DB13" s="51"/>
      <c r="DC13" s="201"/>
      <c r="DD13" s="51"/>
      <c r="DE13" s="52"/>
    </row>
    <row r="14" spans="1:165" x14ac:dyDescent="0.2">
      <c r="B14" s="448" t="s">
        <v>22</v>
      </c>
      <c r="C14" s="449"/>
      <c r="D14" s="450"/>
      <c r="E14" s="57"/>
      <c r="F14" s="51"/>
      <c r="G14" s="201"/>
      <c r="H14" s="51"/>
      <c r="I14" s="52"/>
      <c r="J14" s="69"/>
      <c r="K14" s="64"/>
      <c r="L14" s="201"/>
      <c r="M14" s="64"/>
      <c r="N14" s="45"/>
      <c r="O14" s="54"/>
      <c r="P14" s="51"/>
      <c r="Q14" s="201"/>
      <c r="R14" s="51"/>
      <c r="S14" s="52"/>
      <c r="T14" s="69"/>
      <c r="U14" s="64"/>
      <c r="V14" s="201"/>
      <c r="W14" s="64"/>
      <c r="X14" s="45"/>
      <c r="Y14" s="54"/>
      <c r="Z14" s="51"/>
      <c r="AA14" s="201"/>
      <c r="AB14" s="51"/>
      <c r="AC14" s="52"/>
      <c r="AD14" s="69"/>
      <c r="AE14" s="64"/>
      <c r="AF14" s="201"/>
      <c r="AG14" s="64"/>
      <c r="AH14" s="45"/>
      <c r="AI14" s="54"/>
      <c r="AJ14" s="51"/>
      <c r="AK14" s="201"/>
      <c r="AL14" s="51"/>
      <c r="AM14" s="52"/>
      <c r="AN14" s="69"/>
      <c r="AO14" s="64"/>
      <c r="AP14" s="201"/>
      <c r="AQ14" s="64"/>
      <c r="AR14" s="45"/>
      <c r="AS14" s="54"/>
      <c r="AT14" s="51"/>
      <c r="AU14" s="201"/>
      <c r="AV14" s="51"/>
      <c r="AW14" s="52"/>
      <c r="AX14" s="69"/>
      <c r="AY14" s="64"/>
      <c r="AZ14" s="201"/>
      <c r="BA14" s="64"/>
      <c r="BB14" s="45"/>
      <c r="BC14" s="54"/>
      <c r="BD14" s="51"/>
      <c r="BE14" s="201"/>
      <c r="BF14" s="51"/>
      <c r="BG14" s="52"/>
      <c r="BH14" s="69"/>
      <c r="BI14" s="64"/>
      <c r="BJ14" s="201"/>
      <c r="BK14" s="64"/>
      <c r="BL14" s="45"/>
      <c r="BM14" s="54"/>
      <c r="BN14" s="51"/>
      <c r="BO14" s="201"/>
      <c r="BP14" s="51"/>
      <c r="BQ14" s="52"/>
      <c r="BR14" s="69"/>
      <c r="BS14" s="64"/>
      <c r="BT14" s="201"/>
      <c r="BU14" s="64"/>
      <c r="BV14" s="45"/>
      <c r="BW14" s="54"/>
      <c r="BX14" s="51"/>
      <c r="BY14" s="201"/>
      <c r="BZ14" s="51"/>
      <c r="CA14" s="52"/>
      <c r="CB14" s="69"/>
      <c r="CC14" s="64"/>
      <c r="CD14" s="201"/>
      <c r="CE14" s="64"/>
      <c r="CF14" s="45"/>
      <c r="CG14" s="54"/>
      <c r="CH14" s="51"/>
      <c r="CI14" s="201"/>
      <c r="CJ14" s="51"/>
      <c r="CK14" s="52"/>
      <c r="CL14" s="69"/>
      <c r="CM14" s="64"/>
      <c r="CN14" s="201"/>
      <c r="CO14" s="64"/>
      <c r="CP14" s="45"/>
      <c r="CQ14" s="54"/>
      <c r="CR14" s="51"/>
      <c r="CS14" s="201"/>
      <c r="CT14" s="51"/>
      <c r="CU14" s="52"/>
      <c r="CV14" s="69"/>
      <c r="CW14" s="64"/>
      <c r="CX14" s="201"/>
      <c r="CY14" s="64"/>
      <c r="CZ14" s="45"/>
      <c r="DA14" s="54"/>
      <c r="DB14" s="51"/>
      <c r="DC14" s="201"/>
      <c r="DD14" s="51"/>
      <c r="DE14" s="52"/>
    </row>
    <row r="15" spans="1:165" ht="17" thickBot="1" x14ac:dyDescent="0.25">
      <c r="B15" s="448" t="s">
        <v>23</v>
      </c>
      <c r="C15" s="449"/>
      <c r="D15" s="450"/>
      <c r="E15" s="215"/>
      <c r="F15" s="90"/>
      <c r="G15" s="202"/>
      <c r="H15" s="90"/>
      <c r="I15" s="91"/>
      <c r="J15" s="92"/>
      <c r="K15" s="93"/>
      <c r="L15" s="202"/>
      <c r="M15" s="93"/>
      <c r="N15" s="94"/>
      <c r="O15" s="89"/>
      <c r="P15" s="90"/>
      <c r="Q15" s="202"/>
      <c r="R15" s="90"/>
      <c r="S15" s="91"/>
      <c r="T15" s="92"/>
      <c r="U15" s="93"/>
      <c r="V15" s="202"/>
      <c r="W15" s="93"/>
      <c r="X15" s="94"/>
      <c r="Y15" s="89"/>
      <c r="Z15" s="90"/>
      <c r="AA15" s="202"/>
      <c r="AB15" s="90"/>
      <c r="AC15" s="91"/>
      <c r="AD15" s="92"/>
      <c r="AE15" s="93"/>
      <c r="AF15" s="202"/>
      <c r="AG15" s="93"/>
      <c r="AH15" s="94"/>
      <c r="AI15" s="89"/>
      <c r="AJ15" s="90"/>
      <c r="AK15" s="202"/>
      <c r="AL15" s="90"/>
      <c r="AM15" s="91"/>
      <c r="AN15" s="92"/>
      <c r="AO15" s="93"/>
      <c r="AP15" s="202"/>
      <c r="AQ15" s="93"/>
      <c r="AR15" s="94"/>
      <c r="AS15" s="89"/>
      <c r="AT15" s="90"/>
      <c r="AU15" s="202"/>
      <c r="AV15" s="90"/>
      <c r="AW15" s="91"/>
      <c r="AX15" s="92"/>
      <c r="AY15" s="93"/>
      <c r="AZ15" s="202"/>
      <c r="BA15" s="93"/>
      <c r="BB15" s="94"/>
      <c r="BC15" s="89"/>
      <c r="BD15" s="90"/>
      <c r="BE15" s="202"/>
      <c r="BF15" s="90"/>
      <c r="BG15" s="91"/>
      <c r="BH15" s="92"/>
      <c r="BI15" s="93"/>
      <c r="BJ15" s="202"/>
      <c r="BK15" s="93"/>
      <c r="BL15" s="94"/>
      <c r="BM15" s="89"/>
      <c r="BN15" s="90"/>
      <c r="BO15" s="202"/>
      <c r="BP15" s="90"/>
      <c r="BQ15" s="91"/>
      <c r="BR15" s="92"/>
      <c r="BS15" s="93"/>
      <c r="BT15" s="202"/>
      <c r="BU15" s="93"/>
      <c r="BV15" s="94"/>
      <c r="BW15" s="89"/>
      <c r="BX15" s="90"/>
      <c r="BY15" s="202"/>
      <c r="BZ15" s="90"/>
      <c r="CA15" s="91"/>
      <c r="CB15" s="92"/>
      <c r="CC15" s="93"/>
      <c r="CD15" s="202"/>
      <c r="CE15" s="93"/>
      <c r="CF15" s="94"/>
      <c r="CG15" s="89"/>
      <c r="CH15" s="90"/>
      <c r="CI15" s="202"/>
      <c r="CJ15" s="90"/>
      <c r="CK15" s="91"/>
      <c r="CL15" s="92"/>
      <c r="CM15" s="93"/>
      <c r="CN15" s="202"/>
      <c r="CO15" s="93"/>
      <c r="CP15" s="94"/>
      <c r="CQ15" s="89"/>
      <c r="CR15" s="90"/>
      <c r="CS15" s="202"/>
      <c r="CT15" s="90"/>
      <c r="CU15" s="91"/>
      <c r="CV15" s="92"/>
      <c r="CW15" s="93"/>
      <c r="CX15" s="202"/>
      <c r="CY15" s="93"/>
      <c r="CZ15" s="94"/>
      <c r="DA15" s="89"/>
      <c r="DB15" s="90"/>
      <c r="DC15" s="202"/>
      <c r="DD15" s="90"/>
      <c r="DE15" s="91"/>
    </row>
    <row r="16" spans="1:165" x14ac:dyDescent="0.2">
      <c r="B16" s="448" t="s">
        <v>24</v>
      </c>
      <c r="C16" s="449"/>
      <c r="D16" s="450"/>
      <c r="E16" s="95"/>
      <c r="F16" s="96"/>
      <c r="G16" s="96"/>
      <c r="H16" s="96"/>
      <c r="I16" s="97"/>
      <c r="J16" s="98"/>
      <c r="K16" s="47"/>
      <c r="L16" s="47"/>
      <c r="M16" s="47"/>
      <c r="N16" s="63"/>
      <c r="O16" s="95"/>
      <c r="P16" s="96"/>
      <c r="Q16" s="96"/>
      <c r="R16" s="96"/>
      <c r="S16" s="97"/>
      <c r="T16" s="98"/>
      <c r="U16" s="47"/>
      <c r="V16" s="47"/>
      <c r="W16" s="47"/>
      <c r="X16" s="63"/>
      <c r="Y16" s="95"/>
      <c r="Z16" s="96"/>
      <c r="AA16" s="96"/>
      <c r="AB16" s="96"/>
      <c r="AC16" s="97"/>
      <c r="AD16" s="98"/>
      <c r="AE16" s="47"/>
      <c r="AF16" s="47"/>
      <c r="AG16" s="47"/>
      <c r="AH16" s="63"/>
      <c r="AI16" s="95"/>
      <c r="AJ16" s="96"/>
      <c r="AK16" s="96"/>
      <c r="AL16" s="96"/>
      <c r="AM16" s="97"/>
      <c r="AN16" s="98"/>
      <c r="AO16" s="47"/>
      <c r="AP16" s="47"/>
      <c r="AQ16" s="47"/>
      <c r="AR16" s="63"/>
      <c r="AS16" s="95"/>
      <c r="AT16" s="96"/>
      <c r="AU16" s="96"/>
      <c r="AV16" s="96"/>
      <c r="AW16" s="97"/>
      <c r="AX16" s="98"/>
      <c r="AY16" s="47"/>
      <c r="AZ16" s="47"/>
      <c r="BA16" s="47"/>
      <c r="BB16" s="63"/>
      <c r="BC16" s="95"/>
      <c r="BD16" s="96"/>
      <c r="BE16" s="96"/>
      <c r="BF16" s="96"/>
      <c r="BG16" s="97"/>
      <c r="BH16" s="98"/>
      <c r="BI16" s="47"/>
      <c r="BJ16" s="47"/>
      <c r="BK16" s="47"/>
      <c r="BL16" s="63"/>
      <c r="BM16" s="95"/>
      <c r="BN16" s="96"/>
      <c r="BO16" s="96"/>
      <c r="BP16" s="96"/>
      <c r="BQ16" s="97"/>
      <c r="BR16" s="98"/>
      <c r="BS16" s="47"/>
      <c r="BT16" s="47"/>
      <c r="BU16" s="47"/>
      <c r="BV16" s="63"/>
      <c r="BW16" s="95"/>
      <c r="BX16" s="96"/>
      <c r="BY16" s="96"/>
      <c r="BZ16" s="96"/>
      <c r="CA16" s="97"/>
      <c r="CB16" s="98"/>
      <c r="CC16" s="47"/>
      <c r="CD16" s="47"/>
      <c r="CE16" s="47"/>
      <c r="CF16" s="63"/>
      <c r="CG16" s="95"/>
      <c r="CH16" s="96"/>
      <c r="CI16" s="96"/>
      <c r="CJ16" s="96"/>
      <c r="CK16" s="97"/>
      <c r="CL16" s="98"/>
      <c r="CM16" s="47"/>
      <c r="CN16" s="47"/>
      <c r="CO16" s="47"/>
      <c r="CP16" s="63"/>
      <c r="CQ16" s="95"/>
      <c r="CR16" s="96"/>
      <c r="CS16" s="96"/>
      <c r="CT16" s="96"/>
      <c r="CU16" s="97"/>
      <c r="CV16" s="98"/>
      <c r="CW16" s="47"/>
      <c r="CX16" s="47"/>
      <c r="CY16" s="47"/>
      <c r="CZ16" s="63"/>
      <c r="DA16" s="95"/>
      <c r="DB16" s="96"/>
      <c r="DC16" s="96"/>
      <c r="DD16" s="96"/>
      <c r="DE16" s="97"/>
    </row>
    <row r="17" spans="1:165" x14ac:dyDescent="0.2">
      <c r="B17" s="448" t="s">
        <v>30</v>
      </c>
      <c r="C17" s="449"/>
      <c r="D17" s="450"/>
      <c r="E17" s="68"/>
      <c r="F17" s="65"/>
      <c r="G17" s="65"/>
      <c r="H17" s="65"/>
      <c r="I17" s="70"/>
      <c r="J17" s="67"/>
      <c r="K17" s="56"/>
      <c r="L17" s="56"/>
      <c r="M17" s="56"/>
      <c r="N17" s="66"/>
      <c r="O17" s="68"/>
      <c r="P17" s="65"/>
      <c r="Q17" s="65"/>
      <c r="R17" s="65"/>
      <c r="S17" s="70"/>
      <c r="T17" s="67"/>
      <c r="U17" s="56"/>
      <c r="V17" s="56"/>
      <c r="W17" s="56"/>
      <c r="X17" s="66"/>
      <c r="Y17" s="68"/>
      <c r="Z17" s="65"/>
      <c r="AA17" s="65"/>
      <c r="AB17" s="65"/>
      <c r="AC17" s="70"/>
      <c r="AD17" s="67"/>
      <c r="AE17" s="56"/>
      <c r="AF17" s="56"/>
      <c r="AG17" s="56"/>
      <c r="AH17" s="66"/>
      <c r="AI17" s="68"/>
      <c r="AJ17" s="65"/>
      <c r="AK17" s="65"/>
      <c r="AL17" s="65"/>
      <c r="AM17" s="70"/>
      <c r="AN17" s="67"/>
      <c r="AO17" s="56"/>
      <c r="AP17" s="56"/>
      <c r="AQ17" s="56"/>
      <c r="AR17" s="66"/>
      <c r="AS17" s="68"/>
      <c r="AT17" s="65"/>
      <c r="AU17" s="65"/>
      <c r="AV17" s="65"/>
      <c r="AW17" s="70"/>
      <c r="AX17" s="67"/>
      <c r="AY17" s="56"/>
      <c r="AZ17" s="56"/>
      <c r="BA17" s="56"/>
      <c r="BB17" s="66"/>
      <c r="BC17" s="68"/>
      <c r="BD17" s="65"/>
      <c r="BE17" s="65"/>
      <c r="BF17" s="65"/>
      <c r="BG17" s="70"/>
      <c r="BH17" s="67"/>
      <c r="BI17" s="56"/>
      <c r="BJ17" s="56"/>
      <c r="BK17" s="56"/>
      <c r="BL17" s="66"/>
      <c r="BM17" s="68"/>
      <c r="BN17" s="65"/>
      <c r="BO17" s="65"/>
      <c r="BP17" s="65"/>
      <c r="BQ17" s="70"/>
      <c r="BR17" s="67"/>
      <c r="BS17" s="56"/>
      <c r="BT17" s="56"/>
      <c r="BU17" s="56"/>
      <c r="BV17" s="66"/>
      <c r="BW17" s="68"/>
      <c r="BX17" s="65"/>
      <c r="BY17" s="65"/>
      <c r="BZ17" s="65"/>
      <c r="CA17" s="70"/>
      <c r="CB17" s="67"/>
      <c r="CC17" s="56"/>
      <c r="CD17" s="56"/>
      <c r="CE17" s="56"/>
      <c r="CF17" s="66"/>
      <c r="CG17" s="68"/>
      <c r="CH17" s="65"/>
      <c r="CI17" s="65"/>
      <c r="CJ17" s="65"/>
      <c r="CK17" s="70"/>
      <c r="CL17" s="67"/>
      <c r="CM17" s="56"/>
      <c r="CN17" s="56"/>
      <c r="CO17" s="56"/>
      <c r="CP17" s="66"/>
      <c r="CQ17" s="68"/>
      <c r="CR17" s="65"/>
      <c r="CS17" s="65"/>
      <c r="CT17" s="65"/>
      <c r="CU17" s="70"/>
      <c r="CV17" s="67"/>
      <c r="CW17" s="56"/>
      <c r="CX17" s="56"/>
      <c r="CY17" s="56"/>
      <c r="CZ17" s="66"/>
      <c r="DA17" s="68"/>
      <c r="DB17" s="65"/>
      <c r="DC17" s="65"/>
      <c r="DD17" s="65"/>
      <c r="DE17" s="70"/>
    </row>
    <row r="18" spans="1:165" x14ac:dyDescent="0.2">
      <c r="B18" s="448" t="s">
        <v>31</v>
      </c>
      <c r="C18" s="449"/>
      <c r="D18" s="450"/>
      <c r="E18" s="68"/>
      <c r="F18" s="65"/>
      <c r="G18" s="65"/>
      <c r="H18" s="65"/>
      <c r="I18" s="70"/>
      <c r="J18" s="67"/>
      <c r="K18" s="56"/>
      <c r="L18" s="56"/>
      <c r="M18" s="56"/>
      <c r="N18" s="66"/>
      <c r="O18" s="68"/>
      <c r="P18" s="65"/>
      <c r="Q18" s="65"/>
      <c r="R18" s="65"/>
      <c r="S18" s="70"/>
      <c r="T18" s="67"/>
      <c r="U18" s="56"/>
      <c r="V18" s="56"/>
      <c r="W18" s="56"/>
      <c r="X18" s="66"/>
      <c r="Y18" s="68"/>
      <c r="Z18" s="65"/>
      <c r="AA18" s="65"/>
      <c r="AB18" s="65"/>
      <c r="AC18" s="70"/>
      <c r="AD18" s="67"/>
      <c r="AE18" s="56"/>
      <c r="AF18" s="56"/>
      <c r="AG18" s="56"/>
      <c r="AH18" s="66"/>
      <c r="AI18" s="68"/>
      <c r="AJ18" s="65"/>
      <c r="AK18" s="65"/>
      <c r="AL18" s="65"/>
      <c r="AM18" s="70"/>
      <c r="AN18" s="67"/>
      <c r="AO18" s="56"/>
      <c r="AP18" s="56"/>
      <c r="AQ18" s="56"/>
      <c r="AR18" s="66"/>
      <c r="AS18" s="68"/>
      <c r="AT18" s="65"/>
      <c r="AU18" s="65"/>
      <c r="AV18" s="65"/>
      <c r="AW18" s="70"/>
      <c r="AX18" s="67"/>
      <c r="AY18" s="56"/>
      <c r="AZ18" s="56"/>
      <c r="BA18" s="56"/>
      <c r="BB18" s="66"/>
      <c r="BC18" s="68"/>
      <c r="BD18" s="65"/>
      <c r="BE18" s="65"/>
      <c r="BF18" s="65"/>
      <c r="BG18" s="70"/>
      <c r="BH18" s="67"/>
      <c r="BI18" s="56"/>
      <c r="BJ18" s="56"/>
      <c r="BK18" s="56"/>
      <c r="BL18" s="66"/>
      <c r="BM18" s="68"/>
      <c r="BN18" s="65"/>
      <c r="BO18" s="65"/>
      <c r="BP18" s="65"/>
      <c r="BQ18" s="70"/>
      <c r="BR18" s="67"/>
      <c r="BS18" s="56"/>
      <c r="BT18" s="56"/>
      <c r="BU18" s="56"/>
      <c r="BV18" s="66"/>
      <c r="BW18" s="68"/>
      <c r="BX18" s="65"/>
      <c r="BY18" s="65"/>
      <c r="BZ18" s="65"/>
      <c r="CA18" s="70"/>
      <c r="CB18" s="67"/>
      <c r="CC18" s="56"/>
      <c r="CD18" s="56"/>
      <c r="CE18" s="56"/>
      <c r="CF18" s="66"/>
      <c r="CG18" s="68"/>
      <c r="CH18" s="65"/>
      <c r="CI18" s="65"/>
      <c r="CJ18" s="65"/>
      <c r="CK18" s="70"/>
      <c r="CL18" s="67"/>
      <c r="CM18" s="56"/>
      <c r="CN18" s="56"/>
      <c r="CO18" s="56"/>
      <c r="CP18" s="66"/>
      <c r="CQ18" s="68"/>
      <c r="CR18" s="65"/>
      <c r="CS18" s="65"/>
      <c r="CT18" s="65"/>
      <c r="CU18" s="70"/>
      <c r="CV18" s="67"/>
      <c r="CW18" s="56"/>
      <c r="CX18" s="56"/>
      <c r="CY18" s="56"/>
      <c r="CZ18" s="66"/>
      <c r="DA18" s="68"/>
      <c r="DB18" s="65"/>
      <c r="DC18" s="65"/>
      <c r="DD18" s="65"/>
      <c r="DE18" s="70"/>
    </row>
    <row r="19" spans="1:165" x14ac:dyDescent="0.2">
      <c r="B19" s="448" t="s">
        <v>32</v>
      </c>
      <c r="C19" s="449"/>
      <c r="D19" s="450"/>
      <c r="E19" s="68"/>
      <c r="F19" s="65"/>
      <c r="G19" s="65"/>
      <c r="H19" s="65"/>
      <c r="I19" s="70"/>
      <c r="J19" s="67"/>
      <c r="K19" s="56"/>
      <c r="L19" s="56"/>
      <c r="M19" s="56"/>
      <c r="N19" s="66"/>
      <c r="O19" s="68"/>
      <c r="P19" s="65"/>
      <c r="Q19" s="65"/>
      <c r="R19" s="65"/>
      <c r="S19" s="70"/>
      <c r="T19" s="67"/>
      <c r="U19" s="56"/>
      <c r="V19" s="56"/>
      <c r="W19" s="56"/>
      <c r="X19" s="66"/>
      <c r="Y19" s="68"/>
      <c r="Z19" s="65"/>
      <c r="AA19" s="65"/>
      <c r="AB19" s="65"/>
      <c r="AC19" s="70"/>
      <c r="AD19" s="67"/>
      <c r="AE19" s="56"/>
      <c r="AF19" s="56"/>
      <c r="AG19" s="56"/>
      <c r="AH19" s="66"/>
      <c r="AI19" s="68"/>
      <c r="AJ19" s="65"/>
      <c r="AK19" s="65"/>
      <c r="AL19" s="65"/>
      <c r="AM19" s="70"/>
      <c r="AN19" s="67"/>
      <c r="AO19" s="56"/>
      <c r="AP19" s="56"/>
      <c r="AQ19" s="56"/>
      <c r="AR19" s="66"/>
      <c r="AS19" s="68"/>
      <c r="AT19" s="65"/>
      <c r="AU19" s="65"/>
      <c r="AV19" s="65"/>
      <c r="AW19" s="70"/>
      <c r="AX19" s="67"/>
      <c r="AY19" s="56"/>
      <c r="AZ19" s="56"/>
      <c r="BA19" s="56"/>
      <c r="BB19" s="66"/>
      <c r="BC19" s="68"/>
      <c r="BD19" s="65"/>
      <c r="BE19" s="65"/>
      <c r="BF19" s="65"/>
      <c r="BG19" s="70"/>
      <c r="BH19" s="67"/>
      <c r="BI19" s="56"/>
      <c r="BJ19" s="56"/>
      <c r="BK19" s="56"/>
      <c r="BL19" s="66"/>
      <c r="BM19" s="68"/>
      <c r="BN19" s="65"/>
      <c r="BO19" s="65"/>
      <c r="BP19" s="65"/>
      <c r="BQ19" s="70"/>
      <c r="BR19" s="67"/>
      <c r="BS19" s="56"/>
      <c r="BT19" s="56"/>
      <c r="BU19" s="56"/>
      <c r="BV19" s="66"/>
      <c r="BW19" s="68"/>
      <c r="BX19" s="65"/>
      <c r="BY19" s="65"/>
      <c r="BZ19" s="65"/>
      <c r="CA19" s="70"/>
      <c r="CB19" s="67"/>
      <c r="CC19" s="56"/>
      <c r="CD19" s="56"/>
      <c r="CE19" s="56"/>
      <c r="CF19" s="66"/>
      <c r="CG19" s="68"/>
      <c r="CH19" s="65"/>
      <c r="CI19" s="65"/>
      <c r="CJ19" s="65"/>
      <c r="CK19" s="70"/>
      <c r="CL19" s="67"/>
      <c r="CM19" s="56"/>
      <c r="CN19" s="56"/>
      <c r="CO19" s="56"/>
      <c r="CP19" s="66"/>
      <c r="CQ19" s="68"/>
      <c r="CR19" s="65"/>
      <c r="CS19" s="65"/>
      <c r="CT19" s="65"/>
      <c r="CU19" s="70"/>
      <c r="CV19" s="67"/>
      <c r="CW19" s="56"/>
      <c r="CX19" s="56"/>
      <c r="CY19" s="56"/>
      <c r="CZ19" s="66"/>
      <c r="DA19" s="68"/>
      <c r="DB19" s="65"/>
      <c r="DC19" s="65"/>
      <c r="DD19" s="65"/>
      <c r="DE19" s="70"/>
    </row>
    <row r="20" spans="1:165" x14ac:dyDescent="0.2">
      <c r="B20" s="448" t="s">
        <v>33</v>
      </c>
      <c r="C20" s="449"/>
      <c r="D20" s="450"/>
      <c r="E20" s="68"/>
      <c r="F20" s="65"/>
      <c r="G20" s="65"/>
      <c r="H20" s="65"/>
      <c r="I20" s="70"/>
      <c r="J20" s="67"/>
      <c r="K20" s="56"/>
      <c r="L20" s="56"/>
      <c r="M20" s="56"/>
      <c r="N20" s="66"/>
      <c r="O20" s="68"/>
      <c r="P20" s="65"/>
      <c r="Q20" s="65"/>
      <c r="R20" s="65"/>
      <c r="S20" s="70"/>
      <c r="T20" s="67"/>
      <c r="U20" s="56"/>
      <c r="V20" s="56"/>
      <c r="W20" s="56"/>
      <c r="X20" s="66"/>
      <c r="Y20" s="68"/>
      <c r="Z20" s="65"/>
      <c r="AA20" s="65"/>
      <c r="AB20" s="65"/>
      <c r="AC20" s="70"/>
      <c r="AD20" s="67"/>
      <c r="AE20" s="56"/>
      <c r="AF20" s="56"/>
      <c r="AG20" s="56"/>
      <c r="AH20" s="66"/>
      <c r="AI20" s="68"/>
      <c r="AJ20" s="65"/>
      <c r="AK20" s="65"/>
      <c r="AL20" s="65"/>
      <c r="AM20" s="70"/>
      <c r="AN20" s="67"/>
      <c r="AO20" s="56"/>
      <c r="AP20" s="56"/>
      <c r="AQ20" s="56"/>
      <c r="AR20" s="66"/>
      <c r="AS20" s="68"/>
      <c r="AT20" s="65"/>
      <c r="AU20" s="65"/>
      <c r="AV20" s="65"/>
      <c r="AW20" s="70"/>
      <c r="AX20" s="67"/>
      <c r="AY20" s="56"/>
      <c r="AZ20" s="56"/>
      <c r="BA20" s="56"/>
      <c r="BB20" s="66"/>
      <c r="BC20" s="68"/>
      <c r="BD20" s="65"/>
      <c r="BE20" s="65"/>
      <c r="BF20" s="65"/>
      <c r="BG20" s="70"/>
      <c r="BH20" s="67"/>
      <c r="BI20" s="56"/>
      <c r="BJ20" s="56"/>
      <c r="BK20" s="56"/>
      <c r="BL20" s="66"/>
      <c r="BM20" s="68"/>
      <c r="BN20" s="65"/>
      <c r="BO20" s="65"/>
      <c r="BP20" s="65"/>
      <c r="BQ20" s="70"/>
      <c r="BR20" s="67"/>
      <c r="BS20" s="56"/>
      <c r="BT20" s="56"/>
      <c r="BU20" s="56"/>
      <c r="BV20" s="66"/>
      <c r="BW20" s="68"/>
      <c r="BX20" s="65"/>
      <c r="BY20" s="65"/>
      <c r="BZ20" s="65"/>
      <c r="CA20" s="70"/>
      <c r="CB20" s="67"/>
      <c r="CC20" s="56"/>
      <c r="CD20" s="56"/>
      <c r="CE20" s="56"/>
      <c r="CF20" s="66"/>
      <c r="CG20" s="68"/>
      <c r="CH20" s="65"/>
      <c r="CI20" s="65"/>
      <c r="CJ20" s="65"/>
      <c r="CK20" s="70"/>
      <c r="CL20" s="67"/>
      <c r="CM20" s="56"/>
      <c r="CN20" s="56"/>
      <c r="CO20" s="56"/>
      <c r="CP20" s="66"/>
      <c r="CQ20" s="68"/>
      <c r="CR20" s="65"/>
      <c r="CS20" s="65"/>
      <c r="CT20" s="65"/>
      <c r="CU20" s="70"/>
      <c r="CV20" s="67"/>
      <c r="CW20" s="56"/>
      <c r="CX20" s="56"/>
      <c r="CY20" s="56"/>
      <c r="CZ20" s="66"/>
      <c r="DA20" s="68"/>
      <c r="DB20" s="65"/>
      <c r="DC20" s="65"/>
      <c r="DD20" s="65"/>
      <c r="DE20" s="70"/>
    </row>
    <row r="21" spans="1:165" ht="17" thickBot="1" x14ac:dyDescent="0.25">
      <c r="B21" s="451" t="s">
        <v>34</v>
      </c>
      <c r="C21" s="452"/>
      <c r="D21" s="453"/>
      <c r="E21" s="71"/>
      <c r="F21" s="72"/>
      <c r="G21" s="72"/>
      <c r="H21" s="72"/>
      <c r="I21" s="73"/>
      <c r="J21" s="74"/>
      <c r="K21" s="75"/>
      <c r="L21" s="75"/>
      <c r="M21" s="75"/>
      <c r="N21" s="76"/>
      <c r="O21" s="71"/>
      <c r="P21" s="72"/>
      <c r="Q21" s="72"/>
      <c r="R21" s="72"/>
      <c r="S21" s="73"/>
      <c r="T21" s="74"/>
      <c r="U21" s="75"/>
      <c r="V21" s="75"/>
      <c r="W21" s="75"/>
      <c r="X21" s="76"/>
      <c r="Y21" s="71"/>
      <c r="Z21" s="72"/>
      <c r="AA21" s="72"/>
      <c r="AB21" s="72"/>
      <c r="AC21" s="73"/>
      <c r="AD21" s="74"/>
      <c r="AE21" s="75"/>
      <c r="AF21" s="75"/>
      <c r="AG21" s="75"/>
      <c r="AH21" s="76"/>
      <c r="AI21" s="71"/>
      <c r="AJ21" s="72"/>
      <c r="AK21" s="72"/>
      <c r="AL21" s="72"/>
      <c r="AM21" s="73"/>
      <c r="AN21" s="74"/>
      <c r="AO21" s="75"/>
      <c r="AP21" s="75"/>
      <c r="AQ21" s="75"/>
      <c r="AR21" s="76"/>
      <c r="AS21" s="71"/>
      <c r="AT21" s="72"/>
      <c r="AU21" s="72"/>
      <c r="AV21" s="72"/>
      <c r="AW21" s="73"/>
      <c r="AX21" s="74"/>
      <c r="AY21" s="75"/>
      <c r="AZ21" s="75"/>
      <c r="BA21" s="75"/>
      <c r="BB21" s="76"/>
      <c r="BC21" s="71"/>
      <c r="BD21" s="72"/>
      <c r="BE21" s="72"/>
      <c r="BF21" s="72"/>
      <c r="BG21" s="73"/>
      <c r="BH21" s="74"/>
      <c r="BI21" s="75"/>
      <c r="BJ21" s="75"/>
      <c r="BK21" s="75"/>
      <c r="BL21" s="76"/>
      <c r="BM21" s="71"/>
      <c r="BN21" s="72"/>
      <c r="BO21" s="72"/>
      <c r="BP21" s="72"/>
      <c r="BQ21" s="73"/>
      <c r="BR21" s="74"/>
      <c r="BS21" s="75"/>
      <c r="BT21" s="75"/>
      <c r="BU21" s="75"/>
      <c r="BV21" s="76"/>
      <c r="BW21" s="71"/>
      <c r="BX21" s="72"/>
      <c r="BY21" s="72"/>
      <c r="BZ21" s="72"/>
      <c r="CA21" s="73"/>
      <c r="CB21" s="74"/>
      <c r="CC21" s="75"/>
      <c r="CD21" s="75"/>
      <c r="CE21" s="75"/>
      <c r="CF21" s="76"/>
      <c r="CG21" s="71"/>
      <c r="CH21" s="72"/>
      <c r="CI21" s="72"/>
      <c r="CJ21" s="72"/>
      <c r="CK21" s="73"/>
      <c r="CL21" s="74"/>
      <c r="CM21" s="75"/>
      <c r="CN21" s="75"/>
      <c r="CO21" s="75"/>
      <c r="CP21" s="76"/>
      <c r="CQ21" s="71"/>
      <c r="CR21" s="72"/>
      <c r="CS21" s="72"/>
      <c r="CT21" s="72"/>
      <c r="CU21" s="73"/>
      <c r="CV21" s="74"/>
      <c r="CW21" s="75"/>
      <c r="CX21" s="75"/>
      <c r="CY21" s="75"/>
      <c r="CZ21" s="76"/>
      <c r="DA21" s="71"/>
      <c r="DB21" s="72"/>
      <c r="DC21" s="72"/>
      <c r="DD21" s="72"/>
      <c r="DE21" s="73"/>
    </row>
    <row r="22" spans="1:165" s="136" customFormat="1" ht="17" thickBot="1" x14ac:dyDescent="0.25"/>
    <row r="23" spans="1:165" ht="17" thickBot="1" x14ac:dyDescent="0.25">
      <c r="B23" s="477"/>
      <c r="C23" s="477"/>
      <c r="D23" s="477"/>
      <c r="E23" s="464" t="str">
        <f>_xlfn.CONCAT("Uge ",WEEKNUM(E26))</f>
        <v>Uge 6</v>
      </c>
      <c r="F23" s="465"/>
      <c r="G23" s="465"/>
      <c r="H23" s="465"/>
      <c r="I23" s="466"/>
      <c r="J23" s="464" t="str">
        <f>_xlfn.CONCAT("Uge ",WEEKNUM(J26))</f>
        <v>Uge 7</v>
      </c>
      <c r="K23" s="465"/>
      <c r="L23" s="465"/>
      <c r="M23" s="465"/>
      <c r="N23" s="466"/>
      <c r="O23" s="464" t="str">
        <f t="shared" ref="O23" si="15">_xlfn.CONCAT("Uge ",WEEKNUM(O26))</f>
        <v>Uge 8</v>
      </c>
      <c r="P23" s="465"/>
      <c r="Q23" s="465"/>
      <c r="R23" s="465"/>
      <c r="S23" s="466"/>
      <c r="T23" s="464" t="str">
        <f t="shared" ref="T23" si="16">_xlfn.CONCAT("Uge ",WEEKNUM(T26))</f>
        <v>Uge 9</v>
      </c>
      <c r="U23" s="465"/>
      <c r="V23" s="465"/>
      <c r="W23" s="465"/>
      <c r="X23" s="466"/>
      <c r="Y23" s="464" t="str">
        <f t="shared" ref="Y23" si="17">_xlfn.CONCAT("Uge ",WEEKNUM(Y26))</f>
        <v>Uge 10</v>
      </c>
      <c r="Z23" s="465"/>
      <c r="AA23" s="465"/>
      <c r="AB23" s="465"/>
      <c r="AC23" s="466"/>
      <c r="AD23" s="464" t="str">
        <f t="shared" ref="AD23" si="18">_xlfn.CONCAT("Uge ",WEEKNUM(AD26))</f>
        <v>Uge 11</v>
      </c>
      <c r="AE23" s="465"/>
      <c r="AF23" s="465"/>
      <c r="AG23" s="465"/>
      <c r="AH23" s="466"/>
      <c r="AI23" s="464" t="str">
        <f t="shared" ref="AI23" si="19">_xlfn.CONCAT("Uge ",WEEKNUM(AI26))</f>
        <v>Uge 12</v>
      </c>
      <c r="AJ23" s="465"/>
      <c r="AK23" s="465"/>
      <c r="AL23" s="465"/>
      <c r="AM23" s="466"/>
      <c r="AN23" s="464" t="str">
        <f t="shared" ref="AN23" si="20">_xlfn.CONCAT("Uge ",WEEKNUM(AN26))</f>
        <v>Uge 13</v>
      </c>
      <c r="AO23" s="465"/>
      <c r="AP23" s="465"/>
      <c r="AQ23" s="465"/>
      <c r="AR23" s="466"/>
      <c r="AS23" s="464" t="str">
        <f t="shared" ref="AS23" si="21">_xlfn.CONCAT("Uge ",WEEKNUM(AS26))</f>
        <v>Uge 14</v>
      </c>
      <c r="AT23" s="465"/>
      <c r="AU23" s="465"/>
      <c r="AV23" s="465"/>
      <c r="AW23" s="466"/>
      <c r="AX23" s="464" t="str">
        <f t="shared" ref="AX23" si="22">_xlfn.CONCAT("Uge ",WEEKNUM(AX26))</f>
        <v>Uge 15</v>
      </c>
      <c r="AY23" s="465"/>
      <c r="AZ23" s="465"/>
      <c r="BA23" s="465"/>
      <c r="BB23" s="466"/>
      <c r="BC23" s="464" t="str">
        <f t="shared" ref="BC23" si="23">_xlfn.CONCAT("Uge ",WEEKNUM(BC26))</f>
        <v>Uge 16</v>
      </c>
      <c r="BD23" s="465"/>
      <c r="BE23" s="465"/>
      <c r="BF23" s="465"/>
      <c r="BG23" s="466"/>
      <c r="BH23" s="464" t="str">
        <f t="shared" ref="BH23" si="24">_xlfn.CONCAT("Uge ",WEEKNUM(BH26))</f>
        <v>Uge 17</v>
      </c>
      <c r="BI23" s="465"/>
      <c r="BJ23" s="465"/>
      <c r="BK23" s="465"/>
      <c r="BL23" s="466"/>
      <c r="BM23" s="464" t="str">
        <f t="shared" ref="BM23" si="25">_xlfn.CONCAT("Uge ",WEEKNUM(BM26))</f>
        <v>Uge 18</v>
      </c>
      <c r="BN23" s="465"/>
      <c r="BO23" s="465"/>
      <c r="BP23" s="465"/>
      <c r="BQ23" s="466"/>
      <c r="BR23" s="464" t="str">
        <f t="shared" ref="BR23" si="26">_xlfn.CONCAT("Uge ",WEEKNUM(BR26))</f>
        <v>Uge 19</v>
      </c>
      <c r="BS23" s="465"/>
      <c r="BT23" s="465"/>
      <c r="BU23" s="465"/>
      <c r="BV23" s="466"/>
      <c r="BW23" s="464" t="str">
        <f t="shared" ref="BW23" si="27">_xlfn.CONCAT("Uge ",WEEKNUM(BW26))</f>
        <v>Uge 20</v>
      </c>
      <c r="BX23" s="465"/>
      <c r="BY23" s="465"/>
      <c r="BZ23" s="465"/>
      <c r="CA23" s="466"/>
      <c r="CB23" s="464" t="str">
        <f t="shared" ref="CB23" si="28">_xlfn.CONCAT("Uge ",WEEKNUM(CB26))</f>
        <v>Uge 21</v>
      </c>
      <c r="CC23" s="465"/>
      <c r="CD23" s="465"/>
      <c r="CE23" s="465"/>
      <c r="CF23" s="466"/>
      <c r="CG23" s="464" t="str">
        <f t="shared" ref="CG23" si="29">_xlfn.CONCAT("Uge ",WEEKNUM(CG26))</f>
        <v>Uge 22</v>
      </c>
      <c r="CH23" s="465"/>
      <c r="CI23" s="465"/>
      <c r="CJ23" s="465"/>
      <c r="CK23" s="466"/>
      <c r="CL23" s="464" t="str">
        <f t="shared" ref="CL23" si="30">_xlfn.CONCAT("Uge ",WEEKNUM(CL26))</f>
        <v>Uge 23</v>
      </c>
      <c r="CM23" s="465"/>
      <c r="CN23" s="465"/>
      <c r="CO23" s="465"/>
      <c r="CP23" s="466"/>
      <c r="CQ23" s="464" t="str">
        <f t="shared" ref="CQ23" si="31">_xlfn.CONCAT("Uge ",WEEKNUM(CQ26))</f>
        <v>Uge 24</v>
      </c>
      <c r="CR23" s="465"/>
      <c r="CS23" s="465"/>
      <c r="CT23" s="465"/>
      <c r="CU23" s="466"/>
      <c r="CV23" s="464" t="str">
        <f t="shared" ref="CV23" si="32">_xlfn.CONCAT("Uge ",WEEKNUM(CV26))</f>
        <v>Uge 25</v>
      </c>
      <c r="CW23" s="465"/>
      <c r="CX23" s="465"/>
      <c r="CY23" s="465"/>
      <c r="CZ23" s="466"/>
      <c r="DA23" s="464" t="str">
        <f t="shared" ref="DA23" si="33">_xlfn.CONCAT("Uge ",WEEKNUM(DA26))</f>
        <v>Uge 26</v>
      </c>
      <c r="DB23" s="465"/>
      <c r="DC23" s="465"/>
      <c r="DD23" s="465"/>
      <c r="DE23" s="466"/>
    </row>
    <row r="24" spans="1:165" ht="17" thickBot="1" x14ac:dyDescent="0.25">
      <c r="B24" s="467"/>
      <c r="C24" s="468"/>
      <c r="D24" s="469"/>
      <c r="E24" s="522"/>
      <c r="F24" s="523"/>
      <c r="G24" s="523"/>
      <c r="H24" s="523"/>
      <c r="I24" s="524"/>
      <c r="J24" s="522"/>
      <c r="K24" s="523"/>
      <c r="L24" s="523"/>
      <c r="M24" s="523"/>
      <c r="N24" s="524"/>
      <c r="O24" s="522"/>
      <c r="P24" s="523"/>
      <c r="Q24" s="523"/>
      <c r="R24" s="523"/>
      <c r="S24" s="524"/>
      <c r="T24" s="522"/>
      <c r="U24" s="523"/>
      <c r="V24" s="523"/>
      <c r="W24" s="523"/>
      <c r="X24" s="524"/>
      <c r="Y24" s="522"/>
      <c r="Z24" s="523"/>
      <c r="AA24" s="523"/>
      <c r="AB24" s="523"/>
      <c r="AC24" s="524"/>
      <c r="AD24" s="522"/>
      <c r="AE24" s="523"/>
      <c r="AF24" s="523"/>
      <c r="AG24" s="523"/>
      <c r="AH24" s="524"/>
      <c r="AI24" s="522"/>
      <c r="AJ24" s="523"/>
      <c r="AK24" s="523"/>
      <c r="AL24" s="523"/>
      <c r="AM24" s="524"/>
      <c r="AN24" s="522"/>
      <c r="AO24" s="523"/>
      <c r="AP24" s="523"/>
      <c r="AQ24" s="523"/>
      <c r="AR24" s="524"/>
      <c r="AS24" s="522"/>
      <c r="AT24" s="523"/>
      <c r="AU24" s="523"/>
      <c r="AV24" s="523"/>
      <c r="AW24" s="524"/>
      <c r="AX24" s="522"/>
      <c r="AY24" s="523"/>
      <c r="AZ24" s="523"/>
      <c r="BA24" s="523"/>
      <c r="BB24" s="524"/>
      <c r="BC24" s="522"/>
      <c r="BD24" s="523"/>
      <c r="BE24" s="523"/>
      <c r="BF24" s="523"/>
      <c r="BG24" s="524"/>
      <c r="BH24" s="522"/>
      <c r="BI24" s="523"/>
      <c r="BJ24" s="523"/>
      <c r="BK24" s="523"/>
      <c r="BL24" s="524"/>
      <c r="BM24" s="522"/>
      <c r="BN24" s="523"/>
      <c r="BO24" s="523"/>
      <c r="BP24" s="523"/>
      <c r="BQ24" s="524"/>
      <c r="BR24" s="522"/>
      <c r="BS24" s="523"/>
      <c r="BT24" s="523"/>
      <c r="BU24" s="523"/>
      <c r="BV24" s="524"/>
      <c r="BW24" s="522"/>
      <c r="BX24" s="523"/>
      <c r="BY24" s="523"/>
      <c r="BZ24" s="523"/>
      <c r="CA24" s="524"/>
      <c r="CB24" s="522"/>
      <c r="CC24" s="523"/>
      <c r="CD24" s="523"/>
      <c r="CE24" s="523"/>
      <c r="CF24" s="524"/>
      <c r="CG24" s="522"/>
      <c r="CH24" s="523"/>
      <c r="CI24" s="523"/>
      <c r="CJ24" s="523"/>
      <c r="CK24" s="524"/>
      <c r="CL24" s="522"/>
      <c r="CM24" s="523"/>
      <c r="CN24" s="523"/>
      <c r="CO24" s="523"/>
      <c r="CP24" s="524"/>
      <c r="CQ24" s="522"/>
      <c r="CR24" s="523"/>
      <c r="CS24" s="523"/>
      <c r="CT24" s="523"/>
      <c r="CU24" s="524"/>
      <c r="CV24" s="522"/>
      <c r="CW24" s="523"/>
      <c r="CX24" s="523"/>
      <c r="CY24" s="523"/>
      <c r="CZ24" s="524"/>
      <c r="DA24" s="522"/>
      <c r="DB24" s="523"/>
      <c r="DC24" s="523"/>
      <c r="DD24" s="523"/>
      <c r="DE24" s="524"/>
    </row>
    <row r="25" spans="1:165" x14ac:dyDescent="0.2">
      <c r="B25" s="470"/>
      <c r="C25" s="471"/>
      <c r="D25" s="472"/>
      <c r="E25" s="316">
        <f>E26</f>
        <v>46419</v>
      </c>
      <c r="F25" s="317">
        <f t="shared" ref="F25:BQ25" si="34">F26</f>
        <v>46420</v>
      </c>
      <c r="G25" s="318">
        <f t="shared" si="34"/>
        <v>46421</v>
      </c>
      <c r="H25" s="318">
        <f t="shared" si="34"/>
        <v>46422</v>
      </c>
      <c r="I25" s="319">
        <f t="shared" si="34"/>
        <v>46423</v>
      </c>
      <c r="J25" s="320">
        <f t="shared" si="34"/>
        <v>46426</v>
      </c>
      <c r="K25" s="321">
        <f t="shared" si="34"/>
        <v>46427</v>
      </c>
      <c r="L25" s="322">
        <f t="shared" si="34"/>
        <v>46428</v>
      </c>
      <c r="M25" s="322">
        <f t="shared" si="34"/>
        <v>46429</v>
      </c>
      <c r="N25" s="323">
        <f t="shared" si="34"/>
        <v>46430</v>
      </c>
      <c r="O25" s="316">
        <f t="shared" si="34"/>
        <v>46433</v>
      </c>
      <c r="P25" s="317">
        <f t="shared" si="34"/>
        <v>46434</v>
      </c>
      <c r="Q25" s="318">
        <f t="shared" si="34"/>
        <v>46435</v>
      </c>
      <c r="R25" s="318">
        <f t="shared" si="34"/>
        <v>46436</v>
      </c>
      <c r="S25" s="319">
        <f t="shared" si="34"/>
        <v>46437</v>
      </c>
      <c r="T25" s="320">
        <f t="shared" si="34"/>
        <v>46440</v>
      </c>
      <c r="U25" s="322">
        <f t="shared" si="34"/>
        <v>46441</v>
      </c>
      <c r="V25" s="322">
        <f t="shared" si="34"/>
        <v>46442</v>
      </c>
      <c r="W25" s="322">
        <f t="shared" si="34"/>
        <v>46443</v>
      </c>
      <c r="X25" s="323">
        <f t="shared" si="34"/>
        <v>46444</v>
      </c>
      <c r="Y25" s="316">
        <f t="shared" si="34"/>
        <v>46447</v>
      </c>
      <c r="Z25" s="318">
        <f t="shared" si="34"/>
        <v>46448</v>
      </c>
      <c r="AA25" s="318">
        <f t="shared" si="34"/>
        <v>46449</v>
      </c>
      <c r="AB25" s="318">
        <f t="shared" si="34"/>
        <v>46450</v>
      </c>
      <c r="AC25" s="319">
        <f t="shared" si="34"/>
        <v>46451</v>
      </c>
      <c r="AD25" s="320">
        <f t="shared" si="34"/>
        <v>46454</v>
      </c>
      <c r="AE25" s="322">
        <f t="shared" si="34"/>
        <v>46455</v>
      </c>
      <c r="AF25" s="322">
        <f t="shared" si="34"/>
        <v>46456</v>
      </c>
      <c r="AG25" s="322">
        <f t="shared" si="34"/>
        <v>46457</v>
      </c>
      <c r="AH25" s="323">
        <f t="shared" si="34"/>
        <v>46458</v>
      </c>
      <c r="AI25" s="316">
        <f t="shared" si="34"/>
        <v>46461</v>
      </c>
      <c r="AJ25" s="318">
        <f t="shared" si="34"/>
        <v>46462</v>
      </c>
      <c r="AK25" s="318">
        <f t="shared" si="34"/>
        <v>46463</v>
      </c>
      <c r="AL25" s="318">
        <f t="shared" si="34"/>
        <v>46464</v>
      </c>
      <c r="AM25" s="319">
        <f t="shared" si="34"/>
        <v>46465</v>
      </c>
      <c r="AN25" s="320">
        <f t="shared" si="34"/>
        <v>46468</v>
      </c>
      <c r="AO25" s="322">
        <f t="shared" si="34"/>
        <v>46469</v>
      </c>
      <c r="AP25" s="322">
        <f t="shared" si="34"/>
        <v>46470</v>
      </c>
      <c r="AQ25" s="322">
        <f t="shared" si="34"/>
        <v>46471</v>
      </c>
      <c r="AR25" s="323">
        <f t="shared" si="34"/>
        <v>46472</v>
      </c>
      <c r="AS25" s="316">
        <f t="shared" si="34"/>
        <v>46475</v>
      </c>
      <c r="AT25" s="318">
        <f t="shared" si="34"/>
        <v>46476</v>
      </c>
      <c r="AU25" s="318">
        <f t="shared" si="34"/>
        <v>46477</v>
      </c>
      <c r="AV25" s="318">
        <f t="shared" si="34"/>
        <v>46478</v>
      </c>
      <c r="AW25" s="324">
        <f t="shared" si="34"/>
        <v>46479</v>
      </c>
      <c r="AX25" s="320">
        <f t="shared" si="34"/>
        <v>46482</v>
      </c>
      <c r="AY25" s="322">
        <f t="shared" si="34"/>
        <v>46483</v>
      </c>
      <c r="AZ25" s="322">
        <f t="shared" si="34"/>
        <v>46484</v>
      </c>
      <c r="BA25" s="322">
        <f t="shared" si="34"/>
        <v>46485</v>
      </c>
      <c r="BB25" s="325">
        <f t="shared" si="34"/>
        <v>46486</v>
      </c>
      <c r="BC25" s="316">
        <f t="shared" si="34"/>
        <v>46489</v>
      </c>
      <c r="BD25" s="318">
        <f t="shared" si="34"/>
        <v>46490</v>
      </c>
      <c r="BE25" s="318">
        <f t="shared" si="34"/>
        <v>46491</v>
      </c>
      <c r="BF25" s="318">
        <f t="shared" si="34"/>
        <v>46492</v>
      </c>
      <c r="BG25" s="324">
        <f t="shared" si="34"/>
        <v>46493</v>
      </c>
      <c r="BH25" s="320">
        <f t="shared" si="34"/>
        <v>46496</v>
      </c>
      <c r="BI25" s="322">
        <f t="shared" si="34"/>
        <v>46497</v>
      </c>
      <c r="BJ25" s="322">
        <f t="shared" si="34"/>
        <v>46498</v>
      </c>
      <c r="BK25" s="322">
        <f t="shared" si="34"/>
        <v>46499</v>
      </c>
      <c r="BL25" s="325">
        <f t="shared" si="34"/>
        <v>46500</v>
      </c>
      <c r="BM25" s="316">
        <f t="shared" si="34"/>
        <v>46503</v>
      </c>
      <c r="BN25" s="318">
        <f t="shared" si="34"/>
        <v>46504</v>
      </c>
      <c r="BO25" s="318">
        <f t="shared" si="34"/>
        <v>46505</v>
      </c>
      <c r="BP25" s="318">
        <f t="shared" si="34"/>
        <v>46506</v>
      </c>
      <c r="BQ25" s="324">
        <f t="shared" si="34"/>
        <v>46507</v>
      </c>
      <c r="BR25" s="320">
        <f t="shared" ref="BR25:DE25" si="35">BR26</f>
        <v>46510</v>
      </c>
      <c r="BS25" s="322">
        <f t="shared" si="35"/>
        <v>46511</v>
      </c>
      <c r="BT25" s="322">
        <f t="shared" si="35"/>
        <v>46512</v>
      </c>
      <c r="BU25" s="322">
        <f t="shared" si="35"/>
        <v>46513</v>
      </c>
      <c r="BV25" s="325">
        <f t="shared" si="35"/>
        <v>46514</v>
      </c>
      <c r="BW25" s="316">
        <f t="shared" si="35"/>
        <v>46517</v>
      </c>
      <c r="BX25" s="318">
        <f t="shared" si="35"/>
        <v>46518</v>
      </c>
      <c r="BY25" s="318">
        <f t="shared" si="35"/>
        <v>46519</v>
      </c>
      <c r="BZ25" s="318">
        <f t="shared" si="35"/>
        <v>46520</v>
      </c>
      <c r="CA25" s="324">
        <f t="shared" si="35"/>
        <v>46521</v>
      </c>
      <c r="CB25" s="320">
        <f t="shared" si="35"/>
        <v>46524</v>
      </c>
      <c r="CC25" s="322">
        <f t="shared" si="35"/>
        <v>46525</v>
      </c>
      <c r="CD25" s="322">
        <f t="shared" si="35"/>
        <v>46526</v>
      </c>
      <c r="CE25" s="322">
        <f t="shared" si="35"/>
        <v>46527</v>
      </c>
      <c r="CF25" s="325">
        <f t="shared" si="35"/>
        <v>46528</v>
      </c>
      <c r="CG25" s="316">
        <f t="shared" si="35"/>
        <v>46531</v>
      </c>
      <c r="CH25" s="318">
        <f t="shared" si="35"/>
        <v>46532</v>
      </c>
      <c r="CI25" s="318">
        <f t="shared" si="35"/>
        <v>46533</v>
      </c>
      <c r="CJ25" s="318">
        <f t="shared" si="35"/>
        <v>46534</v>
      </c>
      <c r="CK25" s="324">
        <f t="shared" si="35"/>
        <v>46535</v>
      </c>
      <c r="CL25" s="320">
        <f t="shared" si="35"/>
        <v>46538</v>
      </c>
      <c r="CM25" s="322">
        <f t="shared" si="35"/>
        <v>46539</v>
      </c>
      <c r="CN25" s="322">
        <f t="shared" si="35"/>
        <v>46540</v>
      </c>
      <c r="CO25" s="322">
        <f t="shared" si="35"/>
        <v>46541</v>
      </c>
      <c r="CP25" s="325">
        <f t="shared" si="35"/>
        <v>46542</v>
      </c>
      <c r="CQ25" s="316">
        <f t="shared" si="35"/>
        <v>46545</v>
      </c>
      <c r="CR25" s="318">
        <f t="shared" si="35"/>
        <v>46546</v>
      </c>
      <c r="CS25" s="318">
        <f t="shared" si="35"/>
        <v>46547</v>
      </c>
      <c r="CT25" s="318">
        <f t="shared" si="35"/>
        <v>46548</v>
      </c>
      <c r="CU25" s="319">
        <f t="shared" si="35"/>
        <v>46549</v>
      </c>
      <c r="CV25" s="320">
        <f t="shared" si="35"/>
        <v>46552</v>
      </c>
      <c r="CW25" s="322">
        <f t="shared" si="35"/>
        <v>46553</v>
      </c>
      <c r="CX25" s="322">
        <f t="shared" si="35"/>
        <v>46554</v>
      </c>
      <c r="CY25" s="322">
        <f t="shared" si="35"/>
        <v>46555</v>
      </c>
      <c r="CZ25" s="323">
        <f t="shared" si="35"/>
        <v>46556</v>
      </c>
      <c r="DA25" s="316">
        <f t="shared" si="35"/>
        <v>46559</v>
      </c>
      <c r="DB25" s="318">
        <f t="shared" si="35"/>
        <v>46560</v>
      </c>
      <c r="DC25" s="318">
        <f t="shared" si="35"/>
        <v>46561</v>
      </c>
      <c r="DD25" s="318">
        <f t="shared" si="35"/>
        <v>46562</v>
      </c>
      <c r="DE25" s="319">
        <f t="shared" si="35"/>
        <v>46563</v>
      </c>
    </row>
    <row r="26" spans="1:165" ht="17" thickBot="1" x14ac:dyDescent="0.25">
      <c r="B26" s="473"/>
      <c r="C26" s="474"/>
      <c r="D26" s="475"/>
      <c r="E26" s="31">
        <f>E5</f>
        <v>46419</v>
      </c>
      <c r="F26" s="32">
        <f>E26+1</f>
        <v>46420</v>
      </c>
      <c r="G26" s="33">
        <f>F26+1</f>
        <v>46421</v>
      </c>
      <c r="H26" s="33">
        <f>G26+1</f>
        <v>46422</v>
      </c>
      <c r="I26" s="34">
        <f>H26+1</f>
        <v>46423</v>
      </c>
      <c r="J26" s="35">
        <f>I26+3</f>
        <v>46426</v>
      </c>
      <c r="K26" s="36">
        <f>J26+1</f>
        <v>46427</v>
      </c>
      <c r="L26" s="37">
        <f>K26+1</f>
        <v>46428</v>
      </c>
      <c r="M26" s="37">
        <f>L26+1</f>
        <v>46429</v>
      </c>
      <c r="N26" s="38">
        <f>M26+1</f>
        <v>46430</v>
      </c>
      <c r="O26" s="31">
        <f>N26+3</f>
        <v>46433</v>
      </c>
      <c r="P26" s="32">
        <f>O26+1</f>
        <v>46434</v>
      </c>
      <c r="Q26" s="33">
        <f>P26+1</f>
        <v>46435</v>
      </c>
      <c r="R26" s="33">
        <f>Q26+1</f>
        <v>46436</v>
      </c>
      <c r="S26" s="34">
        <f>R26+1</f>
        <v>46437</v>
      </c>
      <c r="T26" s="35">
        <f>S26+3</f>
        <v>46440</v>
      </c>
      <c r="U26" s="37">
        <f>T26+1</f>
        <v>46441</v>
      </c>
      <c r="V26" s="37">
        <f>U26+1</f>
        <v>46442</v>
      </c>
      <c r="W26" s="37">
        <f>V26+1</f>
        <v>46443</v>
      </c>
      <c r="X26" s="38">
        <f>W26+1</f>
        <v>46444</v>
      </c>
      <c r="Y26" s="31">
        <f>X26+3</f>
        <v>46447</v>
      </c>
      <c r="Z26" s="32">
        <f>Y26+1</f>
        <v>46448</v>
      </c>
      <c r="AA26" s="33">
        <f>Z26+1</f>
        <v>46449</v>
      </c>
      <c r="AB26" s="33">
        <f>AA26+1</f>
        <v>46450</v>
      </c>
      <c r="AC26" s="34">
        <f>AB26+1</f>
        <v>46451</v>
      </c>
      <c r="AD26" s="35">
        <f>AC26+3</f>
        <v>46454</v>
      </c>
      <c r="AE26" s="37">
        <f>AD26+1</f>
        <v>46455</v>
      </c>
      <c r="AF26" s="37">
        <f>AE26+1</f>
        <v>46456</v>
      </c>
      <c r="AG26" s="37">
        <f>AF26+1</f>
        <v>46457</v>
      </c>
      <c r="AH26" s="38">
        <f>AG26+1</f>
        <v>46458</v>
      </c>
      <c r="AI26" s="31">
        <f>AH26+3</f>
        <v>46461</v>
      </c>
      <c r="AJ26" s="32">
        <f>AI26+1</f>
        <v>46462</v>
      </c>
      <c r="AK26" s="33">
        <f>AJ26+1</f>
        <v>46463</v>
      </c>
      <c r="AL26" s="33">
        <f>AK26+1</f>
        <v>46464</v>
      </c>
      <c r="AM26" s="34">
        <f>AL26+1</f>
        <v>46465</v>
      </c>
      <c r="AN26" s="35">
        <f>AM26+3</f>
        <v>46468</v>
      </c>
      <c r="AO26" s="37">
        <f>AN26+1</f>
        <v>46469</v>
      </c>
      <c r="AP26" s="37">
        <f>AO26+1</f>
        <v>46470</v>
      </c>
      <c r="AQ26" s="37">
        <f>AP26+1</f>
        <v>46471</v>
      </c>
      <c r="AR26" s="38">
        <f>AQ26+1</f>
        <v>46472</v>
      </c>
      <c r="AS26" s="31">
        <f>AR26+3</f>
        <v>46475</v>
      </c>
      <c r="AT26" s="33">
        <f>AS26+1</f>
        <v>46476</v>
      </c>
      <c r="AU26" s="33">
        <f>AT26+1</f>
        <v>46477</v>
      </c>
      <c r="AV26" s="33">
        <f>AU26+1</f>
        <v>46478</v>
      </c>
      <c r="AW26" s="39">
        <f>AV26+1</f>
        <v>46479</v>
      </c>
      <c r="AX26" s="35">
        <f>AW26+3</f>
        <v>46482</v>
      </c>
      <c r="AY26" s="37">
        <f>AX26+1</f>
        <v>46483</v>
      </c>
      <c r="AZ26" s="37">
        <f>AY26+1</f>
        <v>46484</v>
      </c>
      <c r="BA26" s="37">
        <f>AZ26+1</f>
        <v>46485</v>
      </c>
      <c r="BB26" s="40">
        <f>BA26+1</f>
        <v>46486</v>
      </c>
      <c r="BC26" s="31">
        <f>BB26+3</f>
        <v>46489</v>
      </c>
      <c r="BD26" s="33">
        <f>BC26+1</f>
        <v>46490</v>
      </c>
      <c r="BE26" s="33">
        <f>BD26+1</f>
        <v>46491</v>
      </c>
      <c r="BF26" s="33">
        <f>BE26+1</f>
        <v>46492</v>
      </c>
      <c r="BG26" s="39">
        <f>BF26+1</f>
        <v>46493</v>
      </c>
      <c r="BH26" s="35">
        <f>BG26+3</f>
        <v>46496</v>
      </c>
      <c r="BI26" s="37">
        <f>BH26+1</f>
        <v>46497</v>
      </c>
      <c r="BJ26" s="37">
        <f>BI26+1</f>
        <v>46498</v>
      </c>
      <c r="BK26" s="37">
        <f>BJ26+1</f>
        <v>46499</v>
      </c>
      <c r="BL26" s="40">
        <f>BK26+1</f>
        <v>46500</v>
      </c>
      <c r="BM26" s="31">
        <f>BL26+3</f>
        <v>46503</v>
      </c>
      <c r="BN26" s="33">
        <f>BM26+1</f>
        <v>46504</v>
      </c>
      <c r="BO26" s="33">
        <f>BN26+1</f>
        <v>46505</v>
      </c>
      <c r="BP26" s="33">
        <f>BO26+1</f>
        <v>46506</v>
      </c>
      <c r="BQ26" s="39">
        <f>BP26+1</f>
        <v>46507</v>
      </c>
      <c r="BR26" s="35">
        <f>BQ26+3</f>
        <v>46510</v>
      </c>
      <c r="BS26" s="37">
        <f>BR26+1</f>
        <v>46511</v>
      </c>
      <c r="BT26" s="37">
        <f>BS26+1</f>
        <v>46512</v>
      </c>
      <c r="BU26" s="37">
        <f>BT26+1</f>
        <v>46513</v>
      </c>
      <c r="BV26" s="40">
        <f>BU26+1</f>
        <v>46514</v>
      </c>
      <c r="BW26" s="31">
        <f>BV26+3</f>
        <v>46517</v>
      </c>
      <c r="BX26" s="32">
        <f>BW26+1</f>
        <v>46518</v>
      </c>
      <c r="BY26" s="33">
        <f>BX26+1</f>
        <v>46519</v>
      </c>
      <c r="BZ26" s="33">
        <f>BY26+1</f>
        <v>46520</v>
      </c>
      <c r="CA26" s="34">
        <f>BZ26+1</f>
        <v>46521</v>
      </c>
      <c r="CB26" s="35">
        <f>CA26+3</f>
        <v>46524</v>
      </c>
      <c r="CC26" s="37">
        <f>CB26+1</f>
        <v>46525</v>
      </c>
      <c r="CD26" s="37">
        <f>CC26+1</f>
        <v>46526</v>
      </c>
      <c r="CE26" s="37">
        <f>CD26+1</f>
        <v>46527</v>
      </c>
      <c r="CF26" s="40">
        <f>CE26+1</f>
        <v>46528</v>
      </c>
      <c r="CG26" s="31">
        <f>CF26+3</f>
        <v>46531</v>
      </c>
      <c r="CH26" s="32">
        <f>CG26+1</f>
        <v>46532</v>
      </c>
      <c r="CI26" s="33">
        <f>CH26+1</f>
        <v>46533</v>
      </c>
      <c r="CJ26" s="33">
        <f>CI26+1</f>
        <v>46534</v>
      </c>
      <c r="CK26" s="34">
        <f>CJ26+1</f>
        <v>46535</v>
      </c>
      <c r="CL26" s="35">
        <f>CK26+3</f>
        <v>46538</v>
      </c>
      <c r="CM26" s="37">
        <f>CL26+1</f>
        <v>46539</v>
      </c>
      <c r="CN26" s="37">
        <f>CM26+1</f>
        <v>46540</v>
      </c>
      <c r="CO26" s="37">
        <f>CN26+1</f>
        <v>46541</v>
      </c>
      <c r="CP26" s="40">
        <f>CO26+1</f>
        <v>46542</v>
      </c>
      <c r="CQ26" s="31">
        <f>CP26+3</f>
        <v>46545</v>
      </c>
      <c r="CR26" s="32">
        <f>CQ26+1</f>
        <v>46546</v>
      </c>
      <c r="CS26" s="33">
        <f>CR26+1</f>
        <v>46547</v>
      </c>
      <c r="CT26" s="33">
        <f>CS26+1</f>
        <v>46548</v>
      </c>
      <c r="CU26" s="34">
        <f>CT26+1</f>
        <v>46549</v>
      </c>
      <c r="CV26" s="35">
        <f>CU26+3</f>
        <v>46552</v>
      </c>
      <c r="CW26" s="37">
        <f>CV26+1</f>
        <v>46553</v>
      </c>
      <c r="CX26" s="37">
        <f>CW26+1</f>
        <v>46554</v>
      </c>
      <c r="CY26" s="37">
        <f>CX26+1</f>
        <v>46555</v>
      </c>
      <c r="CZ26" s="38">
        <f>CY26+1</f>
        <v>46556</v>
      </c>
      <c r="DA26" s="31">
        <f>CZ26+3</f>
        <v>46559</v>
      </c>
      <c r="DB26" s="32">
        <f>DA26+1</f>
        <v>46560</v>
      </c>
      <c r="DC26" s="33">
        <f>DB26+1</f>
        <v>46561</v>
      </c>
      <c r="DD26" s="33">
        <f>DC26+1</f>
        <v>46562</v>
      </c>
      <c r="DE26" s="34">
        <f>DD26+1</f>
        <v>46563</v>
      </c>
    </row>
    <row r="27" spans="1:165" s="138" customFormat="1" ht="17" thickBot="1" x14ac:dyDescent="0.25">
      <c r="A27" s="134"/>
      <c r="B27" s="457"/>
      <c r="C27" s="457"/>
      <c r="D27" s="45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6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5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4"/>
      <c r="DG27" s="134"/>
      <c r="DH27" s="134"/>
      <c r="DI27" s="134"/>
      <c r="DJ27" s="134"/>
      <c r="DK27" s="134"/>
      <c r="DL27" s="134"/>
      <c r="DM27" s="134"/>
      <c r="DN27" s="134"/>
      <c r="DO27" s="134"/>
      <c r="DP27" s="134"/>
      <c r="DQ27" s="134"/>
      <c r="DR27" s="134"/>
      <c r="DS27" s="134"/>
      <c r="DT27" s="134"/>
      <c r="DU27" s="134"/>
      <c r="DV27" s="134"/>
      <c r="DW27" s="134"/>
      <c r="DX27" s="134"/>
      <c r="DY27" s="134"/>
      <c r="DZ27" s="134"/>
      <c r="EA27" s="134"/>
      <c r="EB27" s="134"/>
      <c r="EC27" s="134"/>
      <c r="ED27" s="134"/>
      <c r="EE27" s="134"/>
      <c r="EF27" s="134"/>
      <c r="EG27" s="134"/>
      <c r="EH27" s="134"/>
      <c r="EI27" s="134"/>
      <c r="EJ27" s="134"/>
      <c r="EK27" s="134"/>
      <c r="EL27" s="134"/>
      <c r="EM27" s="134"/>
      <c r="EN27" s="134"/>
      <c r="EO27" s="134"/>
      <c r="EP27" s="134"/>
      <c r="EQ27" s="134"/>
      <c r="ER27" s="134"/>
      <c r="ES27" s="134"/>
      <c r="ET27" s="134"/>
      <c r="EU27" s="134"/>
      <c r="EV27" s="134"/>
      <c r="EW27" s="134"/>
      <c r="EX27" s="134"/>
      <c r="EY27" s="134"/>
      <c r="EZ27" s="134"/>
      <c r="FA27" s="134"/>
      <c r="FB27" s="134"/>
      <c r="FC27" s="134"/>
      <c r="FD27" s="134"/>
      <c r="FE27" s="134"/>
      <c r="FF27" s="134"/>
      <c r="FG27" s="134"/>
      <c r="FH27" s="134"/>
      <c r="FI27" s="134"/>
    </row>
    <row r="28" spans="1:165" x14ac:dyDescent="0.2">
      <c r="B28" s="458" t="s">
        <v>7</v>
      </c>
      <c r="C28" s="459"/>
      <c r="D28" s="460"/>
      <c r="E28" s="41"/>
      <c r="F28" s="42"/>
      <c r="G28" s="42"/>
      <c r="H28" s="42"/>
      <c r="I28" s="43"/>
      <c r="J28" s="77"/>
      <c r="K28" s="62"/>
      <c r="L28" s="62"/>
      <c r="M28" s="62"/>
      <c r="N28" s="44"/>
      <c r="O28" s="41"/>
      <c r="P28" s="42"/>
      <c r="Q28" s="42"/>
      <c r="R28" s="42"/>
      <c r="S28" s="43"/>
      <c r="T28" s="77"/>
      <c r="U28" s="62"/>
      <c r="V28" s="62"/>
      <c r="W28" s="62"/>
      <c r="X28" s="44"/>
      <c r="Y28" s="41"/>
      <c r="Z28" s="42"/>
      <c r="AA28" s="42"/>
      <c r="AB28" s="42"/>
      <c r="AC28" s="43"/>
      <c r="AD28" s="77"/>
      <c r="AE28" s="62"/>
      <c r="AF28" s="62"/>
      <c r="AG28" s="62"/>
      <c r="AH28" s="44"/>
      <c r="AI28" s="41"/>
      <c r="AJ28" s="42"/>
      <c r="AK28" s="42"/>
      <c r="AL28" s="42"/>
      <c r="AM28" s="43"/>
      <c r="AN28" s="77"/>
      <c r="AO28" s="62"/>
      <c r="AP28" s="62"/>
      <c r="AQ28" s="62"/>
      <c r="AR28" s="44"/>
      <c r="AS28" s="41"/>
      <c r="AT28" s="42"/>
      <c r="AU28" s="42"/>
      <c r="AV28" s="42"/>
      <c r="AW28" s="43"/>
      <c r="AX28" s="77"/>
      <c r="AY28" s="62"/>
      <c r="AZ28" s="62"/>
      <c r="BA28" s="62"/>
      <c r="BB28" s="44"/>
      <c r="BC28" s="41"/>
      <c r="BD28" s="42"/>
      <c r="BE28" s="42"/>
      <c r="BF28" s="42"/>
      <c r="BG28" s="43"/>
      <c r="BH28" s="77"/>
      <c r="BI28" s="62"/>
      <c r="BJ28" s="62"/>
      <c r="BK28" s="62"/>
      <c r="BL28" s="44"/>
      <c r="BM28" s="41"/>
      <c r="BN28" s="42"/>
      <c r="BO28" s="42"/>
      <c r="BP28" s="42"/>
      <c r="BQ28" s="43"/>
      <c r="BR28" s="77"/>
      <c r="BS28" s="62"/>
      <c r="BT28" s="62"/>
      <c r="BU28" s="62"/>
      <c r="BV28" s="44"/>
      <c r="BW28" s="41"/>
      <c r="BX28" s="42"/>
      <c r="BY28" s="42"/>
      <c r="BZ28" s="42"/>
      <c r="CA28" s="43"/>
      <c r="CB28" s="77"/>
      <c r="CC28" s="62"/>
      <c r="CD28" s="62"/>
      <c r="CE28" s="62"/>
      <c r="CF28" s="44"/>
      <c r="CG28" s="41"/>
      <c r="CH28" s="42"/>
      <c r="CI28" s="42"/>
      <c r="CJ28" s="42"/>
      <c r="CK28" s="43"/>
      <c r="CL28" s="77"/>
      <c r="CM28" s="62"/>
      <c r="CN28" s="62"/>
      <c r="CO28" s="62"/>
      <c r="CP28" s="44"/>
      <c r="CQ28" s="41"/>
      <c r="CR28" s="42"/>
      <c r="CS28" s="42"/>
      <c r="CT28" s="42"/>
      <c r="CU28" s="43"/>
      <c r="CV28" s="77"/>
      <c r="CW28" s="62"/>
      <c r="CX28" s="62"/>
      <c r="CY28" s="62"/>
      <c r="CZ28" s="44"/>
      <c r="DA28" s="41"/>
      <c r="DB28" s="42"/>
      <c r="DC28" s="42"/>
      <c r="DD28" s="42"/>
      <c r="DE28" s="43"/>
    </row>
    <row r="29" spans="1:165" x14ac:dyDescent="0.2">
      <c r="B29" s="48" t="s">
        <v>15</v>
      </c>
      <c r="C29" s="82"/>
      <c r="D29" s="49"/>
      <c r="E29" s="50"/>
      <c r="F29" s="51"/>
      <c r="G29" s="51"/>
      <c r="H29" s="51"/>
      <c r="I29" s="52"/>
      <c r="J29" s="69"/>
      <c r="K29" s="64"/>
      <c r="L29" s="64"/>
      <c r="M29" s="64"/>
      <c r="N29" s="53"/>
      <c r="O29" s="50"/>
      <c r="P29" s="51"/>
      <c r="Q29" s="51"/>
      <c r="R29" s="51"/>
      <c r="S29" s="52"/>
      <c r="T29" s="69"/>
      <c r="U29" s="64"/>
      <c r="V29" s="64"/>
      <c r="W29" s="64"/>
      <c r="X29" s="53"/>
      <c r="Y29" s="50"/>
      <c r="Z29" s="51"/>
      <c r="AA29" s="51"/>
      <c r="AB29" s="51"/>
      <c r="AC29" s="52"/>
      <c r="AD29" s="69"/>
      <c r="AE29" s="64"/>
      <c r="AF29" s="64"/>
      <c r="AG29" s="64"/>
      <c r="AH29" s="53"/>
      <c r="AI29" s="50"/>
      <c r="AJ29" s="51"/>
      <c r="AK29" s="51"/>
      <c r="AL29" s="51"/>
      <c r="AM29" s="52"/>
      <c r="AN29" s="69"/>
      <c r="AO29" s="64"/>
      <c r="AP29" s="64"/>
      <c r="AQ29" s="64"/>
      <c r="AR29" s="53"/>
      <c r="AS29" s="50"/>
      <c r="AT29" s="51"/>
      <c r="AU29" s="51"/>
      <c r="AV29" s="51"/>
      <c r="AW29" s="52"/>
      <c r="AX29" s="69"/>
      <c r="AY29" s="64"/>
      <c r="AZ29" s="64"/>
      <c r="BA29" s="64"/>
      <c r="BB29" s="53"/>
      <c r="BC29" s="50"/>
      <c r="BD29" s="51"/>
      <c r="BE29" s="51"/>
      <c r="BF29" s="51"/>
      <c r="BG29" s="52"/>
      <c r="BH29" s="69"/>
      <c r="BI29" s="64"/>
      <c r="BJ29" s="64"/>
      <c r="BK29" s="64"/>
      <c r="BL29" s="53"/>
      <c r="BM29" s="50"/>
      <c r="BN29" s="51"/>
      <c r="BO29" s="51"/>
      <c r="BP29" s="51"/>
      <c r="BQ29" s="52"/>
      <c r="BR29" s="69"/>
      <c r="BS29" s="64"/>
      <c r="BT29" s="64"/>
      <c r="BU29" s="64"/>
      <c r="BV29" s="53"/>
      <c r="BW29" s="50"/>
      <c r="BX29" s="51"/>
      <c r="BY29" s="51"/>
      <c r="BZ29" s="51"/>
      <c r="CA29" s="52"/>
      <c r="CB29" s="69"/>
      <c r="CC29" s="64"/>
      <c r="CD29" s="64"/>
      <c r="CE29" s="64"/>
      <c r="CF29" s="53"/>
      <c r="CG29" s="50"/>
      <c r="CH29" s="51"/>
      <c r="CI29" s="51"/>
      <c r="CJ29" s="51"/>
      <c r="CK29" s="52"/>
      <c r="CL29" s="69"/>
      <c r="CM29" s="64"/>
      <c r="CN29" s="64"/>
      <c r="CO29" s="64"/>
      <c r="CP29" s="53"/>
      <c r="CQ29" s="50"/>
      <c r="CR29" s="51"/>
      <c r="CS29" s="51"/>
      <c r="CT29" s="51"/>
      <c r="CU29" s="52"/>
      <c r="CV29" s="69"/>
      <c r="CW29" s="64"/>
      <c r="CX29" s="64"/>
      <c r="CY29" s="64"/>
      <c r="CZ29" s="53"/>
      <c r="DA29" s="50"/>
      <c r="DB29" s="51"/>
      <c r="DC29" s="51"/>
      <c r="DD29" s="51"/>
      <c r="DE29" s="52"/>
    </row>
    <row r="30" spans="1:165" x14ac:dyDescent="0.2">
      <c r="B30" s="448" t="s">
        <v>16</v>
      </c>
      <c r="C30" s="449"/>
      <c r="D30" s="450"/>
      <c r="E30" s="54"/>
      <c r="F30" s="51"/>
      <c r="G30" s="51"/>
      <c r="H30" s="51"/>
      <c r="I30" s="52"/>
      <c r="J30" s="69"/>
      <c r="K30" s="64"/>
      <c r="L30" s="64"/>
      <c r="M30" s="64"/>
      <c r="N30" s="45"/>
      <c r="O30" s="54"/>
      <c r="P30" s="51"/>
      <c r="Q30" s="51"/>
      <c r="R30" s="51"/>
      <c r="S30" s="52"/>
      <c r="T30" s="69"/>
      <c r="U30" s="64"/>
      <c r="V30" s="64"/>
      <c r="W30" s="64"/>
      <c r="X30" s="45"/>
      <c r="Y30" s="54"/>
      <c r="Z30" s="51"/>
      <c r="AA30" s="51"/>
      <c r="AB30" s="51"/>
      <c r="AC30" s="52"/>
      <c r="AD30" s="69"/>
      <c r="AE30" s="64"/>
      <c r="AF30" s="64"/>
      <c r="AG30" s="64"/>
      <c r="AH30" s="45"/>
      <c r="AI30" s="54"/>
      <c r="AJ30" s="51"/>
      <c r="AK30" s="51"/>
      <c r="AL30" s="51"/>
      <c r="AM30" s="52"/>
      <c r="AN30" s="69"/>
      <c r="AO30" s="64"/>
      <c r="AP30" s="64"/>
      <c r="AQ30" s="64"/>
      <c r="AR30" s="45"/>
      <c r="AS30" s="54"/>
      <c r="AT30" s="51"/>
      <c r="AU30" s="51"/>
      <c r="AV30" s="51"/>
      <c r="AW30" s="52"/>
      <c r="AX30" s="69"/>
      <c r="AY30" s="64"/>
      <c r="AZ30" s="64"/>
      <c r="BA30" s="64"/>
      <c r="BB30" s="45"/>
      <c r="BC30" s="54"/>
      <c r="BD30" s="51"/>
      <c r="BE30" s="51"/>
      <c r="BF30" s="51"/>
      <c r="BG30" s="52"/>
      <c r="BH30" s="69"/>
      <c r="BI30" s="64"/>
      <c r="BJ30" s="64"/>
      <c r="BK30" s="64"/>
      <c r="BL30" s="45"/>
      <c r="BM30" s="54"/>
      <c r="BN30" s="51"/>
      <c r="BO30" s="51"/>
      <c r="BP30" s="51"/>
      <c r="BQ30" s="52"/>
      <c r="BR30" s="69"/>
      <c r="BS30" s="64"/>
      <c r="BT30" s="64"/>
      <c r="BU30" s="64"/>
      <c r="BV30" s="45"/>
      <c r="BW30" s="54"/>
      <c r="BX30" s="51"/>
      <c r="BY30" s="51"/>
      <c r="BZ30" s="51"/>
      <c r="CA30" s="52"/>
      <c r="CB30" s="69"/>
      <c r="CC30" s="64"/>
      <c r="CD30" s="64"/>
      <c r="CE30" s="64"/>
      <c r="CF30" s="45"/>
      <c r="CG30" s="54"/>
      <c r="CH30" s="51"/>
      <c r="CI30" s="51"/>
      <c r="CJ30" s="51"/>
      <c r="CK30" s="52"/>
      <c r="CL30" s="69"/>
      <c r="CM30" s="64"/>
      <c r="CN30" s="64"/>
      <c r="CO30" s="64"/>
      <c r="CP30" s="45"/>
      <c r="CQ30" s="54"/>
      <c r="CR30" s="51"/>
      <c r="CS30" s="51"/>
      <c r="CT30" s="51"/>
      <c r="CU30" s="52"/>
      <c r="CV30" s="69"/>
      <c r="CW30" s="64"/>
      <c r="CX30" s="64"/>
      <c r="CY30" s="64"/>
      <c r="CZ30" s="45"/>
      <c r="DA30" s="54"/>
      <c r="DB30" s="51"/>
      <c r="DC30" s="51"/>
      <c r="DD30" s="51"/>
      <c r="DE30" s="52"/>
    </row>
    <row r="31" spans="1:165" ht="17" thickBot="1" x14ac:dyDescent="0.25">
      <c r="B31" s="448" t="s">
        <v>17</v>
      </c>
      <c r="C31" s="449"/>
      <c r="D31" s="450"/>
      <c r="E31" s="54"/>
      <c r="F31" s="51"/>
      <c r="G31" s="51"/>
      <c r="H31" s="51"/>
      <c r="I31" s="52"/>
      <c r="J31" s="69"/>
      <c r="K31" s="64"/>
      <c r="L31" s="64"/>
      <c r="M31" s="64"/>
      <c r="N31" s="45"/>
      <c r="O31" s="54"/>
      <c r="P31" s="51"/>
      <c r="Q31" s="51"/>
      <c r="R31" s="51"/>
      <c r="S31" s="52"/>
      <c r="T31" s="69"/>
      <c r="U31" s="64"/>
      <c r="V31" s="64"/>
      <c r="W31" s="64"/>
      <c r="X31" s="45"/>
      <c r="Y31" s="54"/>
      <c r="Z31" s="51"/>
      <c r="AA31" s="51"/>
      <c r="AB31" s="51"/>
      <c r="AC31" s="52"/>
      <c r="AD31" s="69"/>
      <c r="AE31" s="64"/>
      <c r="AF31" s="64"/>
      <c r="AG31" s="64"/>
      <c r="AH31" s="45"/>
      <c r="AI31" s="54"/>
      <c r="AJ31" s="51"/>
      <c r="AK31" s="51"/>
      <c r="AL31" s="51"/>
      <c r="AM31" s="52"/>
      <c r="AN31" s="69"/>
      <c r="AO31" s="64"/>
      <c r="AP31" s="64"/>
      <c r="AQ31" s="64"/>
      <c r="AR31" s="45"/>
      <c r="AS31" s="54"/>
      <c r="AT31" s="51"/>
      <c r="AU31" s="51"/>
      <c r="AV31" s="51"/>
      <c r="AW31" s="52"/>
      <c r="AX31" s="69"/>
      <c r="AY31" s="64"/>
      <c r="AZ31" s="64"/>
      <c r="BA31" s="64"/>
      <c r="BB31" s="45"/>
      <c r="BC31" s="54"/>
      <c r="BD31" s="51"/>
      <c r="BE31" s="51"/>
      <c r="BF31" s="51"/>
      <c r="BG31" s="52"/>
      <c r="BH31" s="69"/>
      <c r="BI31" s="64"/>
      <c r="BJ31" s="64"/>
      <c r="BK31" s="64"/>
      <c r="BL31" s="45"/>
      <c r="BM31" s="54"/>
      <c r="BN31" s="51"/>
      <c r="BO31" s="51"/>
      <c r="BP31" s="51"/>
      <c r="BQ31" s="52"/>
      <c r="BR31" s="69"/>
      <c r="BS31" s="64"/>
      <c r="BT31" s="64"/>
      <c r="BU31" s="64"/>
      <c r="BV31" s="45"/>
      <c r="BW31" s="54"/>
      <c r="BX31" s="51"/>
      <c r="BY31" s="51"/>
      <c r="BZ31" s="51"/>
      <c r="CA31" s="52"/>
      <c r="CB31" s="69"/>
      <c r="CC31" s="64"/>
      <c r="CD31" s="64"/>
      <c r="CE31" s="64"/>
      <c r="CF31" s="45"/>
      <c r="CG31" s="54"/>
      <c r="CH31" s="51"/>
      <c r="CI31" s="51"/>
      <c r="CJ31" s="51"/>
      <c r="CK31" s="52"/>
      <c r="CL31" s="69"/>
      <c r="CM31" s="64"/>
      <c r="CN31" s="64"/>
      <c r="CO31" s="64"/>
      <c r="CP31" s="45"/>
      <c r="CQ31" s="54"/>
      <c r="CR31" s="51"/>
      <c r="CS31" s="51"/>
      <c r="CT31" s="51"/>
      <c r="CU31" s="52"/>
      <c r="CV31" s="69"/>
      <c r="CW31" s="64"/>
      <c r="CX31" s="64"/>
      <c r="CY31" s="64"/>
      <c r="CZ31" s="45"/>
      <c r="DA31" s="54"/>
      <c r="DB31" s="51"/>
      <c r="DC31" s="51"/>
      <c r="DD31" s="51"/>
      <c r="DE31" s="52"/>
    </row>
    <row r="32" spans="1:165" ht="17" thickBot="1" x14ac:dyDescent="0.25">
      <c r="B32" s="48" t="s">
        <v>18</v>
      </c>
      <c r="C32" s="82"/>
      <c r="D32" s="49"/>
      <c r="E32" s="100"/>
      <c r="F32" s="101"/>
      <c r="G32" s="101"/>
      <c r="H32" s="101"/>
      <c r="I32" s="102"/>
      <c r="J32" s="103"/>
      <c r="K32" s="104"/>
      <c r="L32" s="104"/>
      <c r="M32" s="104"/>
      <c r="N32" s="105"/>
      <c r="O32" s="100"/>
      <c r="P32" s="101"/>
      <c r="Q32" s="101"/>
      <c r="R32" s="101"/>
      <c r="S32" s="102"/>
      <c r="T32" s="103"/>
      <c r="U32" s="104"/>
      <c r="V32" s="104"/>
      <c r="W32" s="104"/>
      <c r="X32" s="105"/>
      <c r="Y32" s="100"/>
      <c r="Z32" s="101"/>
      <c r="AA32" s="101"/>
      <c r="AB32" s="101"/>
      <c r="AC32" s="102"/>
      <c r="AD32" s="103"/>
      <c r="AE32" s="104"/>
      <c r="AF32" s="104"/>
      <c r="AG32" s="104"/>
      <c r="AH32" s="105"/>
      <c r="AI32" s="100"/>
      <c r="AJ32" s="101"/>
      <c r="AK32" s="101"/>
      <c r="AL32" s="101"/>
      <c r="AM32" s="102"/>
      <c r="AN32" s="103"/>
      <c r="AO32" s="104"/>
      <c r="AP32" s="104"/>
      <c r="AQ32" s="104"/>
      <c r="AR32" s="105"/>
      <c r="AS32" s="100"/>
      <c r="AT32" s="101"/>
      <c r="AU32" s="101"/>
      <c r="AV32" s="101"/>
      <c r="AW32" s="102"/>
      <c r="AX32" s="103"/>
      <c r="AY32" s="104"/>
      <c r="AZ32" s="104"/>
      <c r="BA32" s="104"/>
      <c r="BB32" s="105"/>
      <c r="BC32" s="100"/>
      <c r="BD32" s="101"/>
      <c r="BE32" s="101"/>
      <c r="BF32" s="101"/>
      <c r="BG32" s="102"/>
      <c r="BH32" s="103"/>
      <c r="BI32" s="104"/>
      <c r="BJ32" s="104"/>
      <c r="BK32" s="104"/>
      <c r="BL32" s="105"/>
      <c r="BM32" s="100"/>
      <c r="BN32" s="101"/>
      <c r="BO32" s="101"/>
      <c r="BP32" s="101"/>
      <c r="BQ32" s="102"/>
      <c r="BR32" s="103"/>
      <c r="BS32" s="104"/>
      <c r="BT32" s="104"/>
      <c r="BU32" s="104"/>
      <c r="BV32" s="105"/>
      <c r="BW32" s="100"/>
      <c r="BX32" s="101"/>
      <c r="BY32" s="101"/>
      <c r="BZ32" s="101"/>
      <c r="CA32" s="102"/>
      <c r="CB32" s="103"/>
      <c r="CC32" s="104"/>
      <c r="CD32" s="104"/>
      <c r="CE32" s="104"/>
      <c r="CF32" s="105"/>
      <c r="CG32" s="100"/>
      <c r="CH32" s="101"/>
      <c r="CI32" s="101"/>
      <c r="CJ32" s="101"/>
      <c r="CK32" s="102"/>
      <c r="CL32" s="103"/>
      <c r="CM32" s="104"/>
      <c r="CN32" s="104"/>
      <c r="CO32" s="104"/>
      <c r="CP32" s="105"/>
      <c r="CQ32" s="100"/>
      <c r="CR32" s="101"/>
      <c r="CS32" s="101"/>
      <c r="CT32" s="101"/>
      <c r="CU32" s="102"/>
      <c r="CV32" s="103"/>
      <c r="CW32" s="104"/>
      <c r="CX32" s="104"/>
      <c r="CY32" s="104"/>
      <c r="CZ32" s="105"/>
      <c r="DA32" s="100"/>
      <c r="DB32" s="101"/>
      <c r="DC32" s="101"/>
      <c r="DD32" s="101"/>
      <c r="DE32" s="102"/>
    </row>
    <row r="33" spans="2:109" x14ac:dyDescent="0.2">
      <c r="B33" s="48" t="s">
        <v>19</v>
      </c>
      <c r="C33" s="82"/>
      <c r="D33" s="49"/>
      <c r="E33" s="41"/>
      <c r="F33" s="42"/>
      <c r="G33" s="200"/>
      <c r="H33" s="42"/>
      <c r="I33" s="43"/>
      <c r="J33" s="77"/>
      <c r="K33" s="62"/>
      <c r="L33" s="200"/>
      <c r="M33" s="62"/>
      <c r="N33" s="44"/>
      <c r="O33" s="41"/>
      <c r="P33" s="42"/>
      <c r="Q33" s="200"/>
      <c r="R33" s="42"/>
      <c r="S33" s="43"/>
      <c r="T33" s="77"/>
      <c r="U33" s="62"/>
      <c r="V33" s="200"/>
      <c r="W33" s="62"/>
      <c r="X33" s="44"/>
      <c r="Y33" s="41"/>
      <c r="Z33" s="42"/>
      <c r="AA33" s="200"/>
      <c r="AB33" s="42"/>
      <c r="AC33" s="43"/>
      <c r="AD33" s="77"/>
      <c r="AE33" s="62"/>
      <c r="AF33" s="200"/>
      <c r="AG33" s="62"/>
      <c r="AH33" s="44"/>
      <c r="AI33" s="41"/>
      <c r="AJ33" s="42"/>
      <c r="AK33" s="200"/>
      <c r="AL33" s="42"/>
      <c r="AM33" s="43"/>
      <c r="AN33" s="77"/>
      <c r="AO33" s="62"/>
      <c r="AP33" s="200"/>
      <c r="AQ33" s="62"/>
      <c r="AR33" s="44"/>
      <c r="AS33" s="41"/>
      <c r="AT33" s="42"/>
      <c r="AU33" s="200"/>
      <c r="AV33" s="42"/>
      <c r="AW33" s="43"/>
      <c r="AX33" s="77"/>
      <c r="AY33" s="62"/>
      <c r="AZ33" s="200"/>
      <c r="BA33" s="62"/>
      <c r="BB33" s="44"/>
      <c r="BC33" s="41"/>
      <c r="BD33" s="42"/>
      <c r="BE33" s="200"/>
      <c r="BF33" s="42"/>
      <c r="BG33" s="43"/>
      <c r="BH33" s="77"/>
      <c r="BI33" s="62"/>
      <c r="BJ33" s="200"/>
      <c r="BK33" s="62"/>
      <c r="BL33" s="44"/>
      <c r="BM33" s="41"/>
      <c r="BN33" s="42"/>
      <c r="BO33" s="200"/>
      <c r="BP33" s="42"/>
      <c r="BQ33" s="43"/>
      <c r="BR33" s="77"/>
      <c r="BS33" s="62"/>
      <c r="BT33" s="200"/>
      <c r="BU33" s="62"/>
      <c r="BV33" s="44"/>
      <c r="BW33" s="41"/>
      <c r="BX33" s="42"/>
      <c r="BY33" s="200"/>
      <c r="BZ33" s="42"/>
      <c r="CA33" s="43"/>
      <c r="CB33" s="77"/>
      <c r="CC33" s="62"/>
      <c r="CD33" s="200"/>
      <c r="CE33" s="62"/>
      <c r="CF33" s="44"/>
      <c r="CG33" s="41"/>
      <c r="CH33" s="42"/>
      <c r="CI33" s="200"/>
      <c r="CJ33" s="42"/>
      <c r="CK33" s="43"/>
      <c r="CL33" s="77"/>
      <c r="CM33" s="62"/>
      <c r="CN33" s="200"/>
      <c r="CO33" s="62"/>
      <c r="CP33" s="44"/>
      <c r="CQ33" s="41"/>
      <c r="CR33" s="42"/>
      <c r="CS33" s="200"/>
      <c r="CT33" s="42"/>
      <c r="CU33" s="43"/>
      <c r="CV33" s="77"/>
      <c r="CW33" s="62"/>
      <c r="CX33" s="200"/>
      <c r="CY33" s="62"/>
      <c r="CZ33" s="44"/>
      <c r="DA33" s="41"/>
      <c r="DB33" s="42"/>
      <c r="DC33" s="200"/>
      <c r="DD33" s="42"/>
      <c r="DE33" s="43"/>
    </row>
    <row r="34" spans="2:109" x14ac:dyDescent="0.2">
      <c r="B34" s="448" t="s">
        <v>21</v>
      </c>
      <c r="C34" s="449"/>
      <c r="D34" s="450"/>
      <c r="E34" s="50"/>
      <c r="F34" s="51"/>
      <c r="G34" s="201"/>
      <c r="H34" s="51"/>
      <c r="I34" s="52"/>
      <c r="J34" s="69"/>
      <c r="K34" s="64"/>
      <c r="L34" s="201"/>
      <c r="M34" s="64"/>
      <c r="N34" s="53"/>
      <c r="O34" s="50"/>
      <c r="P34" s="51"/>
      <c r="Q34" s="201"/>
      <c r="R34" s="51"/>
      <c r="S34" s="52"/>
      <c r="T34" s="69"/>
      <c r="U34" s="64"/>
      <c r="V34" s="201"/>
      <c r="W34" s="64"/>
      <c r="X34" s="53"/>
      <c r="Y34" s="50"/>
      <c r="Z34" s="51"/>
      <c r="AA34" s="201"/>
      <c r="AB34" s="51"/>
      <c r="AC34" s="52"/>
      <c r="AD34" s="69"/>
      <c r="AE34" s="64"/>
      <c r="AF34" s="201"/>
      <c r="AG34" s="64"/>
      <c r="AH34" s="53"/>
      <c r="AI34" s="50"/>
      <c r="AJ34" s="51"/>
      <c r="AK34" s="201"/>
      <c r="AL34" s="51"/>
      <c r="AM34" s="52"/>
      <c r="AN34" s="69"/>
      <c r="AO34" s="64"/>
      <c r="AP34" s="201"/>
      <c r="AQ34" s="64"/>
      <c r="AR34" s="53"/>
      <c r="AS34" s="50"/>
      <c r="AT34" s="51"/>
      <c r="AU34" s="201"/>
      <c r="AV34" s="51"/>
      <c r="AW34" s="52"/>
      <c r="AX34" s="69"/>
      <c r="AY34" s="64"/>
      <c r="AZ34" s="201"/>
      <c r="BA34" s="64"/>
      <c r="BB34" s="53"/>
      <c r="BC34" s="50"/>
      <c r="BD34" s="51"/>
      <c r="BE34" s="201"/>
      <c r="BF34" s="51"/>
      <c r="BG34" s="52"/>
      <c r="BH34" s="69"/>
      <c r="BI34" s="64"/>
      <c r="BJ34" s="201"/>
      <c r="BK34" s="64"/>
      <c r="BL34" s="53"/>
      <c r="BM34" s="50"/>
      <c r="BN34" s="51"/>
      <c r="BO34" s="201"/>
      <c r="BP34" s="51"/>
      <c r="BQ34" s="52"/>
      <c r="BR34" s="69"/>
      <c r="BS34" s="64"/>
      <c r="BT34" s="201"/>
      <c r="BU34" s="64"/>
      <c r="BV34" s="53"/>
      <c r="BW34" s="50"/>
      <c r="BX34" s="51"/>
      <c r="BY34" s="201"/>
      <c r="BZ34" s="51"/>
      <c r="CA34" s="52"/>
      <c r="CB34" s="69"/>
      <c r="CC34" s="64"/>
      <c r="CD34" s="201"/>
      <c r="CE34" s="64"/>
      <c r="CF34" s="53"/>
      <c r="CG34" s="50"/>
      <c r="CH34" s="51"/>
      <c r="CI34" s="201"/>
      <c r="CJ34" s="51"/>
      <c r="CK34" s="52"/>
      <c r="CL34" s="69"/>
      <c r="CM34" s="64"/>
      <c r="CN34" s="201"/>
      <c r="CO34" s="64"/>
      <c r="CP34" s="53"/>
      <c r="CQ34" s="50"/>
      <c r="CR34" s="51"/>
      <c r="CS34" s="201"/>
      <c r="CT34" s="51"/>
      <c r="CU34" s="52"/>
      <c r="CV34" s="69"/>
      <c r="CW34" s="64"/>
      <c r="CX34" s="201"/>
      <c r="CY34" s="64"/>
      <c r="CZ34" s="53"/>
      <c r="DA34" s="50"/>
      <c r="DB34" s="51"/>
      <c r="DC34" s="201"/>
      <c r="DD34" s="51"/>
      <c r="DE34" s="52"/>
    </row>
    <row r="35" spans="2:109" x14ac:dyDescent="0.2">
      <c r="B35" s="448" t="s">
        <v>22</v>
      </c>
      <c r="C35" s="449"/>
      <c r="D35" s="450"/>
      <c r="E35" s="54"/>
      <c r="F35" s="51"/>
      <c r="G35" s="201"/>
      <c r="H35" s="51"/>
      <c r="I35" s="52"/>
      <c r="J35" s="69"/>
      <c r="K35" s="64"/>
      <c r="L35" s="201"/>
      <c r="M35" s="64"/>
      <c r="N35" s="45"/>
      <c r="O35" s="54"/>
      <c r="P35" s="51"/>
      <c r="Q35" s="201"/>
      <c r="R35" s="51"/>
      <c r="S35" s="52"/>
      <c r="T35" s="69"/>
      <c r="U35" s="64"/>
      <c r="V35" s="201"/>
      <c r="W35" s="64"/>
      <c r="X35" s="45"/>
      <c r="Y35" s="54"/>
      <c r="Z35" s="51"/>
      <c r="AA35" s="201"/>
      <c r="AB35" s="51"/>
      <c r="AC35" s="52"/>
      <c r="AD35" s="69"/>
      <c r="AE35" s="64"/>
      <c r="AF35" s="201"/>
      <c r="AG35" s="64"/>
      <c r="AH35" s="45"/>
      <c r="AI35" s="54"/>
      <c r="AJ35" s="51"/>
      <c r="AK35" s="201"/>
      <c r="AL35" s="51"/>
      <c r="AM35" s="52"/>
      <c r="AN35" s="69"/>
      <c r="AO35" s="64"/>
      <c r="AP35" s="201"/>
      <c r="AQ35" s="64"/>
      <c r="AR35" s="45"/>
      <c r="AS35" s="54"/>
      <c r="AT35" s="51"/>
      <c r="AU35" s="201"/>
      <c r="AV35" s="51"/>
      <c r="AW35" s="52"/>
      <c r="AX35" s="69"/>
      <c r="AY35" s="64"/>
      <c r="AZ35" s="201"/>
      <c r="BA35" s="64"/>
      <c r="BB35" s="45"/>
      <c r="BC35" s="54"/>
      <c r="BD35" s="51"/>
      <c r="BE35" s="201"/>
      <c r="BF35" s="51"/>
      <c r="BG35" s="52"/>
      <c r="BH35" s="69"/>
      <c r="BI35" s="64"/>
      <c r="BJ35" s="201"/>
      <c r="BK35" s="64"/>
      <c r="BL35" s="45"/>
      <c r="BM35" s="54"/>
      <c r="BN35" s="51"/>
      <c r="BO35" s="201"/>
      <c r="BP35" s="51"/>
      <c r="BQ35" s="52"/>
      <c r="BR35" s="69"/>
      <c r="BS35" s="64"/>
      <c r="BT35" s="201"/>
      <c r="BU35" s="64"/>
      <c r="BV35" s="45"/>
      <c r="BW35" s="54"/>
      <c r="BX35" s="51"/>
      <c r="BY35" s="201"/>
      <c r="BZ35" s="51"/>
      <c r="CA35" s="52"/>
      <c r="CB35" s="69"/>
      <c r="CC35" s="64"/>
      <c r="CD35" s="201"/>
      <c r="CE35" s="64"/>
      <c r="CF35" s="45"/>
      <c r="CG35" s="54"/>
      <c r="CH35" s="51"/>
      <c r="CI35" s="201"/>
      <c r="CJ35" s="51"/>
      <c r="CK35" s="52"/>
      <c r="CL35" s="69"/>
      <c r="CM35" s="64"/>
      <c r="CN35" s="201"/>
      <c r="CO35" s="64"/>
      <c r="CP35" s="45"/>
      <c r="CQ35" s="54"/>
      <c r="CR35" s="51"/>
      <c r="CS35" s="201"/>
      <c r="CT35" s="51"/>
      <c r="CU35" s="52"/>
      <c r="CV35" s="69"/>
      <c r="CW35" s="64"/>
      <c r="CX35" s="201"/>
      <c r="CY35" s="64"/>
      <c r="CZ35" s="45"/>
      <c r="DA35" s="54"/>
      <c r="DB35" s="51"/>
      <c r="DC35" s="201"/>
      <c r="DD35" s="51"/>
      <c r="DE35" s="52"/>
    </row>
    <row r="36" spans="2:109" ht="17" thickBot="1" x14ac:dyDescent="0.25">
      <c r="B36" s="448" t="s">
        <v>23</v>
      </c>
      <c r="C36" s="449"/>
      <c r="D36" s="450"/>
      <c r="E36" s="89"/>
      <c r="F36" s="90"/>
      <c r="G36" s="202"/>
      <c r="H36" s="90"/>
      <c r="I36" s="91"/>
      <c r="J36" s="92"/>
      <c r="K36" s="93"/>
      <c r="L36" s="202"/>
      <c r="M36" s="93"/>
      <c r="N36" s="94"/>
      <c r="O36" s="89"/>
      <c r="P36" s="90"/>
      <c r="Q36" s="202"/>
      <c r="R36" s="90"/>
      <c r="S36" s="91"/>
      <c r="T36" s="92"/>
      <c r="U36" s="93"/>
      <c r="V36" s="202"/>
      <c r="W36" s="93"/>
      <c r="X36" s="94"/>
      <c r="Y36" s="89"/>
      <c r="Z36" s="90"/>
      <c r="AA36" s="202"/>
      <c r="AB36" s="90"/>
      <c r="AC36" s="91"/>
      <c r="AD36" s="92"/>
      <c r="AE36" s="93"/>
      <c r="AF36" s="202"/>
      <c r="AG36" s="93"/>
      <c r="AH36" s="94"/>
      <c r="AI36" s="89"/>
      <c r="AJ36" s="90"/>
      <c r="AK36" s="202"/>
      <c r="AL36" s="90"/>
      <c r="AM36" s="91"/>
      <c r="AN36" s="92"/>
      <c r="AO36" s="93"/>
      <c r="AP36" s="202"/>
      <c r="AQ36" s="93"/>
      <c r="AR36" s="94"/>
      <c r="AS36" s="89"/>
      <c r="AT36" s="90"/>
      <c r="AU36" s="202"/>
      <c r="AV36" s="90"/>
      <c r="AW36" s="91"/>
      <c r="AX36" s="92"/>
      <c r="AY36" s="93"/>
      <c r="AZ36" s="202"/>
      <c r="BA36" s="93"/>
      <c r="BB36" s="94"/>
      <c r="BC36" s="89"/>
      <c r="BD36" s="90"/>
      <c r="BE36" s="202"/>
      <c r="BF36" s="90"/>
      <c r="BG36" s="91"/>
      <c r="BH36" s="92"/>
      <c r="BI36" s="93"/>
      <c r="BJ36" s="202"/>
      <c r="BK36" s="93"/>
      <c r="BL36" s="94"/>
      <c r="BM36" s="89"/>
      <c r="BN36" s="90"/>
      <c r="BO36" s="202"/>
      <c r="BP36" s="90"/>
      <c r="BQ36" s="91"/>
      <c r="BR36" s="92"/>
      <c r="BS36" s="93"/>
      <c r="BT36" s="202"/>
      <c r="BU36" s="93"/>
      <c r="BV36" s="94"/>
      <c r="BW36" s="89"/>
      <c r="BX36" s="90"/>
      <c r="BY36" s="202"/>
      <c r="BZ36" s="90"/>
      <c r="CA36" s="91"/>
      <c r="CB36" s="92"/>
      <c r="CC36" s="93"/>
      <c r="CD36" s="202"/>
      <c r="CE36" s="93"/>
      <c r="CF36" s="94"/>
      <c r="CG36" s="89"/>
      <c r="CH36" s="90"/>
      <c r="CI36" s="202"/>
      <c r="CJ36" s="90"/>
      <c r="CK36" s="91"/>
      <c r="CL36" s="92"/>
      <c r="CM36" s="93"/>
      <c r="CN36" s="202"/>
      <c r="CO36" s="93"/>
      <c r="CP36" s="94"/>
      <c r="CQ36" s="89"/>
      <c r="CR36" s="90"/>
      <c r="CS36" s="202"/>
      <c r="CT36" s="90"/>
      <c r="CU36" s="91"/>
      <c r="CV36" s="92"/>
      <c r="CW36" s="93"/>
      <c r="CX36" s="202"/>
      <c r="CY36" s="93"/>
      <c r="CZ36" s="94"/>
      <c r="DA36" s="89"/>
      <c r="DB36" s="90"/>
      <c r="DC36" s="202"/>
      <c r="DD36" s="90"/>
      <c r="DE36" s="91"/>
    </row>
    <row r="37" spans="2:109" x14ac:dyDescent="0.2">
      <c r="B37" s="448" t="s">
        <v>24</v>
      </c>
      <c r="C37" s="449"/>
      <c r="D37" s="450"/>
      <c r="E37" s="95"/>
      <c r="F37" s="96"/>
      <c r="G37" s="96"/>
      <c r="H37" s="96"/>
      <c r="I37" s="97"/>
      <c r="J37" s="98"/>
      <c r="K37" s="47"/>
      <c r="L37" s="47"/>
      <c r="M37" s="47"/>
      <c r="N37" s="63"/>
      <c r="O37" s="95"/>
      <c r="P37" s="96"/>
      <c r="Q37" s="96"/>
      <c r="R37" s="96"/>
      <c r="S37" s="97"/>
      <c r="T37" s="98"/>
      <c r="U37" s="47"/>
      <c r="V37" s="47"/>
      <c r="W37" s="47"/>
      <c r="X37" s="63"/>
      <c r="Y37" s="95"/>
      <c r="Z37" s="96"/>
      <c r="AA37" s="96"/>
      <c r="AB37" s="96"/>
      <c r="AC37" s="97"/>
      <c r="AD37" s="98"/>
      <c r="AE37" s="47"/>
      <c r="AF37" s="47"/>
      <c r="AG37" s="47"/>
      <c r="AH37" s="63"/>
      <c r="AI37" s="95"/>
      <c r="AJ37" s="96"/>
      <c r="AK37" s="96"/>
      <c r="AL37" s="96"/>
      <c r="AM37" s="97"/>
      <c r="AN37" s="98"/>
      <c r="AO37" s="47"/>
      <c r="AP37" s="47"/>
      <c r="AQ37" s="47"/>
      <c r="AR37" s="63"/>
      <c r="AS37" s="95"/>
      <c r="AT37" s="96"/>
      <c r="AU37" s="96"/>
      <c r="AV37" s="96"/>
      <c r="AW37" s="97"/>
      <c r="AX37" s="98"/>
      <c r="AY37" s="47"/>
      <c r="AZ37" s="47"/>
      <c r="BA37" s="47"/>
      <c r="BB37" s="63"/>
      <c r="BC37" s="95"/>
      <c r="BD37" s="96"/>
      <c r="BE37" s="96"/>
      <c r="BF37" s="96"/>
      <c r="BG37" s="97"/>
      <c r="BH37" s="98"/>
      <c r="BI37" s="47"/>
      <c r="BJ37" s="47"/>
      <c r="BK37" s="47"/>
      <c r="BL37" s="63"/>
      <c r="BM37" s="95"/>
      <c r="BN37" s="96"/>
      <c r="BO37" s="96"/>
      <c r="BP37" s="96"/>
      <c r="BQ37" s="97"/>
      <c r="BR37" s="98"/>
      <c r="BS37" s="47"/>
      <c r="BT37" s="47"/>
      <c r="BU37" s="47"/>
      <c r="BV37" s="63"/>
      <c r="BW37" s="95"/>
      <c r="BX37" s="96"/>
      <c r="BY37" s="96"/>
      <c r="BZ37" s="96"/>
      <c r="CA37" s="97"/>
      <c r="CB37" s="98"/>
      <c r="CC37" s="47"/>
      <c r="CD37" s="47"/>
      <c r="CE37" s="47"/>
      <c r="CF37" s="63"/>
      <c r="CG37" s="95"/>
      <c r="CH37" s="96"/>
      <c r="CI37" s="96"/>
      <c r="CJ37" s="96"/>
      <c r="CK37" s="97"/>
      <c r="CL37" s="98"/>
      <c r="CM37" s="47"/>
      <c r="CN37" s="47"/>
      <c r="CO37" s="47"/>
      <c r="CP37" s="63"/>
      <c r="CQ37" s="95"/>
      <c r="CR37" s="96"/>
      <c r="CS37" s="96"/>
      <c r="CT37" s="96"/>
      <c r="CU37" s="97"/>
      <c r="CV37" s="98"/>
      <c r="CW37" s="47"/>
      <c r="CX37" s="47"/>
      <c r="CY37" s="47"/>
      <c r="CZ37" s="63"/>
      <c r="DA37" s="95"/>
      <c r="DB37" s="96"/>
      <c r="DC37" s="96"/>
      <c r="DD37" s="96"/>
      <c r="DE37" s="97"/>
    </row>
    <row r="38" spans="2:109" x14ac:dyDescent="0.2">
      <c r="B38" s="448" t="s">
        <v>30</v>
      </c>
      <c r="C38" s="449"/>
      <c r="D38" s="450"/>
      <c r="E38" s="68"/>
      <c r="F38" s="65"/>
      <c r="G38" s="65"/>
      <c r="H38" s="65"/>
      <c r="I38" s="70"/>
      <c r="J38" s="67"/>
      <c r="K38" s="56"/>
      <c r="L38" s="56"/>
      <c r="M38" s="56"/>
      <c r="N38" s="66"/>
      <c r="O38" s="68"/>
      <c r="P38" s="65"/>
      <c r="Q38" s="65"/>
      <c r="R38" s="65"/>
      <c r="S38" s="70"/>
      <c r="T38" s="67"/>
      <c r="U38" s="56"/>
      <c r="V38" s="56"/>
      <c r="W38" s="56"/>
      <c r="X38" s="66"/>
      <c r="Y38" s="68"/>
      <c r="Z38" s="65"/>
      <c r="AA38" s="65"/>
      <c r="AB38" s="65"/>
      <c r="AC38" s="70"/>
      <c r="AD38" s="67"/>
      <c r="AE38" s="56"/>
      <c r="AF38" s="56"/>
      <c r="AG38" s="56"/>
      <c r="AH38" s="66"/>
      <c r="AI38" s="68"/>
      <c r="AJ38" s="65"/>
      <c r="AK38" s="65"/>
      <c r="AL38" s="65"/>
      <c r="AM38" s="70"/>
      <c r="AN38" s="67"/>
      <c r="AO38" s="56"/>
      <c r="AP38" s="56"/>
      <c r="AQ38" s="56"/>
      <c r="AR38" s="66"/>
      <c r="AS38" s="68"/>
      <c r="AT38" s="65"/>
      <c r="AU38" s="65"/>
      <c r="AV38" s="65"/>
      <c r="AW38" s="70"/>
      <c r="AX38" s="67"/>
      <c r="AY38" s="56"/>
      <c r="AZ38" s="56"/>
      <c r="BA38" s="56"/>
      <c r="BB38" s="66"/>
      <c r="BC38" s="68"/>
      <c r="BD38" s="65"/>
      <c r="BE38" s="65"/>
      <c r="BF38" s="65"/>
      <c r="BG38" s="70"/>
      <c r="BH38" s="67"/>
      <c r="BI38" s="56"/>
      <c r="BJ38" s="56"/>
      <c r="BK38" s="56"/>
      <c r="BL38" s="66"/>
      <c r="BM38" s="68"/>
      <c r="BN38" s="65"/>
      <c r="BO38" s="65"/>
      <c r="BP38" s="65"/>
      <c r="BQ38" s="70"/>
      <c r="BR38" s="67"/>
      <c r="BS38" s="56"/>
      <c r="BT38" s="56"/>
      <c r="BU38" s="56"/>
      <c r="BV38" s="66"/>
      <c r="BW38" s="68"/>
      <c r="BX38" s="65"/>
      <c r="BY38" s="65"/>
      <c r="BZ38" s="65"/>
      <c r="CA38" s="70"/>
      <c r="CB38" s="67"/>
      <c r="CC38" s="56"/>
      <c r="CD38" s="56"/>
      <c r="CE38" s="56"/>
      <c r="CF38" s="66"/>
      <c r="CG38" s="68"/>
      <c r="CH38" s="65"/>
      <c r="CI38" s="65"/>
      <c r="CJ38" s="65"/>
      <c r="CK38" s="70"/>
      <c r="CL38" s="67"/>
      <c r="CM38" s="56"/>
      <c r="CN38" s="56"/>
      <c r="CO38" s="56"/>
      <c r="CP38" s="66"/>
      <c r="CQ38" s="68"/>
      <c r="CR38" s="65"/>
      <c r="CS38" s="65"/>
      <c r="CT38" s="65"/>
      <c r="CU38" s="70"/>
      <c r="CV38" s="67"/>
      <c r="CW38" s="56"/>
      <c r="CX38" s="56"/>
      <c r="CY38" s="56"/>
      <c r="CZ38" s="66"/>
      <c r="DA38" s="68"/>
      <c r="DB38" s="65"/>
      <c r="DC38" s="65"/>
      <c r="DD38" s="65"/>
      <c r="DE38" s="70"/>
    </row>
    <row r="39" spans="2:109" x14ac:dyDescent="0.2">
      <c r="B39" s="448" t="s">
        <v>31</v>
      </c>
      <c r="C39" s="449"/>
      <c r="D39" s="450"/>
      <c r="E39" s="68"/>
      <c r="F39" s="65"/>
      <c r="G39" s="65"/>
      <c r="H39" s="65"/>
      <c r="I39" s="70"/>
      <c r="J39" s="67"/>
      <c r="K39" s="56"/>
      <c r="L39" s="56"/>
      <c r="M39" s="56"/>
      <c r="N39" s="66"/>
      <c r="O39" s="68"/>
      <c r="P39" s="65"/>
      <c r="Q39" s="65"/>
      <c r="R39" s="65"/>
      <c r="S39" s="70"/>
      <c r="T39" s="67"/>
      <c r="U39" s="56"/>
      <c r="V39" s="56"/>
      <c r="W39" s="56"/>
      <c r="X39" s="66"/>
      <c r="Y39" s="68"/>
      <c r="Z39" s="65"/>
      <c r="AA39" s="65"/>
      <c r="AB39" s="65"/>
      <c r="AC39" s="70"/>
      <c r="AD39" s="67"/>
      <c r="AE39" s="56"/>
      <c r="AF39" s="56"/>
      <c r="AG39" s="56"/>
      <c r="AH39" s="66"/>
      <c r="AI39" s="68"/>
      <c r="AJ39" s="65"/>
      <c r="AK39" s="65"/>
      <c r="AL39" s="65"/>
      <c r="AM39" s="70"/>
      <c r="AN39" s="67"/>
      <c r="AO39" s="56"/>
      <c r="AP39" s="56"/>
      <c r="AQ39" s="56"/>
      <c r="AR39" s="66"/>
      <c r="AS39" s="68"/>
      <c r="AT39" s="65"/>
      <c r="AU39" s="65"/>
      <c r="AV39" s="65"/>
      <c r="AW39" s="70"/>
      <c r="AX39" s="67"/>
      <c r="AY39" s="56"/>
      <c r="AZ39" s="56"/>
      <c r="BA39" s="56"/>
      <c r="BB39" s="66"/>
      <c r="BC39" s="68"/>
      <c r="BD39" s="65"/>
      <c r="BE39" s="65"/>
      <c r="BF39" s="65"/>
      <c r="BG39" s="70"/>
      <c r="BH39" s="67"/>
      <c r="BI39" s="56"/>
      <c r="BJ39" s="56"/>
      <c r="BK39" s="56"/>
      <c r="BL39" s="66"/>
      <c r="BM39" s="68"/>
      <c r="BN39" s="65"/>
      <c r="BO39" s="65"/>
      <c r="BP39" s="65"/>
      <c r="BQ39" s="70"/>
      <c r="BR39" s="67"/>
      <c r="BS39" s="56"/>
      <c r="BT39" s="56"/>
      <c r="BU39" s="56"/>
      <c r="BV39" s="66"/>
      <c r="BW39" s="68"/>
      <c r="BX39" s="65"/>
      <c r="BY39" s="65"/>
      <c r="BZ39" s="65"/>
      <c r="CA39" s="70"/>
      <c r="CB39" s="67"/>
      <c r="CC39" s="56"/>
      <c r="CD39" s="56"/>
      <c r="CE39" s="56"/>
      <c r="CF39" s="66"/>
      <c r="CG39" s="68"/>
      <c r="CH39" s="65"/>
      <c r="CI39" s="65"/>
      <c r="CJ39" s="65"/>
      <c r="CK39" s="70"/>
      <c r="CL39" s="67"/>
      <c r="CM39" s="56"/>
      <c r="CN39" s="56"/>
      <c r="CO39" s="56"/>
      <c r="CP39" s="66"/>
      <c r="CQ39" s="68"/>
      <c r="CR39" s="65"/>
      <c r="CS39" s="65"/>
      <c r="CT39" s="65"/>
      <c r="CU39" s="70"/>
      <c r="CV39" s="67"/>
      <c r="CW39" s="56"/>
      <c r="CX39" s="56"/>
      <c r="CY39" s="56"/>
      <c r="CZ39" s="66"/>
      <c r="DA39" s="68"/>
      <c r="DB39" s="65"/>
      <c r="DC39" s="65"/>
      <c r="DD39" s="65"/>
      <c r="DE39" s="70"/>
    </row>
    <row r="40" spans="2:109" x14ac:dyDescent="0.2">
      <c r="B40" s="448" t="s">
        <v>32</v>
      </c>
      <c r="C40" s="449"/>
      <c r="D40" s="450"/>
      <c r="E40" s="68"/>
      <c r="F40" s="65"/>
      <c r="G40" s="65"/>
      <c r="H40" s="65"/>
      <c r="I40" s="70"/>
      <c r="J40" s="67"/>
      <c r="K40" s="56"/>
      <c r="L40" s="56"/>
      <c r="M40" s="56"/>
      <c r="N40" s="66"/>
      <c r="O40" s="68"/>
      <c r="P40" s="65"/>
      <c r="Q40" s="65"/>
      <c r="R40" s="65"/>
      <c r="S40" s="70"/>
      <c r="T40" s="67"/>
      <c r="U40" s="56"/>
      <c r="V40" s="56"/>
      <c r="W40" s="56"/>
      <c r="X40" s="66"/>
      <c r="Y40" s="68"/>
      <c r="Z40" s="65"/>
      <c r="AA40" s="65"/>
      <c r="AB40" s="65"/>
      <c r="AC40" s="70"/>
      <c r="AD40" s="67"/>
      <c r="AE40" s="56"/>
      <c r="AF40" s="56"/>
      <c r="AG40" s="56"/>
      <c r="AH40" s="66"/>
      <c r="AI40" s="68"/>
      <c r="AJ40" s="65"/>
      <c r="AK40" s="65"/>
      <c r="AL40" s="65"/>
      <c r="AM40" s="70"/>
      <c r="AN40" s="67"/>
      <c r="AO40" s="56"/>
      <c r="AP40" s="56"/>
      <c r="AQ40" s="56"/>
      <c r="AR40" s="66"/>
      <c r="AS40" s="68"/>
      <c r="AT40" s="65"/>
      <c r="AU40" s="65"/>
      <c r="AV40" s="65"/>
      <c r="AW40" s="70"/>
      <c r="AX40" s="67"/>
      <c r="AY40" s="56"/>
      <c r="AZ40" s="56"/>
      <c r="BA40" s="56"/>
      <c r="BB40" s="66"/>
      <c r="BC40" s="68"/>
      <c r="BD40" s="65"/>
      <c r="BE40" s="65"/>
      <c r="BF40" s="65"/>
      <c r="BG40" s="70"/>
      <c r="BH40" s="67"/>
      <c r="BI40" s="56"/>
      <c r="BJ40" s="56"/>
      <c r="BK40" s="56"/>
      <c r="BL40" s="66"/>
      <c r="BM40" s="68"/>
      <c r="BN40" s="65"/>
      <c r="BO40" s="65"/>
      <c r="BP40" s="65"/>
      <c r="BQ40" s="70"/>
      <c r="BR40" s="67"/>
      <c r="BS40" s="56"/>
      <c r="BT40" s="56"/>
      <c r="BU40" s="56"/>
      <c r="BV40" s="66"/>
      <c r="BW40" s="68"/>
      <c r="BX40" s="65"/>
      <c r="BY40" s="65"/>
      <c r="BZ40" s="65"/>
      <c r="CA40" s="70"/>
      <c r="CB40" s="67"/>
      <c r="CC40" s="56"/>
      <c r="CD40" s="56"/>
      <c r="CE40" s="56"/>
      <c r="CF40" s="66"/>
      <c r="CG40" s="68"/>
      <c r="CH40" s="65"/>
      <c r="CI40" s="65"/>
      <c r="CJ40" s="65"/>
      <c r="CK40" s="70"/>
      <c r="CL40" s="67"/>
      <c r="CM40" s="56"/>
      <c r="CN40" s="56"/>
      <c r="CO40" s="56"/>
      <c r="CP40" s="66"/>
      <c r="CQ40" s="68"/>
      <c r="CR40" s="65"/>
      <c r="CS40" s="65"/>
      <c r="CT40" s="65"/>
      <c r="CU40" s="70"/>
      <c r="CV40" s="67"/>
      <c r="CW40" s="56"/>
      <c r="CX40" s="56"/>
      <c r="CY40" s="56"/>
      <c r="CZ40" s="66"/>
      <c r="DA40" s="68"/>
      <c r="DB40" s="65"/>
      <c r="DC40" s="65"/>
      <c r="DD40" s="65"/>
      <c r="DE40" s="70"/>
    </row>
    <row r="41" spans="2:109" x14ac:dyDescent="0.2">
      <c r="B41" s="448" t="s">
        <v>33</v>
      </c>
      <c r="C41" s="449"/>
      <c r="D41" s="450"/>
      <c r="E41" s="68"/>
      <c r="F41" s="65"/>
      <c r="G41" s="65"/>
      <c r="H41" s="65"/>
      <c r="I41" s="70"/>
      <c r="J41" s="67"/>
      <c r="K41" s="56"/>
      <c r="L41" s="56"/>
      <c r="M41" s="56"/>
      <c r="N41" s="66"/>
      <c r="O41" s="68"/>
      <c r="P41" s="65"/>
      <c r="Q41" s="65"/>
      <c r="R41" s="65"/>
      <c r="S41" s="70"/>
      <c r="T41" s="67"/>
      <c r="U41" s="56"/>
      <c r="V41" s="56"/>
      <c r="W41" s="56"/>
      <c r="X41" s="66"/>
      <c r="Y41" s="68"/>
      <c r="Z41" s="65"/>
      <c r="AA41" s="65"/>
      <c r="AB41" s="65"/>
      <c r="AC41" s="70"/>
      <c r="AD41" s="67"/>
      <c r="AE41" s="56"/>
      <c r="AF41" s="56"/>
      <c r="AG41" s="56"/>
      <c r="AH41" s="66"/>
      <c r="AI41" s="68"/>
      <c r="AJ41" s="65"/>
      <c r="AK41" s="65"/>
      <c r="AL41" s="65"/>
      <c r="AM41" s="70"/>
      <c r="AN41" s="67"/>
      <c r="AO41" s="56"/>
      <c r="AP41" s="56"/>
      <c r="AQ41" s="56"/>
      <c r="AR41" s="66"/>
      <c r="AS41" s="68"/>
      <c r="AT41" s="65"/>
      <c r="AU41" s="65"/>
      <c r="AV41" s="65"/>
      <c r="AW41" s="70"/>
      <c r="AX41" s="67"/>
      <c r="AY41" s="56"/>
      <c r="AZ41" s="56"/>
      <c r="BA41" s="56"/>
      <c r="BB41" s="66"/>
      <c r="BC41" s="68"/>
      <c r="BD41" s="65"/>
      <c r="BE41" s="65"/>
      <c r="BF41" s="65"/>
      <c r="BG41" s="70"/>
      <c r="BH41" s="67"/>
      <c r="BI41" s="56"/>
      <c r="BJ41" s="56"/>
      <c r="BK41" s="56"/>
      <c r="BL41" s="66"/>
      <c r="BM41" s="68"/>
      <c r="BN41" s="65"/>
      <c r="BO41" s="65"/>
      <c r="BP41" s="65"/>
      <c r="BQ41" s="70"/>
      <c r="BR41" s="67"/>
      <c r="BS41" s="56"/>
      <c r="BT41" s="56"/>
      <c r="BU41" s="56"/>
      <c r="BV41" s="66"/>
      <c r="BW41" s="68"/>
      <c r="BX41" s="65"/>
      <c r="BY41" s="65"/>
      <c r="BZ41" s="65"/>
      <c r="CA41" s="70"/>
      <c r="CB41" s="67"/>
      <c r="CC41" s="56"/>
      <c r="CD41" s="56"/>
      <c r="CE41" s="56"/>
      <c r="CF41" s="66"/>
      <c r="CG41" s="68"/>
      <c r="CH41" s="65"/>
      <c r="CI41" s="65"/>
      <c r="CJ41" s="65"/>
      <c r="CK41" s="70"/>
      <c r="CL41" s="67"/>
      <c r="CM41" s="56"/>
      <c r="CN41" s="56"/>
      <c r="CO41" s="56"/>
      <c r="CP41" s="66"/>
      <c r="CQ41" s="68"/>
      <c r="CR41" s="65"/>
      <c r="CS41" s="65"/>
      <c r="CT41" s="65"/>
      <c r="CU41" s="70"/>
      <c r="CV41" s="67"/>
      <c r="CW41" s="56"/>
      <c r="CX41" s="56"/>
      <c r="CY41" s="56"/>
      <c r="CZ41" s="66"/>
      <c r="DA41" s="68"/>
      <c r="DB41" s="65"/>
      <c r="DC41" s="65"/>
      <c r="DD41" s="65"/>
      <c r="DE41" s="70"/>
    </row>
    <row r="42" spans="2:109" ht="17" thickBot="1" x14ac:dyDescent="0.25">
      <c r="B42" s="451" t="s">
        <v>34</v>
      </c>
      <c r="C42" s="452"/>
      <c r="D42" s="453"/>
      <c r="E42" s="71"/>
      <c r="F42" s="72"/>
      <c r="G42" s="72"/>
      <c r="H42" s="72"/>
      <c r="I42" s="73"/>
      <c r="J42" s="74"/>
      <c r="K42" s="75"/>
      <c r="L42" s="75"/>
      <c r="M42" s="75"/>
      <c r="N42" s="76"/>
      <c r="O42" s="71"/>
      <c r="P42" s="72"/>
      <c r="Q42" s="72"/>
      <c r="R42" s="72"/>
      <c r="S42" s="73"/>
      <c r="T42" s="74"/>
      <c r="U42" s="75"/>
      <c r="V42" s="75"/>
      <c r="W42" s="75"/>
      <c r="X42" s="76"/>
      <c r="Y42" s="71"/>
      <c r="Z42" s="72"/>
      <c r="AA42" s="72"/>
      <c r="AB42" s="72"/>
      <c r="AC42" s="73"/>
      <c r="AD42" s="74"/>
      <c r="AE42" s="75"/>
      <c r="AF42" s="75"/>
      <c r="AG42" s="75"/>
      <c r="AH42" s="76"/>
      <c r="AI42" s="71"/>
      <c r="AJ42" s="72"/>
      <c r="AK42" s="72"/>
      <c r="AL42" s="72"/>
      <c r="AM42" s="73"/>
      <c r="AN42" s="74"/>
      <c r="AO42" s="75"/>
      <c r="AP42" s="75"/>
      <c r="AQ42" s="75"/>
      <c r="AR42" s="76"/>
      <c r="AS42" s="71"/>
      <c r="AT42" s="72"/>
      <c r="AU42" s="72"/>
      <c r="AV42" s="72"/>
      <c r="AW42" s="73"/>
      <c r="AX42" s="74"/>
      <c r="AY42" s="75"/>
      <c r="AZ42" s="75"/>
      <c r="BA42" s="75"/>
      <c r="BB42" s="76"/>
      <c r="BC42" s="71"/>
      <c r="BD42" s="72"/>
      <c r="BE42" s="72"/>
      <c r="BF42" s="72"/>
      <c r="BG42" s="73"/>
      <c r="BH42" s="74"/>
      <c r="BI42" s="75"/>
      <c r="BJ42" s="75"/>
      <c r="BK42" s="75"/>
      <c r="BL42" s="76"/>
      <c r="BM42" s="71"/>
      <c r="BN42" s="72"/>
      <c r="BO42" s="72"/>
      <c r="BP42" s="72"/>
      <c r="BQ42" s="73"/>
      <c r="BR42" s="74"/>
      <c r="BS42" s="75"/>
      <c r="BT42" s="75"/>
      <c r="BU42" s="75"/>
      <c r="BV42" s="76"/>
      <c r="BW42" s="71"/>
      <c r="BX42" s="72"/>
      <c r="BY42" s="72"/>
      <c r="BZ42" s="72"/>
      <c r="CA42" s="73"/>
      <c r="CB42" s="74"/>
      <c r="CC42" s="75"/>
      <c r="CD42" s="75"/>
      <c r="CE42" s="75"/>
      <c r="CF42" s="76"/>
      <c r="CG42" s="71"/>
      <c r="CH42" s="72"/>
      <c r="CI42" s="72"/>
      <c r="CJ42" s="72"/>
      <c r="CK42" s="73"/>
      <c r="CL42" s="74"/>
      <c r="CM42" s="75"/>
      <c r="CN42" s="75"/>
      <c r="CO42" s="75"/>
      <c r="CP42" s="76"/>
      <c r="CQ42" s="71"/>
      <c r="CR42" s="72"/>
      <c r="CS42" s="72"/>
      <c r="CT42" s="72"/>
      <c r="CU42" s="73"/>
      <c r="CV42" s="74"/>
      <c r="CW42" s="75"/>
      <c r="CX42" s="75"/>
      <c r="CY42" s="75"/>
      <c r="CZ42" s="76"/>
      <c r="DA42" s="71"/>
      <c r="DB42" s="72"/>
      <c r="DC42" s="72"/>
      <c r="DD42" s="72"/>
      <c r="DE42" s="73"/>
    </row>
    <row r="43" spans="2:109" s="136" customFormat="1" ht="17" thickBot="1" x14ac:dyDescent="0.25"/>
    <row r="44" spans="2:109" ht="17" thickBot="1" x14ac:dyDescent="0.25">
      <c r="C44" s="198" t="s">
        <v>37</v>
      </c>
      <c r="D44" s="199" t="s">
        <v>38</v>
      </c>
    </row>
    <row r="45" spans="2:109" x14ac:dyDescent="0.2">
      <c r="B45" s="83"/>
      <c r="C45" s="80"/>
      <c r="D45" s="106" t="str">
        <f t="shared" ref="D45:D57" si="36">IF(SUM(E45:DE45)=0,"",SUM(E45:DE45))</f>
        <v/>
      </c>
      <c r="E45" s="81" t="str">
        <f>IF($B45="","",IF(COUNTIF(E$16:E$21,$B45)&gt;0,COUNTA(E$7:E$15),0)+IF(COUNTIF(E$37:E$42,$B45)&gt;0,COUNTA(E$28:E$36),0))</f>
        <v/>
      </c>
      <c r="F45" s="46" t="str">
        <f t="shared" ref="F45:U59" si="37">IF($B45="","",IF(COUNTIF(F$16:F$21,$B45)&gt;0,COUNTA(F$7:F$15),0)+IF(COUNTIF(F$37:F$42,$B45)&gt;0,COUNTA(F$28:F$36),0))</f>
        <v/>
      </c>
      <c r="G45" s="46" t="str">
        <f t="shared" si="37"/>
        <v/>
      </c>
      <c r="H45" s="46" t="str">
        <f t="shared" si="37"/>
        <v/>
      </c>
      <c r="I45" s="46" t="str">
        <f t="shared" si="37"/>
        <v/>
      </c>
      <c r="J45" s="46" t="str">
        <f t="shared" si="37"/>
        <v/>
      </c>
      <c r="K45" s="46" t="str">
        <f t="shared" si="37"/>
        <v/>
      </c>
      <c r="L45" s="46" t="str">
        <f t="shared" si="37"/>
        <v/>
      </c>
      <c r="M45" s="46" t="str">
        <f t="shared" si="37"/>
        <v/>
      </c>
      <c r="N45" s="46" t="str">
        <f t="shared" si="37"/>
        <v/>
      </c>
      <c r="O45" s="46" t="str">
        <f t="shared" si="37"/>
        <v/>
      </c>
      <c r="P45" s="46" t="str">
        <f t="shared" si="37"/>
        <v/>
      </c>
      <c r="Q45" s="46" t="str">
        <f t="shared" si="37"/>
        <v/>
      </c>
      <c r="R45" s="46" t="str">
        <f t="shared" si="37"/>
        <v/>
      </c>
      <c r="S45" s="46" t="str">
        <f t="shared" si="37"/>
        <v/>
      </c>
      <c r="T45" s="46" t="str">
        <f t="shared" si="37"/>
        <v/>
      </c>
      <c r="U45" s="46" t="str">
        <f t="shared" si="37"/>
        <v/>
      </c>
      <c r="V45" s="46" t="str">
        <f t="shared" ref="V45:AK59" si="38">IF($B45="","",IF(COUNTIF(V$16:V$21,$B45)&gt;0,COUNTA(V$7:V$15),0)+IF(COUNTIF(V$37:V$42,$B45)&gt;0,COUNTA(V$28:V$36),0))</f>
        <v/>
      </c>
      <c r="W45" s="46" t="str">
        <f t="shared" si="38"/>
        <v/>
      </c>
      <c r="X45" s="46" t="str">
        <f t="shared" si="38"/>
        <v/>
      </c>
      <c r="Y45" s="46" t="str">
        <f t="shared" si="38"/>
        <v/>
      </c>
      <c r="Z45" s="46" t="str">
        <f t="shared" si="38"/>
        <v/>
      </c>
      <c r="AA45" s="46" t="str">
        <f t="shared" si="38"/>
        <v/>
      </c>
      <c r="AB45" s="46" t="str">
        <f t="shared" si="38"/>
        <v/>
      </c>
      <c r="AC45" s="46" t="str">
        <f t="shared" si="38"/>
        <v/>
      </c>
      <c r="AD45" s="46" t="str">
        <f t="shared" si="38"/>
        <v/>
      </c>
      <c r="AE45" s="46" t="str">
        <f t="shared" si="38"/>
        <v/>
      </c>
      <c r="AF45" s="46" t="str">
        <f t="shared" si="38"/>
        <v/>
      </c>
      <c r="AG45" s="46" t="str">
        <f t="shared" si="38"/>
        <v/>
      </c>
      <c r="AH45" s="46" t="str">
        <f t="shared" si="38"/>
        <v/>
      </c>
      <c r="AI45" s="46" t="str">
        <f t="shared" si="38"/>
        <v/>
      </c>
      <c r="AJ45" s="46" t="str">
        <f t="shared" si="38"/>
        <v/>
      </c>
      <c r="AK45" s="46" t="str">
        <f t="shared" si="38"/>
        <v/>
      </c>
      <c r="AL45" s="46" t="str">
        <f t="shared" ref="AL45:BA59" si="39">IF($B45="","",IF(COUNTIF(AL$16:AL$21,$B45)&gt;0,COUNTA(AL$7:AL$15),0)+IF(COUNTIF(AL$37:AL$42,$B45)&gt;0,COUNTA(AL$28:AL$36),0))</f>
        <v/>
      </c>
      <c r="AM45" s="46" t="str">
        <f t="shared" si="39"/>
        <v/>
      </c>
      <c r="AN45" s="46" t="str">
        <f t="shared" si="39"/>
        <v/>
      </c>
      <c r="AO45" s="46" t="str">
        <f t="shared" si="39"/>
        <v/>
      </c>
      <c r="AP45" s="46" t="str">
        <f t="shared" si="39"/>
        <v/>
      </c>
      <c r="AQ45" s="46" t="str">
        <f t="shared" si="39"/>
        <v/>
      </c>
      <c r="AR45" s="46" t="str">
        <f t="shared" si="39"/>
        <v/>
      </c>
      <c r="AS45" s="46" t="str">
        <f t="shared" si="39"/>
        <v/>
      </c>
      <c r="AT45" s="46" t="str">
        <f t="shared" si="39"/>
        <v/>
      </c>
      <c r="AU45" s="46" t="str">
        <f t="shared" si="39"/>
        <v/>
      </c>
      <c r="AV45" s="46" t="str">
        <f t="shared" si="39"/>
        <v/>
      </c>
      <c r="AW45" s="46" t="str">
        <f t="shared" si="39"/>
        <v/>
      </c>
      <c r="AX45" s="46" t="str">
        <f t="shared" si="39"/>
        <v/>
      </c>
      <c r="AY45" s="46" t="str">
        <f t="shared" si="39"/>
        <v/>
      </c>
      <c r="AZ45" s="46" t="str">
        <f t="shared" si="39"/>
        <v/>
      </c>
      <c r="BA45" s="46" t="str">
        <f t="shared" si="39"/>
        <v/>
      </c>
      <c r="BB45" s="46" t="str">
        <f t="shared" ref="BB45:BQ59" si="40">IF($B45="","",IF(COUNTIF(BB$16:BB$21,$B45)&gt;0,COUNTA(BB$7:BB$15),0)+IF(COUNTIF(BB$37:BB$42,$B45)&gt;0,COUNTA(BB$28:BB$36),0))</f>
        <v/>
      </c>
      <c r="BC45" s="46" t="str">
        <f t="shared" si="40"/>
        <v/>
      </c>
      <c r="BD45" s="46" t="str">
        <f t="shared" si="40"/>
        <v/>
      </c>
      <c r="BE45" s="46" t="str">
        <f t="shared" si="40"/>
        <v/>
      </c>
      <c r="BF45" s="46" t="str">
        <f t="shared" si="40"/>
        <v/>
      </c>
      <c r="BG45" s="46" t="str">
        <f t="shared" si="40"/>
        <v/>
      </c>
      <c r="BH45" s="46" t="str">
        <f t="shared" si="40"/>
        <v/>
      </c>
      <c r="BI45" s="46" t="str">
        <f t="shared" si="40"/>
        <v/>
      </c>
      <c r="BJ45" s="46" t="str">
        <f t="shared" si="40"/>
        <v/>
      </c>
      <c r="BK45" s="46" t="str">
        <f t="shared" si="40"/>
        <v/>
      </c>
      <c r="BL45" s="46" t="str">
        <f t="shared" si="40"/>
        <v/>
      </c>
      <c r="BM45" s="46" t="str">
        <f t="shared" si="40"/>
        <v/>
      </c>
      <c r="BN45" s="46" t="str">
        <f t="shared" si="40"/>
        <v/>
      </c>
      <c r="BO45" s="46" t="str">
        <f t="shared" si="40"/>
        <v/>
      </c>
      <c r="BP45" s="46" t="str">
        <f t="shared" si="40"/>
        <v/>
      </c>
      <c r="BQ45" s="46" t="str">
        <f t="shared" si="40"/>
        <v/>
      </c>
      <c r="BR45" s="46" t="str">
        <f t="shared" ref="BR45:CG59" si="41">IF($B45="","",IF(COUNTIF(BR$16:BR$21,$B45)&gt;0,COUNTA(BR$7:BR$15),0)+IF(COUNTIF(BR$37:BR$42,$B45)&gt;0,COUNTA(BR$28:BR$36),0))</f>
        <v/>
      </c>
      <c r="BS45" s="46" t="str">
        <f t="shared" si="41"/>
        <v/>
      </c>
      <c r="BT45" s="46" t="str">
        <f t="shared" si="41"/>
        <v/>
      </c>
      <c r="BU45" s="46" t="str">
        <f t="shared" si="41"/>
        <v/>
      </c>
      <c r="BV45" s="46" t="str">
        <f t="shared" si="41"/>
        <v/>
      </c>
      <c r="BW45" s="46" t="str">
        <f t="shared" si="41"/>
        <v/>
      </c>
      <c r="BX45" s="46" t="str">
        <f t="shared" si="41"/>
        <v/>
      </c>
      <c r="BY45" s="46" t="str">
        <f t="shared" si="41"/>
        <v/>
      </c>
      <c r="BZ45" s="46" t="str">
        <f t="shared" si="41"/>
        <v/>
      </c>
      <c r="CA45" s="46" t="str">
        <f t="shared" si="41"/>
        <v/>
      </c>
      <c r="CB45" s="46" t="str">
        <f t="shared" si="41"/>
        <v/>
      </c>
      <c r="CC45" s="46" t="str">
        <f t="shared" si="41"/>
        <v/>
      </c>
      <c r="CD45" s="46" t="str">
        <f t="shared" si="41"/>
        <v/>
      </c>
      <c r="CE45" s="46" t="str">
        <f t="shared" si="41"/>
        <v/>
      </c>
      <c r="CF45" s="46" t="str">
        <f t="shared" si="41"/>
        <v/>
      </c>
      <c r="CG45" s="46" t="str">
        <f t="shared" si="41"/>
        <v/>
      </c>
      <c r="CH45" s="46" t="str">
        <f t="shared" ref="CH45:CW59" si="42">IF($B45="","",IF(COUNTIF(CH$16:CH$21,$B45)&gt;0,COUNTA(CH$7:CH$15),0)+IF(COUNTIF(CH$37:CH$42,$B45)&gt;0,COUNTA(CH$28:CH$36),0))</f>
        <v/>
      </c>
      <c r="CI45" s="46" t="str">
        <f t="shared" si="42"/>
        <v/>
      </c>
      <c r="CJ45" s="46" t="str">
        <f t="shared" si="42"/>
        <v/>
      </c>
      <c r="CK45" s="46" t="str">
        <f t="shared" si="42"/>
        <v/>
      </c>
      <c r="CL45" s="46" t="str">
        <f t="shared" si="42"/>
        <v/>
      </c>
      <c r="CM45" s="46" t="str">
        <f t="shared" si="42"/>
        <v/>
      </c>
      <c r="CN45" s="46" t="str">
        <f t="shared" si="42"/>
        <v/>
      </c>
      <c r="CO45" s="46" t="str">
        <f t="shared" si="42"/>
        <v/>
      </c>
      <c r="CP45" s="46" t="str">
        <f t="shared" si="42"/>
        <v/>
      </c>
      <c r="CQ45" s="46" t="str">
        <f t="shared" si="42"/>
        <v/>
      </c>
      <c r="CR45" s="46" t="str">
        <f t="shared" si="42"/>
        <v/>
      </c>
      <c r="CS45" s="46" t="str">
        <f t="shared" si="42"/>
        <v/>
      </c>
      <c r="CT45" s="46" t="str">
        <f t="shared" si="42"/>
        <v/>
      </c>
      <c r="CU45" s="46" t="str">
        <f t="shared" si="42"/>
        <v/>
      </c>
      <c r="CV45" s="46" t="str">
        <f t="shared" si="42"/>
        <v/>
      </c>
      <c r="CW45" s="46" t="str">
        <f t="shared" si="42"/>
        <v/>
      </c>
      <c r="CX45" s="46" t="str">
        <f t="shared" ref="CX45:DE59" si="43">IF($B45="","",IF(COUNTIF(CX$16:CX$21,$B45)&gt;0,COUNTA(CX$7:CX$15),0)+IF(COUNTIF(CX$37:CX$42,$B45)&gt;0,COUNTA(CX$28:CX$36),0))</f>
        <v/>
      </c>
      <c r="CY45" s="46" t="str">
        <f t="shared" si="43"/>
        <v/>
      </c>
      <c r="CZ45" s="46" t="str">
        <f t="shared" si="43"/>
        <v/>
      </c>
      <c r="DA45" s="46" t="str">
        <f t="shared" si="43"/>
        <v/>
      </c>
      <c r="DB45" s="46" t="str">
        <f t="shared" si="43"/>
        <v/>
      </c>
      <c r="DC45" s="46" t="str">
        <f t="shared" si="43"/>
        <v/>
      </c>
      <c r="DD45" s="46" t="str">
        <f t="shared" si="43"/>
        <v/>
      </c>
      <c r="DE45" s="78" t="str">
        <f t="shared" si="43"/>
        <v/>
      </c>
    </row>
    <row r="46" spans="2:109" x14ac:dyDescent="0.2">
      <c r="B46" s="84"/>
      <c r="C46" s="79"/>
      <c r="D46" s="106" t="str">
        <f t="shared" si="36"/>
        <v/>
      </c>
      <c r="E46" s="57" t="str">
        <f t="shared" ref="E46:E59" si="44">IF($B46="","",IF(COUNTIF(E$16:E$21,$B46)&gt;0,COUNTA(E$7:E$15),0)+IF(COUNTIF(E$37:E$42,$B46)&gt;0,COUNTA(E$28:E$36),0))</f>
        <v/>
      </c>
      <c r="F46" s="55" t="str">
        <f t="shared" si="37"/>
        <v/>
      </c>
      <c r="G46" s="55" t="str">
        <f t="shared" si="37"/>
        <v/>
      </c>
      <c r="H46" s="55" t="str">
        <f t="shared" si="37"/>
        <v/>
      </c>
      <c r="I46" s="55" t="str">
        <f t="shared" si="37"/>
        <v/>
      </c>
      <c r="J46" s="55" t="str">
        <f t="shared" si="37"/>
        <v/>
      </c>
      <c r="K46" s="55" t="str">
        <f t="shared" si="37"/>
        <v/>
      </c>
      <c r="L46" s="55" t="str">
        <f t="shared" si="37"/>
        <v/>
      </c>
      <c r="M46" s="55" t="str">
        <f t="shared" si="37"/>
        <v/>
      </c>
      <c r="N46" s="55" t="str">
        <f t="shared" si="37"/>
        <v/>
      </c>
      <c r="O46" s="55" t="str">
        <f t="shared" si="37"/>
        <v/>
      </c>
      <c r="P46" s="55" t="str">
        <f t="shared" si="37"/>
        <v/>
      </c>
      <c r="Q46" s="55" t="str">
        <f t="shared" si="37"/>
        <v/>
      </c>
      <c r="R46" s="55" t="str">
        <f t="shared" si="37"/>
        <v/>
      </c>
      <c r="S46" s="55" t="str">
        <f t="shared" si="37"/>
        <v/>
      </c>
      <c r="T46" s="55" t="str">
        <f t="shared" si="37"/>
        <v/>
      </c>
      <c r="U46" s="55" t="str">
        <f t="shared" si="37"/>
        <v/>
      </c>
      <c r="V46" s="55" t="str">
        <f t="shared" si="38"/>
        <v/>
      </c>
      <c r="W46" s="55" t="str">
        <f t="shared" si="38"/>
        <v/>
      </c>
      <c r="X46" s="55" t="str">
        <f t="shared" si="38"/>
        <v/>
      </c>
      <c r="Y46" s="55" t="str">
        <f t="shared" si="38"/>
        <v/>
      </c>
      <c r="Z46" s="55" t="str">
        <f t="shared" si="38"/>
        <v/>
      </c>
      <c r="AA46" s="55" t="str">
        <f t="shared" si="38"/>
        <v/>
      </c>
      <c r="AB46" s="55" t="str">
        <f t="shared" si="38"/>
        <v/>
      </c>
      <c r="AC46" s="55" t="str">
        <f t="shared" si="38"/>
        <v/>
      </c>
      <c r="AD46" s="55" t="str">
        <f t="shared" si="38"/>
        <v/>
      </c>
      <c r="AE46" s="55" t="str">
        <f t="shared" si="38"/>
        <v/>
      </c>
      <c r="AF46" s="55" t="str">
        <f t="shared" si="38"/>
        <v/>
      </c>
      <c r="AG46" s="55" t="str">
        <f t="shared" si="38"/>
        <v/>
      </c>
      <c r="AH46" s="55" t="str">
        <f t="shared" si="38"/>
        <v/>
      </c>
      <c r="AI46" s="55" t="str">
        <f t="shared" si="38"/>
        <v/>
      </c>
      <c r="AJ46" s="55" t="str">
        <f t="shared" si="38"/>
        <v/>
      </c>
      <c r="AK46" s="55" t="str">
        <f t="shared" si="38"/>
        <v/>
      </c>
      <c r="AL46" s="55" t="str">
        <f t="shared" si="39"/>
        <v/>
      </c>
      <c r="AM46" s="55" t="str">
        <f t="shared" si="39"/>
        <v/>
      </c>
      <c r="AN46" s="55" t="str">
        <f t="shared" si="39"/>
        <v/>
      </c>
      <c r="AO46" s="55" t="str">
        <f t="shared" si="39"/>
        <v/>
      </c>
      <c r="AP46" s="55" t="str">
        <f t="shared" si="39"/>
        <v/>
      </c>
      <c r="AQ46" s="55" t="str">
        <f t="shared" si="39"/>
        <v/>
      </c>
      <c r="AR46" s="55" t="str">
        <f t="shared" si="39"/>
        <v/>
      </c>
      <c r="AS46" s="55" t="str">
        <f t="shared" si="39"/>
        <v/>
      </c>
      <c r="AT46" s="55" t="str">
        <f t="shared" si="39"/>
        <v/>
      </c>
      <c r="AU46" s="55" t="str">
        <f t="shared" si="39"/>
        <v/>
      </c>
      <c r="AV46" s="55" t="str">
        <f t="shared" si="39"/>
        <v/>
      </c>
      <c r="AW46" s="55" t="str">
        <f t="shared" si="39"/>
        <v/>
      </c>
      <c r="AX46" s="55" t="str">
        <f t="shared" si="39"/>
        <v/>
      </c>
      <c r="AY46" s="55" t="str">
        <f t="shared" si="39"/>
        <v/>
      </c>
      <c r="AZ46" s="55" t="str">
        <f t="shared" si="39"/>
        <v/>
      </c>
      <c r="BA46" s="55" t="str">
        <f t="shared" si="39"/>
        <v/>
      </c>
      <c r="BB46" s="55" t="str">
        <f t="shared" si="40"/>
        <v/>
      </c>
      <c r="BC46" s="55" t="str">
        <f t="shared" si="40"/>
        <v/>
      </c>
      <c r="BD46" s="55" t="str">
        <f t="shared" si="40"/>
        <v/>
      </c>
      <c r="BE46" s="55" t="str">
        <f t="shared" si="40"/>
        <v/>
      </c>
      <c r="BF46" s="55" t="str">
        <f t="shared" si="40"/>
        <v/>
      </c>
      <c r="BG46" s="55" t="str">
        <f t="shared" si="40"/>
        <v/>
      </c>
      <c r="BH46" s="55" t="str">
        <f t="shared" si="40"/>
        <v/>
      </c>
      <c r="BI46" s="55" t="str">
        <f t="shared" si="40"/>
        <v/>
      </c>
      <c r="BJ46" s="55" t="str">
        <f t="shared" si="40"/>
        <v/>
      </c>
      <c r="BK46" s="55" t="str">
        <f t="shared" si="40"/>
        <v/>
      </c>
      <c r="BL46" s="55" t="str">
        <f t="shared" si="40"/>
        <v/>
      </c>
      <c r="BM46" s="55" t="str">
        <f t="shared" si="40"/>
        <v/>
      </c>
      <c r="BN46" s="55" t="str">
        <f t="shared" si="40"/>
        <v/>
      </c>
      <c r="BO46" s="55" t="str">
        <f t="shared" si="40"/>
        <v/>
      </c>
      <c r="BP46" s="55" t="str">
        <f t="shared" si="40"/>
        <v/>
      </c>
      <c r="BQ46" s="55" t="str">
        <f t="shared" si="40"/>
        <v/>
      </c>
      <c r="BR46" s="55" t="str">
        <f t="shared" si="41"/>
        <v/>
      </c>
      <c r="BS46" s="55" t="str">
        <f t="shared" si="41"/>
        <v/>
      </c>
      <c r="BT46" s="55" t="str">
        <f t="shared" si="41"/>
        <v/>
      </c>
      <c r="BU46" s="55" t="str">
        <f t="shared" si="41"/>
        <v/>
      </c>
      <c r="BV46" s="55" t="str">
        <f t="shared" si="41"/>
        <v/>
      </c>
      <c r="BW46" s="55" t="str">
        <f t="shared" si="41"/>
        <v/>
      </c>
      <c r="BX46" s="55" t="str">
        <f t="shared" si="41"/>
        <v/>
      </c>
      <c r="BY46" s="55" t="str">
        <f t="shared" si="41"/>
        <v/>
      </c>
      <c r="BZ46" s="55" t="str">
        <f t="shared" si="41"/>
        <v/>
      </c>
      <c r="CA46" s="55" t="str">
        <f t="shared" si="41"/>
        <v/>
      </c>
      <c r="CB46" s="55" t="str">
        <f t="shared" si="41"/>
        <v/>
      </c>
      <c r="CC46" s="55" t="str">
        <f t="shared" si="41"/>
        <v/>
      </c>
      <c r="CD46" s="55" t="str">
        <f t="shared" si="41"/>
        <v/>
      </c>
      <c r="CE46" s="55" t="str">
        <f t="shared" si="41"/>
        <v/>
      </c>
      <c r="CF46" s="55" t="str">
        <f t="shared" si="41"/>
        <v/>
      </c>
      <c r="CG46" s="55" t="str">
        <f t="shared" si="41"/>
        <v/>
      </c>
      <c r="CH46" s="55" t="str">
        <f t="shared" si="42"/>
        <v/>
      </c>
      <c r="CI46" s="55" t="str">
        <f t="shared" si="42"/>
        <v/>
      </c>
      <c r="CJ46" s="55" t="str">
        <f t="shared" si="42"/>
        <v/>
      </c>
      <c r="CK46" s="55" t="str">
        <f t="shared" si="42"/>
        <v/>
      </c>
      <c r="CL46" s="55" t="str">
        <f t="shared" si="42"/>
        <v/>
      </c>
      <c r="CM46" s="55" t="str">
        <f t="shared" si="42"/>
        <v/>
      </c>
      <c r="CN46" s="55" t="str">
        <f t="shared" si="42"/>
        <v/>
      </c>
      <c r="CO46" s="55" t="str">
        <f t="shared" si="42"/>
        <v/>
      </c>
      <c r="CP46" s="55" t="str">
        <f t="shared" si="42"/>
        <v/>
      </c>
      <c r="CQ46" s="55" t="str">
        <f t="shared" si="42"/>
        <v/>
      </c>
      <c r="CR46" s="55" t="str">
        <f t="shared" si="42"/>
        <v/>
      </c>
      <c r="CS46" s="55" t="str">
        <f t="shared" si="42"/>
        <v/>
      </c>
      <c r="CT46" s="55" t="str">
        <f t="shared" si="42"/>
        <v/>
      </c>
      <c r="CU46" s="55" t="str">
        <f t="shared" si="42"/>
        <v/>
      </c>
      <c r="CV46" s="55" t="str">
        <f t="shared" si="42"/>
        <v/>
      </c>
      <c r="CW46" s="55" t="str">
        <f t="shared" si="42"/>
        <v/>
      </c>
      <c r="CX46" s="55" t="str">
        <f t="shared" si="43"/>
        <v/>
      </c>
      <c r="CY46" s="55" t="str">
        <f t="shared" si="43"/>
        <v/>
      </c>
      <c r="CZ46" s="55" t="str">
        <f t="shared" si="43"/>
        <v/>
      </c>
      <c r="DA46" s="55" t="str">
        <f t="shared" si="43"/>
        <v/>
      </c>
      <c r="DB46" s="55" t="str">
        <f t="shared" si="43"/>
        <v/>
      </c>
      <c r="DC46" s="55" t="str">
        <f t="shared" si="43"/>
        <v/>
      </c>
      <c r="DD46" s="55" t="str">
        <f t="shared" si="43"/>
        <v/>
      </c>
      <c r="DE46" s="58" t="str">
        <f t="shared" si="43"/>
        <v/>
      </c>
    </row>
    <row r="47" spans="2:109" x14ac:dyDescent="0.2">
      <c r="B47" s="84"/>
      <c r="C47" s="79"/>
      <c r="D47" s="106" t="str">
        <f t="shared" si="36"/>
        <v/>
      </c>
      <c r="E47" s="57" t="str">
        <f t="shared" si="44"/>
        <v/>
      </c>
      <c r="F47" s="55" t="str">
        <f t="shared" si="37"/>
        <v/>
      </c>
      <c r="G47" s="55" t="str">
        <f t="shared" si="37"/>
        <v/>
      </c>
      <c r="H47" s="55" t="str">
        <f t="shared" si="37"/>
        <v/>
      </c>
      <c r="I47" s="55" t="str">
        <f t="shared" si="37"/>
        <v/>
      </c>
      <c r="J47" s="55" t="str">
        <f t="shared" si="37"/>
        <v/>
      </c>
      <c r="K47" s="55" t="str">
        <f t="shared" si="37"/>
        <v/>
      </c>
      <c r="L47" s="55" t="str">
        <f t="shared" si="37"/>
        <v/>
      </c>
      <c r="M47" s="55" t="str">
        <f t="shared" si="37"/>
        <v/>
      </c>
      <c r="N47" s="55" t="str">
        <f t="shared" si="37"/>
        <v/>
      </c>
      <c r="O47" s="55" t="str">
        <f t="shared" si="37"/>
        <v/>
      </c>
      <c r="P47" s="55" t="str">
        <f t="shared" si="37"/>
        <v/>
      </c>
      <c r="Q47" s="55" t="str">
        <f t="shared" si="37"/>
        <v/>
      </c>
      <c r="R47" s="55" t="str">
        <f t="shared" si="37"/>
        <v/>
      </c>
      <c r="S47" s="55" t="str">
        <f t="shared" si="37"/>
        <v/>
      </c>
      <c r="T47" s="55" t="str">
        <f t="shared" si="37"/>
        <v/>
      </c>
      <c r="U47" s="55" t="str">
        <f t="shared" si="37"/>
        <v/>
      </c>
      <c r="V47" s="55" t="str">
        <f t="shared" si="38"/>
        <v/>
      </c>
      <c r="W47" s="55" t="str">
        <f t="shared" si="38"/>
        <v/>
      </c>
      <c r="X47" s="55" t="str">
        <f t="shared" si="38"/>
        <v/>
      </c>
      <c r="Y47" s="55" t="str">
        <f t="shared" si="38"/>
        <v/>
      </c>
      <c r="Z47" s="55" t="str">
        <f t="shared" si="38"/>
        <v/>
      </c>
      <c r="AA47" s="55" t="str">
        <f t="shared" si="38"/>
        <v/>
      </c>
      <c r="AB47" s="55" t="str">
        <f t="shared" si="38"/>
        <v/>
      </c>
      <c r="AC47" s="55" t="str">
        <f t="shared" si="38"/>
        <v/>
      </c>
      <c r="AD47" s="55" t="str">
        <f t="shared" si="38"/>
        <v/>
      </c>
      <c r="AE47" s="55" t="str">
        <f t="shared" si="38"/>
        <v/>
      </c>
      <c r="AF47" s="55" t="str">
        <f t="shared" si="38"/>
        <v/>
      </c>
      <c r="AG47" s="55" t="str">
        <f t="shared" si="38"/>
        <v/>
      </c>
      <c r="AH47" s="55" t="str">
        <f t="shared" si="38"/>
        <v/>
      </c>
      <c r="AI47" s="55" t="str">
        <f t="shared" si="38"/>
        <v/>
      </c>
      <c r="AJ47" s="55" t="str">
        <f t="shared" si="38"/>
        <v/>
      </c>
      <c r="AK47" s="55" t="str">
        <f t="shared" si="38"/>
        <v/>
      </c>
      <c r="AL47" s="55" t="str">
        <f t="shared" si="39"/>
        <v/>
      </c>
      <c r="AM47" s="55" t="str">
        <f t="shared" si="39"/>
        <v/>
      </c>
      <c r="AN47" s="55" t="str">
        <f t="shared" si="39"/>
        <v/>
      </c>
      <c r="AO47" s="55" t="str">
        <f t="shared" si="39"/>
        <v/>
      </c>
      <c r="AP47" s="55" t="str">
        <f t="shared" si="39"/>
        <v/>
      </c>
      <c r="AQ47" s="55" t="str">
        <f t="shared" si="39"/>
        <v/>
      </c>
      <c r="AR47" s="55" t="str">
        <f t="shared" si="39"/>
        <v/>
      </c>
      <c r="AS47" s="55" t="str">
        <f t="shared" si="39"/>
        <v/>
      </c>
      <c r="AT47" s="55" t="str">
        <f t="shared" si="39"/>
        <v/>
      </c>
      <c r="AU47" s="55" t="str">
        <f t="shared" si="39"/>
        <v/>
      </c>
      <c r="AV47" s="55" t="str">
        <f t="shared" si="39"/>
        <v/>
      </c>
      <c r="AW47" s="55" t="str">
        <f t="shared" si="39"/>
        <v/>
      </c>
      <c r="AX47" s="55" t="str">
        <f t="shared" si="39"/>
        <v/>
      </c>
      <c r="AY47" s="55" t="str">
        <f t="shared" si="39"/>
        <v/>
      </c>
      <c r="AZ47" s="55" t="str">
        <f t="shared" si="39"/>
        <v/>
      </c>
      <c r="BA47" s="55" t="str">
        <f t="shared" si="39"/>
        <v/>
      </c>
      <c r="BB47" s="55" t="str">
        <f t="shared" si="40"/>
        <v/>
      </c>
      <c r="BC47" s="55" t="str">
        <f t="shared" si="40"/>
        <v/>
      </c>
      <c r="BD47" s="55" t="str">
        <f t="shared" si="40"/>
        <v/>
      </c>
      <c r="BE47" s="55" t="str">
        <f t="shared" si="40"/>
        <v/>
      </c>
      <c r="BF47" s="55" t="str">
        <f t="shared" si="40"/>
        <v/>
      </c>
      <c r="BG47" s="55" t="str">
        <f t="shared" si="40"/>
        <v/>
      </c>
      <c r="BH47" s="55" t="str">
        <f t="shared" si="40"/>
        <v/>
      </c>
      <c r="BI47" s="55" t="str">
        <f t="shared" si="40"/>
        <v/>
      </c>
      <c r="BJ47" s="55" t="str">
        <f t="shared" si="40"/>
        <v/>
      </c>
      <c r="BK47" s="55" t="str">
        <f t="shared" si="40"/>
        <v/>
      </c>
      <c r="BL47" s="55" t="str">
        <f t="shared" si="40"/>
        <v/>
      </c>
      <c r="BM47" s="55" t="str">
        <f t="shared" si="40"/>
        <v/>
      </c>
      <c r="BN47" s="55" t="str">
        <f t="shared" si="40"/>
        <v/>
      </c>
      <c r="BO47" s="55" t="str">
        <f t="shared" si="40"/>
        <v/>
      </c>
      <c r="BP47" s="55" t="str">
        <f t="shared" si="40"/>
        <v/>
      </c>
      <c r="BQ47" s="55" t="str">
        <f t="shared" si="40"/>
        <v/>
      </c>
      <c r="BR47" s="55" t="str">
        <f t="shared" si="41"/>
        <v/>
      </c>
      <c r="BS47" s="55" t="str">
        <f t="shared" si="41"/>
        <v/>
      </c>
      <c r="BT47" s="55" t="str">
        <f t="shared" si="41"/>
        <v/>
      </c>
      <c r="BU47" s="55" t="str">
        <f t="shared" si="41"/>
        <v/>
      </c>
      <c r="BV47" s="55" t="str">
        <f t="shared" si="41"/>
        <v/>
      </c>
      <c r="BW47" s="55" t="str">
        <f t="shared" si="41"/>
        <v/>
      </c>
      <c r="BX47" s="55" t="str">
        <f t="shared" si="41"/>
        <v/>
      </c>
      <c r="BY47" s="55" t="str">
        <f t="shared" si="41"/>
        <v/>
      </c>
      <c r="BZ47" s="55" t="str">
        <f t="shared" si="41"/>
        <v/>
      </c>
      <c r="CA47" s="55" t="str">
        <f t="shared" si="41"/>
        <v/>
      </c>
      <c r="CB47" s="55" t="str">
        <f t="shared" si="41"/>
        <v/>
      </c>
      <c r="CC47" s="55" t="str">
        <f t="shared" si="41"/>
        <v/>
      </c>
      <c r="CD47" s="55" t="str">
        <f t="shared" si="41"/>
        <v/>
      </c>
      <c r="CE47" s="55" t="str">
        <f t="shared" si="41"/>
        <v/>
      </c>
      <c r="CF47" s="55" t="str">
        <f t="shared" si="41"/>
        <v/>
      </c>
      <c r="CG47" s="55" t="str">
        <f t="shared" si="41"/>
        <v/>
      </c>
      <c r="CH47" s="55" t="str">
        <f t="shared" si="42"/>
        <v/>
      </c>
      <c r="CI47" s="55" t="str">
        <f t="shared" si="42"/>
        <v/>
      </c>
      <c r="CJ47" s="55" t="str">
        <f t="shared" si="42"/>
        <v/>
      </c>
      <c r="CK47" s="55" t="str">
        <f t="shared" si="42"/>
        <v/>
      </c>
      <c r="CL47" s="55" t="str">
        <f t="shared" si="42"/>
        <v/>
      </c>
      <c r="CM47" s="55" t="str">
        <f t="shared" si="42"/>
        <v/>
      </c>
      <c r="CN47" s="55" t="str">
        <f t="shared" si="42"/>
        <v/>
      </c>
      <c r="CO47" s="55" t="str">
        <f t="shared" si="42"/>
        <v/>
      </c>
      <c r="CP47" s="55" t="str">
        <f t="shared" si="42"/>
        <v/>
      </c>
      <c r="CQ47" s="55" t="str">
        <f t="shared" si="42"/>
        <v/>
      </c>
      <c r="CR47" s="55" t="str">
        <f t="shared" si="42"/>
        <v/>
      </c>
      <c r="CS47" s="55" t="str">
        <f t="shared" si="42"/>
        <v/>
      </c>
      <c r="CT47" s="55" t="str">
        <f t="shared" si="42"/>
        <v/>
      </c>
      <c r="CU47" s="55" t="str">
        <f t="shared" si="42"/>
        <v/>
      </c>
      <c r="CV47" s="55" t="str">
        <f t="shared" si="42"/>
        <v/>
      </c>
      <c r="CW47" s="55" t="str">
        <f t="shared" si="42"/>
        <v/>
      </c>
      <c r="CX47" s="55" t="str">
        <f t="shared" si="43"/>
        <v/>
      </c>
      <c r="CY47" s="55" t="str">
        <f t="shared" si="43"/>
        <v/>
      </c>
      <c r="CZ47" s="55" t="str">
        <f t="shared" si="43"/>
        <v/>
      </c>
      <c r="DA47" s="55" t="str">
        <f t="shared" si="43"/>
        <v/>
      </c>
      <c r="DB47" s="55" t="str">
        <f t="shared" si="43"/>
        <v/>
      </c>
      <c r="DC47" s="55" t="str">
        <f t="shared" si="43"/>
        <v/>
      </c>
      <c r="DD47" s="55" t="str">
        <f t="shared" si="43"/>
        <v/>
      </c>
      <c r="DE47" s="58" t="str">
        <f t="shared" si="43"/>
        <v/>
      </c>
    </row>
    <row r="48" spans="2:109" x14ac:dyDescent="0.2">
      <c r="B48" s="84"/>
      <c r="C48" s="79"/>
      <c r="D48" s="106" t="str">
        <f t="shared" si="36"/>
        <v/>
      </c>
      <c r="E48" s="57" t="str">
        <f t="shared" si="44"/>
        <v/>
      </c>
      <c r="F48" s="55" t="str">
        <f t="shared" si="37"/>
        <v/>
      </c>
      <c r="G48" s="55" t="str">
        <f t="shared" si="37"/>
        <v/>
      </c>
      <c r="H48" s="55" t="str">
        <f t="shared" si="37"/>
        <v/>
      </c>
      <c r="I48" s="55" t="str">
        <f t="shared" si="37"/>
        <v/>
      </c>
      <c r="J48" s="55" t="str">
        <f t="shared" si="37"/>
        <v/>
      </c>
      <c r="K48" s="55" t="str">
        <f t="shared" si="37"/>
        <v/>
      </c>
      <c r="L48" s="55" t="str">
        <f t="shared" si="37"/>
        <v/>
      </c>
      <c r="M48" s="55" t="str">
        <f t="shared" si="37"/>
        <v/>
      </c>
      <c r="N48" s="55" t="str">
        <f t="shared" si="37"/>
        <v/>
      </c>
      <c r="O48" s="55" t="str">
        <f t="shared" si="37"/>
        <v/>
      </c>
      <c r="P48" s="55" t="str">
        <f t="shared" si="37"/>
        <v/>
      </c>
      <c r="Q48" s="55" t="str">
        <f t="shared" si="37"/>
        <v/>
      </c>
      <c r="R48" s="55" t="str">
        <f t="shared" si="37"/>
        <v/>
      </c>
      <c r="S48" s="55" t="str">
        <f t="shared" si="37"/>
        <v/>
      </c>
      <c r="T48" s="55" t="str">
        <f t="shared" si="37"/>
        <v/>
      </c>
      <c r="U48" s="55" t="str">
        <f t="shared" si="37"/>
        <v/>
      </c>
      <c r="V48" s="55" t="str">
        <f t="shared" si="38"/>
        <v/>
      </c>
      <c r="W48" s="55" t="str">
        <f t="shared" si="38"/>
        <v/>
      </c>
      <c r="X48" s="55" t="str">
        <f t="shared" si="38"/>
        <v/>
      </c>
      <c r="Y48" s="55" t="str">
        <f t="shared" si="38"/>
        <v/>
      </c>
      <c r="Z48" s="55" t="str">
        <f t="shared" si="38"/>
        <v/>
      </c>
      <c r="AA48" s="55" t="str">
        <f t="shared" si="38"/>
        <v/>
      </c>
      <c r="AB48" s="55" t="str">
        <f t="shared" si="38"/>
        <v/>
      </c>
      <c r="AC48" s="55" t="str">
        <f t="shared" si="38"/>
        <v/>
      </c>
      <c r="AD48" s="55" t="str">
        <f t="shared" si="38"/>
        <v/>
      </c>
      <c r="AE48" s="55" t="str">
        <f t="shared" si="38"/>
        <v/>
      </c>
      <c r="AF48" s="55" t="str">
        <f t="shared" si="38"/>
        <v/>
      </c>
      <c r="AG48" s="55" t="str">
        <f t="shared" si="38"/>
        <v/>
      </c>
      <c r="AH48" s="55" t="str">
        <f t="shared" si="38"/>
        <v/>
      </c>
      <c r="AI48" s="55" t="str">
        <f t="shared" si="38"/>
        <v/>
      </c>
      <c r="AJ48" s="55" t="str">
        <f t="shared" si="38"/>
        <v/>
      </c>
      <c r="AK48" s="55" t="str">
        <f t="shared" si="38"/>
        <v/>
      </c>
      <c r="AL48" s="55" t="str">
        <f t="shared" si="39"/>
        <v/>
      </c>
      <c r="AM48" s="55" t="str">
        <f t="shared" si="39"/>
        <v/>
      </c>
      <c r="AN48" s="55" t="str">
        <f t="shared" si="39"/>
        <v/>
      </c>
      <c r="AO48" s="55" t="str">
        <f t="shared" si="39"/>
        <v/>
      </c>
      <c r="AP48" s="55" t="str">
        <f t="shared" si="39"/>
        <v/>
      </c>
      <c r="AQ48" s="55" t="str">
        <f t="shared" si="39"/>
        <v/>
      </c>
      <c r="AR48" s="55" t="str">
        <f t="shared" si="39"/>
        <v/>
      </c>
      <c r="AS48" s="55" t="str">
        <f t="shared" si="39"/>
        <v/>
      </c>
      <c r="AT48" s="55" t="str">
        <f t="shared" si="39"/>
        <v/>
      </c>
      <c r="AU48" s="55" t="str">
        <f t="shared" si="39"/>
        <v/>
      </c>
      <c r="AV48" s="55" t="str">
        <f t="shared" si="39"/>
        <v/>
      </c>
      <c r="AW48" s="55" t="str">
        <f t="shared" si="39"/>
        <v/>
      </c>
      <c r="AX48" s="55" t="str">
        <f t="shared" si="39"/>
        <v/>
      </c>
      <c r="AY48" s="55" t="str">
        <f t="shared" si="39"/>
        <v/>
      </c>
      <c r="AZ48" s="55" t="str">
        <f t="shared" si="39"/>
        <v/>
      </c>
      <c r="BA48" s="55" t="str">
        <f t="shared" si="39"/>
        <v/>
      </c>
      <c r="BB48" s="55" t="str">
        <f t="shared" si="40"/>
        <v/>
      </c>
      <c r="BC48" s="55" t="str">
        <f t="shared" si="40"/>
        <v/>
      </c>
      <c r="BD48" s="55" t="str">
        <f t="shared" si="40"/>
        <v/>
      </c>
      <c r="BE48" s="55" t="str">
        <f t="shared" si="40"/>
        <v/>
      </c>
      <c r="BF48" s="55" t="str">
        <f t="shared" si="40"/>
        <v/>
      </c>
      <c r="BG48" s="55" t="str">
        <f t="shared" si="40"/>
        <v/>
      </c>
      <c r="BH48" s="55" t="str">
        <f t="shared" si="40"/>
        <v/>
      </c>
      <c r="BI48" s="55" t="str">
        <f t="shared" si="40"/>
        <v/>
      </c>
      <c r="BJ48" s="55" t="str">
        <f t="shared" si="40"/>
        <v/>
      </c>
      <c r="BK48" s="55" t="str">
        <f t="shared" si="40"/>
        <v/>
      </c>
      <c r="BL48" s="55" t="str">
        <f t="shared" si="40"/>
        <v/>
      </c>
      <c r="BM48" s="55" t="str">
        <f t="shared" si="40"/>
        <v/>
      </c>
      <c r="BN48" s="55" t="str">
        <f t="shared" si="40"/>
        <v/>
      </c>
      <c r="BO48" s="55" t="str">
        <f t="shared" si="40"/>
        <v/>
      </c>
      <c r="BP48" s="55" t="str">
        <f t="shared" si="40"/>
        <v/>
      </c>
      <c r="BQ48" s="55" t="str">
        <f t="shared" si="40"/>
        <v/>
      </c>
      <c r="BR48" s="55" t="str">
        <f t="shared" si="41"/>
        <v/>
      </c>
      <c r="BS48" s="55" t="str">
        <f t="shared" si="41"/>
        <v/>
      </c>
      <c r="BT48" s="55" t="str">
        <f t="shared" si="41"/>
        <v/>
      </c>
      <c r="BU48" s="55" t="str">
        <f t="shared" si="41"/>
        <v/>
      </c>
      <c r="BV48" s="55" t="str">
        <f t="shared" si="41"/>
        <v/>
      </c>
      <c r="BW48" s="55" t="str">
        <f t="shared" si="41"/>
        <v/>
      </c>
      <c r="BX48" s="55" t="str">
        <f t="shared" si="41"/>
        <v/>
      </c>
      <c r="BY48" s="55" t="str">
        <f t="shared" si="41"/>
        <v/>
      </c>
      <c r="BZ48" s="55" t="str">
        <f t="shared" si="41"/>
        <v/>
      </c>
      <c r="CA48" s="55" t="str">
        <f t="shared" si="41"/>
        <v/>
      </c>
      <c r="CB48" s="55" t="str">
        <f t="shared" si="41"/>
        <v/>
      </c>
      <c r="CC48" s="55" t="str">
        <f t="shared" si="41"/>
        <v/>
      </c>
      <c r="CD48" s="55" t="str">
        <f t="shared" si="41"/>
        <v/>
      </c>
      <c r="CE48" s="55" t="str">
        <f t="shared" si="41"/>
        <v/>
      </c>
      <c r="CF48" s="55" t="str">
        <f t="shared" si="41"/>
        <v/>
      </c>
      <c r="CG48" s="55" t="str">
        <f t="shared" si="41"/>
        <v/>
      </c>
      <c r="CH48" s="55" t="str">
        <f t="shared" si="42"/>
        <v/>
      </c>
      <c r="CI48" s="55" t="str">
        <f t="shared" si="42"/>
        <v/>
      </c>
      <c r="CJ48" s="55" t="str">
        <f t="shared" si="42"/>
        <v/>
      </c>
      <c r="CK48" s="55" t="str">
        <f t="shared" si="42"/>
        <v/>
      </c>
      <c r="CL48" s="55" t="str">
        <f t="shared" si="42"/>
        <v/>
      </c>
      <c r="CM48" s="55" t="str">
        <f t="shared" si="42"/>
        <v/>
      </c>
      <c r="CN48" s="55" t="str">
        <f t="shared" si="42"/>
        <v/>
      </c>
      <c r="CO48" s="55" t="str">
        <f t="shared" si="42"/>
        <v/>
      </c>
      <c r="CP48" s="55" t="str">
        <f t="shared" si="42"/>
        <v/>
      </c>
      <c r="CQ48" s="55" t="str">
        <f t="shared" si="42"/>
        <v/>
      </c>
      <c r="CR48" s="55" t="str">
        <f t="shared" si="42"/>
        <v/>
      </c>
      <c r="CS48" s="55" t="str">
        <f t="shared" si="42"/>
        <v/>
      </c>
      <c r="CT48" s="55" t="str">
        <f t="shared" si="42"/>
        <v/>
      </c>
      <c r="CU48" s="55" t="str">
        <f t="shared" si="42"/>
        <v/>
      </c>
      <c r="CV48" s="55" t="str">
        <f t="shared" si="42"/>
        <v/>
      </c>
      <c r="CW48" s="55" t="str">
        <f t="shared" si="42"/>
        <v/>
      </c>
      <c r="CX48" s="55" t="str">
        <f t="shared" si="43"/>
        <v/>
      </c>
      <c r="CY48" s="55" t="str">
        <f t="shared" si="43"/>
        <v/>
      </c>
      <c r="CZ48" s="55" t="str">
        <f t="shared" si="43"/>
        <v/>
      </c>
      <c r="DA48" s="55" t="str">
        <f t="shared" si="43"/>
        <v/>
      </c>
      <c r="DB48" s="55" t="str">
        <f t="shared" si="43"/>
        <v/>
      </c>
      <c r="DC48" s="55" t="str">
        <f t="shared" si="43"/>
        <v/>
      </c>
      <c r="DD48" s="55" t="str">
        <f t="shared" si="43"/>
        <v/>
      </c>
      <c r="DE48" s="58" t="str">
        <f t="shared" si="43"/>
        <v/>
      </c>
    </row>
    <row r="49" spans="2:109" x14ac:dyDescent="0.2">
      <c r="B49" s="84"/>
      <c r="C49" s="79"/>
      <c r="D49" s="106" t="str">
        <f t="shared" si="36"/>
        <v/>
      </c>
      <c r="E49" s="57" t="str">
        <f t="shared" si="44"/>
        <v/>
      </c>
      <c r="F49" s="55" t="str">
        <f t="shared" si="37"/>
        <v/>
      </c>
      <c r="G49" s="55" t="str">
        <f t="shared" si="37"/>
        <v/>
      </c>
      <c r="H49" s="55" t="str">
        <f t="shared" si="37"/>
        <v/>
      </c>
      <c r="I49" s="55" t="str">
        <f t="shared" si="37"/>
        <v/>
      </c>
      <c r="J49" s="55" t="str">
        <f t="shared" si="37"/>
        <v/>
      </c>
      <c r="K49" s="55" t="str">
        <f t="shared" si="37"/>
        <v/>
      </c>
      <c r="L49" s="55" t="str">
        <f t="shared" si="37"/>
        <v/>
      </c>
      <c r="M49" s="55" t="str">
        <f t="shared" si="37"/>
        <v/>
      </c>
      <c r="N49" s="55" t="str">
        <f t="shared" si="37"/>
        <v/>
      </c>
      <c r="O49" s="55" t="str">
        <f t="shared" si="37"/>
        <v/>
      </c>
      <c r="P49" s="55" t="str">
        <f t="shared" si="37"/>
        <v/>
      </c>
      <c r="Q49" s="55" t="str">
        <f t="shared" si="37"/>
        <v/>
      </c>
      <c r="R49" s="55" t="str">
        <f t="shared" si="37"/>
        <v/>
      </c>
      <c r="S49" s="55" t="str">
        <f t="shared" si="37"/>
        <v/>
      </c>
      <c r="T49" s="55" t="str">
        <f t="shared" si="37"/>
        <v/>
      </c>
      <c r="U49" s="55" t="str">
        <f t="shared" si="37"/>
        <v/>
      </c>
      <c r="V49" s="55" t="str">
        <f t="shared" si="38"/>
        <v/>
      </c>
      <c r="W49" s="55" t="str">
        <f t="shared" si="38"/>
        <v/>
      </c>
      <c r="X49" s="55" t="str">
        <f t="shared" si="38"/>
        <v/>
      </c>
      <c r="Y49" s="55" t="str">
        <f t="shared" si="38"/>
        <v/>
      </c>
      <c r="Z49" s="55" t="str">
        <f t="shared" si="38"/>
        <v/>
      </c>
      <c r="AA49" s="55" t="str">
        <f t="shared" si="38"/>
        <v/>
      </c>
      <c r="AB49" s="55" t="str">
        <f t="shared" si="38"/>
        <v/>
      </c>
      <c r="AC49" s="55" t="str">
        <f t="shared" si="38"/>
        <v/>
      </c>
      <c r="AD49" s="55" t="str">
        <f t="shared" si="38"/>
        <v/>
      </c>
      <c r="AE49" s="55" t="str">
        <f t="shared" si="38"/>
        <v/>
      </c>
      <c r="AF49" s="55" t="str">
        <f t="shared" si="38"/>
        <v/>
      </c>
      <c r="AG49" s="55" t="str">
        <f t="shared" si="38"/>
        <v/>
      </c>
      <c r="AH49" s="55" t="str">
        <f t="shared" si="38"/>
        <v/>
      </c>
      <c r="AI49" s="55" t="str">
        <f t="shared" si="38"/>
        <v/>
      </c>
      <c r="AJ49" s="55" t="str">
        <f t="shared" si="38"/>
        <v/>
      </c>
      <c r="AK49" s="55" t="str">
        <f t="shared" si="38"/>
        <v/>
      </c>
      <c r="AL49" s="55" t="str">
        <f t="shared" si="39"/>
        <v/>
      </c>
      <c r="AM49" s="55" t="str">
        <f t="shared" si="39"/>
        <v/>
      </c>
      <c r="AN49" s="55" t="str">
        <f t="shared" si="39"/>
        <v/>
      </c>
      <c r="AO49" s="55" t="str">
        <f t="shared" si="39"/>
        <v/>
      </c>
      <c r="AP49" s="55" t="str">
        <f t="shared" si="39"/>
        <v/>
      </c>
      <c r="AQ49" s="55" t="str">
        <f t="shared" si="39"/>
        <v/>
      </c>
      <c r="AR49" s="55" t="str">
        <f t="shared" si="39"/>
        <v/>
      </c>
      <c r="AS49" s="55" t="str">
        <f t="shared" si="39"/>
        <v/>
      </c>
      <c r="AT49" s="55" t="str">
        <f t="shared" si="39"/>
        <v/>
      </c>
      <c r="AU49" s="55" t="str">
        <f t="shared" si="39"/>
        <v/>
      </c>
      <c r="AV49" s="55" t="str">
        <f t="shared" si="39"/>
        <v/>
      </c>
      <c r="AW49" s="55" t="str">
        <f t="shared" si="39"/>
        <v/>
      </c>
      <c r="AX49" s="55" t="str">
        <f t="shared" si="39"/>
        <v/>
      </c>
      <c r="AY49" s="55" t="str">
        <f t="shared" si="39"/>
        <v/>
      </c>
      <c r="AZ49" s="55" t="str">
        <f t="shared" si="39"/>
        <v/>
      </c>
      <c r="BA49" s="55" t="str">
        <f t="shared" si="39"/>
        <v/>
      </c>
      <c r="BB49" s="55" t="str">
        <f t="shared" si="40"/>
        <v/>
      </c>
      <c r="BC49" s="55" t="str">
        <f t="shared" si="40"/>
        <v/>
      </c>
      <c r="BD49" s="55" t="str">
        <f t="shared" si="40"/>
        <v/>
      </c>
      <c r="BE49" s="55" t="str">
        <f t="shared" si="40"/>
        <v/>
      </c>
      <c r="BF49" s="55" t="str">
        <f t="shared" si="40"/>
        <v/>
      </c>
      <c r="BG49" s="55" t="str">
        <f t="shared" si="40"/>
        <v/>
      </c>
      <c r="BH49" s="55" t="str">
        <f t="shared" si="40"/>
        <v/>
      </c>
      <c r="BI49" s="55" t="str">
        <f t="shared" si="40"/>
        <v/>
      </c>
      <c r="BJ49" s="55" t="str">
        <f t="shared" si="40"/>
        <v/>
      </c>
      <c r="BK49" s="55" t="str">
        <f t="shared" si="40"/>
        <v/>
      </c>
      <c r="BL49" s="55" t="str">
        <f t="shared" si="40"/>
        <v/>
      </c>
      <c r="BM49" s="55" t="str">
        <f t="shared" si="40"/>
        <v/>
      </c>
      <c r="BN49" s="55" t="str">
        <f t="shared" si="40"/>
        <v/>
      </c>
      <c r="BO49" s="55" t="str">
        <f t="shared" si="40"/>
        <v/>
      </c>
      <c r="BP49" s="55" t="str">
        <f t="shared" si="40"/>
        <v/>
      </c>
      <c r="BQ49" s="55" t="str">
        <f t="shared" si="40"/>
        <v/>
      </c>
      <c r="BR49" s="55" t="str">
        <f t="shared" si="41"/>
        <v/>
      </c>
      <c r="BS49" s="55" t="str">
        <f t="shared" si="41"/>
        <v/>
      </c>
      <c r="BT49" s="55" t="str">
        <f t="shared" si="41"/>
        <v/>
      </c>
      <c r="BU49" s="55" t="str">
        <f t="shared" si="41"/>
        <v/>
      </c>
      <c r="BV49" s="55" t="str">
        <f t="shared" si="41"/>
        <v/>
      </c>
      <c r="BW49" s="55" t="str">
        <f t="shared" si="41"/>
        <v/>
      </c>
      <c r="BX49" s="55" t="str">
        <f t="shared" si="41"/>
        <v/>
      </c>
      <c r="BY49" s="55" t="str">
        <f t="shared" si="41"/>
        <v/>
      </c>
      <c r="BZ49" s="55" t="str">
        <f t="shared" si="41"/>
        <v/>
      </c>
      <c r="CA49" s="55" t="str">
        <f t="shared" si="41"/>
        <v/>
      </c>
      <c r="CB49" s="55" t="str">
        <f t="shared" si="41"/>
        <v/>
      </c>
      <c r="CC49" s="55" t="str">
        <f t="shared" si="41"/>
        <v/>
      </c>
      <c r="CD49" s="55" t="str">
        <f t="shared" si="41"/>
        <v/>
      </c>
      <c r="CE49" s="55" t="str">
        <f t="shared" si="41"/>
        <v/>
      </c>
      <c r="CF49" s="55" t="str">
        <f t="shared" si="41"/>
        <v/>
      </c>
      <c r="CG49" s="55" t="str">
        <f t="shared" si="41"/>
        <v/>
      </c>
      <c r="CH49" s="55" t="str">
        <f t="shared" si="42"/>
        <v/>
      </c>
      <c r="CI49" s="55" t="str">
        <f t="shared" si="42"/>
        <v/>
      </c>
      <c r="CJ49" s="55" t="str">
        <f t="shared" si="42"/>
        <v/>
      </c>
      <c r="CK49" s="55" t="str">
        <f t="shared" si="42"/>
        <v/>
      </c>
      <c r="CL49" s="55" t="str">
        <f t="shared" si="42"/>
        <v/>
      </c>
      <c r="CM49" s="55" t="str">
        <f t="shared" si="42"/>
        <v/>
      </c>
      <c r="CN49" s="55" t="str">
        <f t="shared" si="42"/>
        <v/>
      </c>
      <c r="CO49" s="55" t="str">
        <f t="shared" si="42"/>
        <v/>
      </c>
      <c r="CP49" s="55" t="str">
        <f t="shared" si="42"/>
        <v/>
      </c>
      <c r="CQ49" s="55" t="str">
        <f t="shared" si="42"/>
        <v/>
      </c>
      <c r="CR49" s="55" t="str">
        <f t="shared" si="42"/>
        <v/>
      </c>
      <c r="CS49" s="55" t="str">
        <f t="shared" si="42"/>
        <v/>
      </c>
      <c r="CT49" s="55" t="str">
        <f t="shared" si="42"/>
        <v/>
      </c>
      <c r="CU49" s="55" t="str">
        <f t="shared" si="42"/>
        <v/>
      </c>
      <c r="CV49" s="55" t="str">
        <f t="shared" si="42"/>
        <v/>
      </c>
      <c r="CW49" s="55" t="str">
        <f t="shared" si="42"/>
        <v/>
      </c>
      <c r="CX49" s="55" t="str">
        <f t="shared" si="43"/>
        <v/>
      </c>
      <c r="CY49" s="55" t="str">
        <f t="shared" si="43"/>
        <v/>
      </c>
      <c r="CZ49" s="55" t="str">
        <f t="shared" si="43"/>
        <v/>
      </c>
      <c r="DA49" s="55" t="str">
        <f t="shared" si="43"/>
        <v/>
      </c>
      <c r="DB49" s="55" t="str">
        <f t="shared" si="43"/>
        <v/>
      </c>
      <c r="DC49" s="55" t="str">
        <f t="shared" si="43"/>
        <v/>
      </c>
      <c r="DD49" s="55" t="str">
        <f t="shared" si="43"/>
        <v/>
      </c>
      <c r="DE49" s="58" t="str">
        <f t="shared" si="43"/>
        <v/>
      </c>
    </row>
    <row r="50" spans="2:109" x14ac:dyDescent="0.2">
      <c r="B50" s="84"/>
      <c r="C50" s="79"/>
      <c r="D50" s="106" t="str">
        <f t="shared" si="36"/>
        <v/>
      </c>
      <c r="E50" s="57" t="str">
        <f t="shared" si="44"/>
        <v/>
      </c>
      <c r="F50" s="55" t="str">
        <f t="shared" si="37"/>
        <v/>
      </c>
      <c r="G50" s="55" t="str">
        <f t="shared" si="37"/>
        <v/>
      </c>
      <c r="H50" s="55" t="str">
        <f t="shared" si="37"/>
        <v/>
      </c>
      <c r="I50" s="55" t="str">
        <f t="shared" si="37"/>
        <v/>
      </c>
      <c r="J50" s="55" t="str">
        <f t="shared" si="37"/>
        <v/>
      </c>
      <c r="K50" s="55" t="str">
        <f t="shared" si="37"/>
        <v/>
      </c>
      <c r="L50" s="55" t="str">
        <f t="shared" si="37"/>
        <v/>
      </c>
      <c r="M50" s="55" t="str">
        <f t="shared" si="37"/>
        <v/>
      </c>
      <c r="N50" s="55" t="str">
        <f t="shared" si="37"/>
        <v/>
      </c>
      <c r="O50" s="55" t="str">
        <f t="shared" si="37"/>
        <v/>
      </c>
      <c r="P50" s="55" t="str">
        <f t="shared" si="37"/>
        <v/>
      </c>
      <c r="Q50" s="55" t="str">
        <f t="shared" si="37"/>
        <v/>
      </c>
      <c r="R50" s="55" t="str">
        <f t="shared" si="37"/>
        <v/>
      </c>
      <c r="S50" s="55" t="str">
        <f t="shared" si="37"/>
        <v/>
      </c>
      <c r="T50" s="55" t="str">
        <f t="shared" si="37"/>
        <v/>
      </c>
      <c r="U50" s="55" t="str">
        <f t="shared" si="37"/>
        <v/>
      </c>
      <c r="V50" s="55" t="str">
        <f t="shared" si="38"/>
        <v/>
      </c>
      <c r="W50" s="55" t="str">
        <f t="shared" si="38"/>
        <v/>
      </c>
      <c r="X50" s="55" t="str">
        <f t="shared" si="38"/>
        <v/>
      </c>
      <c r="Y50" s="55" t="str">
        <f t="shared" si="38"/>
        <v/>
      </c>
      <c r="Z50" s="55" t="str">
        <f t="shared" si="38"/>
        <v/>
      </c>
      <c r="AA50" s="55" t="str">
        <f t="shared" si="38"/>
        <v/>
      </c>
      <c r="AB50" s="55" t="str">
        <f t="shared" si="38"/>
        <v/>
      </c>
      <c r="AC50" s="55" t="str">
        <f t="shared" si="38"/>
        <v/>
      </c>
      <c r="AD50" s="55" t="str">
        <f t="shared" si="38"/>
        <v/>
      </c>
      <c r="AE50" s="55" t="str">
        <f t="shared" si="38"/>
        <v/>
      </c>
      <c r="AF50" s="55" t="str">
        <f t="shared" si="38"/>
        <v/>
      </c>
      <c r="AG50" s="55" t="str">
        <f t="shared" si="38"/>
        <v/>
      </c>
      <c r="AH50" s="55" t="str">
        <f t="shared" si="38"/>
        <v/>
      </c>
      <c r="AI50" s="55" t="str">
        <f t="shared" si="38"/>
        <v/>
      </c>
      <c r="AJ50" s="55" t="str">
        <f t="shared" si="38"/>
        <v/>
      </c>
      <c r="AK50" s="55" t="str">
        <f t="shared" si="38"/>
        <v/>
      </c>
      <c r="AL50" s="55" t="str">
        <f t="shared" si="39"/>
        <v/>
      </c>
      <c r="AM50" s="55" t="str">
        <f t="shared" si="39"/>
        <v/>
      </c>
      <c r="AN50" s="55" t="str">
        <f t="shared" si="39"/>
        <v/>
      </c>
      <c r="AO50" s="55" t="str">
        <f t="shared" si="39"/>
        <v/>
      </c>
      <c r="AP50" s="55" t="str">
        <f t="shared" si="39"/>
        <v/>
      </c>
      <c r="AQ50" s="55" t="str">
        <f t="shared" si="39"/>
        <v/>
      </c>
      <c r="AR50" s="55" t="str">
        <f t="shared" si="39"/>
        <v/>
      </c>
      <c r="AS50" s="55" t="str">
        <f t="shared" si="39"/>
        <v/>
      </c>
      <c r="AT50" s="55" t="str">
        <f t="shared" si="39"/>
        <v/>
      </c>
      <c r="AU50" s="55" t="str">
        <f t="shared" si="39"/>
        <v/>
      </c>
      <c r="AV50" s="55" t="str">
        <f t="shared" si="39"/>
        <v/>
      </c>
      <c r="AW50" s="55" t="str">
        <f t="shared" si="39"/>
        <v/>
      </c>
      <c r="AX50" s="55" t="str">
        <f t="shared" si="39"/>
        <v/>
      </c>
      <c r="AY50" s="55" t="str">
        <f t="shared" si="39"/>
        <v/>
      </c>
      <c r="AZ50" s="55" t="str">
        <f t="shared" si="39"/>
        <v/>
      </c>
      <c r="BA50" s="55" t="str">
        <f t="shared" si="39"/>
        <v/>
      </c>
      <c r="BB50" s="55" t="str">
        <f t="shared" si="40"/>
        <v/>
      </c>
      <c r="BC50" s="55" t="str">
        <f t="shared" si="40"/>
        <v/>
      </c>
      <c r="BD50" s="55" t="str">
        <f t="shared" si="40"/>
        <v/>
      </c>
      <c r="BE50" s="55" t="str">
        <f t="shared" si="40"/>
        <v/>
      </c>
      <c r="BF50" s="55" t="str">
        <f t="shared" si="40"/>
        <v/>
      </c>
      <c r="BG50" s="55" t="str">
        <f t="shared" si="40"/>
        <v/>
      </c>
      <c r="BH50" s="55" t="str">
        <f t="shared" si="40"/>
        <v/>
      </c>
      <c r="BI50" s="55" t="str">
        <f t="shared" si="40"/>
        <v/>
      </c>
      <c r="BJ50" s="55" t="str">
        <f t="shared" si="40"/>
        <v/>
      </c>
      <c r="BK50" s="55" t="str">
        <f t="shared" si="40"/>
        <v/>
      </c>
      <c r="BL50" s="55" t="str">
        <f t="shared" si="40"/>
        <v/>
      </c>
      <c r="BM50" s="55" t="str">
        <f t="shared" si="40"/>
        <v/>
      </c>
      <c r="BN50" s="55" t="str">
        <f t="shared" si="40"/>
        <v/>
      </c>
      <c r="BO50" s="55" t="str">
        <f t="shared" si="40"/>
        <v/>
      </c>
      <c r="BP50" s="55" t="str">
        <f t="shared" si="40"/>
        <v/>
      </c>
      <c r="BQ50" s="55" t="str">
        <f t="shared" si="40"/>
        <v/>
      </c>
      <c r="BR50" s="55" t="str">
        <f t="shared" si="41"/>
        <v/>
      </c>
      <c r="BS50" s="55" t="str">
        <f t="shared" si="41"/>
        <v/>
      </c>
      <c r="BT50" s="55" t="str">
        <f t="shared" si="41"/>
        <v/>
      </c>
      <c r="BU50" s="55" t="str">
        <f t="shared" si="41"/>
        <v/>
      </c>
      <c r="BV50" s="55" t="str">
        <f t="shared" si="41"/>
        <v/>
      </c>
      <c r="BW50" s="55" t="str">
        <f t="shared" si="41"/>
        <v/>
      </c>
      <c r="BX50" s="55" t="str">
        <f t="shared" si="41"/>
        <v/>
      </c>
      <c r="BY50" s="55" t="str">
        <f t="shared" si="41"/>
        <v/>
      </c>
      <c r="BZ50" s="55" t="str">
        <f t="shared" si="41"/>
        <v/>
      </c>
      <c r="CA50" s="55" t="str">
        <f t="shared" si="41"/>
        <v/>
      </c>
      <c r="CB50" s="55" t="str">
        <f t="shared" si="41"/>
        <v/>
      </c>
      <c r="CC50" s="55" t="str">
        <f t="shared" si="41"/>
        <v/>
      </c>
      <c r="CD50" s="55" t="str">
        <f t="shared" si="41"/>
        <v/>
      </c>
      <c r="CE50" s="55" t="str">
        <f t="shared" si="41"/>
        <v/>
      </c>
      <c r="CF50" s="55" t="str">
        <f t="shared" si="41"/>
        <v/>
      </c>
      <c r="CG50" s="55" t="str">
        <f t="shared" si="41"/>
        <v/>
      </c>
      <c r="CH50" s="55" t="str">
        <f t="shared" si="42"/>
        <v/>
      </c>
      <c r="CI50" s="55" t="str">
        <f t="shared" si="42"/>
        <v/>
      </c>
      <c r="CJ50" s="55" t="str">
        <f t="shared" si="42"/>
        <v/>
      </c>
      <c r="CK50" s="55" t="str">
        <f t="shared" si="42"/>
        <v/>
      </c>
      <c r="CL50" s="55" t="str">
        <f t="shared" si="42"/>
        <v/>
      </c>
      <c r="CM50" s="55" t="str">
        <f t="shared" si="42"/>
        <v/>
      </c>
      <c r="CN50" s="55" t="str">
        <f t="shared" si="42"/>
        <v/>
      </c>
      <c r="CO50" s="55" t="str">
        <f t="shared" si="42"/>
        <v/>
      </c>
      <c r="CP50" s="55" t="str">
        <f t="shared" si="42"/>
        <v/>
      </c>
      <c r="CQ50" s="55" t="str">
        <f t="shared" si="42"/>
        <v/>
      </c>
      <c r="CR50" s="55" t="str">
        <f t="shared" si="42"/>
        <v/>
      </c>
      <c r="CS50" s="55" t="str">
        <f t="shared" si="42"/>
        <v/>
      </c>
      <c r="CT50" s="55" t="str">
        <f t="shared" si="42"/>
        <v/>
      </c>
      <c r="CU50" s="55" t="str">
        <f t="shared" si="42"/>
        <v/>
      </c>
      <c r="CV50" s="55" t="str">
        <f t="shared" si="42"/>
        <v/>
      </c>
      <c r="CW50" s="55" t="str">
        <f t="shared" si="42"/>
        <v/>
      </c>
      <c r="CX50" s="55" t="str">
        <f t="shared" si="43"/>
        <v/>
      </c>
      <c r="CY50" s="55" t="str">
        <f t="shared" si="43"/>
        <v/>
      </c>
      <c r="CZ50" s="55" t="str">
        <f t="shared" si="43"/>
        <v/>
      </c>
      <c r="DA50" s="55" t="str">
        <f t="shared" si="43"/>
        <v/>
      </c>
      <c r="DB50" s="55" t="str">
        <f t="shared" si="43"/>
        <v/>
      </c>
      <c r="DC50" s="55" t="str">
        <f t="shared" si="43"/>
        <v/>
      </c>
      <c r="DD50" s="55" t="str">
        <f t="shared" si="43"/>
        <v/>
      </c>
      <c r="DE50" s="58" t="str">
        <f t="shared" si="43"/>
        <v/>
      </c>
    </row>
    <row r="51" spans="2:109" x14ac:dyDescent="0.2">
      <c r="B51" s="84"/>
      <c r="C51" s="79"/>
      <c r="D51" s="106" t="str">
        <f t="shared" si="36"/>
        <v/>
      </c>
      <c r="E51" s="57" t="str">
        <f t="shared" si="44"/>
        <v/>
      </c>
      <c r="F51" s="55" t="str">
        <f t="shared" si="37"/>
        <v/>
      </c>
      <c r="G51" s="55" t="str">
        <f t="shared" si="37"/>
        <v/>
      </c>
      <c r="H51" s="55" t="str">
        <f t="shared" si="37"/>
        <v/>
      </c>
      <c r="I51" s="55" t="str">
        <f t="shared" si="37"/>
        <v/>
      </c>
      <c r="J51" s="55" t="str">
        <f t="shared" si="37"/>
        <v/>
      </c>
      <c r="K51" s="55" t="str">
        <f t="shared" si="37"/>
        <v/>
      </c>
      <c r="L51" s="55" t="str">
        <f t="shared" si="37"/>
        <v/>
      </c>
      <c r="M51" s="55" t="str">
        <f t="shared" si="37"/>
        <v/>
      </c>
      <c r="N51" s="55" t="str">
        <f t="shared" si="37"/>
        <v/>
      </c>
      <c r="O51" s="55" t="str">
        <f t="shared" si="37"/>
        <v/>
      </c>
      <c r="P51" s="55" t="str">
        <f t="shared" si="37"/>
        <v/>
      </c>
      <c r="Q51" s="55" t="str">
        <f t="shared" si="37"/>
        <v/>
      </c>
      <c r="R51" s="55" t="str">
        <f t="shared" si="37"/>
        <v/>
      </c>
      <c r="S51" s="55" t="str">
        <f t="shared" si="37"/>
        <v/>
      </c>
      <c r="T51" s="55" t="str">
        <f t="shared" si="37"/>
        <v/>
      </c>
      <c r="U51" s="55" t="str">
        <f t="shared" si="37"/>
        <v/>
      </c>
      <c r="V51" s="55" t="str">
        <f t="shared" si="38"/>
        <v/>
      </c>
      <c r="W51" s="55" t="str">
        <f t="shared" si="38"/>
        <v/>
      </c>
      <c r="X51" s="55" t="str">
        <f t="shared" si="38"/>
        <v/>
      </c>
      <c r="Y51" s="55" t="str">
        <f t="shared" si="38"/>
        <v/>
      </c>
      <c r="Z51" s="55" t="str">
        <f t="shared" si="38"/>
        <v/>
      </c>
      <c r="AA51" s="55" t="str">
        <f t="shared" si="38"/>
        <v/>
      </c>
      <c r="AB51" s="55" t="str">
        <f t="shared" si="38"/>
        <v/>
      </c>
      <c r="AC51" s="55" t="str">
        <f t="shared" si="38"/>
        <v/>
      </c>
      <c r="AD51" s="55" t="str">
        <f t="shared" si="38"/>
        <v/>
      </c>
      <c r="AE51" s="55" t="str">
        <f t="shared" si="38"/>
        <v/>
      </c>
      <c r="AF51" s="55" t="str">
        <f t="shared" si="38"/>
        <v/>
      </c>
      <c r="AG51" s="55" t="str">
        <f t="shared" si="38"/>
        <v/>
      </c>
      <c r="AH51" s="55" t="str">
        <f t="shared" si="38"/>
        <v/>
      </c>
      <c r="AI51" s="55" t="str">
        <f t="shared" si="38"/>
        <v/>
      </c>
      <c r="AJ51" s="55" t="str">
        <f t="shared" si="38"/>
        <v/>
      </c>
      <c r="AK51" s="55" t="str">
        <f t="shared" si="38"/>
        <v/>
      </c>
      <c r="AL51" s="55" t="str">
        <f t="shared" si="39"/>
        <v/>
      </c>
      <c r="AM51" s="55" t="str">
        <f t="shared" si="39"/>
        <v/>
      </c>
      <c r="AN51" s="55" t="str">
        <f t="shared" si="39"/>
        <v/>
      </c>
      <c r="AO51" s="55" t="str">
        <f t="shared" si="39"/>
        <v/>
      </c>
      <c r="AP51" s="55" t="str">
        <f t="shared" si="39"/>
        <v/>
      </c>
      <c r="AQ51" s="55" t="str">
        <f t="shared" si="39"/>
        <v/>
      </c>
      <c r="AR51" s="55" t="str">
        <f t="shared" si="39"/>
        <v/>
      </c>
      <c r="AS51" s="55" t="str">
        <f t="shared" si="39"/>
        <v/>
      </c>
      <c r="AT51" s="55" t="str">
        <f t="shared" si="39"/>
        <v/>
      </c>
      <c r="AU51" s="55" t="str">
        <f t="shared" si="39"/>
        <v/>
      </c>
      <c r="AV51" s="55" t="str">
        <f t="shared" si="39"/>
        <v/>
      </c>
      <c r="AW51" s="55" t="str">
        <f t="shared" si="39"/>
        <v/>
      </c>
      <c r="AX51" s="55" t="str">
        <f t="shared" si="39"/>
        <v/>
      </c>
      <c r="AY51" s="55" t="str">
        <f t="shared" si="39"/>
        <v/>
      </c>
      <c r="AZ51" s="55" t="str">
        <f t="shared" si="39"/>
        <v/>
      </c>
      <c r="BA51" s="55" t="str">
        <f t="shared" si="39"/>
        <v/>
      </c>
      <c r="BB51" s="55" t="str">
        <f t="shared" si="40"/>
        <v/>
      </c>
      <c r="BC51" s="55" t="str">
        <f t="shared" si="40"/>
        <v/>
      </c>
      <c r="BD51" s="55" t="str">
        <f t="shared" si="40"/>
        <v/>
      </c>
      <c r="BE51" s="55" t="str">
        <f t="shared" si="40"/>
        <v/>
      </c>
      <c r="BF51" s="55" t="str">
        <f t="shared" si="40"/>
        <v/>
      </c>
      <c r="BG51" s="55" t="str">
        <f t="shared" si="40"/>
        <v/>
      </c>
      <c r="BH51" s="55" t="str">
        <f t="shared" si="40"/>
        <v/>
      </c>
      <c r="BI51" s="55" t="str">
        <f t="shared" si="40"/>
        <v/>
      </c>
      <c r="BJ51" s="55" t="str">
        <f t="shared" si="40"/>
        <v/>
      </c>
      <c r="BK51" s="55" t="str">
        <f t="shared" si="40"/>
        <v/>
      </c>
      <c r="BL51" s="55" t="str">
        <f t="shared" si="40"/>
        <v/>
      </c>
      <c r="BM51" s="55" t="str">
        <f t="shared" si="40"/>
        <v/>
      </c>
      <c r="BN51" s="55" t="str">
        <f t="shared" si="40"/>
        <v/>
      </c>
      <c r="BO51" s="55" t="str">
        <f t="shared" si="40"/>
        <v/>
      </c>
      <c r="BP51" s="55" t="str">
        <f t="shared" si="40"/>
        <v/>
      </c>
      <c r="BQ51" s="55" t="str">
        <f t="shared" si="40"/>
        <v/>
      </c>
      <c r="BR51" s="55" t="str">
        <f t="shared" si="41"/>
        <v/>
      </c>
      <c r="BS51" s="55" t="str">
        <f t="shared" si="41"/>
        <v/>
      </c>
      <c r="BT51" s="55" t="str">
        <f t="shared" si="41"/>
        <v/>
      </c>
      <c r="BU51" s="55" t="str">
        <f t="shared" si="41"/>
        <v/>
      </c>
      <c r="BV51" s="55" t="str">
        <f t="shared" si="41"/>
        <v/>
      </c>
      <c r="BW51" s="55" t="str">
        <f t="shared" si="41"/>
        <v/>
      </c>
      <c r="BX51" s="55" t="str">
        <f t="shared" si="41"/>
        <v/>
      </c>
      <c r="BY51" s="55" t="str">
        <f t="shared" si="41"/>
        <v/>
      </c>
      <c r="BZ51" s="55" t="str">
        <f t="shared" si="41"/>
        <v/>
      </c>
      <c r="CA51" s="55" t="str">
        <f t="shared" si="41"/>
        <v/>
      </c>
      <c r="CB51" s="55" t="str">
        <f t="shared" si="41"/>
        <v/>
      </c>
      <c r="CC51" s="55" t="str">
        <f t="shared" si="41"/>
        <v/>
      </c>
      <c r="CD51" s="55" t="str">
        <f t="shared" si="41"/>
        <v/>
      </c>
      <c r="CE51" s="55" t="str">
        <f t="shared" si="41"/>
        <v/>
      </c>
      <c r="CF51" s="55" t="str">
        <f t="shared" si="41"/>
        <v/>
      </c>
      <c r="CG51" s="55" t="str">
        <f t="shared" si="41"/>
        <v/>
      </c>
      <c r="CH51" s="55" t="str">
        <f t="shared" si="42"/>
        <v/>
      </c>
      <c r="CI51" s="55" t="str">
        <f t="shared" si="42"/>
        <v/>
      </c>
      <c r="CJ51" s="55" t="str">
        <f t="shared" si="42"/>
        <v/>
      </c>
      <c r="CK51" s="55" t="str">
        <f t="shared" si="42"/>
        <v/>
      </c>
      <c r="CL51" s="55" t="str">
        <f t="shared" si="42"/>
        <v/>
      </c>
      <c r="CM51" s="55" t="str">
        <f t="shared" si="42"/>
        <v/>
      </c>
      <c r="CN51" s="55" t="str">
        <f t="shared" si="42"/>
        <v/>
      </c>
      <c r="CO51" s="55" t="str">
        <f t="shared" si="42"/>
        <v/>
      </c>
      <c r="CP51" s="55" t="str">
        <f t="shared" si="42"/>
        <v/>
      </c>
      <c r="CQ51" s="55" t="str">
        <f t="shared" si="42"/>
        <v/>
      </c>
      <c r="CR51" s="55" t="str">
        <f t="shared" si="42"/>
        <v/>
      </c>
      <c r="CS51" s="55" t="str">
        <f t="shared" si="42"/>
        <v/>
      </c>
      <c r="CT51" s="55" t="str">
        <f t="shared" si="42"/>
        <v/>
      </c>
      <c r="CU51" s="55" t="str">
        <f t="shared" si="42"/>
        <v/>
      </c>
      <c r="CV51" s="55" t="str">
        <f t="shared" si="42"/>
        <v/>
      </c>
      <c r="CW51" s="55" t="str">
        <f t="shared" si="42"/>
        <v/>
      </c>
      <c r="CX51" s="55" t="str">
        <f t="shared" si="43"/>
        <v/>
      </c>
      <c r="CY51" s="55" t="str">
        <f t="shared" si="43"/>
        <v/>
      </c>
      <c r="CZ51" s="55" t="str">
        <f t="shared" si="43"/>
        <v/>
      </c>
      <c r="DA51" s="55" t="str">
        <f t="shared" si="43"/>
        <v/>
      </c>
      <c r="DB51" s="55" t="str">
        <f t="shared" si="43"/>
        <v/>
      </c>
      <c r="DC51" s="55" t="str">
        <f t="shared" si="43"/>
        <v/>
      </c>
      <c r="DD51" s="55" t="str">
        <f t="shared" si="43"/>
        <v/>
      </c>
      <c r="DE51" s="58" t="str">
        <f t="shared" si="43"/>
        <v/>
      </c>
    </row>
    <row r="52" spans="2:109" x14ac:dyDescent="0.2">
      <c r="B52" s="84"/>
      <c r="C52" s="79"/>
      <c r="D52" s="106" t="str">
        <f t="shared" si="36"/>
        <v/>
      </c>
      <c r="E52" s="57" t="str">
        <f t="shared" si="44"/>
        <v/>
      </c>
      <c r="F52" s="55" t="str">
        <f t="shared" si="37"/>
        <v/>
      </c>
      <c r="G52" s="55" t="str">
        <f t="shared" si="37"/>
        <v/>
      </c>
      <c r="H52" s="55" t="str">
        <f t="shared" si="37"/>
        <v/>
      </c>
      <c r="I52" s="55" t="str">
        <f t="shared" si="37"/>
        <v/>
      </c>
      <c r="J52" s="55" t="str">
        <f t="shared" si="37"/>
        <v/>
      </c>
      <c r="K52" s="55" t="str">
        <f t="shared" si="37"/>
        <v/>
      </c>
      <c r="L52" s="55" t="str">
        <f t="shared" si="37"/>
        <v/>
      </c>
      <c r="M52" s="55" t="str">
        <f t="shared" si="37"/>
        <v/>
      </c>
      <c r="N52" s="55" t="str">
        <f t="shared" si="37"/>
        <v/>
      </c>
      <c r="O52" s="55" t="str">
        <f t="shared" si="37"/>
        <v/>
      </c>
      <c r="P52" s="55" t="str">
        <f t="shared" si="37"/>
        <v/>
      </c>
      <c r="Q52" s="55" t="str">
        <f t="shared" si="37"/>
        <v/>
      </c>
      <c r="R52" s="55" t="str">
        <f t="shared" si="37"/>
        <v/>
      </c>
      <c r="S52" s="55" t="str">
        <f t="shared" si="37"/>
        <v/>
      </c>
      <c r="T52" s="55" t="str">
        <f t="shared" si="37"/>
        <v/>
      </c>
      <c r="U52" s="55" t="str">
        <f t="shared" si="37"/>
        <v/>
      </c>
      <c r="V52" s="55" t="str">
        <f t="shared" si="38"/>
        <v/>
      </c>
      <c r="W52" s="55" t="str">
        <f t="shared" si="38"/>
        <v/>
      </c>
      <c r="X52" s="55" t="str">
        <f t="shared" si="38"/>
        <v/>
      </c>
      <c r="Y52" s="55" t="str">
        <f t="shared" si="38"/>
        <v/>
      </c>
      <c r="Z52" s="55" t="str">
        <f t="shared" si="38"/>
        <v/>
      </c>
      <c r="AA52" s="55" t="str">
        <f t="shared" si="38"/>
        <v/>
      </c>
      <c r="AB52" s="55" t="str">
        <f t="shared" si="38"/>
        <v/>
      </c>
      <c r="AC52" s="55" t="str">
        <f t="shared" si="38"/>
        <v/>
      </c>
      <c r="AD52" s="55" t="str">
        <f t="shared" si="38"/>
        <v/>
      </c>
      <c r="AE52" s="55" t="str">
        <f t="shared" si="38"/>
        <v/>
      </c>
      <c r="AF52" s="55" t="str">
        <f t="shared" si="38"/>
        <v/>
      </c>
      <c r="AG52" s="55" t="str">
        <f t="shared" si="38"/>
        <v/>
      </c>
      <c r="AH52" s="55" t="str">
        <f t="shared" si="38"/>
        <v/>
      </c>
      <c r="AI52" s="55" t="str">
        <f t="shared" si="38"/>
        <v/>
      </c>
      <c r="AJ52" s="55" t="str">
        <f t="shared" si="38"/>
        <v/>
      </c>
      <c r="AK52" s="55" t="str">
        <f t="shared" si="38"/>
        <v/>
      </c>
      <c r="AL52" s="55" t="str">
        <f t="shared" si="39"/>
        <v/>
      </c>
      <c r="AM52" s="55" t="str">
        <f t="shared" si="39"/>
        <v/>
      </c>
      <c r="AN52" s="55" t="str">
        <f t="shared" si="39"/>
        <v/>
      </c>
      <c r="AO52" s="55" t="str">
        <f t="shared" si="39"/>
        <v/>
      </c>
      <c r="AP52" s="55" t="str">
        <f t="shared" si="39"/>
        <v/>
      </c>
      <c r="AQ52" s="55" t="str">
        <f t="shared" si="39"/>
        <v/>
      </c>
      <c r="AR52" s="55" t="str">
        <f t="shared" si="39"/>
        <v/>
      </c>
      <c r="AS52" s="55" t="str">
        <f t="shared" si="39"/>
        <v/>
      </c>
      <c r="AT52" s="55" t="str">
        <f t="shared" si="39"/>
        <v/>
      </c>
      <c r="AU52" s="55" t="str">
        <f t="shared" si="39"/>
        <v/>
      </c>
      <c r="AV52" s="55" t="str">
        <f t="shared" si="39"/>
        <v/>
      </c>
      <c r="AW52" s="55" t="str">
        <f t="shared" si="39"/>
        <v/>
      </c>
      <c r="AX52" s="55" t="str">
        <f t="shared" si="39"/>
        <v/>
      </c>
      <c r="AY52" s="55" t="str">
        <f t="shared" si="39"/>
        <v/>
      </c>
      <c r="AZ52" s="55" t="str">
        <f t="shared" si="39"/>
        <v/>
      </c>
      <c r="BA52" s="55" t="str">
        <f t="shared" si="39"/>
        <v/>
      </c>
      <c r="BB52" s="55" t="str">
        <f t="shared" si="40"/>
        <v/>
      </c>
      <c r="BC52" s="55" t="str">
        <f t="shared" si="40"/>
        <v/>
      </c>
      <c r="BD52" s="55" t="str">
        <f t="shared" si="40"/>
        <v/>
      </c>
      <c r="BE52" s="55" t="str">
        <f t="shared" si="40"/>
        <v/>
      </c>
      <c r="BF52" s="55" t="str">
        <f t="shared" si="40"/>
        <v/>
      </c>
      <c r="BG52" s="55" t="str">
        <f t="shared" si="40"/>
        <v/>
      </c>
      <c r="BH52" s="55" t="str">
        <f t="shared" si="40"/>
        <v/>
      </c>
      <c r="BI52" s="55" t="str">
        <f t="shared" si="40"/>
        <v/>
      </c>
      <c r="BJ52" s="55" t="str">
        <f t="shared" si="40"/>
        <v/>
      </c>
      <c r="BK52" s="55" t="str">
        <f t="shared" si="40"/>
        <v/>
      </c>
      <c r="BL52" s="55" t="str">
        <f t="shared" si="40"/>
        <v/>
      </c>
      <c r="BM52" s="55" t="str">
        <f t="shared" si="40"/>
        <v/>
      </c>
      <c r="BN52" s="55" t="str">
        <f t="shared" si="40"/>
        <v/>
      </c>
      <c r="BO52" s="55" t="str">
        <f t="shared" si="40"/>
        <v/>
      </c>
      <c r="BP52" s="55" t="str">
        <f t="shared" si="40"/>
        <v/>
      </c>
      <c r="BQ52" s="55" t="str">
        <f t="shared" si="40"/>
        <v/>
      </c>
      <c r="BR52" s="55" t="str">
        <f t="shared" si="41"/>
        <v/>
      </c>
      <c r="BS52" s="55" t="str">
        <f t="shared" si="41"/>
        <v/>
      </c>
      <c r="BT52" s="55" t="str">
        <f t="shared" si="41"/>
        <v/>
      </c>
      <c r="BU52" s="55" t="str">
        <f t="shared" si="41"/>
        <v/>
      </c>
      <c r="BV52" s="55" t="str">
        <f t="shared" si="41"/>
        <v/>
      </c>
      <c r="BW52" s="55" t="str">
        <f t="shared" si="41"/>
        <v/>
      </c>
      <c r="BX52" s="55" t="str">
        <f t="shared" si="41"/>
        <v/>
      </c>
      <c r="BY52" s="55" t="str">
        <f t="shared" si="41"/>
        <v/>
      </c>
      <c r="BZ52" s="55" t="str">
        <f t="shared" si="41"/>
        <v/>
      </c>
      <c r="CA52" s="55" t="str">
        <f t="shared" si="41"/>
        <v/>
      </c>
      <c r="CB52" s="55" t="str">
        <f t="shared" si="41"/>
        <v/>
      </c>
      <c r="CC52" s="55" t="str">
        <f t="shared" si="41"/>
        <v/>
      </c>
      <c r="CD52" s="55" t="str">
        <f t="shared" si="41"/>
        <v/>
      </c>
      <c r="CE52" s="55" t="str">
        <f t="shared" si="41"/>
        <v/>
      </c>
      <c r="CF52" s="55" t="str">
        <f t="shared" si="41"/>
        <v/>
      </c>
      <c r="CG52" s="55" t="str">
        <f t="shared" si="41"/>
        <v/>
      </c>
      <c r="CH52" s="55" t="str">
        <f t="shared" si="42"/>
        <v/>
      </c>
      <c r="CI52" s="55" t="str">
        <f t="shared" si="42"/>
        <v/>
      </c>
      <c r="CJ52" s="55" t="str">
        <f t="shared" si="42"/>
        <v/>
      </c>
      <c r="CK52" s="55" t="str">
        <f t="shared" si="42"/>
        <v/>
      </c>
      <c r="CL52" s="55" t="str">
        <f t="shared" si="42"/>
        <v/>
      </c>
      <c r="CM52" s="55" t="str">
        <f t="shared" si="42"/>
        <v/>
      </c>
      <c r="CN52" s="55" t="str">
        <f t="shared" si="42"/>
        <v/>
      </c>
      <c r="CO52" s="55" t="str">
        <f t="shared" si="42"/>
        <v/>
      </c>
      <c r="CP52" s="55" t="str">
        <f t="shared" si="42"/>
        <v/>
      </c>
      <c r="CQ52" s="55" t="str">
        <f t="shared" si="42"/>
        <v/>
      </c>
      <c r="CR52" s="55" t="str">
        <f t="shared" si="42"/>
        <v/>
      </c>
      <c r="CS52" s="55" t="str">
        <f t="shared" si="42"/>
        <v/>
      </c>
      <c r="CT52" s="55" t="str">
        <f t="shared" si="42"/>
        <v/>
      </c>
      <c r="CU52" s="55" t="str">
        <f t="shared" si="42"/>
        <v/>
      </c>
      <c r="CV52" s="55" t="str">
        <f t="shared" si="42"/>
        <v/>
      </c>
      <c r="CW52" s="55" t="str">
        <f t="shared" si="42"/>
        <v/>
      </c>
      <c r="CX52" s="55" t="str">
        <f t="shared" si="43"/>
        <v/>
      </c>
      <c r="CY52" s="55" t="str">
        <f t="shared" si="43"/>
        <v/>
      </c>
      <c r="CZ52" s="55" t="str">
        <f t="shared" si="43"/>
        <v/>
      </c>
      <c r="DA52" s="55" t="str">
        <f t="shared" si="43"/>
        <v/>
      </c>
      <c r="DB52" s="55" t="str">
        <f t="shared" si="43"/>
        <v/>
      </c>
      <c r="DC52" s="55" t="str">
        <f t="shared" si="43"/>
        <v/>
      </c>
      <c r="DD52" s="55" t="str">
        <f t="shared" si="43"/>
        <v/>
      </c>
      <c r="DE52" s="58" t="str">
        <f t="shared" si="43"/>
        <v/>
      </c>
    </row>
    <row r="53" spans="2:109" x14ac:dyDescent="0.2">
      <c r="B53" s="84"/>
      <c r="C53" s="79"/>
      <c r="D53" s="106" t="str">
        <f t="shared" si="36"/>
        <v/>
      </c>
      <c r="E53" s="57" t="str">
        <f t="shared" si="44"/>
        <v/>
      </c>
      <c r="F53" s="55" t="str">
        <f t="shared" si="37"/>
        <v/>
      </c>
      <c r="G53" s="55" t="str">
        <f t="shared" si="37"/>
        <v/>
      </c>
      <c r="H53" s="55" t="str">
        <f t="shared" si="37"/>
        <v/>
      </c>
      <c r="I53" s="55" t="str">
        <f t="shared" si="37"/>
        <v/>
      </c>
      <c r="J53" s="55" t="str">
        <f t="shared" si="37"/>
        <v/>
      </c>
      <c r="K53" s="55" t="str">
        <f t="shared" si="37"/>
        <v/>
      </c>
      <c r="L53" s="55" t="str">
        <f t="shared" si="37"/>
        <v/>
      </c>
      <c r="M53" s="55" t="str">
        <f t="shared" si="37"/>
        <v/>
      </c>
      <c r="N53" s="55" t="str">
        <f t="shared" si="37"/>
        <v/>
      </c>
      <c r="O53" s="55" t="str">
        <f t="shared" si="37"/>
        <v/>
      </c>
      <c r="P53" s="55" t="str">
        <f t="shared" si="37"/>
        <v/>
      </c>
      <c r="Q53" s="55" t="str">
        <f t="shared" si="37"/>
        <v/>
      </c>
      <c r="R53" s="55" t="str">
        <f t="shared" si="37"/>
        <v/>
      </c>
      <c r="S53" s="55" t="str">
        <f t="shared" si="37"/>
        <v/>
      </c>
      <c r="T53" s="55" t="str">
        <f t="shared" si="37"/>
        <v/>
      </c>
      <c r="U53" s="55" t="str">
        <f t="shared" si="37"/>
        <v/>
      </c>
      <c r="V53" s="55" t="str">
        <f t="shared" si="38"/>
        <v/>
      </c>
      <c r="W53" s="55" t="str">
        <f t="shared" si="38"/>
        <v/>
      </c>
      <c r="X53" s="55" t="str">
        <f t="shared" si="38"/>
        <v/>
      </c>
      <c r="Y53" s="55" t="str">
        <f t="shared" si="38"/>
        <v/>
      </c>
      <c r="Z53" s="55" t="str">
        <f t="shared" si="38"/>
        <v/>
      </c>
      <c r="AA53" s="55" t="str">
        <f t="shared" si="38"/>
        <v/>
      </c>
      <c r="AB53" s="55" t="str">
        <f t="shared" si="38"/>
        <v/>
      </c>
      <c r="AC53" s="55" t="str">
        <f t="shared" si="38"/>
        <v/>
      </c>
      <c r="AD53" s="55" t="str">
        <f t="shared" si="38"/>
        <v/>
      </c>
      <c r="AE53" s="55" t="str">
        <f t="shared" si="38"/>
        <v/>
      </c>
      <c r="AF53" s="55" t="str">
        <f t="shared" si="38"/>
        <v/>
      </c>
      <c r="AG53" s="55" t="str">
        <f t="shared" si="38"/>
        <v/>
      </c>
      <c r="AH53" s="55" t="str">
        <f t="shared" si="38"/>
        <v/>
      </c>
      <c r="AI53" s="55" t="str">
        <f t="shared" si="38"/>
        <v/>
      </c>
      <c r="AJ53" s="55" t="str">
        <f t="shared" si="38"/>
        <v/>
      </c>
      <c r="AK53" s="55" t="str">
        <f t="shared" si="38"/>
        <v/>
      </c>
      <c r="AL53" s="55" t="str">
        <f t="shared" si="39"/>
        <v/>
      </c>
      <c r="AM53" s="55" t="str">
        <f t="shared" si="39"/>
        <v/>
      </c>
      <c r="AN53" s="55" t="str">
        <f t="shared" si="39"/>
        <v/>
      </c>
      <c r="AO53" s="55" t="str">
        <f t="shared" si="39"/>
        <v/>
      </c>
      <c r="AP53" s="55" t="str">
        <f t="shared" si="39"/>
        <v/>
      </c>
      <c r="AQ53" s="55" t="str">
        <f t="shared" si="39"/>
        <v/>
      </c>
      <c r="AR53" s="55" t="str">
        <f t="shared" si="39"/>
        <v/>
      </c>
      <c r="AS53" s="55" t="str">
        <f t="shared" si="39"/>
        <v/>
      </c>
      <c r="AT53" s="55" t="str">
        <f t="shared" si="39"/>
        <v/>
      </c>
      <c r="AU53" s="55" t="str">
        <f t="shared" si="39"/>
        <v/>
      </c>
      <c r="AV53" s="55" t="str">
        <f t="shared" si="39"/>
        <v/>
      </c>
      <c r="AW53" s="55" t="str">
        <f t="shared" si="39"/>
        <v/>
      </c>
      <c r="AX53" s="55" t="str">
        <f t="shared" si="39"/>
        <v/>
      </c>
      <c r="AY53" s="55" t="str">
        <f t="shared" si="39"/>
        <v/>
      </c>
      <c r="AZ53" s="55" t="str">
        <f t="shared" si="39"/>
        <v/>
      </c>
      <c r="BA53" s="55" t="str">
        <f t="shared" si="39"/>
        <v/>
      </c>
      <c r="BB53" s="55" t="str">
        <f t="shared" si="40"/>
        <v/>
      </c>
      <c r="BC53" s="55" t="str">
        <f t="shared" si="40"/>
        <v/>
      </c>
      <c r="BD53" s="55" t="str">
        <f t="shared" si="40"/>
        <v/>
      </c>
      <c r="BE53" s="55" t="str">
        <f t="shared" si="40"/>
        <v/>
      </c>
      <c r="BF53" s="55" t="str">
        <f t="shared" si="40"/>
        <v/>
      </c>
      <c r="BG53" s="55" t="str">
        <f t="shared" si="40"/>
        <v/>
      </c>
      <c r="BH53" s="55" t="str">
        <f t="shared" si="40"/>
        <v/>
      </c>
      <c r="BI53" s="55" t="str">
        <f t="shared" si="40"/>
        <v/>
      </c>
      <c r="BJ53" s="55" t="str">
        <f t="shared" si="40"/>
        <v/>
      </c>
      <c r="BK53" s="55" t="str">
        <f t="shared" si="40"/>
        <v/>
      </c>
      <c r="BL53" s="55" t="str">
        <f t="shared" si="40"/>
        <v/>
      </c>
      <c r="BM53" s="55" t="str">
        <f t="shared" si="40"/>
        <v/>
      </c>
      <c r="BN53" s="55" t="str">
        <f t="shared" si="40"/>
        <v/>
      </c>
      <c r="BO53" s="55" t="str">
        <f t="shared" si="40"/>
        <v/>
      </c>
      <c r="BP53" s="55" t="str">
        <f t="shared" si="40"/>
        <v/>
      </c>
      <c r="BQ53" s="55" t="str">
        <f t="shared" si="40"/>
        <v/>
      </c>
      <c r="BR53" s="55" t="str">
        <f t="shared" si="41"/>
        <v/>
      </c>
      <c r="BS53" s="55" t="str">
        <f t="shared" si="41"/>
        <v/>
      </c>
      <c r="BT53" s="55" t="str">
        <f t="shared" si="41"/>
        <v/>
      </c>
      <c r="BU53" s="55" t="str">
        <f t="shared" si="41"/>
        <v/>
      </c>
      <c r="BV53" s="55" t="str">
        <f t="shared" si="41"/>
        <v/>
      </c>
      <c r="BW53" s="55" t="str">
        <f t="shared" si="41"/>
        <v/>
      </c>
      <c r="BX53" s="55" t="str">
        <f t="shared" si="41"/>
        <v/>
      </c>
      <c r="BY53" s="55" t="str">
        <f t="shared" si="41"/>
        <v/>
      </c>
      <c r="BZ53" s="55" t="str">
        <f t="shared" si="41"/>
        <v/>
      </c>
      <c r="CA53" s="55" t="str">
        <f t="shared" si="41"/>
        <v/>
      </c>
      <c r="CB53" s="55" t="str">
        <f t="shared" si="41"/>
        <v/>
      </c>
      <c r="CC53" s="55" t="str">
        <f t="shared" si="41"/>
        <v/>
      </c>
      <c r="CD53" s="55" t="str">
        <f t="shared" si="41"/>
        <v/>
      </c>
      <c r="CE53" s="55" t="str">
        <f t="shared" si="41"/>
        <v/>
      </c>
      <c r="CF53" s="55" t="str">
        <f t="shared" si="41"/>
        <v/>
      </c>
      <c r="CG53" s="55" t="str">
        <f t="shared" si="41"/>
        <v/>
      </c>
      <c r="CH53" s="55" t="str">
        <f t="shared" si="42"/>
        <v/>
      </c>
      <c r="CI53" s="55" t="str">
        <f t="shared" si="42"/>
        <v/>
      </c>
      <c r="CJ53" s="55" t="str">
        <f t="shared" si="42"/>
        <v/>
      </c>
      <c r="CK53" s="55" t="str">
        <f t="shared" si="42"/>
        <v/>
      </c>
      <c r="CL53" s="55" t="str">
        <f t="shared" si="42"/>
        <v/>
      </c>
      <c r="CM53" s="55" t="str">
        <f t="shared" si="42"/>
        <v/>
      </c>
      <c r="CN53" s="55" t="str">
        <f t="shared" si="42"/>
        <v/>
      </c>
      <c r="CO53" s="55" t="str">
        <f t="shared" si="42"/>
        <v/>
      </c>
      <c r="CP53" s="55" t="str">
        <f t="shared" si="42"/>
        <v/>
      </c>
      <c r="CQ53" s="55" t="str">
        <f t="shared" si="42"/>
        <v/>
      </c>
      <c r="CR53" s="55" t="str">
        <f t="shared" si="42"/>
        <v/>
      </c>
      <c r="CS53" s="55" t="str">
        <f t="shared" si="42"/>
        <v/>
      </c>
      <c r="CT53" s="55" t="str">
        <f t="shared" si="42"/>
        <v/>
      </c>
      <c r="CU53" s="55" t="str">
        <f t="shared" si="42"/>
        <v/>
      </c>
      <c r="CV53" s="55" t="str">
        <f t="shared" si="42"/>
        <v/>
      </c>
      <c r="CW53" s="55" t="str">
        <f t="shared" si="42"/>
        <v/>
      </c>
      <c r="CX53" s="55" t="str">
        <f t="shared" si="43"/>
        <v/>
      </c>
      <c r="CY53" s="55" t="str">
        <f t="shared" si="43"/>
        <v/>
      </c>
      <c r="CZ53" s="55" t="str">
        <f t="shared" si="43"/>
        <v/>
      </c>
      <c r="DA53" s="55" t="str">
        <f t="shared" si="43"/>
        <v/>
      </c>
      <c r="DB53" s="55" t="str">
        <f t="shared" si="43"/>
        <v/>
      </c>
      <c r="DC53" s="55" t="str">
        <f t="shared" si="43"/>
        <v/>
      </c>
      <c r="DD53" s="55" t="str">
        <f t="shared" si="43"/>
        <v/>
      </c>
      <c r="DE53" s="58" t="str">
        <f t="shared" si="43"/>
        <v/>
      </c>
    </row>
    <row r="54" spans="2:109" x14ac:dyDescent="0.2">
      <c r="B54" s="84"/>
      <c r="C54" s="79"/>
      <c r="D54" s="106" t="str">
        <f t="shared" si="36"/>
        <v/>
      </c>
      <c r="E54" s="57" t="str">
        <f t="shared" si="44"/>
        <v/>
      </c>
      <c r="F54" s="55" t="str">
        <f t="shared" si="37"/>
        <v/>
      </c>
      <c r="G54" s="55" t="str">
        <f t="shared" si="37"/>
        <v/>
      </c>
      <c r="H54" s="55" t="str">
        <f t="shared" si="37"/>
        <v/>
      </c>
      <c r="I54" s="55" t="str">
        <f t="shared" si="37"/>
        <v/>
      </c>
      <c r="J54" s="55" t="str">
        <f t="shared" si="37"/>
        <v/>
      </c>
      <c r="K54" s="55" t="str">
        <f t="shared" si="37"/>
        <v/>
      </c>
      <c r="L54" s="55" t="str">
        <f t="shared" si="37"/>
        <v/>
      </c>
      <c r="M54" s="55" t="str">
        <f t="shared" si="37"/>
        <v/>
      </c>
      <c r="N54" s="55" t="str">
        <f t="shared" si="37"/>
        <v/>
      </c>
      <c r="O54" s="55" t="str">
        <f t="shared" si="37"/>
        <v/>
      </c>
      <c r="P54" s="55" t="str">
        <f t="shared" si="37"/>
        <v/>
      </c>
      <c r="Q54" s="55" t="str">
        <f t="shared" si="37"/>
        <v/>
      </c>
      <c r="R54" s="55" t="str">
        <f t="shared" si="37"/>
        <v/>
      </c>
      <c r="S54" s="55" t="str">
        <f t="shared" si="37"/>
        <v/>
      </c>
      <c r="T54" s="55" t="str">
        <f t="shared" si="37"/>
        <v/>
      </c>
      <c r="U54" s="55" t="str">
        <f t="shared" si="37"/>
        <v/>
      </c>
      <c r="V54" s="55" t="str">
        <f t="shared" si="38"/>
        <v/>
      </c>
      <c r="W54" s="55" t="str">
        <f t="shared" si="38"/>
        <v/>
      </c>
      <c r="X54" s="55" t="str">
        <f t="shared" si="38"/>
        <v/>
      </c>
      <c r="Y54" s="55" t="str">
        <f t="shared" si="38"/>
        <v/>
      </c>
      <c r="Z54" s="55" t="str">
        <f t="shared" si="38"/>
        <v/>
      </c>
      <c r="AA54" s="55" t="str">
        <f t="shared" si="38"/>
        <v/>
      </c>
      <c r="AB54" s="55" t="str">
        <f t="shared" si="38"/>
        <v/>
      </c>
      <c r="AC54" s="55" t="str">
        <f t="shared" si="38"/>
        <v/>
      </c>
      <c r="AD54" s="55" t="str">
        <f t="shared" si="38"/>
        <v/>
      </c>
      <c r="AE54" s="55" t="str">
        <f t="shared" si="38"/>
        <v/>
      </c>
      <c r="AF54" s="55" t="str">
        <f t="shared" si="38"/>
        <v/>
      </c>
      <c r="AG54" s="55" t="str">
        <f t="shared" si="38"/>
        <v/>
      </c>
      <c r="AH54" s="55" t="str">
        <f t="shared" si="38"/>
        <v/>
      </c>
      <c r="AI54" s="55" t="str">
        <f t="shared" si="38"/>
        <v/>
      </c>
      <c r="AJ54" s="55" t="str">
        <f t="shared" si="38"/>
        <v/>
      </c>
      <c r="AK54" s="55" t="str">
        <f t="shared" si="38"/>
        <v/>
      </c>
      <c r="AL54" s="55" t="str">
        <f t="shared" si="39"/>
        <v/>
      </c>
      <c r="AM54" s="55" t="str">
        <f t="shared" si="39"/>
        <v/>
      </c>
      <c r="AN54" s="55" t="str">
        <f t="shared" si="39"/>
        <v/>
      </c>
      <c r="AO54" s="55" t="str">
        <f t="shared" si="39"/>
        <v/>
      </c>
      <c r="AP54" s="55" t="str">
        <f t="shared" si="39"/>
        <v/>
      </c>
      <c r="AQ54" s="55" t="str">
        <f t="shared" si="39"/>
        <v/>
      </c>
      <c r="AR54" s="55" t="str">
        <f t="shared" si="39"/>
        <v/>
      </c>
      <c r="AS54" s="55" t="str">
        <f t="shared" si="39"/>
        <v/>
      </c>
      <c r="AT54" s="55" t="str">
        <f t="shared" si="39"/>
        <v/>
      </c>
      <c r="AU54" s="55" t="str">
        <f t="shared" si="39"/>
        <v/>
      </c>
      <c r="AV54" s="55" t="str">
        <f t="shared" si="39"/>
        <v/>
      </c>
      <c r="AW54" s="55" t="str">
        <f t="shared" si="39"/>
        <v/>
      </c>
      <c r="AX54" s="55" t="str">
        <f t="shared" si="39"/>
        <v/>
      </c>
      <c r="AY54" s="55" t="str">
        <f t="shared" si="39"/>
        <v/>
      </c>
      <c r="AZ54" s="55" t="str">
        <f t="shared" si="39"/>
        <v/>
      </c>
      <c r="BA54" s="55" t="str">
        <f t="shared" si="39"/>
        <v/>
      </c>
      <c r="BB54" s="55" t="str">
        <f t="shared" si="40"/>
        <v/>
      </c>
      <c r="BC54" s="55" t="str">
        <f t="shared" si="40"/>
        <v/>
      </c>
      <c r="BD54" s="55" t="str">
        <f t="shared" si="40"/>
        <v/>
      </c>
      <c r="BE54" s="55" t="str">
        <f t="shared" si="40"/>
        <v/>
      </c>
      <c r="BF54" s="55" t="str">
        <f t="shared" si="40"/>
        <v/>
      </c>
      <c r="BG54" s="55" t="str">
        <f t="shared" si="40"/>
        <v/>
      </c>
      <c r="BH54" s="55" t="str">
        <f t="shared" si="40"/>
        <v/>
      </c>
      <c r="BI54" s="55" t="str">
        <f t="shared" si="40"/>
        <v/>
      </c>
      <c r="BJ54" s="55" t="str">
        <f t="shared" si="40"/>
        <v/>
      </c>
      <c r="BK54" s="55" t="str">
        <f t="shared" si="40"/>
        <v/>
      </c>
      <c r="BL54" s="55" t="str">
        <f t="shared" si="40"/>
        <v/>
      </c>
      <c r="BM54" s="55" t="str">
        <f t="shared" si="40"/>
        <v/>
      </c>
      <c r="BN54" s="55" t="str">
        <f t="shared" si="40"/>
        <v/>
      </c>
      <c r="BO54" s="55" t="str">
        <f t="shared" si="40"/>
        <v/>
      </c>
      <c r="BP54" s="55" t="str">
        <f t="shared" si="40"/>
        <v/>
      </c>
      <c r="BQ54" s="55" t="str">
        <f t="shared" si="40"/>
        <v/>
      </c>
      <c r="BR54" s="55" t="str">
        <f t="shared" si="41"/>
        <v/>
      </c>
      <c r="BS54" s="55" t="str">
        <f t="shared" si="41"/>
        <v/>
      </c>
      <c r="BT54" s="55" t="str">
        <f t="shared" si="41"/>
        <v/>
      </c>
      <c r="BU54" s="55" t="str">
        <f t="shared" si="41"/>
        <v/>
      </c>
      <c r="BV54" s="55" t="str">
        <f t="shared" si="41"/>
        <v/>
      </c>
      <c r="BW54" s="55" t="str">
        <f t="shared" si="41"/>
        <v/>
      </c>
      <c r="BX54" s="55" t="str">
        <f t="shared" si="41"/>
        <v/>
      </c>
      <c r="BY54" s="55" t="str">
        <f t="shared" si="41"/>
        <v/>
      </c>
      <c r="BZ54" s="55" t="str">
        <f t="shared" si="41"/>
        <v/>
      </c>
      <c r="CA54" s="55" t="str">
        <f t="shared" si="41"/>
        <v/>
      </c>
      <c r="CB54" s="55" t="str">
        <f t="shared" si="41"/>
        <v/>
      </c>
      <c r="CC54" s="55" t="str">
        <f t="shared" si="41"/>
        <v/>
      </c>
      <c r="CD54" s="55" t="str">
        <f t="shared" si="41"/>
        <v/>
      </c>
      <c r="CE54" s="55" t="str">
        <f t="shared" si="41"/>
        <v/>
      </c>
      <c r="CF54" s="55" t="str">
        <f t="shared" si="41"/>
        <v/>
      </c>
      <c r="CG54" s="55" t="str">
        <f t="shared" si="41"/>
        <v/>
      </c>
      <c r="CH54" s="55" t="str">
        <f t="shared" si="42"/>
        <v/>
      </c>
      <c r="CI54" s="55" t="str">
        <f t="shared" si="42"/>
        <v/>
      </c>
      <c r="CJ54" s="55" t="str">
        <f t="shared" si="42"/>
        <v/>
      </c>
      <c r="CK54" s="55" t="str">
        <f t="shared" si="42"/>
        <v/>
      </c>
      <c r="CL54" s="55" t="str">
        <f t="shared" si="42"/>
        <v/>
      </c>
      <c r="CM54" s="55" t="str">
        <f t="shared" si="42"/>
        <v/>
      </c>
      <c r="CN54" s="55" t="str">
        <f t="shared" si="42"/>
        <v/>
      </c>
      <c r="CO54" s="55" t="str">
        <f t="shared" si="42"/>
        <v/>
      </c>
      <c r="CP54" s="55" t="str">
        <f t="shared" si="42"/>
        <v/>
      </c>
      <c r="CQ54" s="55" t="str">
        <f t="shared" si="42"/>
        <v/>
      </c>
      <c r="CR54" s="55" t="str">
        <f t="shared" si="42"/>
        <v/>
      </c>
      <c r="CS54" s="55" t="str">
        <f t="shared" si="42"/>
        <v/>
      </c>
      <c r="CT54" s="55" t="str">
        <f t="shared" si="42"/>
        <v/>
      </c>
      <c r="CU54" s="55" t="str">
        <f t="shared" si="42"/>
        <v/>
      </c>
      <c r="CV54" s="55" t="str">
        <f t="shared" si="42"/>
        <v/>
      </c>
      <c r="CW54" s="55" t="str">
        <f t="shared" si="42"/>
        <v/>
      </c>
      <c r="CX54" s="55" t="str">
        <f t="shared" si="43"/>
        <v/>
      </c>
      <c r="CY54" s="55" t="str">
        <f t="shared" si="43"/>
        <v/>
      </c>
      <c r="CZ54" s="55" t="str">
        <f t="shared" si="43"/>
        <v/>
      </c>
      <c r="DA54" s="55" t="str">
        <f t="shared" si="43"/>
        <v/>
      </c>
      <c r="DB54" s="55" t="str">
        <f t="shared" si="43"/>
        <v/>
      </c>
      <c r="DC54" s="55" t="str">
        <f t="shared" si="43"/>
        <v/>
      </c>
      <c r="DD54" s="55" t="str">
        <f t="shared" si="43"/>
        <v/>
      </c>
      <c r="DE54" s="58" t="str">
        <f t="shared" si="43"/>
        <v/>
      </c>
    </row>
    <row r="55" spans="2:109" x14ac:dyDescent="0.2">
      <c r="B55" s="84"/>
      <c r="C55" s="79"/>
      <c r="D55" s="106" t="str">
        <f t="shared" si="36"/>
        <v/>
      </c>
      <c r="E55" s="57" t="str">
        <f t="shared" si="44"/>
        <v/>
      </c>
      <c r="F55" s="55" t="str">
        <f t="shared" si="37"/>
        <v/>
      </c>
      <c r="G55" s="55" t="str">
        <f t="shared" si="37"/>
        <v/>
      </c>
      <c r="H55" s="55" t="str">
        <f t="shared" si="37"/>
        <v/>
      </c>
      <c r="I55" s="55" t="str">
        <f t="shared" si="37"/>
        <v/>
      </c>
      <c r="J55" s="55" t="str">
        <f t="shared" si="37"/>
        <v/>
      </c>
      <c r="K55" s="55" t="str">
        <f t="shared" si="37"/>
        <v/>
      </c>
      <c r="L55" s="55" t="str">
        <f t="shared" si="37"/>
        <v/>
      </c>
      <c r="M55" s="55" t="str">
        <f t="shared" si="37"/>
        <v/>
      </c>
      <c r="N55" s="55" t="str">
        <f t="shared" si="37"/>
        <v/>
      </c>
      <c r="O55" s="55" t="str">
        <f t="shared" si="37"/>
        <v/>
      </c>
      <c r="P55" s="55" t="str">
        <f t="shared" si="37"/>
        <v/>
      </c>
      <c r="Q55" s="55" t="str">
        <f t="shared" si="37"/>
        <v/>
      </c>
      <c r="R55" s="55" t="str">
        <f t="shared" si="37"/>
        <v/>
      </c>
      <c r="S55" s="55" t="str">
        <f t="shared" si="37"/>
        <v/>
      </c>
      <c r="T55" s="55" t="str">
        <f t="shared" si="37"/>
        <v/>
      </c>
      <c r="U55" s="55" t="str">
        <f t="shared" si="37"/>
        <v/>
      </c>
      <c r="V55" s="55" t="str">
        <f t="shared" si="38"/>
        <v/>
      </c>
      <c r="W55" s="55" t="str">
        <f t="shared" si="38"/>
        <v/>
      </c>
      <c r="X55" s="55" t="str">
        <f t="shared" si="38"/>
        <v/>
      </c>
      <c r="Y55" s="55" t="str">
        <f t="shared" si="38"/>
        <v/>
      </c>
      <c r="Z55" s="55" t="str">
        <f t="shared" si="38"/>
        <v/>
      </c>
      <c r="AA55" s="55" t="str">
        <f t="shared" si="38"/>
        <v/>
      </c>
      <c r="AB55" s="55" t="str">
        <f t="shared" si="38"/>
        <v/>
      </c>
      <c r="AC55" s="55" t="str">
        <f t="shared" si="38"/>
        <v/>
      </c>
      <c r="AD55" s="55" t="str">
        <f t="shared" si="38"/>
        <v/>
      </c>
      <c r="AE55" s="55" t="str">
        <f t="shared" si="38"/>
        <v/>
      </c>
      <c r="AF55" s="55" t="str">
        <f t="shared" si="38"/>
        <v/>
      </c>
      <c r="AG55" s="55" t="str">
        <f t="shared" si="38"/>
        <v/>
      </c>
      <c r="AH55" s="55" t="str">
        <f t="shared" si="38"/>
        <v/>
      </c>
      <c r="AI55" s="55" t="str">
        <f t="shared" si="38"/>
        <v/>
      </c>
      <c r="AJ55" s="55" t="str">
        <f t="shared" si="38"/>
        <v/>
      </c>
      <c r="AK55" s="55" t="str">
        <f t="shared" si="38"/>
        <v/>
      </c>
      <c r="AL55" s="55" t="str">
        <f t="shared" si="39"/>
        <v/>
      </c>
      <c r="AM55" s="55" t="str">
        <f t="shared" si="39"/>
        <v/>
      </c>
      <c r="AN55" s="55" t="str">
        <f t="shared" si="39"/>
        <v/>
      </c>
      <c r="AO55" s="55" t="str">
        <f t="shared" si="39"/>
        <v/>
      </c>
      <c r="AP55" s="55" t="str">
        <f t="shared" si="39"/>
        <v/>
      </c>
      <c r="AQ55" s="55" t="str">
        <f t="shared" si="39"/>
        <v/>
      </c>
      <c r="AR55" s="55" t="str">
        <f t="shared" si="39"/>
        <v/>
      </c>
      <c r="AS55" s="55" t="str">
        <f t="shared" si="39"/>
        <v/>
      </c>
      <c r="AT55" s="55" t="str">
        <f t="shared" si="39"/>
        <v/>
      </c>
      <c r="AU55" s="55" t="str">
        <f t="shared" si="39"/>
        <v/>
      </c>
      <c r="AV55" s="55" t="str">
        <f t="shared" si="39"/>
        <v/>
      </c>
      <c r="AW55" s="55" t="str">
        <f t="shared" si="39"/>
        <v/>
      </c>
      <c r="AX55" s="55" t="str">
        <f t="shared" si="39"/>
        <v/>
      </c>
      <c r="AY55" s="55" t="str">
        <f t="shared" si="39"/>
        <v/>
      </c>
      <c r="AZ55" s="55" t="str">
        <f t="shared" si="39"/>
        <v/>
      </c>
      <c r="BA55" s="55" t="str">
        <f t="shared" si="39"/>
        <v/>
      </c>
      <c r="BB55" s="55" t="str">
        <f t="shared" si="40"/>
        <v/>
      </c>
      <c r="BC55" s="55" t="str">
        <f t="shared" si="40"/>
        <v/>
      </c>
      <c r="BD55" s="55" t="str">
        <f t="shared" si="40"/>
        <v/>
      </c>
      <c r="BE55" s="55" t="str">
        <f t="shared" si="40"/>
        <v/>
      </c>
      <c r="BF55" s="55" t="str">
        <f t="shared" si="40"/>
        <v/>
      </c>
      <c r="BG55" s="55" t="str">
        <f t="shared" si="40"/>
        <v/>
      </c>
      <c r="BH55" s="55" t="str">
        <f t="shared" si="40"/>
        <v/>
      </c>
      <c r="BI55" s="55" t="str">
        <f t="shared" si="40"/>
        <v/>
      </c>
      <c r="BJ55" s="55" t="str">
        <f t="shared" si="40"/>
        <v/>
      </c>
      <c r="BK55" s="55" t="str">
        <f t="shared" si="40"/>
        <v/>
      </c>
      <c r="BL55" s="55" t="str">
        <f t="shared" si="40"/>
        <v/>
      </c>
      <c r="BM55" s="55" t="str">
        <f t="shared" si="40"/>
        <v/>
      </c>
      <c r="BN55" s="55" t="str">
        <f t="shared" si="40"/>
        <v/>
      </c>
      <c r="BO55" s="55" t="str">
        <f t="shared" si="40"/>
        <v/>
      </c>
      <c r="BP55" s="55" t="str">
        <f t="shared" si="40"/>
        <v/>
      </c>
      <c r="BQ55" s="55" t="str">
        <f t="shared" si="40"/>
        <v/>
      </c>
      <c r="BR55" s="55" t="str">
        <f t="shared" si="41"/>
        <v/>
      </c>
      <c r="BS55" s="55" t="str">
        <f t="shared" si="41"/>
        <v/>
      </c>
      <c r="BT55" s="55" t="str">
        <f t="shared" si="41"/>
        <v/>
      </c>
      <c r="BU55" s="55" t="str">
        <f t="shared" si="41"/>
        <v/>
      </c>
      <c r="BV55" s="55" t="str">
        <f t="shared" si="41"/>
        <v/>
      </c>
      <c r="BW55" s="55" t="str">
        <f t="shared" si="41"/>
        <v/>
      </c>
      <c r="BX55" s="55" t="str">
        <f t="shared" si="41"/>
        <v/>
      </c>
      <c r="BY55" s="55" t="str">
        <f t="shared" si="41"/>
        <v/>
      </c>
      <c r="BZ55" s="55" t="str">
        <f t="shared" si="41"/>
        <v/>
      </c>
      <c r="CA55" s="55" t="str">
        <f t="shared" si="41"/>
        <v/>
      </c>
      <c r="CB55" s="55" t="str">
        <f t="shared" si="41"/>
        <v/>
      </c>
      <c r="CC55" s="55" t="str">
        <f t="shared" si="41"/>
        <v/>
      </c>
      <c r="CD55" s="55" t="str">
        <f t="shared" si="41"/>
        <v/>
      </c>
      <c r="CE55" s="55" t="str">
        <f t="shared" si="41"/>
        <v/>
      </c>
      <c r="CF55" s="55" t="str">
        <f t="shared" si="41"/>
        <v/>
      </c>
      <c r="CG55" s="55" t="str">
        <f t="shared" si="41"/>
        <v/>
      </c>
      <c r="CH55" s="55" t="str">
        <f t="shared" si="42"/>
        <v/>
      </c>
      <c r="CI55" s="55" t="str">
        <f t="shared" si="42"/>
        <v/>
      </c>
      <c r="CJ55" s="55" t="str">
        <f t="shared" si="42"/>
        <v/>
      </c>
      <c r="CK55" s="55" t="str">
        <f t="shared" si="42"/>
        <v/>
      </c>
      <c r="CL55" s="55" t="str">
        <f t="shared" si="42"/>
        <v/>
      </c>
      <c r="CM55" s="55" t="str">
        <f t="shared" si="42"/>
        <v/>
      </c>
      <c r="CN55" s="55" t="str">
        <f t="shared" si="42"/>
        <v/>
      </c>
      <c r="CO55" s="55" t="str">
        <f t="shared" si="42"/>
        <v/>
      </c>
      <c r="CP55" s="55" t="str">
        <f t="shared" si="42"/>
        <v/>
      </c>
      <c r="CQ55" s="55" t="str">
        <f t="shared" si="42"/>
        <v/>
      </c>
      <c r="CR55" s="55" t="str">
        <f t="shared" si="42"/>
        <v/>
      </c>
      <c r="CS55" s="55" t="str">
        <f t="shared" si="42"/>
        <v/>
      </c>
      <c r="CT55" s="55" t="str">
        <f t="shared" si="42"/>
        <v/>
      </c>
      <c r="CU55" s="55" t="str">
        <f t="shared" si="42"/>
        <v/>
      </c>
      <c r="CV55" s="55" t="str">
        <f t="shared" si="42"/>
        <v/>
      </c>
      <c r="CW55" s="55" t="str">
        <f t="shared" si="42"/>
        <v/>
      </c>
      <c r="CX55" s="55" t="str">
        <f t="shared" si="43"/>
        <v/>
      </c>
      <c r="CY55" s="55" t="str">
        <f t="shared" si="43"/>
        <v/>
      </c>
      <c r="CZ55" s="55" t="str">
        <f t="shared" si="43"/>
        <v/>
      </c>
      <c r="DA55" s="55" t="str">
        <f t="shared" si="43"/>
        <v/>
      </c>
      <c r="DB55" s="55" t="str">
        <f t="shared" si="43"/>
        <v/>
      </c>
      <c r="DC55" s="55" t="str">
        <f t="shared" si="43"/>
        <v/>
      </c>
      <c r="DD55" s="55" t="str">
        <f t="shared" si="43"/>
        <v/>
      </c>
      <c r="DE55" s="58" t="str">
        <f t="shared" si="43"/>
        <v/>
      </c>
    </row>
    <row r="56" spans="2:109" x14ac:dyDescent="0.2">
      <c r="B56" s="84"/>
      <c r="C56" s="79"/>
      <c r="D56" s="106" t="str">
        <f t="shared" si="36"/>
        <v/>
      </c>
      <c r="E56" s="57" t="str">
        <f t="shared" si="44"/>
        <v/>
      </c>
      <c r="F56" s="55" t="str">
        <f t="shared" si="37"/>
        <v/>
      </c>
      <c r="G56" s="55" t="str">
        <f t="shared" si="37"/>
        <v/>
      </c>
      <c r="H56" s="55" t="str">
        <f t="shared" si="37"/>
        <v/>
      </c>
      <c r="I56" s="55" t="str">
        <f t="shared" si="37"/>
        <v/>
      </c>
      <c r="J56" s="55" t="str">
        <f t="shared" si="37"/>
        <v/>
      </c>
      <c r="K56" s="55" t="str">
        <f t="shared" si="37"/>
        <v/>
      </c>
      <c r="L56" s="55" t="str">
        <f t="shared" si="37"/>
        <v/>
      </c>
      <c r="M56" s="55" t="str">
        <f t="shared" si="37"/>
        <v/>
      </c>
      <c r="N56" s="55" t="str">
        <f t="shared" si="37"/>
        <v/>
      </c>
      <c r="O56" s="55" t="str">
        <f t="shared" si="37"/>
        <v/>
      </c>
      <c r="P56" s="55" t="str">
        <f t="shared" si="37"/>
        <v/>
      </c>
      <c r="Q56" s="55" t="str">
        <f t="shared" si="37"/>
        <v/>
      </c>
      <c r="R56" s="55" t="str">
        <f t="shared" si="37"/>
        <v/>
      </c>
      <c r="S56" s="55" t="str">
        <f t="shared" si="37"/>
        <v/>
      </c>
      <c r="T56" s="55" t="str">
        <f t="shared" si="37"/>
        <v/>
      </c>
      <c r="U56" s="55" t="str">
        <f t="shared" si="37"/>
        <v/>
      </c>
      <c r="V56" s="55" t="str">
        <f t="shared" si="38"/>
        <v/>
      </c>
      <c r="W56" s="55" t="str">
        <f t="shared" si="38"/>
        <v/>
      </c>
      <c r="X56" s="55" t="str">
        <f t="shared" si="38"/>
        <v/>
      </c>
      <c r="Y56" s="55" t="str">
        <f t="shared" si="38"/>
        <v/>
      </c>
      <c r="Z56" s="55" t="str">
        <f t="shared" si="38"/>
        <v/>
      </c>
      <c r="AA56" s="55" t="str">
        <f t="shared" si="38"/>
        <v/>
      </c>
      <c r="AB56" s="55" t="str">
        <f t="shared" si="38"/>
        <v/>
      </c>
      <c r="AC56" s="55" t="str">
        <f t="shared" si="38"/>
        <v/>
      </c>
      <c r="AD56" s="55" t="str">
        <f t="shared" si="38"/>
        <v/>
      </c>
      <c r="AE56" s="55" t="str">
        <f t="shared" si="38"/>
        <v/>
      </c>
      <c r="AF56" s="55" t="str">
        <f t="shared" si="38"/>
        <v/>
      </c>
      <c r="AG56" s="55" t="str">
        <f t="shared" si="38"/>
        <v/>
      </c>
      <c r="AH56" s="55" t="str">
        <f t="shared" si="38"/>
        <v/>
      </c>
      <c r="AI56" s="55" t="str">
        <f t="shared" si="38"/>
        <v/>
      </c>
      <c r="AJ56" s="55" t="str">
        <f t="shared" si="38"/>
        <v/>
      </c>
      <c r="AK56" s="55" t="str">
        <f t="shared" si="38"/>
        <v/>
      </c>
      <c r="AL56" s="55" t="str">
        <f t="shared" si="39"/>
        <v/>
      </c>
      <c r="AM56" s="55" t="str">
        <f t="shared" si="39"/>
        <v/>
      </c>
      <c r="AN56" s="55" t="str">
        <f t="shared" si="39"/>
        <v/>
      </c>
      <c r="AO56" s="55" t="str">
        <f t="shared" si="39"/>
        <v/>
      </c>
      <c r="AP56" s="55" t="str">
        <f t="shared" si="39"/>
        <v/>
      </c>
      <c r="AQ56" s="55" t="str">
        <f t="shared" si="39"/>
        <v/>
      </c>
      <c r="AR56" s="55" t="str">
        <f t="shared" si="39"/>
        <v/>
      </c>
      <c r="AS56" s="55" t="str">
        <f t="shared" si="39"/>
        <v/>
      </c>
      <c r="AT56" s="55" t="str">
        <f t="shared" si="39"/>
        <v/>
      </c>
      <c r="AU56" s="55" t="str">
        <f t="shared" si="39"/>
        <v/>
      </c>
      <c r="AV56" s="55" t="str">
        <f t="shared" si="39"/>
        <v/>
      </c>
      <c r="AW56" s="55" t="str">
        <f t="shared" si="39"/>
        <v/>
      </c>
      <c r="AX56" s="55" t="str">
        <f t="shared" si="39"/>
        <v/>
      </c>
      <c r="AY56" s="55" t="str">
        <f t="shared" si="39"/>
        <v/>
      </c>
      <c r="AZ56" s="55" t="str">
        <f t="shared" si="39"/>
        <v/>
      </c>
      <c r="BA56" s="55" t="str">
        <f t="shared" si="39"/>
        <v/>
      </c>
      <c r="BB56" s="55" t="str">
        <f t="shared" si="40"/>
        <v/>
      </c>
      <c r="BC56" s="55" t="str">
        <f t="shared" si="40"/>
        <v/>
      </c>
      <c r="BD56" s="55" t="str">
        <f t="shared" si="40"/>
        <v/>
      </c>
      <c r="BE56" s="55" t="str">
        <f t="shared" si="40"/>
        <v/>
      </c>
      <c r="BF56" s="55" t="str">
        <f t="shared" si="40"/>
        <v/>
      </c>
      <c r="BG56" s="55" t="str">
        <f t="shared" si="40"/>
        <v/>
      </c>
      <c r="BH56" s="55" t="str">
        <f t="shared" si="40"/>
        <v/>
      </c>
      <c r="BI56" s="55" t="str">
        <f t="shared" si="40"/>
        <v/>
      </c>
      <c r="BJ56" s="55" t="str">
        <f t="shared" si="40"/>
        <v/>
      </c>
      <c r="BK56" s="55" t="str">
        <f t="shared" si="40"/>
        <v/>
      </c>
      <c r="BL56" s="55" t="str">
        <f t="shared" si="40"/>
        <v/>
      </c>
      <c r="BM56" s="55" t="str">
        <f t="shared" si="40"/>
        <v/>
      </c>
      <c r="BN56" s="55" t="str">
        <f t="shared" si="40"/>
        <v/>
      </c>
      <c r="BO56" s="55" t="str">
        <f t="shared" si="40"/>
        <v/>
      </c>
      <c r="BP56" s="55" t="str">
        <f t="shared" si="40"/>
        <v/>
      </c>
      <c r="BQ56" s="55" t="str">
        <f t="shared" si="40"/>
        <v/>
      </c>
      <c r="BR56" s="55" t="str">
        <f t="shared" si="41"/>
        <v/>
      </c>
      <c r="BS56" s="55" t="str">
        <f t="shared" si="41"/>
        <v/>
      </c>
      <c r="BT56" s="55" t="str">
        <f t="shared" si="41"/>
        <v/>
      </c>
      <c r="BU56" s="55" t="str">
        <f t="shared" si="41"/>
        <v/>
      </c>
      <c r="BV56" s="55" t="str">
        <f t="shared" si="41"/>
        <v/>
      </c>
      <c r="BW56" s="55" t="str">
        <f t="shared" si="41"/>
        <v/>
      </c>
      <c r="BX56" s="55" t="str">
        <f t="shared" si="41"/>
        <v/>
      </c>
      <c r="BY56" s="55" t="str">
        <f t="shared" si="41"/>
        <v/>
      </c>
      <c r="BZ56" s="55" t="str">
        <f t="shared" si="41"/>
        <v/>
      </c>
      <c r="CA56" s="55" t="str">
        <f t="shared" si="41"/>
        <v/>
      </c>
      <c r="CB56" s="55" t="str">
        <f t="shared" si="41"/>
        <v/>
      </c>
      <c r="CC56" s="55" t="str">
        <f t="shared" si="41"/>
        <v/>
      </c>
      <c r="CD56" s="55" t="str">
        <f t="shared" si="41"/>
        <v/>
      </c>
      <c r="CE56" s="55" t="str">
        <f t="shared" si="41"/>
        <v/>
      </c>
      <c r="CF56" s="55" t="str">
        <f t="shared" si="41"/>
        <v/>
      </c>
      <c r="CG56" s="55" t="str">
        <f t="shared" si="41"/>
        <v/>
      </c>
      <c r="CH56" s="55" t="str">
        <f t="shared" si="42"/>
        <v/>
      </c>
      <c r="CI56" s="55" t="str">
        <f t="shared" si="42"/>
        <v/>
      </c>
      <c r="CJ56" s="55" t="str">
        <f t="shared" si="42"/>
        <v/>
      </c>
      <c r="CK56" s="55" t="str">
        <f t="shared" si="42"/>
        <v/>
      </c>
      <c r="CL56" s="55" t="str">
        <f t="shared" si="42"/>
        <v/>
      </c>
      <c r="CM56" s="55" t="str">
        <f t="shared" si="42"/>
        <v/>
      </c>
      <c r="CN56" s="55" t="str">
        <f t="shared" si="42"/>
        <v/>
      </c>
      <c r="CO56" s="55" t="str">
        <f t="shared" si="42"/>
        <v/>
      </c>
      <c r="CP56" s="55" t="str">
        <f t="shared" si="42"/>
        <v/>
      </c>
      <c r="CQ56" s="55" t="str">
        <f t="shared" si="42"/>
        <v/>
      </c>
      <c r="CR56" s="55" t="str">
        <f t="shared" si="42"/>
        <v/>
      </c>
      <c r="CS56" s="55" t="str">
        <f t="shared" si="42"/>
        <v/>
      </c>
      <c r="CT56" s="55" t="str">
        <f t="shared" si="42"/>
        <v/>
      </c>
      <c r="CU56" s="55" t="str">
        <f t="shared" si="42"/>
        <v/>
      </c>
      <c r="CV56" s="55" t="str">
        <f t="shared" si="42"/>
        <v/>
      </c>
      <c r="CW56" s="55" t="str">
        <f t="shared" si="42"/>
        <v/>
      </c>
      <c r="CX56" s="55" t="str">
        <f t="shared" si="43"/>
        <v/>
      </c>
      <c r="CY56" s="55" t="str">
        <f t="shared" si="43"/>
        <v/>
      </c>
      <c r="CZ56" s="55" t="str">
        <f t="shared" si="43"/>
        <v/>
      </c>
      <c r="DA56" s="55" t="str">
        <f t="shared" si="43"/>
        <v/>
      </c>
      <c r="DB56" s="55" t="str">
        <f t="shared" si="43"/>
        <v/>
      </c>
      <c r="DC56" s="55" t="str">
        <f t="shared" si="43"/>
        <v/>
      </c>
      <c r="DD56" s="55" t="str">
        <f t="shared" si="43"/>
        <v/>
      </c>
      <c r="DE56" s="58" t="str">
        <f t="shared" si="43"/>
        <v/>
      </c>
    </row>
    <row r="57" spans="2:109" x14ac:dyDescent="0.2">
      <c r="B57" s="84"/>
      <c r="C57" s="79"/>
      <c r="D57" s="106" t="str">
        <f t="shared" si="36"/>
        <v/>
      </c>
      <c r="E57" s="57" t="str">
        <f t="shared" si="44"/>
        <v/>
      </c>
      <c r="F57" s="55" t="str">
        <f t="shared" si="37"/>
        <v/>
      </c>
      <c r="G57" s="55" t="str">
        <f t="shared" si="37"/>
        <v/>
      </c>
      <c r="H57" s="55" t="str">
        <f t="shared" si="37"/>
        <v/>
      </c>
      <c r="I57" s="55" t="str">
        <f t="shared" si="37"/>
        <v/>
      </c>
      <c r="J57" s="55" t="str">
        <f t="shared" si="37"/>
        <v/>
      </c>
      <c r="K57" s="55" t="str">
        <f t="shared" si="37"/>
        <v/>
      </c>
      <c r="L57" s="55" t="str">
        <f t="shared" si="37"/>
        <v/>
      </c>
      <c r="M57" s="55" t="str">
        <f t="shared" si="37"/>
        <v/>
      </c>
      <c r="N57" s="55" t="str">
        <f t="shared" si="37"/>
        <v/>
      </c>
      <c r="O57" s="55" t="str">
        <f t="shared" si="37"/>
        <v/>
      </c>
      <c r="P57" s="55" t="str">
        <f t="shared" si="37"/>
        <v/>
      </c>
      <c r="Q57" s="55" t="str">
        <f t="shared" si="37"/>
        <v/>
      </c>
      <c r="R57" s="55" t="str">
        <f t="shared" si="37"/>
        <v/>
      </c>
      <c r="S57" s="55" t="str">
        <f t="shared" si="37"/>
        <v/>
      </c>
      <c r="T57" s="55" t="str">
        <f t="shared" si="37"/>
        <v/>
      </c>
      <c r="U57" s="55" t="str">
        <f t="shared" si="37"/>
        <v/>
      </c>
      <c r="V57" s="55" t="str">
        <f t="shared" si="38"/>
        <v/>
      </c>
      <c r="W57" s="55" t="str">
        <f t="shared" si="38"/>
        <v/>
      </c>
      <c r="X57" s="55" t="str">
        <f t="shared" si="38"/>
        <v/>
      </c>
      <c r="Y57" s="55" t="str">
        <f t="shared" si="38"/>
        <v/>
      </c>
      <c r="Z57" s="55" t="str">
        <f t="shared" si="38"/>
        <v/>
      </c>
      <c r="AA57" s="55" t="str">
        <f t="shared" si="38"/>
        <v/>
      </c>
      <c r="AB57" s="55" t="str">
        <f t="shared" si="38"/>
        <v/>
      </c>
      <c r="AC57" s="55" t="str">
        <f t="shared" si="38"/>
        <v/>
      </c>
      <c r="AD57" s="55" t="str">
        <f t="shared" si="38"/>
        <v/>
      </c>
      <c r="AE57" s="55" t="str">
        <f t="shared" si="38"/>
        <v/>
      </c>
      <c r="AF57" s="55" t="str">
        <f t="shared" si="38"/>
        <v/>
      </c>
      <c r="AG57" s="55" t="str">
        <f t="shared" si="38"/>
        <v/>
      </c>
      <c r="AH57" s="55" t="str">
        <f t="shared" si="38"/>
        <v/>
      </c>
      <c r="AI57" s="55" t="str">
        <f t="shared" si="38"/>
        <v/>
      </c>
      <c r="AJ57" s="55" t="str">
        <f t="shared" si="38"/>
        <v/>
      </c>
      <c r="AK57" s="55" t="str">
        <f t="shared" si="38"/>
        <v/>
      </c>
      <c r="AL57" s="55" t="str">
        <f t="shared" si="39"/>
        <v/>
      </c>
      <c r="AM57" s="55" t="str">
        <f t="shared" si="39"/>
        <v/>
      </c>
      <c r="AN57" s="55" t="str">
        <f t="shared" si="39"/>
        <v/>
      </c>
      <c r="AO57" s="55" t="str">
        <f t="shared" si="39"/>
        <v/>
      </c>
      <c r="AP57" s="55" t="str">
        <f t="shared" si="39"/>
        <v/>
      </c>
      <c r="AQ57" s="55" t="str">
        <f t="shared" si="39"/>
        <v/>
      </c>
      <c r="AR57" s="55" t="str">
        <f t="shared" si="39"/>
        <v/>
      </c>
      <c r="AS57" s="55" t="str">
        <f t="shared" si="39"/>
        <v/>
      </c>
      <c r="AT57" s="55" t="str">
        <f t="shared" si="39"/>
        <v/>
      </c>
      <c r="AU57" s="55" t="str">
        <f t="shared" si="39"/>
        <v/>
      </c>
      <c r="AV57" s="55" t="str">
        <f t="shared" si="39"/>
        <v/>
      </c>
      <c r="AW57" s="55" t="str">
        <f t="shared" si="39"/>
        <v/>
      </c>
      <c r="AX57" s="55" t="str">
        <f t="shared" si="39"/>
        <v/>
      </c>
      <c r="AY57" s="55" t="str">
        <f t="shared" si="39"/>
        <v/>
      </c>
      <c r="AZ57" s="55" t="str">
        <f t="shared" si="39"/>
        <v/>
      </c>
      <c r="BA57" s="55" t="str">
        <f t="shared" si="39"/>
        <v/>
      </c>
      <c r="BB57" s="55" t="str">
        <f t="shared" si="40"/>
        <v/>
      </c>
      <c r="BC57" s="55" t="str">
        <f t="shared" si="40"/>
        <v/>
      </c>
      <c r="BD57" s="55" t="str">
        <f t="shared" si="40"/>
        <v/>
      </c>
      <c r="BE57" s="55" t="str">
        <f t="shared" si="40"/>
        <v/>
      </c>
      <c r="BF57" s="55" t="str">
        <f t="shared" si="40"/>
        <v/>
      </c>
      <c r="BG57" s="55" t="str">
        <f t="shared" si="40"/>
        <v/>
      </c>
      <c r="BH57" s="55" t="str">
        <f t="shared" si="40"/>
        <v/>
      </c>
      <c r="BI57" s="55" t="str">
        <f t="shared" si="40"/>
        <v/>
      </c>
      <c r="BJ57" s="55" t="str">
        <f t="shared" si="40"/>
        <v/>
      </c>
      <c r="BK57" s="55" t="str">
        <f t="shared" si="40"/>
        <v/>
      </c>
      <c r="BL57" s="55" t="str">
        <f t="shared" si="40"/>
        <v/>
      </c>
      <c r="BM57" s="55" t="str">
        <f t="shared" si="40"/>
        <v/>
      </c>
      <c r="BN57" s="55" t="str">
        <f t="shared" si="40"/>
        <v/>
      </c>
      <c r="BO57" s="55" t="str">
        <f t="shared" si="40"/>
        <v/>
      </c>
      <c r="BP57" s="55" t="str">
        <f t="shared" si="40"/>
        <v/>
      </c>
      <c r="BQ57" s="55" t="str">
        <f t="shared" si="40"/>
        <v/>
      </c>
      <c r="BR57" s="55" t="str">
        <f t="shared" si="41"/>
        <v/>
      </c>
      <c r="BS57" s="55" t="str">
        <f t="shared" si="41"/>
        <v/>
      </c>
      <c r="BT57" s="55" t="str">
        <f t="shared" si="41"/>
        <v/>
      </c>
      <c r="BU57" s="55" t="str">
        <f t="shared" si="41"/>
        <v/>
      </c>
      <c r="BV57" s="55" t="str">
        <f t="shared" si="41"/>
        <v/>
      </c>
      <c r="BW57" s="55" t="str">
        <f t="shared" si="41"/>
        <v/>
      </c>
      <c r="BX57" s="55" t="str">
        <f t="shared" si="41"/>
        <v/>
      </c>
      <c r="BY57" s="55" t="str">
        <f t="shared" si="41"/>
        <v/>
      </c>
      <c r="BZ57" s="55" t="str">
        <f t="shared" si="41"/>
        <v/>
      </c>
      <c r="CA57" s="55" t="str">
        <f t="shared" si="41"/>
        <v/>
      </c>
      <c r="CB57" s="55" t="str">
        <f t="shared" si="41"/>
        <v/>
      </c>
      <c r="CC57" s="55" t="str">
        <f t="shared" si="41"/>
        <v/>
      </c>
      <c r="CD57" s="55" t="str">
        <f t="shared" si="41"/>
        <v/>
      </c>
      <c r="CE57" s="55" t="str">
        <f t="shared" si="41"/>
        <v/>
      </c>
      <c r="CF57" s="55" t="str">
        <f t="shared" si="41"/>
        <v/>
      </c>
      <c r="CG57" s="55" t="str">
        <f t="shared" si="41"/>
        <v/>
      </c>
      <c r="CH57" s="55" t="str">
        <f t="shared" si="42"/>
        <v/>
      </c>
      <c r="CI57" s="55" t="str">
        <f t="shared" si="42"/>
        <v/>
      </c>
      <c r="CJ57" s="55" t="str">
        <f t="shared" si="42"/>
        <v/>
      </c>
      <c r="CK57" s="55" t="str">
        <f t="shared" si="42"/>
        <v/>
      </c>
      <c r="CL57" s="55" t="str">
        <f t="shared" si="42"/>
        <v/>
      </c>
      <c r="CM57" s="55" t="str">
        <f t="shared" si="42"/>
        <v/>
      </c>
      <c r="CN57" s="55" t="str">
        <f t="shared" si="42"/>
        <v/>
      </c>
      <c r="CO57" s="55" t="str">
        <f t="shared" si="42"/>
        <v/>
      </c>
      <c r="CP57" s="55" t="str">
        <f t="shared" si="42"/>
        <v/>
      </c>
      <c r="CQ57" s="55" t="str">
        <f t="shared" si="42"/>
        <v/>
      </c>
      <c r="CR57" s="55" t="str">
        <f t="shared" si="42"/>
        <v/>
      </c>
      <c r="CS57" s="55" t="str">
        <f t="shared" si="42"/>
        <v/>
      </c>
      <c r="CT57" s="55" t="str">
        <f t="shared" si="42"/>
        <v/>
      </c>
      <c r="CU57" s="55" t="str">
        <f t="shared" si="42"/>
        <v/>
      </c>
      <c r="CV57" s="55" t="str">
        <f t="shared" si="42"/>
        <v/>
      </c>
      <c r="CW57" s="55" t="str">
        <f t="shared" si="42"/>
        <v/>
      </c>
      <c r="CX57" s="55" t="str">
        <f t="shared" si="43"/>
        <v/>
      </c>
      <c r="CY57" s="55" t="str">
        <f t="shared" si="43"/>
        <v/>
      </c>
      <c r="CZ57" s="55" t="str">
        <f t="shared" si="43"/>
        <v/>
      </c>
      <c r="DA57" s="55" t="str">
        <f t="shared" si="43"/>
        <v/>
      </c>
      <c r="DB57" s="55" t="str">
        <f t="shared" si="43"/>
        <v/>
      </c>
      <c r="DC57" s="55" t="str">
        <f t="shared" si="43"/>
        <v/>
      </c>
      <c r="DD57" s="55" t="str">
        <f t="shared" si="43"/>
        <v/>
      </c>
      <c r="DE57" s="58" t="str">
        <f t="shared" si="43"/>
        <v/>
      </c>
    </row>
    <row r="58" spans="2:109" x14ac:dyDescent="0.2">
      <c r="B58" s="84"/>
      <c r="C58" s="79"/>
      <c r="D58" s="106" t="str">
        <f>IF(SUM(E58:DE58)=0,"",SUM(E58:DE58))</f>
        <v/>
      </c>
      <c r="E58" s="57" t="str">
        <f t="shared" si="44"/>
        <v/>
      </c>
      <c r="F58" s="55" t="str">
        <f t="shared" si="37"/>
        <v/>
      </c>
      <c r="G58" s="55" t="str">
        <f t="shared" si="37"/>
        <v/>
      </c>
      <c r="H58" s="55" t="str">
        <f t="shared" si="37"/>
        <v/>
      </c>
      <c r="I58" s="55" t="str">
        <f t="shared" si="37"/>
        <v/>
      </c>
      <c r="J58" s="55" t="str">
        <f t="shared" si="37"/>
        <v/>
      </c>
      <c r="K58" s="55" t="str">
        <f t="shared" si="37"/>
        <v/>
      </c>
      <c r="L58" s="55" t="str">
        <f t="shared" si="37"/>
        <v/>
      </c>
      <c r="M58" s="55" t="str">
        <f t="shared" si="37"/>
        <v/>
      </c>
      <c r="N58" s="55" t="str">
        <f t="shared" si="37"/>
        <v/>
      </c>
      <c r="O58" s="55" t="str">
        <f t="shared" si="37"/>
        <v/>
      </c>
      <c r="P58" s="55" t="str">
        <f t="shared" si="37"/>
        <v/>
      </c>
      <c r="Q58" s="55" t="str">
        <f t="shared" si="37"/>
        <v/>
      </c>
      <c r="R58" s="55" t="str">
        <f t="shared" si="37"/>
        <v/>
      </c>
      <c r="S58" s="55" t="str">
        <f t="shared" si="37"/>
        <v/>
      </c>
      <c r="T58" s="55" t="str">
        <f t="shared" si="37"/>
        <v/>
      </c>
      <c r="U58" s="55" t="str">
        <f t="shared" si="37"/>
        <v/>
      </c>
      <c r="V58" s="55" t="str">
        <f t="shared" si="38"/>
        <v/>
      </c>
      <c r="W58" s="55" t="str">
        <f t="shared" si="38"/>
        <v/>
      </c>
      <c r="X58" s="55" t="str">
        <f t="shared" si="38"/>
        <v/>
      </c>
      <c r="Y58" s="55" t="str">
        <f t="shared" si="38"/>
        <v/>
      </c>
      <c r="Z58" s="55" t="str">
        <f t="shared" si="38"/>
        <v/>
      </c>
      <c r="AA58" s="55" t="str">
        <f t="shared" si="38"/>
        <v/>
      </c>
      <c r="AB58" s="55" t="str">
        <f t="shared" si="38"/>
        <v/>
      </c>
      <c r="AC58" s="55" t="str">
        <f t="shared" si="38"/>
        <v/>
      </c>
      <c r="AD58" s="55" t="str">
        <f t="shared" si="38"/>
        <v/>
      </c>
      <c r="AE58" s="55" t="str">
        <f t="shared" si="38"/>
        <v/>
      </c>
      <c r="AF58" s="55" t="str">
        <f t="shared" si="38"/>
        <v/>
      </c>
      <c r="AG58" s="55" t="str">
        <f t="shared" si="38"/>
        <v/>
      </c>
      <c r="AH58" s="55" t="str">
        <f t="shared" si="38"/>
        <v/>
      </c>
      <c r="AI58" s="55" t="str">
        <f t="shared" si="38"/>
        <v/>
      </c>
      <c r="AJ58" s="55" t="str">
        <f t="shared" si="38"/>
        <v/>
      </c>
      <c r="AK58" s="55" t="str">
        <f t="shared" si="38"/>
        <v/>
      </c>
      <c r="AL58" s="55" t="str">
        <f t="shared" si="39"/>
        <v/>
      </c>
      <c r="AM58" s="55" t="str">
        <f t="shared" si="39"/>
        <v/>
      </c>
      <c r="AN58" s="55" t="str">
        <f t="shared" si="39"/>
        <v/>
      </c>
      <c r="AO58" s="55" t="str">
        <f t="shared" si="39"/>
        <v/>
      </c>
      <c r="AP58" s="55" t="str">
        <f t="shared" si="39"/>
        <v/>
      </c>
      <c r="AQ58" s="55" t="str">
        <f t="shared" si="39"/>
        <v/>
      </c>
      <c r="AR58" s="55" t="str">
        <f t="shared" si="39"/>
        <v/>
      </c>
      <c r="AS58" s="55" t="str">
        <f t="shared" si="39"/>
        <v/>
      </c>
      <c r="AT58" s="55" t="str">
        <f t="shared" si="39"/>
        <v/>
      </c>
      <c r="AU58" s="55" t="str">
        <f t="shared" si="39"/>
        <v/>
      </c>
      <c r="AV58" s="55" t="str">
        <f t="shared" si="39"/>
        <v/>
      </c>
      <c r="AW58" s="55" t="str">
        <f t="shared" si="39"/>
        <v/>
      </c>
      <c r="AX58" s="55" t="str">
        <f t="shared" si="39"/>
        <v/>
      </c>
      <c r="AY58" s="55" t="str">
        <f t="shared" si="39"/>
        <v/>
      </c>
      <c r="AZ58" s="55" t="str">
        <f t="shared" si="39"/>
        <v/>
      </c>
      <c r="BA58" s="55" t="str">
        <f t="shared" si="39"/>
        <v/>
      </c>
      <c r="BB58" s="55" t="str">
        <f t="shared" si="40"/>
        <v/>
      </c>
      <c r="BC58" s="55" t="str">
        <f t="shared" si="40"/>
        <v/>
      </c>
      <c r="BD58" s="55" t="str">
        <f t="shared" si="40"/>
        <v/>
      </c>
      <c r="BE58" s="55" t="str">
        <f t="shared" si="40"/>
        <v/>
      </c>
      <c r="BF58" s="55" t="str">
        <f t="shared" si="40"/>
        <v/>
      </c>
      <c r="BG58" s="55" t="str">
        <f t="shared" si="40"/>
        <v/>
      </c>
      <c r="BH58" s="55" t="str">
        <f t="shared" si="40"/>
        <v/>
      </c>
      <c r="BI58" s="55" t="str">
        <f t="shared" si="40"/>
        <v/>
      </c>
      <c r="BJ58" s="55" t="str">
        <f t="shared" si="40"/>
        <v/>
      </c>
      <c r="BK58" s="55" t="str">
        <f t="shared" si="40"/>
        <v/>
      </c>
      <c r="BL58" s="55" t="str">
        <f t="shared" si="40"/>
        <v/>
      </c>
      <c r="BM58" s="55" t="str">
        <f t="shared" si="40"/>
        <v/>
      </c>
      <c r="BN58" s="55" t="str">
        <f t="shared" si="40"/>
        <v/>
      </c>
      <c r="BO58" s="55" t="str">
        <f t="shared" si="40"/>
        <v/>
      </c>
      <c r="BP58" s="55" t="str">
        <f t="shared" si="40"/>
        <v/>
      </c>
      <c r="BQ58" s="55" t="str">
        <f t="shared" si="40"/>
        <v/>
      </c>
      <c r="BR58" s="55" t="str">
        <f t="shared" si="41"/>
        <v/>
      </c>
      <c r="BS58" s="55" t="str">
        <f t="shared" si="41"/>
        <v/>
      </c>
      <c r="BT58" s="55" t="str">
        <f t="shared" si="41"/>
        <v/>
      </c>
      <c r="BU58" s="55" t="str">
        <f t="shared" si="41"/>
        <v/>
      </c>
      <c r="BV58" s="55" t="str">
        <f t="shared" si="41"/>
        <v/>
      </c>
      <c r="BW58" s="55" t="str">
        <f t="shared" si="41"/>
        <v/>
      </c>
      <c r="BX58" s="55" t="str">
        <f t="shared" si="41"/>
        <v/>
      </c>
      <c r="BY58" s="55" t="str">
        <f t="shared" si="41"/>
        <v/>
      </c>
      <c r="BZ58" s="55" t="str">
        <f t="shared" si="41"/>
        <v/>
      </c>
      <c r="CA58" s="55" t="str">
        <f t="shared" si="41"/>
        <v/>
      </c>
      <c r="CB58" s="55" t="str">
        <f t="shared" si="41"/>
        <v/>
      </c>
      <c r="CC58" s="55" t="str">
        <f t="shared" si="41"/>
        <v/>
      </c>
      <c r="CD58" s="55" t="str">
        <f t="shared" si="41"/>
        <v/>
      </c>
      <c r="CE58" s="55" t="str">
        <f t="shared" si="41"/>
        <v/>
      </c>
      <c r="CF58" s="55" t="str">
        <f t="shared" si="41"/>
        <v/>
      </c>
      <c r="CG58" s="55" t="str">
        <f t="shared" si="41"/>
        <v/>
      </c>
      <c r="CH58" s="55" t="str">
        <f t="shared" si="42"/>
        <v/>
      </c>
      <c r="CI58" s="55" t="str">
        <f t="shared" si="42"/>
        <v/>
      </c>
      <c r="CJ58" s="55" t="str">
        <f t="shared" si="42"/>
        <v/>
      </c>
      <c r="CK58" s="55" t="str">
        <f t="shared" si="42"/>
        <v/>
      </c>
      <c r="CL58" s="55" t="str">
        <f t="shared" si="42"/>
        <v/>
      </c>
      <c r="CM58" s="55" t="str">
        <f t="shared" si="42"/>
        <v/>
      </c>
      <c r="CN58" s="55" t="str">
        <f t="shared" si="42"/>
        <v/>
      </c>
      <c r="CO58" s="55" t="str">
        <f t="shared" si="42"/>
        <v/>
      </c>
      <c r="CP58" s="55" t="str">
        <f t="shared" si="42"/>
        <v/>
      </c>
      <c r="CQ58" s="55" t="str">
        <f t="shared" si="42"/>
        <v/>
      </c>
      <c r="CR58" s="55" t="str">
        <f t="shared" si="42"/>
        <v/>
      </c>
      <c r="CS58" s="55" t="str">
        <f t="shared" si="42"/>
        <v/>
      </c>
      <c r="CT58" s="55" t="str">
        <f t="shared" si="42"/>
        <v/>
      </c>
      <c r="CU58" s="55" t="str">
        <f t="shared" si="42"/>
        <v/>
      </c>
      <c r="CV58" s="55" t="str">
        <f t="shared" si="42"/>
        <v/>
      </c>
      <c r="CW58" s="55" t="str">
        <f t="shared" si="42"/>
        <v/>
      </c>
      <c r="CX58" s="55" t="str">
        <f t="shared" si="43"/>
        <v/>
      </c>
      <c r="CY58" s="55" t="str">
        <f t="shared" si="43"/>
        <v/>
      </c>
      <c r="CZ58" s="55" t="str">
        <f t="shared" si="43"/>
        <v/>
      </c>
      <c r="DA58" s="55" t="str">
        <f t="shared" si="43"/>
        <v/>
      </c>
      <c r="DB58" s="55" t="str">
        <f t="shared" si="43"/>
        <v/>
      </c>
      <c r="DC58" s="55" t="str">
        <f t="shared" si="43"/>
        <v/>
      </c>
      <c r="DD58" s="55" t="str">
        <f t="shared" si="43"/>
        <v/>
      </c>
      <c r="DE58" s="58" t="str">
        <f t="shared" si="43"/>
        <v/>
      </c>
    </row>
    <row r="59" spans="2:109" ht="17" thickBot="1" x14ac:dyDescent="0.25">
      <c r="B59" s="85"/>
      <c r="C59" s="86"/>
      <c r="D59" s="106" t="str">
        <f>IF(SUM(E59:DE59)=0,"",SUM(E59:DE59))</f>
        <v/>
      </c>
      <c r="E59" s="59" t="str">
        <f t="shared" si="44"/>
        <v/>
      </c>
      <c r="F59" s="60" t="str">
        <f t="shared" si="37"/>
        <v/>
      </c>
      <c r="G59" s="60" t="str">
        <f t="shared" si="37"/>
        <v/>
      </c>
      <c r="H59" s="60" t="str">
        <f t="shared" si="37"/>
        <v/>
      </c>
      <c r="I59" s="60" t="str">
        <f t="shared" si="37"/>
        <v/>
      </c>
      <c r="J59" s="60" t="str">
        <f t="shared" si="37"/>
        <v/>
      </c>
      <c r="K59" s="60" t="str">
        <f t="shared" si="37"/>
        <v/>
      </c>
      <c r="L59" s="60" t="str">
        <f t="shared" si="37"/>
        <v/>
      </c>
      <c r="M59" s="60" t="str">
        <f t="shared" si="37"/>
        <v/>
      </c>
      <c r="N59" s="60" t="str">
        <f t="shared" si="37"/>
        <v/>
      </c>
      <c r="O59" s="60" t="str">
        <f t="shared" si="37"/>
        <v/>
      </c>
      <c r="P59" s="60" t="str">
        <f t="shared" si="37"/>
        <v/>
      </c>
      <c r="Q59" s="60" t="str">
        <f t="shared" si="37"/>
        <v/>
      </c>
      <c r="R59" s="60" t="str">
        <f t="shared" si="37"/>
        <v/>
      </c>
      <c r="S59" s="60" t="str">
        <f t="shared" si="37"/>
        <v/>
      </c>
      <c r="T59" s="60" t="str">
        <f t="shared" si="37"/>
        <v/>
      </c>
      <c r="U59" s="60" t="str">
        <f t="shared" si="37"/>
        <v/>
      </c>
      <c r="V59" s="60" t="str">
        <f t="shared" si="38"/>
        <v/>
      </c>
      <c r="W59" s="60" t="str">
        <f t="shared" si="38"/>
        <v/>
      </c>
      <c r="X59" s="60" t="str">
        <f t="shared" si="38"/>
        <v/>
      </c>
      <c r="Y59" s="60" t="str">
        <f t="shared" si="38"/>
        <v/>
      </c>
      <c r="Z59" s="60" t="str">
        <f t="shared" si="38"/>
        <v/>
      </c>
      <c r="AA59" s="60" t="str">
        <f t="shared" si="38"/>
        <v/>
      </c>
      <c r="AB59" s="60" t="str">
        <f t="shared" si="38"/>
        <v/>
      </c>
      <c r="AC59" s="60" t="str">
        <f t="shared" si="38"/>
        <v/>
      </c>
      <c r="AD59" s="60" t="str">
        <f t="shared" si="38"/>
        <v/>
      </c>
      <c r="AE59" s="60" t="str">
        <f t="shared" si="38"/>
        <v/>
      </c>
      <c r="AF59" s="60" t="str">
        <f t="shared" si="38"/>
        <v/>
      </c>
      <c r="AG59" s="60" t="str">
        <f t="shared" si="38"/>
        <v/>
      </c>
      <c r="AH59" s="60" t="str">
        <f t="shared" si="38"/>
        <v/>
      </c>
      <c r="AI59" s="60" t="str">
        <f t="shared" si="38"/>
        <v/>
      </c>
      <c r="AJ59" s="60" t="str">
        <f t="shared" si="38"/>
        <v/>
      </c>
      <c r="AK59" s="60" t="str">
        <f t="shared" si="38"/>
        <v/>
      </c>
      <c r="AL59" s="60" t="str">
        <f t="shared" si="39"/>
        <v/>
      </c>
      <c r="AM59" s="60" t="str">
        <f t="shared" si="39"/>
        <v/>
      </c>
      <c r="AN59" s="60" t="str">
        <f t="shared" si="39"/>
        <v/>
      </c>
      <c r="AO59" s="60" t="str">
        <f t="shared" si="39"/>
        <v/>
      </c>
      <c r="AP59" s="60" t="str">
        <f t="shared" si="39"/>
        <v/>
      </c>
      <c r="AQ59" s="60" t="str">
        <f t="shared" si="39"/>
        <v/>
      </c>
      <c r="AR59" s="60" t="str">
        <f t="shared" si="39"/>
        <v/>
      </c>
      <c r="AS59" s="60" t="str">
        <f t="shared" si="39"/>
        <v/>
      </c>
      <c r="AT59" s="60" t="str">
        <f t="shared" si="39"/>
        <v/>
      </c>
      <c r="AU59" s="60" t="str">
        <f t="shared" si="39"/>
        <v/>
      </c>
      <c r="AV59" s="60" t="str">
        <f t="shared" si="39"/>
        <v/>
      </c>
      <c r="AW59" s="60" t="str">
        <f t="shared" si="39"/>
        <v/>
      </c>
      <c r="AX59" s="60" t="str">
        <f t="shared" si="39"/>
        <v/>
      </c>
      <c r="AY59" s="60" t="str">
        <f t="shared" si="39"/>
        <v/>
      </c>
      <c r="AZ59" s="60" t="str">
        <f t="shared" si="39"/>
        <v/>
      </c>
      <c r="BA59" s="60" t="str">
        <f t="shared" si="39"/>
        <v/>
      </c>
      <c r="BB59" s="60" t="str">
        <f t="shared" si="40"/>
        <v/>
      </c>
      <c r="BC59" s="60" t="str">
        <f t="shared" si="40"/>
        <v/>
      </c>
      <c r="BD59" s="60" t="str">
        <f t="shared" si="40"/>
        <v/>
      </c>
      <c r="BE59" s="60" t="str">
        <f t="shared" si="40"/>
        <v/>
      </c>
      <c r="BF59" s="60" t="str">
        <f t="shared" si="40"/>
        <v/>
      </c>
      <c r="BG59" s="60" t="str">
        <f t="shared" si="40"/>
        <v/>
      </c>
      <c r="BH59" s="60" t="str">
        <f t="shared" si="40"/>
        <v/>
      </c>
      <c r="BI59" s="60" t="str">
        <f t="shared" si="40"/>
        <v/>
      </c>
      <c r="BJ59" s="60" t="str">
        <f t="shared" si="40"/>
        <v/>
      </c>
      <c r="BK59" s="60" t="str">
        <f t="shared" si="40"/>
        <v/>
      </c>
      <c r="BL59" s="60" t="str">
        <f t="shared" si="40"/>
        <v/>
      </c>
      <c r="BM59" s="60" t="str">
        <f t="shared" si="40"/>
        <v/>
      </c>
      <c r="BN59" s="60" t="str">
        <f t="shared" si="40"/>
        <v/>
      </c>
      <c r="BO59" s="60" t="str">
        <f t="shared" si="40"/>
        <v/>
      </c>
      <c r="BP59" s="60" t="str">
        <f t="shared" si="40"/>
        <v/>
      </c>
      <c r="BQ59" s="60" t="str">
        <f t="shared" si="40"/>
        <v/>
      </c>
      <c r="BR59" s="60" t="str">
        <f t="shared" si="41"/>
        <v/>
      </c>
      <c r="BS59" s="60" t="str">
        <f t="shared" si="41"/>
        <v/>
      </c>
      <c r="BT59" s="60" t="str">
        <f t="shared" si="41"/>
        <v/>
      </c>
      <c r="BU59" s="60" t="str">
        <f t="shared" si="41"/>
        <v/>
      </c>
      <c r="BV59" s="60" t="str">
        <f t="shared" si="41"/>
        <v/>
      </c>
      <c r="BW59" s="60" t="str">
        <f t="shared" si="41"/>
        <v/>
      </c>
      <c r="BX59" s="60" t="str">
        <f t="shared" si="41"/>
        <v/>
      </c>
      <c r="BY59" s="60" t="str">
        <f t="shared" si="41"/>
        <v/>
      </c>
      <c r="BZ59" s="60" t="str">
        <f t="shared" si="41"/>
        <v/>
      </c>
      <c r="CA59" s="60" t="str">
        <f t="shared" si="41"/>
        <v/>
      </c>
      <c r="CB59" s="60" t="str">
        <f t="shared" si="41"/>
        <v/>
      </c>
      <c r="CC59" s="60" t="str">
        <f t="shared" si="41"/>
        <v/>
      </c>
      <c r="CD59" s="60" t="str">
        <f t="shared" si="41"/>
        <v/>
      </c>
      <c r="CE59" s="60" t="str">
        <f t="shared" si="41"/>
        <v/>
      </c>
      <c r="CF59" s="60" t="str">
        <f t="shared" si="41"/>
        <v/>
      </c>
      <c r="CG59" s="60" t="str">
        <f t="shared" si="41"/>
        <v/>
      </c>
      <c r="CH59" s="60" t="str">
        <f t="shared" si="42"/>
        <v/>
      </c>
      <c r="CI59" s="60" t="str">
        <f t="shared" si="42"/>
        <v/>
      </c>
      <c r="CJ59" s="60" t="str">
        <f t="shared" si="42"/>
        <v/>
      </c>
      <c r="CK59" s="60" t="str">
        <f t="shared" si="42"/>
        <v/>
      </c>
      <c r="CL59" s="60" t="str">
        <f t="shared" si="42"/>
        <v/>
      </c>
      <c r="CM59" s="60" t="str">
        <f t="shared" si="42"/>
        <v/>
      </c>
      <c r="CN59" s="60" t="str">
        <f t="shared" si="42"/>
        <v/>
      </c>
      <c r="CO59" s="60" t="str">
        <f t="shared" si="42"/>
        <v/>
      </c>
      <c r="CP59" s="60" t="str">
        <f t="shared" si="42"/>
        <v/>
      </c>
      <c r="CQ59" s="60" t="str">
        <f t="shared" si="42"/>
        <v/>
      </c>
      <c r="CR59" s="60" t="str">
        <f t="shared" si="42"/>
        <v/>
      </c>
      <c r="CS59" s="60" t="str">
        <f t="shared" si="42"/>
        <v/>
      </c>
      <c r="CT59" s="60" t="str">
        <f t="shared" si="42"/>
        <v/>
      </c>
      <c r="CU59" s="60" t="str">
        <f t="shared" si="42"/>
        <v/>
      </c>
      <c r="CV59" s="60" t="str">
        <f t="shared" si="42"/>
        <v/>
      </c>
      <c r="CW59" s="60" t="str">
        <f t="shared" si="42"/>
        <v/>
      </c>
      <c r="CX59" s="60" t="str">
        <f t="shared" si="43"/>
        <v/>
      </c>
      <c r="CY59" s="60" t="str">
        <f t="shared" si="43"/>
        <v/>
      </c>
      <c r="CZ59" s="60" t="str">
        <f t="shared" si="43"/>
        <v/>
      </c>
      <c r="DA59" s="60" t="str">
        <f t="shared" si="43"/>
        <v/>
      </c>
      <c r="DB59" s="60" t="str">
        <f t="shared" si="43"/>
        <v/>
      </c>
      <c r="DC59" s="60" t="str">
        <f t="shared" si="43"/>
        <v/>
      </c>
      <c r="DD59" s="60" t="str">
        <f t="shared" si="43"/>
        <v/>
      </c>
      <c r="DE59" s="61" t="str">
        <f t="shared" si="43"/>
        <v/>
      </c>
    </row>
    <row r="60" spans="2:109" ht="17" thickBot="1" x14ac:dyDescent="0.25">
      <c r="C60" s="87">
        <f>SUM(C45:C59)</f>
        <v>0</v>
      </c>
      <c r="D60" s="88">
        <f>SUM(D45:D59)</f>
        <v>0</v>
      </c>
      <c r="E60" s="139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</row>
    <row r="61" spans="2:109" x14ac:dyDescent="0.2">
      <c r="E61" s="139"/>
      <c r="F61" s="140"/>
      <c r="G61" s="141"/>
      <c r="H61" s="142"/>
      <c r="I61" s="142"/>
      <c r="J61" s="142"/>
      <c r="K61" s="142"/>
      <c r="L61" s="142"/>
      <c r="M61" s="142"/>
      <c r="N61" s="142"/>
      <c r="O61" s="142"/>
      <c r="P61" s="140"/>
    </row>
  </sheetData>
  <mergeCells count="114">
    <mergeCell ref="DA23:DE23"/>
    <mergeCell ref="CB23:CF23"/>
    <mergeCell ref="CG23:CK23"/>
    <mergeCell ref="CL23:CP23"/>
    <mergeCell ref="CQ23:CU23"/>
    <mergeCell ref="CV23:CZ23"/>
    <mergeCell ref="DA2:DE2"/>
    <mergeCell ref="E23:I23"/>
    <mergeCell ref="J23:N23"/>
    <mergeCell ref="O23:S23"/>
    <mergeCell ref="T23:X23"/>
    <mergeCell ref="Y23:AC23"/>
    <mergeCell ref="AD23:AH23"/>
    <mergeCell ref="AI23:AM23"/>
    <mergeCell ref="AN23:AR23"/>
    <mergeCell ref="AS23:AW23"/>
    <mergeCell ref="AX23:BB23"/>
    <mergeCell ref="BC23:BG23"/>
    <mergeCell ref="BH23:BL23"/>
    <mergeCell ref="BM23:BQ23"/>
    <mergeCell ref="BR23:BV23"/>
    <mergeCell ref="BW23:CA23"/>
    <mergeCell ref="CB2:CF2"/>
    <mergeCell ref="CG2:CK2"/>
    <mergeCell ref="CL2:CP2"/>
    <mergeCell ref="CQ2:CU2"/>
    <mergeCell ref="CV2:CZ2"/>
    <mergeCell ref="BC2:BG2"/>
    <mergeCell ref="BH2:BL2"/>
    <mergeCell ref="BM2:BQ2"/>
    <mergeCell ref="BR2:BV2"/>
    <mergeCell ref="BW2:CA2"/>
    <mergeCell ref="AD2:AH2"/>
    <mergeCell ref="AI2:AM2"/>
    <mergeCell ref="AN2:AR2"/>
    <mergeCell ref="AS2:AW2"/>
    <mergeCell ref="AX2:BB2"/>
    <mergeCell ref="E2:I2"/>
    <mergeCell ref="J2:N2"/>
    <mergeCell ref="O2:S2"/>
    <mergeCell ref="T2:X2"/>
    <mergeCell ref="Y2:AC2"/>
    <mergeCell ref="B18:D18"/>
    <mergeCell ref="B2:D2"/>
    <mergeCell ref="B3:D5"/>
    <mergeCell ref="B6:D6"/>
    <mergeCell ref="B7:D7"/>
    <mergeCell ref="B9:D9"/>
    <mergeCell ref="B10:D10"/>
    <mergeCell ref="E3:I3"/>
    <mergeCell ref="J3:N3"/>
    <mergeCell ref="O3:S3"/>
    <mergeCell ref="T3:X3"/>
    <mergeCell ref="Y3:AC3"/>
    <mergeCell ref="B41:D41"/>
    <mergeCell ref="B42:D42"/>
    <mergeCell ref="B28:D28"/>
    <mergeCell ref="B30:D30"/>
    <mergeCell ref="B31:D31"/>
    <mergeCell ref="B34:D34"/>
    <mergeCell ref="B35:D35"/>
    <mergeCell ref="B36:D36"/>
    <mergeCell ref="AD3:AH3"/>
    <mergeCell ref="B37:D37"/>
    <mergeCell ref="B38:D38"/>
    <mergeCell ref="B39:D39"/>
    <mergeCell ref="B40:D40"/>
    <mergeCell ref="B19:D19"/>
    <mergeCell ref="B20:D20"/>
    <mergeCell ref="B21:D21"/>
    <mergeCell ref="B23:D23"/>
    <mergeCell ref="B24:D26"/>
    <mergeCell ref="B27:D27"/>
    <mergeCell ref="B13:D13"/>
    <mergeCell ref="B14:D14"/>
    <mergeCell ref="B15:D15"/>
    <mergeCell ref="B16:D16"/>
    <mergeCell ref="B17:D17"/>
    <mergeCell ref="CL3:CP3"/>
    <mergeCell ref="AI3:AM3"/>
    <mergeCell ref="AN3:AR3"/>
    <mergeCell ref="AS3:AW3"/>
    <mergeCell ref="AX3:BB3"/>
    <mergeCell ref="BC3:BG3"/>
    <mergeCell ref="BH3:BL3"/>
    <mergeCell ref="BM24:BQ24"/>
    <mergeCell ref="CQ3:CU3"/>
    <mergeCell ref="CG24:CK24"/>
    <mergeCell ref="CL24:CP24"/>
    <mergeCell ref="CQ24:CU24"/>
    <mergeCell ref="CV3:CZ3"/>
    <mergeCell ref="DA3:DE3"/>
    <mergeCell ref="E24:I24"/>
    <mergeCell ref="J24:N24"/>
    <mergeCell ref="O24:S24"/>
    <mergeCell ref="T24:X24"/>
    <mergeCell ref="Y24:AC24"/>
    <mergeCell ref="AD24:AH24"/>
    <mergeCell ref="AI24:AM24"/>
    <mergeCell ref="BM3:BQ3"/>
    <mergeCell ref="BR3:BV3"/>
    <mergeCell ref="BW3:CA3"/>
    <mergeCell ref="CB3:CF3"/>
    <mergeCell ref="CG3:CK3"/>
    <mergeCell ref="AN24:AR24"/>
    <mergeCell ref="AS24:AW24"/>
    <mergeCell ref="AX24:BB24"/>
    <mergeCell ref="BC24:BG24"/>
    <mergeCell ref="BH24:BL24"/>
    <mergeCell ref="CV24:CZ24"/>
    <mergeCell ref="DA24:DE24"/>
    <mergeCell ref="BR24:BV24"/>
    <mergeCell ref="BW24:CA24"/>
    <mergeCell ref="CB24:CF24"/>
  </mergeCells>
  <conditionalFormatting sqref="E6:BV6">
    <cfRule type="containsText" dxfId="1068" priority="203" operator="containsText" text="BLOCKED">
      <formula>NOT(ISERROR(SEARCH("BLOCKED",E6)))</formula>
    </cfRule>
  </conditionalFormatting>
  <conditionalFormatting sqref="BX6:CO6 CQ6:DE6">
    <cfRule type="containsText" dxfId="1067" priority="204" operator="containsText" text="BLOCKED">
      <formula>NOT(ISERROR(SEARCH("BLOCKED",BX6)))</formula>
    </cfRule>
  </conditionalFormatting>
  <conditionalFormatting sqref="E27:BV27">
    <cfRule type="containsText" dxfId="1066" priority="201" operator="containsText" text="BLOCKED">
      <formula>NOT(ISERROR(SEARCH("BLOCKED",E27)))</formula>
    </cfRule>
  </conditionalFormatting>
  <conditionalFormatting sqref="BX27:CO27 CQ27:DE27">
    <cfRule type="containsText" dxfId="1065" priority="202" operator="containsText" text="BLOCKED">
      <formula>NOT(ISERROR(SEARCH("BLOCKED",BX27)))</formula>
    </cfRule>
  </conditionalFormatting>
  <conditionalFormatting sqref="F11:AJ11 AL11:BD11 BF11:BJ11 BM11:DE11">
    <cfRule type="containsText" dxfId="1064" priority="191" operator="containsText" text="BLOCKED">
      <formula>NOT(ISERROR(SEARCH("BLOCKED",F11)))</formula>
    </cfRule>
  </conditionalFormatting>
  <conditionalFormatting sqref="F11:AJ11 AL11:BD11 BF11:BJ11 BM11:DE11">
    <cfRule type="containsText" dxfId="1063" priority="192" operator="containsText" text="Eksamen">
      <formula>NOT(ISERROR(SEARCH("Eksamen",F11)))</formula>
    </cfRule>
    <cfRule type="containsText" dxfId="1062" priority="193" operator="containsText" text="Øvelser">
      <formula>NOT(ISERROR(SEARCH("Øvelser",F11)))</formula>
    </cfRule>
    <cfRule type="containsText" dxfId="1061" priority="194" operator="containsText" text="FORET_ARK">
      <formula>NOT(ISERROR(SEARCH("FORET_ARK",F11)))</formula>
    </cfRule>
    <cfRule type="containsText" dxfId="1060" priority="195" operator="containsText" text="DATA_ARK">
      <formula>NOT(ISERROR(SEARCH("DATA_ARK",F11)))</formula>
    </cfRule>
    <cfRule type="containsText" dxfId="1059" priority="196" operator="containsText" text="DRIFT ANALYSE">
      <formula>NOT(ISERROR(SEARCH("DRIFT ANALYSE",F11)))</formula>
    </cfRule>
    <cfRule type="containsText" dxfId="1058" priority="197" operator="containsText" text="PROJ_STYR">
      <formula>NOT(ISERROR(SEARCH("PROJ_STYR",F11)))</formula>
    </cfRule>
    <cfRule type="containsText" dxfId="1057" priority="198" operator="containsText" text="Coaching">
      <formula>NOT(ISERROR(SEARCH("Coaching",F11)))</formula>
    </cfRule>
    <cfRule type="containsText" dxfId="1056" priority="199" operator="containsText" text="CasePræs">
      <formula>NOT(ISERROR(SEARCH("CasePræs",F11)))</formula>
    </cfRule>
    <cfRule type="containsText" dxfId="1055" priority="200" operator="containsText" text="Feedback">
      <formula>NOT(ISERROR(SEARCH("Feedback",F11)))</formula>
    </cfRule>
  </conditionalFormatting>
  <conditionalFormatting sqref="F11:AJ11 AL11:BD11 BF11:BJ11 BM11:DE11">
    <cfRule type="expression" dxfId="1054" priority="189">
      <formula>INDIRECT("R5C" &amp; COLUMN(),FALSE)="BLOCKED"</formula>
    </cfRule>
  </conditionalFormatting>
  <conditionalFormatting sqref="E32:N32">
    <cfRule type="containsText" dxfId="1053" priority="167" operator="containsText" text="BLOCKED">
      <formula>NOT(ISERROR(SEARCH("BLOCKED",E32)))</formula>
    </cfRule>
  </conditionalFormatting>
  <conditionalFormatting sqref="E32:N32">
    <cfRule type="containsText" dxfId="1052" priority="168" operator="containsText" text="Eksamen">
      <formula>NOT(ISERROR(SEARCH("Eksamen",E32)))</formula>
    </cfRule>
    <cfRule type="containsText" dxfId="1051" priority="169" operator="containsText" text="Øvelser">
      <formula>NOT(ISERROR(SEARCH("Øvelser",E32)))</formula>
    </cfRule>
    <cfRule type="containsText" dxfId="1050" priority="170" operator="containsText" text="FORET_ARK">
      <formula>NOT(ISERROR(SEARCH("FORET_ARK",E32)))</formula>
    </cfRule>
    <cfRule type="containsText" dxfId="1049" priority="171" operator="containsText" text="DATA_ARK">
      <formula>NOT(ISERROR(SEARCH("DATA_ARK",E32)))</formula>
    </cfRule>
    <cfRule type="containsText" dxfId="1048" priority="172" operator="containsText" text="DRIFT ANALYSE">
      <formula>NOT(ISERROR(SEARCH("DRIFT ANALYSE",E32)))</formula>
    </cfRule>
    <cfRule type="containsText" dxfId="1047" priority="173" operator="containsText" text="PROJ_STYR">
      <formula>NOT(ISERROR(SEARCH("PROJ_STYR",E32)))</formula>
    </cfRule>
    <cfRule type="containsText" dxfId="1046" priority="174" operator="containsText" text="Coaching">
      <formula>NOT(ISERROR(SEARCH("Coaching",E32)))</formula>
    </cfRule>
    <cfRule type="containsText" dxfId="1045" priority="175" operator="containsText" text="CasePræs">
      <formula>NOT(ISERROR(SEARCH("CasePræs",E32)))</formula>
    </cfRule>
    <cfRule type="containsText" dxfId="1044" priority="176" operator="containsText" text="Feedback">
      <formula>NOT(ISERROR(SEARCH("Feedback",E32)))</formula>
    </cfRule>
  </conditionalFormatting>
  <conditionalFormatting sqref="E32:N32">
    <cfRule type="expression" dxfId="1043" priority="166">
      <formula>INDIRECT("R5C" &amp; COLUMN(),FALSE)="BLOCKED"</formula>
    </cfRule>
  </conditionalFormatting>
  <conditionalFormatting sqref="O32:X32">
    <cfRule type="containsText" dxfId="1042" priority="156" operator="containsText" text="BLOCKED">
      <formula>NOT(ISERROR(SEARCH("BLOCKED",O32)))</formula>
    </cfRule>
  </conditionalFormatting>
  <conditionalFormatting sqref="O32:X32">
    <cfRule type="containsText" dxfId="1041" priority="157" operator="containsText" text="Eksamen">
      <formula>NOT(ISERROR(SEARCH("Eksamen",O32)))</formula>
    </cfRule>
    <cfRule type="containsText" dxfId="1040" priority="158" operator="containsText" text="Øvelser">
      <formula>NOT(ISERROR(SEARCH("Øvelser",O32)))</formula>
    </cfRule>
    <cfRule type="containsText" dxfId="1039" priority="159" operator="containsText" text="FORET_ARK">
      <formula>NOT(ISERROR(SEARCH("FORET_ARK",O32)))</formula>
    </cfRule>
    <cfRule type="containsText" dxfId="1038" priority="160" operator="containsText" text="DATA_ARK">
      <formula>NOT(ISERROR(SEARCH("DATA_ARK",O32)))</formula>
    </cfRule>
    <cfRule type="containsText" dxfId="1037" priority="161" operator="containsText" text="DRIFT ANALYSE">
      <formula>NOT(ISERROR(SEARCH("DRIFT ANALYSE",O32)))</formula>
    </cfRule>
    <cfRule type="containsText" dxfId="1036" priority="162" operator="containsText" text="PROJ_STYR">
      <formula>NOT(ISERROR(SEARCH("PROJ_STYR",O32)))</formula>
    </cfRule>
    <cfRule type="containsText" dxfId="1035" priority="163" operator="containsText" text="Coaching">
      <formula>NOT(ISERROR(SEARCH("Coaching",O32)))</formula>
    </cfRule>
    <cfRule type="containsText" dxfId="1034" priority="164" operator="containsText" text="CasePræs">
      <formula>NOT(ISERROR(SEARCH("CasePræs",O32)))</formula>
    </cfRule>
    <cfRule type="containsText" dxfId="1033" priority="165" operator="containsText" text="Feedback">
      <formula>NOT(ISERROR(SEARCH("Feedback",O32)))</formula>
    </cfRule>
  </conditionalFormatting>
  <conditionalFormatting sqref="O32:X32">
    <cfRule type="expression" dxfId="1032" priority="155">
      <formula>INDIRECT("R5C" &amp; COLUMN(),FALSE)="BLOCKED"</formula>
    </cfRule>
  </conditionalFormatting>
  <conditionalFormatting sqref="Y32:AH32">
    <cfRule type="containsText" dxfId="1031" priority="145" operator="containsText" text="BLOCKED">
      <formula>NOT(ISERROR(SEARCH("BLOCKED",Y32)))</formula>
    </cfRule>
  </conditionalFormatting>
  <conditionalFormatting sqref="Y32:AH32">
    <cfRule type="containsText" dxfId="1030" priority="146" operator="containsText" text="Eksamen">
      <formula>NOT(ISERROR(SEARCH("Eksamen",Y32)))</formula>
    </cfRule>
    <cfRule type="containsText" dxfId="1029" priority="147" operator="containsText" text="Øvelser">
      <formula>NOT(ISERROR(SEARCH("Øvelser",Y32)))</formula>
    </cfRule>
    <cfRule type="containsText" dxfId="1028" priority="148" operator="containsText" text="FORET_ARK">
      <formula>NOT(ISERROR(SEARCH("FORET_ARK",Y32)))</formula>
    </cfRule>
    <cfRule type="containsText" dxfId="1027" priority="149" operator="containsText" text="DATA_ARK">
      <formula>NOT(ISERROR(SEARCH("DATA_ARK",Y32)))</formula>
    </cfRule>
    <cfRule type="containsText" dxfId="1026" priority="150" operator="containsText" text="DRIFT ANALYSE">
      <formula>NOT(ISERROR(SEARCH("DRIFT ANALYSE",Y32)))</formula>
    </cfRule>
    <cfRule type="containsText" dxfId="1025" priority="151" operator="containsText" text="PROJ_STYR">
      <formula>NOT(ISERROR(SEARCH("PROJ_STYR",Y32)))</formula>
    </cfRule>
    <cfRule type="containsText" dxfId="1024" priority="152" operator="containsText" text="Coaching">
      <formula>NOT(ISERROR(SEARCH("Coaching",Y32)))</formula>
    </cfRule>
    <cfRule type="containsText" dxfId="1023" priority="153" operator="containsText" text="CasePræs">
      <formula>NOT(ISERROR(SEARCH("CasePræs",Y32)))</formula>
    </cfRule>
    <cfRule type="containsText" dxfId="1022" priority="154" operator="containsText" text="Feedback">
      <formula>NOT(ISERROR(SEARCH("Feedback",Y32)))</formula>
    </cfRule>
  </conditionalFormatting>
  <conditionalFormatting sqref="Y32:AH32">
    <cfRule type="expression" dxfId="1021" priority="144">
      <formula>INDIRECT("R5C" &amp; COLUMN(),FALSE)="BLOCKED"</formula>
    </cfRule>
  </conditionalFormatting>
  <conditionalFormatting sqref="AI32:AR32">
    <cfRule type="containsText" dxfId="1020" priority="134" operator="containsText" text="BLOCKED">
      <formula>NOT(ISERROR(SEARCH("BLOCKED",AI32)))</formula>
    </cfRule>
  </conditionalFormatting>
  <conditionalFormatting sqref="AI32:AR32">
    <cfRule type="containsText" dxfId="1019" priority="135" operator="containsText" text="Eksamen">
      <formula>NOT(ISERROR(SEARCH("Eksamen",AI32)))</formula>
    </cfRule>
    <cfRule type="containsText" dxfId="1018" priority="136" operator="containsText" text="Øvelser">
      <formula>NOT(ISERROR(SEARCH("Øvelser",AI32)))</formula>
    </cfRule>
    <cfRule type="containsText" dxfId="1017" priority="137" operator="containsText" text="FORET_ARK">
      <formula>NOT(ISERROR(SEARCH("FORET_ARK",AI32)))</formula>
    </cfRule>
    <cfRule type="containsText" dxfId="1016" priority="138" operator="containsText" text="DATA_ARK">
      <formula>NOT(ISERROR(SEARCH("DATA_ARK",AI32)))</formula>
    </cfRule>
    <cfRule type="containsText" dxfId="1015" priority="139" operator="containsText" text="DRIFT ANALYSE">
      <formula>NOT(ISERROR(SEARCH("DRIFT ANALYSE",AI32)))</formula>
    </cfRule>
    <cfRule type="containsText" dxfId="1014" priority="140" operator="containsText" text="PROJ_STYR">
      <formula>NOT(ISERROR(SEARCH("PROJ_STYR",AI32)))</formula>
    </cfRule>
    <cfRule type="containsText" dxfId="1013" priority="141" operator="containsText" text="Coaching">
      <formula>NOT(ISERROR(SEARCH("Coaching",AI32)))</formula>
    </cfRule>
    <cfRule type="containsText" dxfId="1012" priority="142" operator="containsText" text="CasePræs">
      <formula>NOT(ISERROR(SEARCH("CasePræs",AI32)))</formula>
    </cfRule>
    <cfRule type="containsText" dxfId="1011" priority="143" operator="containsText" text="Feedback">
      <formula>NOT(ISERROR(SEARCH("Feedback",AI32)))</formula>
    </cfRule>
  </conditionalFormatting>
  <conditionalFormatting sqref="AI32:AR32">
    <cfRule type="expression" dxfId="1010" priority="133">
      <formula>INDIRECT("R5C" &amp; COLUMN(),FALSE)="BLOCKED"</formula>
    </cfRule>
  </conditionalFormatting>
  <conditionalFormatting sqref="AS32:BB32">
    <cfRule type="containsText" dxfId="1009" priority="123" operator="containsText" text="BLOCKED">
      <formula>NOT(ISERROR(SEARCH("BLOCKED",AS32)))</formula>
    </cfRule>
  </conditionalFormatting>
  <conditionalFormatting sqref="AS32:BB32">
    <cfRule type="containsText" dxfId="1008" priority="124" operator="containsText" text="Eksamen">
      <formula>NOT(ISERROR(SEARCH("Eksamen",AS32)))</formula>
    </cfRule>
    <cfRule type="containsText" dxfId="1007" priority="125" operator="containsText" text="Øvelser">
      <formula>NOT(ISERROR(SEARCH("Øvelser",AS32)))</formula>
    </cfRule>
    <cfRule type="containsText" dxfId="1006" priority="126" operator="containsText" text="FORET_ARK">
      <formula>NOT(ISERROR(SEARCH("FORET_ARK",AS32)))</formula>
    </cfRule>
    <cfRule type="containsText" dxfId="1005" priority="127" operator="containsText" text="DATA_ARK">
      <formula>NOT(ISERROR(SEARCH("DATA_ARK",AS32)))</formula>
    </cfRule>
    <cfRule type="containsText" dxfId="1004" priority="128" operator="containsText" text="DRIFT ANALYSE">
      <formula>NOT(ISERROR(SEARCH("DRIFT ANALYSE",AS32)))</formula>
    </cfRule>
    <cfRule type="containsText" dxfId="1003" priority="129" operator="containsText" text="PROJ_STYR">
      <formula>NOT(ISERROR(SEARCH("PROJ_STYR",AS32)))</formula>
    </cfRule>
    <cfRule type="containsText" dxfId="1002" priority="130" operator="containsText" text="Coaching">
      <formula>NOT(ISERROR(SEARCH("Coaching",AS32)))</formula>
    </cfRule>
    <cfRule type="containsText" dxfId="1001" priority="131" operator="containsText" text="CasePræs">
      <formula>NOT(ISERROR(SEARCH("CasePræs",AS32)))</formula>
    </cfRule>
    <cfRule type="containsText" dxfId="1000" priority="132" operator="containsText" text="Feedback">
      <formula>NOT(ISERROR(SEARCH("Feedback",AS32)))</formula>
    </cfRule>
  </conditionalFormatting>
  <conditionalFormatting sqref="AS32:BB32">
    <cfRule type="expression" dxfId="999" priority="122">
      <formula>INDIRECT("R5C" &amp; COLUMN(),FALSE)="BLOCKED"</formula>
    </cfRule>
  </conditionalFormatting>
  <conditionalFormatting sqref="BC32:BL32">
    <cfRule type="containsText" dxfId="998" priority="112" operator="containsText" text="BLOCKED">
      <formula>NOT(ISERROR(SEARCH("BLOCKED",BC32)))</formula>
    </cfRule>
  </conditionalFormatting>
  <conditionalFormatting sqref="BC32:BL32">
    <cfRule type="containsText" dxfId="997" priority="113" operator="containsText" text="Eksamen">
      <formula>NOT(ISERROR(SEARCH("Eksamen",BC32)))</formula>
    </cfRule>
    <cfRule type="containsText" dxfId="996" priority="114" operator="containsText" text="Øvelser">
      <formula>NOT(ISERROR(SEARCH("Øvelser",BC32)))</formula>
    </cfRule>
    <cfRule type="containsText" dxfId="995" priority="115" operator="containsText" text="FORET_ARK">
      <formula>NOT(ISERROR(SEARCH("FORET_ARK",BC32)))</formula>
    </cfRule>
    <cfRule type="containsText" dxfId="994" priority="116" operator="containsText" text="DATA_ARK">
      <formula>NOT(ISERROR(SEARCH("DATA_ARK",BC32)))</formula>
    </cfRule>
    <cfRule type="containsText" dxfId="993" priority="117" operator="containsText" text="DRIFT ANALYSE">
      <formula>NOT(ISERROR(SEARCH("DRIFT ANALYSE",BC32)))</formula>
    </cfRule>
    <cfRule type="containsText" dxfId="992" priority="118" operator="containsText" text="PROJ_STYR">
      <formula>NOT(ISERROR(SEARCH("PROJ_STYR",BC32)))</formula>
    </cfRule>
    <cfRule type="containsText" dxfId="991" priority="119" operator="containsText" text="Coaching">
      <formula>NOT(ISERROR(SEARCH("Coaching",BC32)))</formula>
    </cfRule>
    <cfRule type="containsText" dxfId="990" priority="120" operator="containsText" text="CasePræs">
      <formula>NOT(ISERROR(SEARCH("CasePræs",BC32)))</formula>
    </cfRule>
    <cfRule type="containsText" dxfId="989" priority="121" operator="containsText" text="Feedback">
      <formula>NOT(ISERROR(SEARCH("Feedback",BC32)))</formula>
    </cfRule>
  </conditionalFormatting>
  <conditionalFormatting sqref="BC32:BL32">
    <cfRule type="expression" dxfId="988" priority="111">
      <formula>INDIRECT("R5C" &amp; COLUMN(),FALSE)="BLOCKED"</formula>
    </cfRule>
  </conditionalFormatting>
  <conditionalFormatting sqref="BM32:BV32">
    <cfRule type="containsText" dxfId="987" priority="101" operator="containsText" text="BLOCKED">
      <formula>NOT(ISERROR(SEARCH("BLOCKED",BM32)))</formula>
    </cfRule>
  </conditionalFormatting>
  <conditionalFormatting sqref="BM32:BV32">
    <cfRule type="containsText" dxfId="986" priority="102" operator="containsText" text="Eksamen">
      <formula>NOT(ISERROR(SEARCH("Eksamen",BM32)))</formula>
    </cfRule>
    <cfRule type="containsText" dxfId="985" priority="103" operator="containsText" text="Øvelser">
      <formula>NOT(ISERROR(SEARCH("Øvelser",BM32)))</formula>
    </cfRule>
    <cfRule type="containsText" dxfId="984" priority="104" operator="containsText" text="FORET_ARK">
      <formula>NOT(ISERROR(SEARCH("FORET_ARK",BM32)))</formula>
    </cfRule>
    <cfRule type="containsText" dxfId="983" priority="105" operator="containsText" text="DATA_ARK">
      <formula>NOT(ISERROR(SEARCH("DATA_ARK",BM32)))</formula>
    </cfRule>
    <cfRule type="containsText" dxfId="982" priority="106" operator="containsText" text="DRIFT ANALYSE">
      <formula>NOT(ISERROR(SEARCH("DRIFT ANALYSE",BM32)))</formula>
    </cfRule>
    <cfRule type="containsText" dxfId="981" priority="107" operator="containsText" text="PROJ_STYR">
      <formula>NOT(ISERROR(SEARCH("PROJ_STYR",BM32)))</formula>
    </cfRule>
    <cfRule type="containsText" dxfId="980" priority="108" operator="containsText" text="Coaching">
      <formula>NOT(ISERROR(SEARCH("Coaching",BM32)))</formula>
    </cfRule>
    <cfRule type="containsText" dxfId="979" priority="109" operator="containsText" text="CasePræs">
      <formula>NOT(ISERROR(SEARCH("CasePræs",BM32)))</formula>
    </cfRule>
    <cfRule type="containsText" dxfId="978" priority="110" operator="containsText" text="Feedback">
      <formula>NOT(ISERROR(SEARCH("Feedback",BM32)))</formula>
    </cfRule>
  </conditionalFormatting>
  <conditionalFormatting sqref="BM32:BV32">
    <cfRule type="expression" dxfId="977" priority="100">
      <formula>INDIRECT("R5C" &amp; COLUMN(),FALSE)="BLOCKED"</formula>
    </cfRule>
  </conditionalFormatting>
  <conditionalFormatting sqref="BW32:CF32">
    <cfRule type="containsText" dxfId="976" priority="90" operator="containsText" text="BLOCKED">
      <formula>NOT(ISERROR(SEARCH("BLOCKED",BW32)))</formula>
    </cfRule>
  </conditionalFormatting>
  <conditionalFormatting sqref="BW32:CF32">
    <cfRule type="containsText" dxfId="975" priority="91" operator="containsText" text="Eksamen">
      <formula>NOT(ISERROR(SEARCH("Eksamen",BW32)))</formula>
    </cfRule>
    <cfRule type="containsText" dxfId="974" priority="92" operator="containsText" text="Øvelser">
      <formula>NOT(ISERROR(SEARCH("Øvelser",BW32)))</formula>
    </cfRule>
    <cfRule type="containsText" dxfId="973" priority="93" operator="containsText" text="FORET_ARK">
      <formula>NOT(ISERROR(SEARCH("FORET_ARK",BW32)))</formula>
    </cfRule>
    <cfRule type="containsText" dxfId="972" priority="94" operator="containsText" text="DATA_ARK">
      <formula>NOT(ISERROR(SEARCH("DATA_ARK",BW32)))</formula>
    </cfRule>
    <cfRule type="containsText" dxfId="971" priority="95" operator="containsText" text="DRIFT ANALYSE">
      <formula>NOT(ISERROR(SEARCH("DRIFT ANALYSE",BW32)))</formula>
    </cfRule>
    <cfRule type="containsText" dxfId="970" priority="96" operator="containsText" text="PROJ_STYR">
      <formula>NOT(ISERROR(SEARCH("PROJ_STYR",BW32)))</formula>
    </cfRule>
    <cfRule type="containsText" dxfId="969" priority="97" operator="containsText" text="Coaching">
      <formula>NOT(ISERROR(SEARCH("Coaching",BW32)))</formula>
    </cfRule>
    <cfRule type="containsText" dxfId="968" priority="98" operator="containsText" text="CasePræs">
      <formula>NOT(ISERROR(SEARCH("CasePræs",BW32)))</formula>
    </cfRule>
    <cfRule type="containsText" dxfId="967" priority="99" operator="containsText" text="Feedback">
      <formula>NOT(ISERROR(SEARCH("Feedback",BW32)))</formula>
    </cfRule>
  </conditionalFormatting>
  <conditionalFormatting sqref="BW32:CF32">
    <cfRule type="expression" dxfId="966" priority="89">
      <formula>INDIRECT("R5C" &amp; COLUMN(),FALSE)="BLOCKED"</formula>
    </cfRule>
  </conditionalFormatting>
  <conditionalFormatting sqref="CG32:CP32">
    <cfRule type="containsText" dxfId="965" priority="79" operator="containsText" text="BLOCKED">
      <formula>NOT(ISERROR(SEARCH("BLOCKED",CG32)))</formula>
    </cfRule>
  </conditionalFormatting>
  <conditionalFormatting sqref="CG32:CP32">
    <cfRule type="containsText" dxfId="964" priority="80" operator="containsText" text="Eksamen">
      <formula>NOT(ISERROR(SEARCH("Eksamen",CG32)))</formula>
    </cfRule>
    <cfRule type="containsText" dxfId="963" priority="81" operator="containsText" text="Øvelser">
      <formula>NOT(ISERROR(SEARCH("Øvelser",CG32)))</formula>
    </cfRule>
    <cfRule type="containsText" dxfId="962" priority="82" operator="containsText" text="FORET_ARK">
      <formula>NOT(ISERROR(SEARCH("FORET_ARK",CG32)))</formula>
    </cfRule>
    <cfRule type="containsText" dxfId="961" priority="83" operator="containsText" text="DATA_ARK">
      <formula>NOT(ISERROR(SEARCH("DATA_ARK",CG32)))</formula>
    </cfRule>
    <cfRule type="containsText" dxfId="960" priority="84" operator="containsText" text="DRIFT ANALYSE">
      <formula>NOT(ISERROR(SEARCH("DRIFT ANALYSE",CG32)))</formula>
    </cfRule>
    <cfRule type="containsText" dxfId="959" priority="85" operator="containsText" text="PROJ_STYR">
      <formula>NOT(ISERROR(SEARCH("PROJ_STYR",CG32)))</formula>
    </cfRule>
    <cfRule type="containsText" dxfId="958" priority="86" operator="containsText" text="Coaching">
      <formula>NOT(ISERROR(SEARCH("Coaching",CG32)))</formula>
    </cfRule>
    <cfRule type="containsText" dxfId="957" priority="87" operator="containsText" text="CasePræs">
      <formula>NOT(ISERROR(SEARCH("CasePræs",CG32)))</formula>
    </cfRule>
    <cfRule type="containsText" dxfId="956" priority="88" operator="containsText" text="Feedback">
      <formula>NOT(ISERROR(SEARCH("Feedback",CG32)))</formula>
    </cfRule>
  </conditionalFormatting>
  <conditionalFormatting sqref="CG32:CP32">
    <cfRule type="expression" dxfId="955" priority="78">
      <formula>INDIRECT("R5C" &amp; COLUMN(),FALSE)="BLOCKED"</formula>
    </cfRule>
  </conditionalFormatting>
  <conditionalFormatting sqref="CQ32:CZ32">
    <cfRule type="containsText" dxfId="954" priority="68" operator="containsText" text="BLOCKED">
      <formula>NOT(ISERROR(SEARCH("BLOCKED",CQ32)))</formula>
    </cfRule>
  </conditionalFormatting>
  <conditionalFormatting sqref="CQ32:CZ32">
    <cfRule type="containsText" dxfId="953" priority="69" operator="containsText" text="Eksamen">
      <formula>NOT(ISERROR(SEARCH("Eksamen",CQ32)))</formula>
    </cfRule>
    <cfRule type="containsText" dxfId="952" priority="70" operator="containsText" text="Øvelser">
      <formula>NOT(ISERROR(SEARCH("Øvelser",CQ32)))</formula>
    </cfRule>
    <cfRule type="containsText" dxfId="951" priority="71" operator="containsText" text="FORET_ARK">
      <formula>NOT(ISERROR(SEARCH("FORET_ARK",CQ32)))</formula>
    </cfRule>
    <cfRule type="containsText" dxfId="950" priority="72" operator="containsText" text="DATA_ARK">
      <formula>NOT(ISERROR(SEARCH("DATA_ARK",CQ32)))</formula>
    </cfRule>
    <cfRule type="containsText" dxfId="949" priority="73" operator="containsText" text="DRIFT ANALYSE">
      <formula>NOT(ISERROR(SEARCH("DRIFT ANALYSE",CQ32)))</formula>
    </cfRule>
    <cfRule type="containsText" dxfId="948" priority="74" operator="containsText" text="PROJ_STYR">
      <formula>NOT(ISERROR(SEARCH("PROJ_STYR",CQ32)))</formula>
    </cfRule>
    <cfRule type="containsText" dxfId="947" priority="75" operator="containsText" text="Coaching">
      <formula>NOT(ISERROR(SEARCH("Coaching",CQ32)))</formula>
    </cfRule>
    <cfRule type="containsText" dxfId="946" priority="76" operator="containsText" text="CasePræs">
      <formula>NOT(ISERROR(SEARCH("CasePræs",CQ32)))</formula>
    </cfRule>
    <cfRule type="containsText" dxfId="945" priority="77" operator="containsText" text="Feedback">
      <formula>NOT(ISERROR(SEARCH("Feedback",CQ32)))</formula>
    </cfRule>
  </conditionalFormatting>
  <conditionalFormatting sqref="CQ32:CZ32">
    <cfRule type="expression" dxfId="944" priority="67">
      <formula>INDIRECT("R5C" &amp; COLUMN(),FALSE)="BLOCKED"</formula>
    </cfRule>
  </conditionalFormatting>
  <conditionalFormatting sqref="DA32:DE32">
    <cfRule type="containsText" dxfId="943" priority="57" operator="containsText" text="BLOCKED">
      <formula>NOT(ISERROR(SEARCH("BLOCKED",DA32)))</formula>
    </cfRule>
  </conditionalFormatting>
  <conditionalFormatting sqref="DA32:DE32">
    <cfRule type="containsText" dxfId="942" priority="58" operator="containsText" text="Eksamen">
      <formula>NOT(ISERROR(SEARCH("Eksamen",DA32)))</formula>
    </cfRule>
    <cfRule type="containsText" dxfId="941" priority="59" operator="containsText" text="Øvelser">
      <formula>NOT(ISERROR(SEARCH("Øvelser",DA32)))</formula>
    </cfRule>
    <cfRule type="containsText" dxfId="940" priority="60" operator="containsText" text="FORET_ARK">
      <formula>NOT(ISERROR(SEARCH("FORET_ARK",DA32)))</formula>
    </cfRule>
    <cfRule type="containsText" dxfId="939" priority="61" operator="containsText" text="DATA_ARK">
      <formula>NOT(ISERROR(SEARCH("DATA_ARK",DA32)))</formula>
    </cfRule>
    <cfRule type="containsText" dxfId="938" priority="62" operator="containsText" text="DRIFT ANALYSE">
      <formula>NOT(ISERROR(SEARCH("DRIFT ANALYSE",DA32)))</formula>
    </cfRule>
    <cfRule type="containsText" dxfId="937" priority="63" operator="containsText" text="PROJ_STYR">
      <formula>NOT(ISERROR(SEARCH("PROJ_STYR",DA32)))</formula>
    </cfRule>
    <cfRule type="containsText" dxfId="936" priority="64" operator="containsText" text="Coaching">
      <formula>NOT(ISERROR(SEARCH("Coaching",DA32)))</formula>
    </cfRule>
    <cfRule type="containsText" dxfId="935" priority="65" operator="containsText" text="CasePræs">
      <formula>NOT(ISERROR(SEARCH("CasePræs",DA32)))</formula>
    </cfRule>
    <cfRule type="containsText" dxfId="934" priority="66" operator="containsText" text="Feedback">
      <formula>NOT(ISERROR(SEARCH("Feedback",DA32)))</formula>
    </cfRule>
  </conditionalFormatting>
  <conditionalFormatting sqref="DA32:DE32">
    <cfRule type="expression" dxfId="933" priority="56">
      <formula>INDIRECT("R5C" &amp; COLUMN(),FALSE)="BLOCKED"</formula>
    </cfRule>
  </conditionalFormatting>
  <conditionalFormatting sqref="E11">
    <cfRule type="containsText" dxfId="932" priority="46" operator="containsText" text="BLOCKED">
      <formula>NOT(ISERROR(SEARCH("BLOCKED",E11)))</formula>
    </cfRule>
  </conditionalFormatting>
  <conditionalFormatting sqref="E11">
    <cfRule type="containsText" dxfId="931" priority="47" operator="containsText" text="Eksamen">
      <formula>NOT(ISERROR(SEARCH("Eksamen",E11)))</formula>
    </cfRule>
    <cfRule type="containsText" dxfId="930" priority="48" operator="containsText" text="Øvelser">
      <formula>NOT(ISERROR(SEARCH("Øvelser",E11)))</formula>
    </cfRule>
    <cfRule type="containsText" dxfId="929" priority="49" operator="containsText" text="FORET_ARK">
      <formula>NOT(ISERROR(SEARCH("FORET_ARK",E11)))</formula>
    </cfRule>
    <cfRule type="containsText" dxfId="928" priority="50" operator="containsText" text="DATA_ARK">
      <formula>NOT(ISERROR(SEARCH("DATA_ARK",E11)))</formula>
    </cfRule>
    <cfRule type="containsText" dxfId="927" priority="51" operator="containsText" text="DRIFT ANALYSE">
      <formula>NOT(ISERROR(SEARCH("DRIFT ANALYSE",E11)))</formula>
    </cfRule>
    <cfRule type="containsText" dxfId="926" priority="52" operator="containsText" text="PROJ_STYR">
      <formula>NOT(ISERROR(SEARCH("PROJ_STYR",E11)))</formula>
    </cfRule>
    <cfRule type="containsText" dxfId="925" priority="53" operator="containsText" text="Coaching">
      <formula>NOT(ISERROR(SEARCH("Coaching",E11)))</formula>
    </cfRule>
    <cfRule type="containsText" dxfId="924" priority="54" operator="containsText" text="CasePræs">
      <formula>NOT(ISERROR(SEARCH("CasePræs",E11)))</formula>
    </cfRule>
    <cfRule type="containsText" dxfId="923" priority="55" operator="containsText" text="Feedback">
      <formula>NOT(ISERROR(SEARCH("Feedback",E11)))</formula>
    </cfRule>
  </conditionalFormatting>
  <conditionalFormatting sqref="E11">
    <cfRule type="expression" dxfId="922" priority="45">
      <formula>INDIRECT("R5C" &amp; COLUMN(),FALSE)="BLOCKED"</formula>
    </cfRule>
  </conditionalFormatting>
  <conditionalFormatting sqref="AK11">
    <cfRule type="containsText" dxfId="921" priority="35" operator="containsText" text="BLOCKED">
      <formula>NOT(ISERROR(SEARCH("BLOCKED",AK11)))</formula>
    </cfRule>
  </conditionalFormatting>
  <conditionalFormatting sqref="AK11">
    <cfRule type="containsText" dxfId="920" priority="36" operator="containsText" text="Eksamen">
      <formula>NOT(ISERROR(SEARCH("Eksamen",AK11)))</formula>
    </cfRule>
    <cfRule type="containsText" dxfId="919" priority="37" operator="containsText" text="Øvelser">
      <formula>NOT(ISERROR(SEARCH("Øvelser",AK11)))</formula>
    </cfRule>
    <cfRule type="containsText" dxfId="918" priority="38" operator="containsText" text="FORET_ARK">
      <formula>NOT(ISERROR(SEARCH("FORET_ARK",AK11)))</formula>
    </cfRule>
    <cfRule type="containsText" dxfId="917" priority="39" operator="containsText" text="DATA_ARK">
      <formula>NOT(ISERROR(SEARCH("DATA_ARK",AK11)))</formula>
    </cfRule>
    <cfRule type="containsText" dxfId="916" priority="40" operator="containsText" text="DRIFT ANALYSE">
      <formula>NOT(ISERROR(SEARCH("DRIFT ANALYSE",AK11)))</formula>
    </cfRule>
    <cfRule type="containsText" dxfId="915" priority="41" operator="containsText" text="PROJ_STYR">
      <formula>NOT(ISERROR(SEARCH("PROJ_STYR",AK11)))</formula>
    </cfRule>
    <cfRule type="containsText" dxfId="914" priority="42" operator="containsText" text="Coaching">
      <formula>NOT(ISERROR(SEARCH("Coaching",AK11)))</formula>
    </cfRule>
    <cfRule type="containsText" dxfId="913" priority="43" operator="containsText" text="CasePræs">
      <formula>NOT(ISERROR(SEARCH("CasePræs",AK11)))</formula>
    </cfRule>
    <cfRule type="containsText" dxfId="912" priority="44" operator="containsText" text="Feedback">
      <formula>NOT(ISERROR(SEARCH("Feedback",AK11)))</formula>
    </cfRule>
  </conditionalFormatting>
  <conditionalFormatting sqref="AK11">
    <cfRule type="expression" dxfId="911" priority="34">
      <formula>INDIRECT("R5C" &amp; COLUMN(),FALSE)="BLOCKED"</formula>
    </cfRule>
  </conditionalFormatting>
  <conditionalFormatting sqref="BE11">
    <cfRule type="containsText" dxfId="910" priority="24" operator="containsText" text="BLOCKED">
      <formula>NOT(ISERROR(SEARCH("BLOCKED",BE11)))</formula>
    </cfRule>
  </conditionalFormatting>
  <conditionalFormatting sqref="BE11">
    <cfRule type="containsText" dxfId="909" priority="25" operator="containsText" text="Eksamen">
      <formula>NOT(ISERROR(SEARCH("Eksamen",BE11)))</formula>
    </cfRule>
    <cfRule type="containsText" dxfId="908" priority="26" operator="containsText" text="Øvelser">
      <formula>NOT(ISERROR(SEARCH("Øvelser",BE11)))</formula>
    </cfRule>
    <cfRule type="containsText" dxfId="907" priority="27" operator="containsText" text="FORET_ARK">
      <formula>NOT(ISERROR(SEARCH("FORET_ARK",BE11)))</formula>
    </cfRule>
    <cfRule type="containsText" dxfId="906" priority="28" operator="containsText" text="DATA_ARK">
      <formula>NOT(ISERROR(SEARCH("DATA_ARK",BE11)))</formula>
    </cfRule>
    <cfRule type="containsText" dxfId="905" priority="29" operator="containsText" text="DRIFT ANALYSE">
      <formula>NOT(ISERROR(SEARCH("DRIFT ANALYSE",BE11)))</formula>
    </cfRule>
    <cfRule type="containsText" dxfId="904" priority="30" operator="containsText" text="PROJ_STYR">
      <formula>NOT(ISERROR(SEARCH("PROJ_STYR",BE11)))</formula>
    </cfRule>
    <cfRule type="containsText" dxfId="903" priority="31" operator="containsText" text="Coaching">
      <formula>NOT(ISERROR(SEARCH("Coaching",BE11)))</formula>
    </cfRule>
    <cfRule type="containsText" dxfId="902" priority="32" operator="containsText" text="CasePræs">
      <formula>NOT(ISERROR(SEARCH("CasePræs",BE11)))</formula>
    </cfRule>
    <cfRule type="containsText" dxfId="901" priority="33" operator="containsText" text="Feedback">
      <formula>NOT(ISERROR(SEARCH("Feedback",BE11)))</formula>
    </cfRule>
  </conditionalFormatting>
  <conditionalFormatting sqref="BE11">
    <cfRule type="expression" dxfId="900" priority="23">
      <formula>INDIRECT("R5C" &amp; COLUMN(),FALSE)="BLOCKED"</formula>
    </cfRule>
  </conditionalFormatting>
  <conditionalFormatting sqref="BK11:BL11">
    <cfRule type="containsText" dxfId="899" priority="2" operator="containsText" text="BLOCKED">
      <formula>NOT(ISERROR(SEARCH("BLOCKED",BK11)))</formula>
    </cfRule>
  </conditionalFormatting>
  <conditionalFormatting sqref="BK11:BL11">
    <cfRule type="containsText" dxfId="898" priority="3" operator="containsText" text="Eksamen">
      <formula>NOT(ISERROR(SEARCH("Eksamen",BK11)))</formula>
    </cfRule>
    <cfRule type="containsText" dxfId="897" priority="4" operator="containsText" text="Øvelser">
      <formula>NOT(ISERROR(SEARCH("Øvelser",BK11)))</formula>
    </cfRule>
    <cfRule type="containsText" dxfId="896" priority="5" operator="containsText" text="FORET_ARK">
      <formula>NOT(ISERROR(SEARCH("FORET_ARK",BK11)))</formula>
    </cfRule>
    <cfRule type="containsText" dxfId="895" priority="6" operator="containsText" text="DATA_ARK">
      <formula>NOT(ISERROR(SEARCH("DATA_ARK",BK11)))</formula>
    </cfRule>
    <cfRule type="containsText" dxfId="894" priority="7" operator="containsText" text="DRIFT ANALYSE">
      <formula>NOT(ISERROR(SEARCH("DRIFT ANALYSE",BK11)))</formula>
    </cfRule>
    <cfRule type="containsText" dxfId="893" priority="8" operator="containsText" text="PROJ_STYR">
      <formula>NOT(ISERROR(SEARCH("PROJ_STYR",BK11)))</formula>
    </cfRule>
    <cfRule type="containsText" dxfId="892" priority="9" operator="containsText" text="Coaching">
      <formula>NOT(ISERROR(SEARCH("Coaching",BK11)))</formula>
    </cfRule>
    <cfRule type="containsText" dxfId="891" priority="10" operator="containsText" text="CasePræs">
      <formula>NOT(ISERROR(SEARCH("CasePræs",BK11)))</formula>
    </cfRule>
    <cfRule type="containsText" dxfId="890" priority="11" operator="containsText" text="Feedback">
      <formula>NOT(ISERROR(SEARCH("Feedback",BK11)))</formula>
    </cfRule>
  </conditionalFormatting>
  <conditionalFormatting sqref="BK11:BL11">
    <cfRule type="expression" dxfId="889" priority="1">
      <formula>INDIRECT("R5C" &amp; COLUMN(),FALSE)="BLOCKED"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F5860-D0EB-FC40-9D8F-085FCFE62CB6}">
  <sheetPr codeName="Sheet8"/>
  <dimension ref="A1:FI40"/>
  <sheetViews>
    <sheetView workbookViewId="0">
      <pane xSplit="4" topLeftCell="E1" activePane="topRight" state="frozen"/>
      <selection pane="topRight" activeCell="B3" sqref="B3:D5"/>
    </sheetView>
  </sheetViews>
  <sheetFormatPr baseColWidth="10" defaultColWidth="10.83203125" defaultRowHeight="16" x14ac:dyDescent="0.2"/>
  <cols>
    <col min="1" max="1" width="3.83203125" style="134" customWidth="1"/>
    <col min="2" max="109" width="12.83203125" style="134" customWidth="1"/>
    <col min="110" max="16384" width="10.83203125" style="134"/>
  </cols>
  <sheetData>
    <row r="1" spans="1:165" ht="17" thickBot="1" x14ac:dyDescent="0.25"/>
    <row r="2" spans="1:165" ht="17" thickBot="1" x14ac:dyDescent="0.25">
      <c r="B2" s="477"/>
      <c r="C2" s="477"/>
      <c r="D2" s="477"/>
      <c r="E2" s="464" t="str">
        <f>_xlfn.CONCAT("Uge ",_xlfn.ISOWEEKNUM(E5))</f>
        <v>Uge 5</v>
      </c>
      <c r="F2" s="465"/>
      <c r="G2" s="465"/>
      <c r="H2" s="465"/>
      <c r="I2" s="466"/>
      <c r="J2" s="464" t="str">
        <f t="shared" ref="J2" si="0">_xlfn.CONCAT("Uge ",_xlfn.ISOWEEKNUM(J5))</f>
        <v>Uge 6</v>
      </c>
      <c r="K2" s="465"/>
      <c r="L2" s="465"/>
      <c r="M2" s="465"/>
      <c r="N2" s="466"/>
      <c r="O2" s="464" t="str">
        <f t="shared" ref="O2" si="1">_xlfn.CONCAT("Uge ",_xlfn.ISOWEEKNUM(O5))</f>
        <v>Uge 7</v>
      </c>
      <c r="P2" s="465"/>
      <c r="Q2" s="465"/>
      <c r="R2" s="465"/>
      <c r="S2" s="466"/>
      <c r="T2" s="464" t="str">
        <f t="shared" ref="T2" si="2">_xlfn.CONCAT("Uge ",_xlfn.ISOWEEKNUM(T5))</f>
        <v>Uge 8</v>
      </c>
      <c r="U2" s="465"/>
      <c r="V2" s="465"/>
      <c r="W2" s="465"/>
      <c r="X2" s="466"/>
      <c r="Y2" s="464" t="str">
        <f t="shared" ref="Y2" si="3">_xlfn.CONCAT("Uge ",_xlfn.ISOWEEKNUM(Y5))</f>
        <v>Uge 9</v>
      </c>
      <c r="Z2" s="465"/>
      <c r="AA2" s="465"/>
      <c r="AB2" s="465"/>
      <c r="AC2" s="466"/>
      <c r="AD2" s="464" t="str">
        <f t="shared" ref="AD2" si="4">_xlfn.CONCAT("Uge ",_xlfn.ISOWEEKNUM(AD5))</f>
        <v>Uge 10</v>
      </c>
      <c r="AE2" s="465"/>
      <c r="AF2" s="465"/>
      <c r="AG2" s="465"/>
      <c r="AH2" s="466"/>
      <c r="AI2" s="464" t="str">
        <f t="shared" ref="AI2" si="5">_xlfn.CONCAT("Uge ",_xlfn.ISOWEEKNUM(AI5))</f>
        <v>Uge 11</v>
      </c>
      <c r="AJ2" s="465"/>
      <c r="AK2" s="465"/>
      <c r="AL2" s="465"/>
      <c r="AM2" s="466"/>
      <c r="AN2" s="464" t="str">
        <f t="shared" ref="AN2" si="6">_xlfn.CONCAT("Uge ",_xlfn.ISOWEEKNUM(AN5))</f>
        <v>Uge 12</v>
      </c>
      <c r="AO2" s="465"/>
      <c r="AP2" s="465"/>
      <c r="AQ2" s="465"/>
      <c r="AR2" s="466"/>
      <c r="AS2" s="464" t="str">
        <f t="shared" ref="AS2" si="7">_xlfn.CONCAT("Uge ",_xlfn.ISOWEEKNUM(AS5))</f>
        <v>Uge 13</v>
      </c>
      <c r="AT2" s="465"/>
      <c r="AU2" s="465"/>
      <c r="AV2" s="465"/>
      <c r="AW2" s="466"/>
      <c r="AX2" s="464" t="str">
        <f t="shared" ref="AX2" si="8">_xlfn.CONCAT("Uge ",_xlfn.ISOWEEKNUM(AX5))</f>
        <v>Uge 14</v>
      </c>
      <c r="AY2" s="465"/>
      <c r="AZ2" s="465"/>
      <c r="BA2" s="465"/>
      <c r="BB2" s="466"/>
      <c r="BC2" s="464" t="str">
        <f t="shared" ref="BC2" si="9">_xlfn.CONCAT("Uge ",_xlfn.ISOWEEKNUM(BC5))</f>
        <v>Uge 15</v>
      </c>
      <c r="BD2" s="465"/>
      <c r="BE2" s="465"/>
      <c r="BF2" s="465"/>
      <c r="BG2" s="466"/>
      <c r="BH2" s="464" t="str">
        <f t="shared" ref="BH2" si="10">_xlfn.CONCAT("Uge ",_xlfn.ISOWEEKNUM(BH5))</f>
        <v>Uge 16</v>
      </c>
      <c r="BI2" s="465"/>
      <c r="BJ2" s="465"/>
      <c r="BK2" s="465"/>
      <c r="BL2" s="466"/>
      <c r="BM2" s="464" t="str">
        <f t="shared" ref="BM2" si="11">_xlfn.CONCAT("Uge ",_xlfn.ISOWEEKNUM(BM5))</f>
        <v>Uge 17</v>
      </c>
      <c r="BN2" s="465"/>
      <c r="BO2" s="465"/>
      <c r="BP2" s="465"/>
      <c r="BQ2" s="466"/>
      <c r="BR2" s="464" t="str">
        <f t="shared" ref="BR2" si="12">_xlfn.CONCAT("Uge ",_xlfn.ISOWEEKNUM(BR5))</f>
        <v>Uge 18</v>
      </c>
      <c r="BS2" s="465"/>
      <c r="BT2" s="465"/>
      <c r="BU2" s="465"/>
      <c r="BV2" s="466"/>
      <c r="BW2" s="464" t="str">
        <f t="shared" ref="BW2" si="13">_xlfn.CONCAT("Uge ",_xlfn.ISOWEEKNUM(BW5))</f>
        <v>Uge 19</v>
      </c>
      <c r="BX2" s="465"/>
      <c r="BY2" s="465"/>
      <c r="BZ2" s="465"/>
      <c r="CA2" s="466"/>
      <c r="CB2" s="464" t="str">
        <f t="shared" ref="CB2" si="14">_xlfn.CONCAT("Uge ",_xlfn.ISOWEEKNUM(CB5))</f>
        <v>Uge 20</v>
      </c>
      <c r="CC2" s="465"/>
      <c r="CD2" s="465"/>
      <c r="CE2" s="465"/>
      <c r="CF2" s="466"/>
      <c r="CG2" s="464" t="str">
        <f t="shared" ref="CG2" si="15">_xlfn.CONCAT("Uge ",_xlfn.ISOWEEKNUM(CG5))</f>
        <v>Uge 21</v>
      </c>
      <c r="CH2" s="465"/>
      <c r="CI2" s="465"/>
      <c r="CJ2" s="465"/>
      <c r="CK2" s="466"/>
      <c r="CL2" s="464" t="str">
        <f t="shared" ref="CL2" si="16">_xlfn.CONCAT("Uge ",_xlfn.ISOWEEKNUM(CL5))</f>
        <v>Uge 22</v>
      </c>
      <c r="CM2" s="465"/>
      <c r="CN2" s="465"/>
      <c r="CO2" s="465"/>
      <c r="CP2" s="466"/>
      <c r="CQ2" s="464" t="str">
        <f t="shared" ref="CQ2" si="17">_xlfn.CONCAT("Uge ",_xlfn.ISOWEEKNUM(CQ5))</f>
        <v>Uge 23</v>
      </c>
      <c r="CR2" s="465"/>
      <c r="CS2" s="465"/>
      <c r="CT2" s="465"/>
      <c r="CU2" s="466"/>
      <c r="CV2" s="464" t="str">
        <f t="shared" ref="CV2" si="18">_xlfn.CONCAT("Uge ",_xlfn.ISOWEEKNUM(CV5))</f>
        <v>Uge 24</v>
      </c>
      <c r="CW2" s="465"/>
      <c r="CX2" s="465"/>
      <c r="CY2" s="465"/>
      <c r="CZ2" s="466"/>
      <c r="DA2" s="464" t="str">
        <f t="shared" ref="DA2" si="19">_xlfn.CONCAT("Uge ",_xlfn.ISOWEEKNUM(DA5))</f>
        <v>Uge 25</v>
      </c>
      <c r="DB2" s="465"/>
      <c r="DC2" s="465"/>
      <c r="DD2" s="465"/>
      <c r="DE2" s="466"/>
    </row>
    <row r="3" spans="1:165" ht="17" thickBot="1" x14ac:dyDescent="0.25">
      <c r="B3" s="467"/>
      <c r="C3" s="468"/>
      <c r="D3" s="469"/>
      <c r="E3" s="522"/>
      <c r="F3" s="523"/>
      <c r="G3" s="523"/>
      <c r="H3" s="523"/>
      <c r="I3" s="524"/>
      <c r="J3" s="522"/>
      <c r="K3" s="523"/>
      <c r="L3" s="523"/>
      <c r="M3" s="523"/>
      <c r="N3" s="524"/>
      <c r="O3" s="522"/>
      <c r="P3" s="523"/>
      <c r="Q3" s="523"/>
      <c r="R3" s="523"/>
      <c r="S3" s="524"/>
      <c r="T3" s="522"/>
      <c r="U3" s="523"/>
      <c r="V3" s="523"/>
      <c r="W3" s="523"/>
      <c r="X3" s="524"/>
      <c r="Y3" s="522"/>
      <c r="Z3" s="523"/>
      <c r="AA3" s="523"/>
      <c r="AB3" s="523"/>
      <c r="AC3" s="524"/>
      <c r="AD3" s="522"/>
      <c r="AE3" s="523"/>
      <c r="AF3" s="523"/>
      <c r="AG3" s="523"/>
      <c r="AH3" s="524"/>
      <c r="AI3" s="522"/>
      <c r="AJ3" s="523"/>
      <c r="AK3" s="523"/>
      <c r="AL3" s="523"/>
      <c r="AM3" s="524"/>
      <c r="AN3" s="522"/>
      <c r="AO3" s="523"/>
      <c r="AP3" s="523"/>
      <c r="AQ3" s="523"/>
      <c r="AR3" s="524"/>
      <c r="AS3" s="522"/>
      <c r="AT3" s="523"/>
      <c r="AU3" s="523"/>
      <c r="AV3" s="523"/>
      <c r="AW3" s="524"/>
      <c r="AX3" s="522"/>
      <c r="AY3" s="523"/>
      <c r="AZ3" s="523"/>
      <c r="BA3" s="523"/>
      <c r="BB3" s="524"/>
      <c r="BC3" s="522"/>
      <c r="BD3" s="523"/>
      <c r="BE3" s="523"/>
      <c r="BF3" s="523"/>
      <c r="BG3" s="524"/>
      <c r="BH3" s="522"/>
      <c r="BI3" s="523"/>
      <c r="BJ3" s="523"/>
      <c r="BK3" s="523"/>
      <c r="BL3" s="524"/>
      <c r="BM3" s="522"/>
      <c r="BN3" s="523"/>
      <c r="BO3" s="523"/>
      <c r="BP3" s="523"/>
      <c r="BQ3" s="524"/>
      <c r="BR3" s="522"/>
      <c r="BS3" s="523"/>
      <c r="BT3" s="523"/>
      <c r="BU3" s="523"/>
      <c r="BV3" s="524"/>
      <c r="BW3" s="522"/>
      <c r="BX3" s="523"/>
      <c r="BY3" s="523"/>
      <c r="BZ3" s="523"/>
      <c r="CA3" s="524"/>
      <c r="CB3" s="522"/>
      <c r="CC3" s="523"/>
      <c r="CD3" s="523"/>
      <c r="CE3" s="523"/>
      <c r="CF3" s="524"/>
      <c r="CG3" s="522"/>
      <c r="CH3" s="523"/>
      <c r="CI3" s="523"/>
      <c r="CJ3" s="523"/>
      <c r="CK3" s="524"/>
      <c r="CL3" s="522"/>
      <c r="CM3" s="523"/>
      <c r="CN3" s="523"/>
      <c r="CO3" s="523"/>
      <c r="CP3" s="524"/>
      <c r="CQ3" s="522"/>
      <c r="CR3" s="523"/>
      <c r="CS3" s="523"/>
      <c r="CT3" s="523"/>
      <c r="CU3" s="524"/>
      <c r="CV3" s="522"/>
      <c r="CW3" s="523"/>
      <c r="CX3" s="523"/>
      <c r="CY3" s="523"/>
      <c r="CZ3" s="524"/>
      <c r="DA3" s="522"/>
      <c r="DB3" s="523"/>
      <c r="DC3" s="523"/>
      <c r="DD3" s="523"/>
      <c r="DE3" s="524"/>
    </row>
    <row r="4" spans="1:165" s="135" customFormat="1" x14ac:dyDescent="0.2">
      <c r="B4" s="470"/>
      <c r="C4" s="471"/>
      <c r="D4" s="472"/>
      <c r="E4" s="316">
        <f>E5</f>
        <v>46419</v>
      </c>
      <c r="F4" s="317">
        <f t="shared" ref="F4:BQ4" si="20">F5</f>
        <v>46420</v>
      </c>
      <c r="G4" s="318">
        <f t="shared" si="20"/>
        <v>46421</v>
      </c>
      <c r="H4" s="318">
        <f t="shared" si="20"/>
        <v>46422</v>
      </c>
      <c r="I4" s="319">
        <f t="shared" si="20"/>
        <v>46423</v>
      </c>
      <c r="J4" s="320">
        <f t="shared" si="20"/>
        <v>46426</v>
      </c>
      <c r="K4" s="321">
        <f t="shared" si="20"/>
        <v>46427</v>
      </c>
      <c r="L4" s="322">
        <f t="shared" si="20"/>
        <v>46428</v>
      </c>
      <c r="M4" s="322">
        <f t="shared" si="20"/>
        <v>46429</v>
      </c>
      <c r="N4" s="323">
        <f t="shared" si="20"/>
        <v>46430</v>
      </c>
      <c r="O4" s="316">
        <f t="shared" si="20"/>
        <v>46433</v>
      </c>
      <c r="P4" s="317">
        <f t="shared" si="20"/>
        <v>46434</v>
      </c>
      <c r="Q4" s="318">
        <f t="shared" si="20"/>
        <v>46435</v>
      </c>
      <c r="R4" s="318">
        <f t="shared" si="20"/>
        <v>46436</v>
      </c>
      <c r="S4" s="319">
        <f t="shared" si="20"/>
        <v>46437</v>
      </c>
      <c r="T4" s="320">
        <f t="shared" si="20"/>
        <v>46440</v>
      </c>
      <c r="U4" s="322">
        <f t="shared" si="20"/>
        <v>46441</v>
      </c>
      <c r="V4" s="322">
        <f t="shared" si="20"/>
        <v>46442</v>
      </c>
      <c r="W4" s="322">
        <f t="shared" si="20"/>
        <v>46443</v>
      </c>
      <c r="X4" s="323">
        <f t="shared" si="20"/>
        <v>46444</v>
      </c>
      <c r="Y4" s="316">
        <f t="shared" si="20"/>
        <v>46447</v>
      </c>
      <c r="Z4" s="318">
        <f t="shared" si="20"/>
        <v>46448</v>
      </c>
      <c r="AA4" s="318">
        <f t="shared" si="20"/>
        <v>46449</v>
      </c>
      <c r="AB4" s="318">
        <f t="shared" si="20"/>
        <v>46450</v>
      </c>
      <c r="AC4" s="319">
        <f t="shared" si="20"/>
        <v>46451</v>
      </c>
      <c r="AD4" s="320">
        <f t="shared" si="20"/>
        <v>46454</v>
      </c>
      <c r="AE4" s="322">
        <f t="shared" si="20"/>
        <v>46455</v>
      </c>
      <c r="AF4" s="322">
        <f t="shared" si="20"/>
        <v>46456</v>
      </c>
      <c r="AG4" s="322">
        <f t="shared" si="20"/>
        <v>46457</v>
      </c>
      <c r="AH4" s="323">
        <f t="shared" si="20"/>
        <v>46458</v>
      </c>
      <c r="AI4" s="316">
        <f t="shared" si="20"/>
        <v>46461</v>
      </c>
      <c r="AJ4" s="318">
        <f t="shared" si="20"/>
        <v>46462</v>
      </c>
      <c r="AK4" s="318">
        <f t="shared" si="20"/>
        <v>46463</v>
      </c>
      <c r="AL4" s="318">
        <f t="shared" si="20"/>
        <v>46464</v>
      </c>
      <c r="AM4" s="319">
        <f t="shared" si="20"/>
        <v>46465</v>
      </c>
      <c r="AN4" s="320">
        <f t="shared" si="20"/>
        <v>46468</v>
      </c>
      <c r="AO4" s="322">
        <f t="shared" si="20"/>
        <v>46469</v>
      </c>
      <c r="AP4" s="322">
        <f t="shared" si="20"/>
        <v>46470</v>
      </c>
      <c r="AQ4" s="322">
        <f t="shared" si="20"/>
        <v>46471</v>
      </c>
      <c r="AR4" s="323">
        <f t="shared" si="20"/>
        <v>46472</v>
      </c>
      <c r="AS4" s="316">
        <f t="shared" si="20"/>
        <v>46475</v>
      </c>
      <c r="AT4" s="318">
        <f t="shared" si="20"/>
        <v>46476</v>
      </c>
      <c r="AU4" s="318">
        <f t="shared" si="20"/>
        <v>46477</v>
      </c>
      <c r="AV4" s="318">
        <f t="shared" si="20"/>
        <v>46478</v>
      </c>
      <c r="AW4" s="324">
        <f t="shared" si="20"/>
        <v>46479</v>
      </c>
      <c r="AX4" s="320">
        <f t="shared" si="20"/>
        <v>46482</v>
      </c>
      <c r="AY4" s="322">
        <f t="shared" si="20"/>
        <v>46483</v>
      </c>
      <c r="AZ4" s="322">
        <f t="shared" si="20"/>
        <v>46484</v>
      </c>
      <c r="BA4" s="322">
        <f t="shared" si="20"/>
        <v>46485</v>
      </c>
      <c r="BB4" s="325">
        <f t="shared" si="20"/>
        <v>46486</v>
      </c>
      <c r="BC4" s="316">
        <f t="shared" si="20"/>
        <v>46489</v>
      </c>
      <c r="BD4" s="318">
        <f t="shared" si="20"/>
        <v>46490</v>
      </c>
      <c r="BE4" s="318">
        <f t="shared" si="20"/>
        <v>46491</v>
      </c>
      <c r="BF4" s="318">
        <f t="shared" si="20"/>
        <v>46492</v>
      </c>
      <c r="BG4" s="324">
        <f t="shared" si="20"/>
        <v>46493</v>
      </c>
      <c r="BH4" s="320">
        <f t="shared" si="20"/>
        <v>46496</v>
      </c>
      <c r="BI4" s="322">
        <f t="shared" si="20"/>
        <v>46497</v>
      </c>
      <c r="BJ4" s="322">
        <f t="shared" si="20"/>
        <v>46498</v>
      </c>
      <c r="BK4" s="322">
        <f t="shared" si="20"/>
        <v>46499</v>
      </c>
      <c r="BL4" s="325">
        <f t="shared" si="20"/>
        <v>46500</v>
      </c>
      <c r="BM4" s="316">
        <f t="shared" si="20"/>
        <v>46503</v>
      </c>
      <c r="BN4" s="318">
        <f t="shared" si="20"/>
        <v>46504</v>
      </c>
      <c r="BO4" s="318">
        <f t="shared" si="20"/>
        <v>46505</v>
      </c>
      <c r="BP4" s="318">
        <f t="shared" si="20"/>
        <v>46506</v>
      </c>
      <c r="BQ4" s="324">
        <f t="shared" si="20"/>
        <v>46507</v>
      </c>
      <c r="BR4" s="320">
        <f t="shared" ref="BR4:DE4" si="21">BR5</f>
        <v>46510</v>
      </c>
      <c r="BS4" s="322">
        <f t="shared" si="21"/>
        <v>46511</v>
      </c>
      <c r="BT4" s="322">
        <f t="shared" si="21"/>
        <v>46512</v>
      </c>
      <c r="BU4" s="322">
        <f t="shared" si="21"/>
        <v>46513</v>
      </c>
      <c r="BV4" s="325">
        <f t="shared" si="21"/>
        <v>46514</v>
      </c>
      <c r="BW4" s="316">
        <f t="shared" si="21"/>
        <v>46517</v>
      </c>
      <c r="BX4" s="318">
        <f t="shared" si="21"/>
        <v>46518</v>
      </c>
      <c r="BY4" s="318">
        <f t="shared" si="21"/>
        <v>46519</v>
      </c>
      <c r="BZ4" s="318">
        <f t="shared" si="21"/>
        <v>46520</v>
      </c>
      <c r="CA4" s="324">
        <f t="shared" si="21"/>
        <v>46521</v>
      </c>
      <c r="CB4" s="320">
        <f t="shared" si="21"/>
        <v>46524</v>
      </c>
      <c r="CC4" s="322">
        <f t="shared" si="21"/>
        <v>46525</v>
      </c>
      <c r="CD4" s="322">
        <f t="shared" si="21"/>
        <v>46526</v>
      </c>
      <c r="CE4" s="322">
        <f t="shared" si="21"/>
        <v>46527</v>
      </c>
      <c r="CF4" s="325">
        <f t="shared" si="21"/>
        <v>46528</v>
      </c>
      <c r="CG4" s="316">
        <f t="shared" si="21"/>
        <v>46531</v>
      </c>
      <c r="CH4" s="318">
        <f t="shared" si="21"/>
        <v>46532</v>
      </c>
      <c r="CI4" s="318">
        <f t="shared" si="21"/>
        <v>46533</v>
      </c>
      <c r="CJ4" s="318">
        <f t="shared" si="21"/>
        <v>46534</v>
      </c>
      <c r="CK4" s="324">
        <f t="shared" si="21"/>
        <v>46535</v>
      </c>
      <c r="CL4" s="320">
        <f t="shared" si="21"/>
        <v>46538</v>
      </c>
      <c r="CM4" s="322">
        <f t="shared" si="21"/>
        <v>46539</v>
      </c>
      <c r="CN4" s="322">
        <f t="shared" si="21"/>
        <v>46540</v>
      </c>
      <c r="CO4" s="322">
        <f t="shared" si="21"/>
        <v>46541</v>
      </c>
      <c r="CP4" s="325">
        <f t="shared" si="21"/>
        <v>46542</v>
      </c>
      <c r="CQ4" s="316">
        <f t="shared" si="21"/>
        <v>46545</v>
      </c>
      <c r="CR4" s="318">
        <f t="shared" si="21"/>
        <v>46546</v>
      </c>
      <c r="CS4" s="318">
        <f t="shared" si="21"/>
        <v>46547</v>
      </c>
      <c r="CT4" s="318">
        <f t="shared" si="21"/>
        <v>46548</v>
      </c>
      <c r="CU4" s="319">
        <f t="shared" si="21"/>
        <v>46549</v>
      </c>
      <c r="CV4" s="320">
        <f t="shared" si="21"/>
        <v>46552</v>
      </c>
      <c r="CW4" s="322">
        <f t="shared" si="21"/>
        <v>46553</v>
      </c>
      <c r="CX4" s="322">
        <f t="shared" si="21"/>
        <v>46554</v>
      </c>
      <c r="CY4" s="322">
        <f t="shared" si="21"/>
        <v>46555</v>
      </c>
      <c r="CZ4" s="323">
        <f t="shared" si="21"/>
        <v>46556</v>
      </c>
      <c r="DA4" s="316">
        <f t="shared" si="21"/>
        <v>46559</v>
      </c>
      <c r="DB4" s="318">
        <f t="shared" si="21"/>
        <v>46560</v>
      </c>
      <c r="DC4" s="318">
        <f t="shared" si="21"/>
        <v>46561</v>
      </c>
      <c r="DD4" s="318">
        <f t="shared" si="21"/>
        <v>46562</v>
      </c>
      <c r="DE4" s="319">
        <f t="shared" si="21"/>
        <v>46563</v>
      </c>
    </row>
    <row r="5" spans="1:165" s="135" customFormat="1" ht="17" thickBot="1" x14ac:dyDescent="0.25">
      <c r="B5" s="473"/>
      <c r="C5" s="474"/>
      <c r="D5" s="475"/>
      <c r="E5" s="31">
        <f>Data!M2</f>
        <v>46419</v>
      </c>
      <c r="F5" s="32">
        <f>E5+1</f>
        <v>46420</v>
      </c>
      <c r="G5" s="33">
        <f>F5+1</f>
        <v>46421</v>
      </c>
      <c r="H5" s="33">
        <f>G5+1</f>
        <v>46422</v>
      </c>
      <c r="I5" s="34">
        <f>H5+1</f>
        <v>46423</v>
      </c>
      <c r="J5" s="35">
        <f>I5+3</f>
        <v>46426</v>
      </c>
      <c r="K5" s="36">
        <f>J5+1</f>
        <v>46427</v>
      </c>
      <c r="L5" s="37">
        <f>K5+1</f>
        <v>46428</v>
      </c>
      <c r="M5" s="37">
        <f>L5+1</f>
        <v>46429</v>
      </c>
      <c r="N5" s="38">
        <f>M5+1</f>
        <v>46430</v>
      </c>
      <c r="O5" s="31">
        <f>N5+3</f>
        <v>46433</v>
      </c>
      <c r="P5" s="32">
        <f>O5+1</f>
        <v>46434</v>
      </c>
      <c r="Q5" s="33">
        <f>P5+1</f>
        <v>46435</v>
      </c>
      <c r="R5" s="33">
        <f>Q5+1</f>
        <v>46436</v>
      </c>
      <c r="S5" s="34">
        <f>R5+1</f>
        <v>46437</v>
      </c>
      <c r="T5" s="35">
        <f>S5+3</f>
        <v>46440</v>
      </c>
      <c r="U5" s="37">
        <f>T5+1</f>
        <v>46441</v>
      </c>
      <c r="V5" s="37">
        <f>U5+1</f>
        <v>46442</v>
      </c>
      <c r="W5" s="37">
        <f>V5+1</f>
        <v>46443</v>
      </c>
      <c r="X5" s="38">
        <f>W5+1</f>
        <v>46444</v>
      </c>
      <c r="Y5" s="31">
        <f>X5+3</f>
        <v>46447</v>
      </c>
      <c r="Z5" s="33">
        <f>Y5+1</f>
        <v>46448</v>
      </c>
      <c r="AA5" s="33">
        <f>Z5+1</f>
        <v>46449</v>
      </c>
      <c r="AB5" s="33">
        <f>AA5+1</f>
        <v>46450</v>
      </c>
      <c r="AC5" s="34">
        <f>AB5+1</f>
        <v>46451</v>
      </c>
      <c r="AD5" s="35">
        <f>AC5+3</f>
        <v>46454</v>
      </c>
      <c r="AE5" s="37">
        <f>AD5+1</f>
        <v>46455</v>
      </c>
      <c r="AF5" s="37">
        <f>AE5+1</f>
        <v>46456</v>
      </c>
      <c r="AG5" s="37">
        <f>AF5+1</f>
        <v>46457</v>
      </c>
      <c r="AH5" s="38">
        <f>AG5+1</f>
        <v>46458</v>
      </c>
      <c r="AI5" s="31">
        <f>AH5+3</f>
        <v>46461</v>
      </c>
      <c r="AJ5" s="33">
        <f>AI5+1</f>
        <v>46462</v>
      </c>
      <c r="AK5" s="33">
        <f>AJ5+1</f>
        <v>46463</v>
      </c>
      <c r="AL5" s="33">
        <f>AK5+1</f>
        <v>46464</v>
      </c>
      <c r="AM5" s="34">
        <f>AL5+1</f>
        <v>46465</v>
      </c>
      <c r="AN5" s="35">
        <f>AM5+3</f>
        <v>46468</v>
      </c>
      <c r="AO5" s="37">
        <f>AN5+1</f>
        <v>46469</v>
      </c>
      <c r="AP5" s="37">
        <f>AO5+1</f>
        <v>46470</v>
      </c>
      <c r="AQ5" s="37">
        <f>AP5+1</f>
        <v>46471</v>
      </c>
      <c r="AR5" s="38">
        <f>AQ5+1</f>
        <v>46472</v>
      </c>
      <c r="AS5" s="31">
        <f>AR5+3</f>
        <v>46475</v>
      </c>
      <c r="AT5" s="33">
        <f>AS5+1</f>
        <v>46476</v>
      </c>
      <c r="AU5" s="33">
        <f>AT5+1</f>
        <v>46477</v>
      </c>
      <c r="AV5" s="33">
        <f>AU5+1</f>
        <v>46478</v>
      </c>
      <c r="AW5" s="39">
        <f>AV5+1</f>
        <v>46479</v>
      </c>
      <c r="AX5" s="35">
        <f>AW5+3</f>
        <v>46482</v>
      </c>
      <c r="AY5" s="37">
        <f>AX5+1</f>
        <v>46483</v>
      </c>
      <c r="AZ5" s="37">
        <f>AY5+1</f>
        <v>46484</v>
      </c>
      <c r="BA5" s="37">
        <f>AZ5+1</f>
        <v>46485</v>
      </c>
      <c r="BB5" s="40">
        <f>BA5+1</f>
        <v>46486</v>
      </c>
      <c r="BC5" s="31">
        <f>BB5+3</f>
        <v>46489</v>
      </c>
      <c r="BD5" s="33">
        <f>BC5+1</f>
        <v>46490</v>
      </c>
      <c r="BE5" s="33">
        <f>BD5+1</f>
        <v>46491</v>
      </c>
      <c r="BF5" s="33">
        <f>BE5+1</f>
        <v>46492</v>
      </c>
      <c r="BG5" s="39">
        <f>BF5+1</f>
        <v>46493</v>
      </c>
      <c r="BH5" s="35">
        <f>BG5+3</f>
        <v>46496</v>
      </c>
      <c r="BI5" s="37">
        <f>BH5+1</f>
        <v>46497</v>
      </c>
      <c r="BJ5" s="37">
        <f>BI5+1</f>
        <v>46498</v>
      </c>
      <c r="BK5" s="37">
        <f>BJ5+1</f>
        <v>46499</v>
      </c>
      <c r="BL5" s="40">
        <f>BK5+1</f>
        <v>46500</v>
      </c>
      <c r="BM5" s="31">
        <f>BL5+3</f>
        <v>46503</v>
      </c>
      <c r="BN5" s="33">
        <f>BM5+1</f>
        <v>46504</v>
      </c>
      <c r="BO5" s="33">
        <f>BN5+1</f>
        <v>46505</v>
      </c>
      <c r="BP5" s="33">
        <f>BO5+1</f>
        <v>46506</v>
      </c>
      <c r="BQ5" s="39">
        <f>BP5+1</f>
        <v>46507</v>
      </c>
      <c r="BR5" s="35">
        <f>BQ5+3</f>
        <v>46510</v>
      </c>
      <c r="BS5" s="37">
        <f>BR5+1</f>
        <v>46511</v>
      </c>
      <c r="BT5" s="37">
        <f>BS5+1</f>
        <v>46512</v>
      </c>
      <c r="BU5" s="37">
        <f>BT5+1</f>
        <v>46513</v>
      </c>
      <c r="BV5" s="40">
        <f>BU5+1</f>
        <v>46514</v>
      </c>
      <c r="BW5" s="31">
        <f>BV5+3</f>
        <v>46517</v>
      </c>
      <c r="BX5" s="33">
        <f>BW5+1</f>
        <v>46518</v>
      </c>
      <c r="BY5" s="33">
        <f>BX5+1</f>
        <v>46519</v>
      </c>
      <c r="BZ5" s="33">
        <f>BY5+1</f>
        <v>46520</v>
      </c>
      <c r="CA5" s="39">
        <f>BZ5+1</f>
        <v>46521</v>
      </c>
      <c r="CB5" s="35">
        <f>CA5+3</f>
        <v>46524</v>
      </c>
      <c r="CC5" s="37">
        <f>CB5+1</f>
        <v>46525</v>
      </c>
      <c r="CD5" s="37">
        <f>CC5+1</f>
        <v>46526</v>
      </c>
      <c r="CE5" s="37">
        <f>CD5+1</f>
        <v>46527</v>
      </c>
      <c r="CF5" s="40">
        <f>CE5+1</f>
        <v>46528</v>
      </c>
      <c r="CG5" s="31">
        <f>CF5+3</f>
        <v>46531</v>
      </c>
      <c r="CH5" s="33">
        <f>CG5+1</f>
        <v>46532</v>
      </c>
      <c r="CI5" s="33">
        <f>CH5+1</f>
        <v>46533</v>
      </c>
      <c r="CJ5" s="33">
        <f>CI5+1</f>
        <v>46534</v>
      </c>
      <c r="CK5" s="39">
        <f>CJ5+1</f>
        <v>46535</v>
      </c>
      <c r="CL5" s="35">
        <f>CK5+3</f>
        <v>46538</v>
      </c>
      <c r="CM5" s="37">
        <f>CL5+1</f>
        <v>46539</v>
      </c>
      <c r="CN5" s="37">
        <f>CM5+1</f>
        <v>46540</v>
      </c>
      <c r="CO5" s="37">
        <f>CN5+1</f>
        <v>46541</v>
      </c>
      <c r="CP5" s="40">
        <f>CO5+1</f>
        <v>46542</v>
      </c>
      <c r="CQ5" s="31">
        <f>CP5+3</f>
        <v>46545</v>
      </c>
      <c r="CR5" s="33">
        <f>CQ5+1</f>
        <v>46546</v>
      </c>
      <c r="CS5" s="33">
        <f>CR5+1</f>
        <v>46547</v>
      </c>
      <c r="CT5" s="33">
        <f>CS5+1</f>
        <v>46548</v>
      </c>
      <c r="CU5" s="34">
        <f>CT5+1</f>
        <v>46549</v>
      </c>
      <c r="CV5" s="35">
        <f>CU5+3</f>
        <v>46552</v>
      </c>
      <c r="CW5" s="37">
        <f>CV5+1</f>
        <v>46553</v>
      </c>
      <c r="CX5" s="37">
        <f>CW5+1</f>
        <v>46554</v>
      </c>
      <c r="CY5" s="37">
        <f>CX5+1</f>
        <v>46555</v>
      </c>
      <c r="CZ5" s="38">
        <f>CY5+1</f>
        <v>46556</v>
      </c>
      <c r="DA5" s="31">
        <f>CZ5+3</f>
        <v>46559</v>
      </c>
      <c r="DB5" s="33">
        <f>DA5+1</f>
        <v>46560</v>
      </c>
      <c r="DC5" s="33">
        <f>DB5+1</f>
        <v>46561</v>
      </c>
      <c r="DD5" s="33">
        <f>DC5+1</f>
        <v>46562</v>
      </c>
      <c r="DE5" s="34">
        <f>DD5+1</f>
        <v>46563</v>
      </c>
    </row>
    <row r="6" spans="1:165" s="138" customFormat="1" ht="17" thickBot="1" x14ac:dyDescent="0.25">
      <c r="A6" s="134"/>
      <c r="B6" s="457"/>
      <c r="C6" s="457"/>
      <c r="D6" s="45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6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5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</row>
    <row r="7" spans="1:165" x14ac:dyDescent="0.2">
      <c r="B7" s="458" t="s">
        <v>7</v>
      </c>
      <c r="C7" s="459"/>
      <c r="D7" s="460"/>
      <c r="E7" s="81"/>
      <c r="F7" s="42"/>
      <c r="G7" s="42"/>
      <c r="H7" s="42"/>
      <c r="I7" s="43"/>
      <c r="J7" s="77"/>
      <c r="K7" s="62"/>
      <c r="L7" s="62"/>
      <c r="M7" s="62"/>
      <c r="N7" s="44"/>
      <c r="O7" s="41"/>
      <c r="P7" s="42"/>
      <c r="Q7" s="42"/>
      <c r="R7" s="42"/>
      <c r="S7" s="43"/>
      <c r="T7" s="77"/>
      <c r="U7" s="62"/>
      <c r="V7" s="62"/>
      <c r="W7" s="62"/>
      <c r="X7" s="44"/>
      <c r="Y7" s="41"/>
      <c r="Z7" s="42"/>
      <c r="AA7" s="42"/>
      <c r="AB7" s="42"/>
      <c r="AC7" s="43"/>
      <c r="AD7" s="77"/>
      <c r="AE7" s="62"/>
      <c r="AF7" s="62"/>
      <c r="AG7" s="62"/>
      <c r="AH7" s="44"/>
      <c r="AI7" s="41"/>
      <c r="AJ7" s="42"/>
      <c r="AK7" s="42"/>
      <c r="AL7" s="42"/>
      <c r="AM7" s="43"/>
      <c r="AN7" s="77"/>
      <c r="AO7" s="62"/>
      <c r="AP7" s="62"/>
      <c r="AQ7" s="62"/>
      <c r="AR7" s="44"/>
      <c r="AS7" s="41"/>
      <c r="AT7" s="42"/>
      <c r="AU7" s="42"/>
      <c r="AV7" s="42"/>
      <c r="AW7" s="43"/>
      <c r="AX7" s="77"/>
      <c r="AY7" s="62"/>
      <c r="AZ7" s="62"/>
      <c r="BA7" s="62"/>
      <c r="BB7" s="44"/>
      <c r="BC7" s="41"/>
      <c r="BD7" s="42"/>
      <c r="BE7" s="42"/>
      <c r="BF7" s="42"/>
      <c r="BG7" s="43"/>
      <c r="BH7" s="77"/>
      <c r="BI7" s="62"/>
      <c r="BJ7" s="62"/>
      <c r="BK7" s="62"/>
      <c r="BL7" s="44"/>
      <c r="BM7" s="41"/>
      <c r="BN7" s="42"/>
      <c r="BO7" s="42"/>
      <c r="BP7" s="42"/>
      <c r="BQ7" s="43"/>
      <c r="BR7" s="77"/>
      <c r="BS7" s="62"/>
      <c r="BT7" s="62"/>
      <c r="BU7" s="62"/>
      <c r="BV7" s="44"/>
      <c r="BW7" s="41"/>
      <c r="BX7" s="42"/>
      <c r="BY7" s="42"/>
      <c r="BZ7" s="42"/>
      <c r="CA7" s="43"/>
      <c r="CB7" s="77"/>
      <c r="CC7" s="62"/>
      <c r="CD7" s="62"/>
      <c r="CE7" s="62"/>
      <c r="CF7" s="44"/>
      <c r="CG7" s="41"/>
      <c r="CH7" s="42"/>
      <c r="CI7" s="42"/>
      <c r="CJ7" s="42"/>
      <c r="CK7" s="43"/>
      <c r="CL7" s="77"/>
      <c r="CM7" s="62"/>
      <c r="CN7" s="62"/>
      <c r="CO7" s="62"/>
      <c r="CP7" s="44"/>
      <c r="CQ7" s="41"/>
      <c r="CR7" s="42"/>
      <c r="CS7" s="42"/>
      <c r="CT7" s="42"/>
      <c r="CU7" s="43"/>
      <c r="CV7" s="77"/>
      <c r="CW7" s="62"/>
      <c r="CX7" s="62"/>
      <c r="CY7" s="62"/>
      <c r="CZ7" s="44"/>
      <c r="DA7" s="41"/>
      <c r="DB7" s="42"/>
      <c r="DC7" s="42"/>
      <c r="DD7" s="42"/>
      <c r="DE7" s="43"/>
    </row>
    <row r="8" spans="1:165" x14ac:dyDescent="0.2">
      <c r="B8" s="48" t="s">
        <v>15</v>
      </c>
      <c r="C8" s="82"/>
      <c r="D8" s="49"/>
      <c r="E8" s="214"/>
      <c r="F8" s="51"/>
      <c r="G8" s="51"/>
      <c r="H8" s="51"/>
      <c r="I8" s="52"/>
      <c r="J8" s="69"/>
      <c r="K8" s="64"/>
      <c r="L8" s="64"/>
      <c r="M8" s="64"/>
      <c r="N8" s="53"/>
      <c r="O8" s="50"/>
      <c r="P8" s="51"/>
      <c r="Q8" s="51"/>
      <c r="R8" s="51"/>
      <c r="S8" s="52"/>
      <c r="T8" s="69"/>
      <c r="U8" s="64"/>
      <c r="V8" s="64"/>
      <c r="W8" s="64"/>
      <c r="X8" s="53"/>
      <c r="Y8" s="50"/>
      <c r="Z8" s="51"/>
      <c r="AA8" s="51"/>
      <c r="AB8" s="51"/>
      <c r="AC8" s="52"/>
      <c r="AD8" s="69"/>
      <c r="AE8" s="64"/>
      <c r="AF8" s="64"/>
      <c r="AG8" s="64"/>
      <c r="AH8" s="53"/>
      <c r="AI8" s="50"/>
      <c r="AJ8" s="51"/>
      <c r="AK8" s="51"/>
      <c r="AL8" s="51"/>
      <c r="AM8" s="52"/>
      <c r="AN8" s="69"/>
      <c r="AO8" s="64"/>
      <c r="AP8" s="64"/>
      <c r="AQ8" s="64"/>
      <c r="AR8" s="53"/>
      <c r="AS8" s="50"/>
      <c r="AT8" s="51"/>
      <c r="AU8" s="51"/>
      <c r="AV8" s="51"/>
      <c r="AW8" s="52"/>
      <c r="AX8" s="69"/>
      <c r="AY8" s="64"/>
      <c r="AZ8" s="64"/>
      <c r="BA8" s="64"/>
      <c r="BB8" s="53"/>
      <c r="BC8" s="50"/>
      <c r="BD8" s="51"/>
      <c r="BE8" s="51"/>
      <c r="BF8" s="51"/>
      <c r="BG8" s="52"/>
      <c r="BH8" s="69"/>
      <c r="BI8" s="64"/>
      <c r="BJ8" s="64"/>
      <c r="BK8" s="64"/>
      <c r="BL8" s="53"/>
      <c r="BM8" s="50"/>
      <c r="BN8" s="51"/>
      <c r="BO8" s="51"/>
      <c r="BP8" s="51"/>
      <c r="BQ8" s="52"/>
      <c r="BR8" s="69"/>
      <c r="BS8" s="64"/>
      <c r="BT8" s="64"/>
      <c r="BU8" s="64"/>
      <c r="BV8" s="53"/>
      <c r="BW8" s="50"/>
      <c r="BX8" s="51"/>
      <c r="BY8" s="51"/>
      <c r="BZ8" s="51"/>
      <c r="CA8" s="52"/>
      <c r="CB8" s="69"/>
      <c r="CC8" s="64"/>
      <c r="CD8" s="64"/>
      <c r="CE8" s="64"/>
      <c r="CF8" s="53"/>
      <c r="CG8" s="50"/>
      <c r="CH8" s="51"/>
      <c r="CI8" s="51"/>
      <c r="CJ8" s="51"/>
      <c r="CK8" s="52"/>
      <c r="CL8" s="69"/>
      <c r="CM8" s="64"/>
      <c r="CN8" s="64"/>
      <c r="CO8" s="64"/>
      <c r="CP8" s="53"/>
      <c r="CQ8" s="50"/>
      <c r="CR8" s="51"/>
      <c r="CS8" s="51"/>
      <c r="CT8" s="51"/>
      <c r="CU8" s="52"/>
      <c r="CV8" s="69"/>
      <c r="CW8" s="64"/>
      <c r="CX8" s="64"/>
      <c r="CY8" s="64"/>
      <c r="CZ8" s="53"/>
      <c r="DA8" s="50"/>
      <c r="DB8" s="51"/>
      <c r="DC8" s="51"/>
      <c r="DD8" s="51"/>
      <c r="DE8" s="52"/>
    </row>
    <row r="9" spans="1:165" x14ac:dyDescent="0.2">
      <c r="B9" s="448" t="s">
        <v>16</v>
      </c>
      <c r="C9" s="449"/>
      <c r="D9" s="450"/>
      <c r="E9" s="57"/>
      <c r="F9" s="51"/>
      <c r="G9" s="51"/>
      <c r="H9" s="51"/>
      <c r="I9" s="52"/>
      <c r="J9" s="69"/>
      <c r="K9" s="64"/>
      <c r="L9" s="64"/>
      <c r="M9" s="64"/>
      <c r="N9" s="45"/>
      <c r="O9" s="54"/>
      <c r="P9" s="51"/>
      <c r="Q9" s="51"/>
      <c r="R9" s="51"/>
      <c r="S9" s="52"/>
      <c r="T9" s="69"/>
      <c r="U9" s="64"/>
      <c r="V9" s="64"/>
      <c r="W9" s="64"/>
      <c r="X9" s="45"/>
      <c r="Y9" s="54"/>
      <c r="Z9" s="51"/>
      <c r="AA9" s="51"/>
      <c r="AB9" s="51"/>
      <c r="AC9" s="52"/>
      <c r="AD9" s="69"/>
      <c r="AE9" s="64"/>
      <c r="AF9" s="64"/>
      <c r="AG9" s="64"/>
      <c r="AH9" s="45"/>
      <c r="AI9" s="54"/>
      <c r="AJ9" s="51"/>
      <c r="AK9" s="51"/>
      <c r="AL9" s="51"/>
      <c r="AM9" s="52"/>
      <c r="AN9" s="69"/>
      <c r="AO9" s="64"/>
      <c r="AP9" s="64"/>
      <c r="AQ9" s="64"/>
      <c r="AR9" s="45"/>
      <c r="AS9" s="54"/>
      <c r="AT9" s="51"/>
      <c r="AU9" s="51"/>
      <c r="AV9" s="51"/>
      <c r="AW9" s="52"/>
      <c r="AX9" s="69"/>
      <c r="AY9" s="64"/>
      <c r="AZ9" s="64"/>
      <c r="BA9" s="64"/>
      <c r="BB9" s="45"/>
      <c r="BC9" s="54"/>
      <c r="BD9" s="51"/>
      <c r="BE9" s="51"/>
      <c r="BF9" s="51"/>
      <c r="BG9" s="52"/>
      <c r="BH9" s="69"/>
      <c r="BI9" s="64"/>
      <c r="BJ9" s="64"/>
      <c r="BK9" s="64"/>
      <c r="BL9" s="45"/>
      <c r="BM9" s="54"/>
      <c r="BN9" s="51"/>
      <c r="BO9" s="51"/>
      <c r="BP9" s="51"/>
      <c r="BQ9" s="52"/>
      <c r="BR9" s="69"/>
      <c r="BS9" s="64"/>
      <c r="BT9" s="64"/>
      <c r="BU9" s="64"/>
      <c r="BV9" s="45"/>
      <c r="BW9" s="54"/>
      <c r="BX9" s="51"/>
      <c r="BY9" s="51"/>
      <c r="BZ9" s="51"/>
      <c r="CA9" s="52"/>
      <c r="CB9" s="69"/>
      <c r="CC9" s="64"/>
      <c r="CD9" s="64"/>
      <c r="CE9" s="64"/>
      <c r="CF9" s="45"/>
      <c r="CG9" s="54"/>
      <c r="CH9" s="51"/>
      <c r="CI9" s="51"/>
      <c r="CJ9" s="51"/>
      <c r="CK9" s="52"/>
      <c r="CL9" s="69"/>
      <c r="CM9" s="64"/>
      <c r="CN9" s="64"/>
      <c r="CO9" s="64"/>
      <c r="CP9" s="45"/>
      <c r="CQ9" s="54"/>
      <c r="CR9" s="51"/>
      <c r="CS9" s="51"/>
      <c r="CT9" s="51"/>
      <c r="CU9" s="52"/>
      <c r="CV9" s="69"/>
      <c r="CW9" s="64"/>
      <c r="CX9" s="64"/>
      <c r="CY9" s="64"/>
      <c r="CZ9" s="45"/>
      <c r="DA9" s="54"/>
      <c r="DB9" s="51"/>
      <c r="DC9" s="51"/>
      <c r="DD9" s="51"/>
      <c r="DE9" s="52"/>
    </row>
    <row r="10" spans="1:165" ht="17" thickBot="1" x14ac:dyDescent="0.25">
      <c r="B10" s="448" t="s">
        <v>17</v>
      </c>
      <c r="C10" s="449"/>
      <c r="D10" s="450"/>
      <c r="E10" s="57"/>
      <c r="F10" s="51"/>
      <c r="G10" s="51"/>
      <c r="H10" s="51"/>
      <c r="I10" s="52"/>
      <c r="J10" s="69"/>
      <c r="K10" s="64"/>
      <c r="L10" s="64"/>
      <c r="M10" s="64"/>
      <c r="N10" s="45"/>
      <c r="O10" s="54"/>
      <c r="P10" s="51"/>
      <c r="Q10" s="51"/>
      <c r="R10" s="51"/>
      <c r="S10" s="52"/>
      <c r="T10" s="69"/>
      <c r="U10" s="64"/>
      <c r="V10" s="64"/>
      <c r="W10" s="64"/>
      <c r="X10" s="45"/>
      <c r="Y10" s="54"/>
      <c r="Z10" s="51"/>
      <c r="AA10" s="51"/>
      <c r="AB10" s="51"/>
      <c r="AC10" s="52"/>
      <c r="AD10" s="69"/>
      <c r="AE10" s="64"/>
      <c r="AF10" s="64"/>
      <c r="AG10" s="64"/>
      <c r="AH10" s="45"/>
      <c r="AI10" s="54"/>
      <c r="AJ10" s="51"/>
      <c r="AK10" s="51"/>
      <c r="AL10" s="51"/>
      <c r="AM10" s="52"/>
      <c r="AN10" s="69"/>
      <c r="AO10" s="64"/>
      <c r="AP10" s="64"/>
      <c r="AQ10" s="64"/>
      <c r="AR10" s="45"/>
      <c r="AS10" s="54"/>
      <c r="AT10" s="51"/>
      <c r="AU10" s="51"/>
      <c r="AV10" s="51"/>
      <c r="AW10" s="52"/>
      <c r="AX10" s="69"/>
      <c r="AY10" s="64"/>
      <c r="AZ10" s="64"/>
      <c r="BA10" s="64"/>
      <c r="BB10" s="45"/>
      <c r="BC10" s="54"/>
      <c r="BD10" s="51"/>
      <c r="BE10" s="51"/>
      <c r="BF10" s="51"/>
      <c r="BG10" s="52"/>
      <c r="BH10" s="69"/>
      <c r="BI10" s="64"/>
      <c r="BJ10" s="64"/>
      <c r="BK10" s="64"/>
      <c r="BL10" s="45"/>
      <c r="BM10" s="54"/>
      <c r="BN10" s="51"/>
      <c r="BO10" s="51"/>
      <c r="BP10" s="51"/>
      <c r="BQ10" s="52"/>
      <c r="BR10" s="69"/>
      <c r="BS10" s="64"/>
      <c r="BT10" s="64"/>
      <c r="BU10" s="64"/>
      <c r="BV10" s="45"/>
      <c r="BW10" s="54"/>
      <c r="BX10" s="51"/>
      <c r="BY10" s="51"/>
      <c r="BZ10" s="51"/>
      <c r="CA10" s="52"/>
      <c r="CB10" s="69"/>
      <c r="CC10" s="64"/>
      <c r="CD10" s="64"/>
      <c r="CE10" s="64"/>
      <c r="CF10" s="45"/>
      <c r="CG10" s="54"/>
      <c r="CH10" s="51"/>
      <c r="CI10" s="51"/>
      <c r="CJ10" s="51"/>
      <c r="CK10" s="52"/>
      <c r="CL10" s="69"/>
      <c r="CM10" s="64"/>
      <c r="CN10" s="64"/>
      <c r="CO10" s="64"/>
      <c r="CP10" s="45"/>
      <c r="CQ10" s="54"/>
      <c r="CR10" s="51"/>
      <c r="CS10" s="51"/>
      <c r="CT10" s="51"/>
      <c r="CU10" s="52"/>
      <c r="CV10" s="69"/>
      <c r="CW10" s="64"/>
      <c r="CX10" s="64"/>
      <c r="CY10" s="64"/>
      <c r="CZ10" s="45"/>
      <c r="DA10" s="54"/>
      <c r="DB10" s="51"/>
      <c r="DC10" s="51"/>
      <c r="DD10" s="51"/>
      <c r="DE10" s="52"/>
    </row>
    <row r="11" spans="1:165" ht="17" thickBot="1" x14ac:dyDescent="0.25">
      <c r="B11" s="48" t="s">
        <v>18</v>
      </c>
      <c r="C11" s="82"/>
      <c r="D11" s="49"/>
      <c r="E11" s="100"/>
      <c r="F11" s="101"/>
      <c r="G11" s="101"/>
      <c r="H11" s="101"/>
      <c r="I11" s="102"/>
      <c r="J11" s="103"/>
      <c r="K11" s="104"/>
      <c r="L11" s="104"/>
      <c r="M11" s="104"/>
      <c r="N11" s="105"/>
      <c r="O11" s="100"/>
      <c r="P11" s="101"/>
      <c r="Q11" s="101"/>
      <c r="R11" s="101"/>
      <c r="S11" s="102"/>
      <c r="T11" s="103"/>
      <c r="U11" s="104"/>
      <c r="V11" s="104"/>
      <c r="W11" s="104"/>
      <c r="X11" s="105"/>
      <c r="Y11" s="100"/>
      <c r="Z11" s="101"/>
      <c r="AA11" s="101"/>
      <c r="AB11" s="101"/>
      <c r="AC11" s="102"/>
      <c r="AD11" s="103"/>
      <c r="AE11" s="104"/>
      <c r="AF11" s="104"/>
      <c r="AG11" s="104"/>
      <c r="AH11" s="105"/>
      <c r="AI11" s="100"/>
      <c r="AJ11" s="101"/>
      <c r="AK11" s="101"/>
      <c r="AL11" s="101"/>
      <c r="AM11" s="102"/>
      <c r="AN11" s="103"/>
      <c r="AO11" s="104"/>
      <c r="AP11" s="104"/>
      <c r="AQ11" s="104"/>
      <c r="AR11" s="105"/>
      <c r="AS11" s="100"/>
      <c r="AT11" s="101"/>
      <c r="AU11" s="101"/>
      <c r="AV11" s="101"/>
      <c r="AW11" s="102"/>
      <c r="AX11" s="103"/>
      <c r="AY11" s="104"/>
      <c r="AZ11" s="104"/>
      <c r="BA11" s="104"/>
      <c r="BB11" s="105"/>
      <c r="BC11" s="100"/>
      <c r="BD11" s="101"/>
      <c r="BE11" s="101"/>
      <c r="BF11" s="101"/>
      <c r="BG11" s="102"/>
      <c r="BH11" s="103"/>
      <c r="BI11" s="104"/>
      <c r="BJ11" s="104"/>
      <c r="BK11" s="104"/>
      <c r="BL11" s="105"/>
      <c r="BM11" s="100"/>
      <c r="BN11" s="101"/>
      <c r="BO11" s="101"/>
      <c r="BP11" s="101"/>
      <c r="BQ11" s="102"/>
      <c r="BR11" s="103"/>
      <c r="BS11" s="104"/>
      <c r="BT11" s="104"/>
      <c r="BU11" s="104"/>
      <c r="BV11" s="105"/>
      <c r="BW11" s="100"/>
      <c r="BX11" s="101"/>
      <c r="BY11" s="101"/>
      <c r="BZ11" s="101"/>
      <c r="CA11" s="102"/>
      <c r="CB11" s="103"/>
      <c r="CC11" s="104"/>
      <c r="CD11" s="104"/>
      <c r="CE11" s="104"/>
      <c r="CF11" s="105"/>
      <c r="CG11" s="100"/>
      <c r="CH11" s="101"/>
      <c r="CI11" s="101"/>
      <c r="CJ11" s="101"/>
      <c r="CK11" s="102"/>
      <c r="CL11" s="103"/>
      <c r="CM11" s="104"/>
      <c r="CN11" s="104"/>
      <c r="CO11" s="104"/>
      <c r="CP11" s="105"/>
      <c r="CQ11" s="100"/>
      <c r="CR11" s="101"/>
      <c r="CS11" s="101"/>
      <c r="CT11" s="101"/>
      <c r="CU11" s="102"/>
      <c r="CV11" s="103"/>
      <c r="CW11" s="104"/>
      <c r="CX11" s="104"/>
      <c r="CY11" s="104"/>
      <c r="CZ11" s="105"/>
      <c r="DA11" s="100"/>
      <c r="DB11" s="101"/>
      <c r="DC11" s="101"/>
      <c r="DD11" s="101"/>
      <c r="DE11" s="102"/>
    </row>
    <row r="12" spans="1:165" x14ac:dyDescent="0.2">
      <c r="B12" s="48" t="s">
        <v>19</v>
      </c>
      <c r="C12" s="82"/>
      <c r="D12" s="49"/>
      <c r="E12" s="81"/>
      <c r="F12" s="42"/>
      <c r="G12" s="200"/>
      <c r="H12" s="42"/>
      <c r="I12" s="43"/>
      <c r="J12" s="77"/>
      <c r="K12" s="62"/>
      <c r="L12" s="200"/>
      <c r="M12" s="62"/>
      <c r="N12" s="44"/>
      <c r="O12" s="41"/>
      <c r="P12" s="42"/>
      <c r="Q12" s="200"/>
      <c r="R12" s="42"/>
      <c r="S12" s="43"/>
      <c r="T12" s="77"/>
      <c r="U12" s="62"/>
      <c r="V12" s="200"/>
      <c r="W12" s="62"/>
      <c r="X12" s="44"/>
      <c r="Y12" s="41"/>
      <c r="Z12" s="42"/>
      <c r="AA12" s="200"/>
      <c r="AB12" s="42"/>
      <c r="AC12" s="43"/>
      <c r="AD12" s="77"/>
      <c r="AE12" s="62"/>
      <c r="AF12" s="200"/>
      <c r="AG12" s="62"/>
      <c r="AH12" s="44"/>
      <c r="AI12" s="41"/>
      <c r="AJ12" s="42"/>
      <c r="AK12" s="200"/>
      <c r="AL12" s="42"/>
      <c r="AM12" s="43"/>
      <c r="AN12" s="77"/>
      <c r="AO12" s="62"/>
      <c r="AP12" s="200"/>
      <c r="AQ12" s="62"/>
      <c r="AR12" s="44"/>
      <c r="AS12" s="41"/>
      <c r="AT12" s="42"/>
      <c r="AU12" s="200"/>
      <c r="AV12" s="42"/>
      <c r="AW12" s="43"/>
      <c r="AX12" s="77"/>
      <c r="AY12" s="62"/>
      <c r="AZ12" s="200"/>
      <c r="BA12" s="62"/>
      <c r="BB12" s="44"/>
      <c r="BC12" s="41"/>
      <c r="BD12" s="42"/>
      <c r="BE12" s="200"/>
      <c r="BF12" s="42"/>
      <c r="BG12" s="43"/>
      <c r="BH12" s="77"/>
      <c r="BI12" s="62"/>
      <c r="BJ12" s="200"/>
      <c r="BK12" s="62"/>
      <c r="BL12" s="44"/>
      <c r="BM12" s="41"/>
      <c r="BN12" s="42"/>
      <c r="BO12" s="200"/>
      <c r="BP12" s="42"/>
      <c r="BQ12" s="43"/>
      <c r="BR12" s="77"/>
      <c r="BS12" s="62"/>
      <c r="BT12" s="200"/>
      <c r="BU12" s="62"/>
      <c r="BV12" s="44"/>
      <c r="BW12" s="41"/>
      <c r="BX12" s="42"/>
      <c r="BY12" s="200"/>
      <c r="BZ12" s="42"/>
      <c r="CA12" s="43"/>
      <c r="CB12" s="77"/>
      <c r="CC12" s="62"/>
      <c r="CD12" s="200"/>
      <c r="CE12" s="62"/>
      <c r="CF12" s="44"/>
      <c r="CG12" s="41"/>
      <c r="CH12" s="42"/>
      <c r="CI12" s="200"/>
      <c r="CJ12" s="42"/>
      <c r="CK12" s="43"/>
      <c r="CL12" s="77"/>
      <c r="CM12" s="62"/>
      <c r="CN12" s="200"/>
      <c r="CO12" s="62"/>
      <c r="CP12" s="44"/>
      <c r="CQ12" s="41"/>
      <c r="CR12" s="42"/>
      <c r="CS12" s="200"/>
      <c r="CT12" s="42"/>
      <c r="CU12" s="43"/>
      <c r="CV12" s="77"/>
      <c r="CW12" s="62"/>
      <c r="CX12" s="200"/>
      <c r="CY12" s="62"/>
      <c r="CZ12" s="44"/>
      <c r="DA12" s="41"/>
      <c r="DB12" s="42"/>
      <c r="DC12" s="200"/>
      <c r="DD12" s="42"/>
      <c r="DE12" s="43"/>
    </row>
    <row r="13" spans="1:165" x14ac:dyDescent="0.2">
      <c r="B13" s="448" t="s">
        <v>21</v>
      </c>
      <c r="C13" s="449"/>
      <c r="D13" s="450"/>
      <c r="E13" s="214"/>
      <c r="F13" s="51"/>
      <c r="G13" s="201"/>
      <c r="H13" s="51"/>
      <c r="I13" s="52"/>
      <c r="J13" s="69"/>
      <c r="K13" s="64"/>
      <c r="L13" s="201"/>
      <c r="M13" s="64"/>
      <c r="N13" s="53"/>
      <c r="O13" s="50"/>
      <c r="P13" s="51"/>
      <c r="Q13" s="201"/>
      <c r="R13" s="51"/>
      <c r="S13" s="52"/>
      <c r="T13" s="69"/>
      <c r="U13" s="64"/>
      <c r="V13" s="201"/>
      <c r="W13" s="64"/>
      <c r="X13" s="53"/>
      <c r="Y13" s="50"/>
      <c r="Z13" s="51"/>
      <c r="AA13" s="201"/>
      <c r="AB13" s="51"/>
      <c r="AC13" s="52"/>
      <c r="AD13" s="69"/>
      <c r="AE13" s="64"/>
      <c r="AF13" s="201"/>
      <c r="AG13" s="64"/>
      <c r="AH13" s="53"/>
      <c r="AI13" s="50"/>
      <c r="AJ13" s="51"/>
      <c r="AK13" s="201"/>
      <c r="AL13" s="51"/>
      <c r="AM13" s="52"/>
      <c r="AN13" s="69"/>
      <c r="AO13" s="64"/>
      <c r="AP13" s="201"/>
      <c r="AQ13" s="64"/>
      <c r="AR13" s="53"/>
      <c r="AS13" s="50"/>
      <c r="AT13" s="51"/>
      <c r="AU13" s="201"/>
      <c r="AV13" s="51"/>
      <c r="AW13" s="52"/>
      <c r="AX13" s="69"/>
      <c r="AY13" s="64"/>
      <c r="AZ13" s="201"/>
      <c r="BA13" s="64"/>
      <c r="BB13" s="53"/>
      <c r="BC13" s="50"/>
      <c r="BD13" s="51"/>
      <c r="BE13" s="201"/>
      <c r="BF13" s="51"/>
      <c r="BG13" s="52"/>
      <c r="BH13" s="69"/>
      <c r="BI13" s="64"/>
      <c r="BJ13" s="201"/>
      <c r="BK13" s="64"/>
      <c r="BL13" s="53"/>
      <c r="BM13" s="50"/>
      <c r="BN13" s="51"/>
      <c r="BO13" s="201"/>
      <c r="BP13" s="51"/>
      <c r="BQ13" s="52"/>
      <c r="BR13" s="69"/>
      <c r="BS13" s="64"/>
      <c r="BT13" s="201"/>
      <c r="BU13" s="64"/>
      <c r="BV13" s="53"/>
      <c r="BW13" s="50"/>
      <c r="BX13" s="51"/>
      <c r="BY13" s="201"/>
      <c r="BZ13" s="51"/>
      <c r="CA13" s="52"/>
      <c r="CB13" s="69"/>
      <c r="CC13" s="64"/>
      <c r="CD13" s="201"/>
      <c r="CE13" s="64"/>
      <c r="CF13" s="53"/>
      <c r="CG13" s="50"/>
      <c r="CH13" s="51"/>
      <c r="CI13" s="201"/>
      <c r="CJ13" s="51"/>
      <c r="CK13" s="52"/>
      <c r="CL13" s="69"/>
      <c r="CM13" s="64"/>
      <c r="CN13" s="201"/>
      <c r="CO13" s="64"/>
      <c r="CP13" s="53"/>
      <c r="CQ13" s="50"/>
      <c r="CR13" s="51"/>
      <c r="CS13" s="201"/>
      <c r="CT13" s="51"/>
      <c r="CU13" s="52"/>
      <c r="CV13" s="69"/>
      <c r="CW13" s="64"/>
      <c r="CX13" s="201"/>
      <c r="CY13" s="64"/>
      <c r="CZ13" s="53"/>
      <c r="DA13" s="50"/>
      <c r="DB13" s="51"/>
      <c r="DC13" s="201"/>
      <c r="DD13" s="51"/>
      <c r="DE13" s="52"/>
    </row>
    <row r="14" spans="1:165" x14ac:dyDescent="0.2">
      <c r="B14" s="448" t="s">
        <v>22</v>
      </c>
      <c r="C14" s="449"/>
      <c r="D14" s="450"/>
      <c r="E14" s="57"/>
      <c r="F14" s="51"/>
      <c r="G14" s="201"/>
      <c r="H14" s="51"/>
      <c r="I14" s="52"/>
      <c r="J14" s="69"/>
      <c r="K14" s="64"/>
      <c r="L14" s="201"/>
      <c r="M14" s="64"/>
      <c r="N14" s="45"/>
      <c r="O14" s="54"/>
      <c r="P14" s="51"/>
      <c r="Q14" s="201"/>
      <c r="R14" s="51"/>
      <c r="S14" s="52"/>
      <c r="T14" s="69"/>
      <c r="U14" s="64"/>
      <c r="V14" s="201"/>
      <c r="W14" s="64"/>
      <c r="X14" s="45"/>
      <c r="Y14" s="54"/>
      <c r="Z14" s="51"/>
      <c r="AA14" s="201"/>
      <c r="AB14" s="51"/>
      <c r="AC14" s="52"/>
      <c r="AD14" s="69"/>
      <c r="AE14" s="64"/>
      <c r="AF14" s="201"/>
      <c r="AG14" s="64"/>
      <c r="AH14" s="45"/>
      <c r="AI14" s="54"/>
      <c r="AJ14" s="51"/>
      <c r="AK14" s="201"/>
      <c r="AL14" s="51"/>
      <c r="AM14" s="52"/>
      <c r="AN14" s="69"/>
      <c r="AO14" s="64"/>
      <c r="AP14" s="201"/>
      <c r="AQ14" s="64"/>
      <c r="AR14" s="45"/>
      <c r="AS14" s="54"/>
      <c r="AT14" s="51"/>
      <c r="AU14" s="201"/>
      <c r="AV14" s="51"/>
      <c r="AW14" s="52"/>
      <c r="AX14" s="69"/>
      <c r="AY14" s="64"/>
      <c r="AZ14" s="201"/>
      <c r="BA14" s="64"/>
      <c r="BB14" s="45"/>
      <c r="BC14" s="54"/>
      <c r="BD14" s="51"/>
      <c r="BE14" s="201"/>
      <c r="BF14" s="51"/>
      <c r="BG14" s="52"/>
      <c r="BH14" s="69"/>
      <c r="BI14" s="64"/>
      <c r="BJ14" s="201"/>
      <c r="BK14" s="64"/>
      <c r="BL14" s="45"/>
      <c r="BM14" s="54"/>
      <c r="BN14" s="51"/>
      <c r="BO14" s="201"/>
      <c r="BP14" s="51"/>
      <c r="BQ14" s="52"/>
      <c r="BR14" s="69"/>
      <c r="BS14" s="64"/>
      <c r="BT14" s="201"/>
      <c r="BU14" s="64"/>
      <c r="BV14" s="45"/>
      <c r="BW14" s="54"/>
      <c r="BX14" s="51"/>
      <c r="BY14" s="201"/>
      <c r="BZ14" s="51"/>
      <c r="CA14" s="52"/>
      <c r="CB14" s="69"/>
      <c r="CC14" s="64"/>
      <c r="CD14" s="201"/>
      <c r="CE14" s="64"/>
      <c r="CF14" s="45"/>
      <c r="CG14" s="54"/>
      <c r="CH14" s="51"/>
      <c r="CI14" s="201"/>
      <c r="CJ14" s="51"/>
      <c r="CK14" s="52"/>
      <c r="CL14" s="69"/>
      <c r="CM14" s="64"/>
      <c r="CN14" s="201"/>
      <c r="CO14" s="64"/>
      <c r="CP14" s="45"/>
      <c r="CQ14" s="54"/>
      <c r="CR14" s="51"/>
      <c r="CS14" s="201"/>
      <c r="CT14" s="51"/>
      <c r="CU14" s="52"/>
      <c r="CV14" s="69"/>
      <c r="CW14" s="64"/>
      <c r="CX14" s="201"/>
      <c r="CY14" s="64"/>
      <c r="CZ14" s="45"/>
      <c r="DA14" s="54"/>
      <c r="DB14" s="51"/>
      <c r="DC14" s="201"/>
      <c r="DD14" s="51"/>
      <c r="DE14" s="52"/>
    </row>
    <row r="15" spans="1:165" ht="17" thickBot="1" x14ac:dyDescent="0.25">
      <c r="B15" s="448" t="s">
        <v>23</v>
      </c>
      <c r="C15" s="449"/>
      <c r="D15" s="450"/>
      <c r="E15" s="215"/>
      <c r="F15" s="90"/>
      <c r="G15" s="202"/>
      <c r="H15" s="90"/>
      <c r="I15" s="91"/>
      <c r="J15" s="92"/>
      <c r="K15" s="93"/>
      <c r="L15" s="202"/>
      <c r="M15" s="93"/>
      <c r="N15" s="94"/>
      <c r="O15" s="89"/>
      <c r="P15" s="90"/>
      <c r="Q15" s="202"/>
      <c r="R15" s="90"/>
      <c r="S15" s="91"/>
      <c r="T15" s="92"/>
      <c r="U15" s="93"/>
      <c r="V15" s="202"/>
      <c r="W15" s="93"/>
      <c r="X15" s="94"/>
      <c r="Y15" s="89"/>
      <c r="Z15" s="90"/>
      <c r="AA15" s="202"/>
      <c r="AB15" s="90"/>
      <c r="AC15" s="91"/>
      <c r="AD15" s="92"/>
      <c r="AE15" s="93"/>
      <c r="AF15" s="202"/>
      <c r="AG15" s="93"/>
      <c r="AH15" s="94"/>
      <c r="AI15" s="89"/>
      <c r="AJ15" s="90"/>
      <c r="AK15" s="202"/>
      <c r="AL15" s="90"/>
      <c r="AM15" s="91"/>
      <c r="AN15" s="92"/>
      <c r="AO15" s="93"/>
      <c r="AP15" s="202"/>
      <c r="AQ15" s="93"/>
      <c r="AR15" s="94"/>
      <c r="AS15" s="89"/>
      <c r="AT15" s="90"/>
      <c r="AU15" s="202"/>
      <c r="AV15" s="90"/>
      <c r="AW15" s="91"/>
      <c r="AX15" s="92"/>
      <c r="AY15" s="93"/>
      <c r="AZ15" s="202"/>
      <c r="BA15" s="93"/>
      <c r="BB15" s="94"/>
      <c r="BC15" s="89"/>
      <c r="BD15" s="90"/>
      <c r="BE15" s="202"/>
      <c r="BF15" s="90"/>
      <c r="BG15" s="91"/>
      <c r="BH15" s="92"/>
      <c r="BI15" s="93"/>
      <c r="BJ15" s="202"/>
      <c r="BK15" s="93"/>
      <c r="BL15" s="94"/>
      <c r="BM15" s="89"/>
      <c r="BN15" s="90"/>
      <c r="BO15" s="202"/>
      <c r="BP15" s="90"/>
      <c r="BQ15" s="91"/>
      <c r="BR15" s="92"/>
      <c r="BS15" s="93"/>
      <c r="BT15" s="202"/>
      <c r="BU15" s="93"/>
      <c r="BV15" s="94"/>
      <c r="BW15" s="89"/>
      <c r="BX15" s="90"/>
      <c r="BY15" s="202"/>
      <c r="BZ15" s="90"/>
      <c r="CA15" s="91"/>
      <c r="CB15" s="92"/>
      <c r="CC15" s="93"/>
      <c r="CD15" s="202"/>
      <c r="CE15" s="93"/>
      <c r="CF15" s="94"/>
      <c r="CG15" s="89"/>
      <c r="CH15" s="90"/>
      <c r="CI15" s="202"/>
      <c r="CJ15" s="90"/>
      <c r="CK15" s="91"/>
      <c r="CL15" s="92"/>
      <c r="CM15" s="93"/>
      <c r="CN15" s="202"/>
      <c r="CO15" s="93"/>
      <c r="CP15" s="94"/>
      <c r="CQ15" s="89"/>
      <c r="CR15" s="90"/>
      <c r="CS15" s="202"/>
      <c r="CT15" s="90"/>
      <c r="CU15" s="91"/>
      <c r="CV15" s="92"/>
      <c r="CW15" s="93"/>
      <c r="CX15" s="202"/>
      <c r="CY15" s="93"/>
      <c r="CZ15" s="94"/>
      <c r="DA15" s="89"/>
      <c r="DB15" s="90"/>
      <c r="DC15" s="202"/>
      <c r="DD15" s="90"/>
      <c r="DE15" s="91"/>
    </row>
    <row r="16" spans="1:165" x14ac:dyDescent="0.2">
      <c r="B16" s="448" t="s">
        <v>24</v>
      </c>
      <c r="C16" s="449"/>
      <c r="D16" s="450"/>
      <c r="E16" s="95"/>
      <c r="F16" s="96"/>
      <c r="G16" s="96"/>
      <c r="H16" s="96"/>
      <c r="I16" s="97"/>
      <c r="J16" s="98"/>
      <c r="K16" s="47"/>
      <c r="L16" s="47"/>
      <c r="M16" s="47"/>
      <c r="N16" s="63"/>
      <c r="O16" s="95"/>
      <c r="P16" s="96"/>
      <c r="Q16" s="96"/>
      <c r="R16" s="96"/>
      <c r="S16" s="97"/>
      <c r="T16" s="98"/>
      <c r="U16" s="47"/>
      <c r="V16" s="47"/>
      <c r="W16" s="47"/>
      <c r="X16" s="63"/>
      <c r="Y16" s="95"/>
      <c r="Z16" s="96"/>
      <c r="AA16" s="96"/>
      <c r="AB16" s="96"/>
      <c r="AC16" s="97"/>
      <c r="AD16" s="98"/>
      <c r="AE16" s="47"/>
      <c r="AF16" s="47"/>
      <c r="AG16" s="47"/>
      <c r="AH16" s="63"/>
      <c r="AI16" s="95"/>
      <c r="AJ16" s="96"/>
      <c r="AK16" s="96"/>
      <c r="AL16" s="96"/>
      <c r="AM16" s="97"/>
      <c r="AN16" s="98"/>
      <c r="AO16" s="47"/>
      <c r="AP16" s="47"/>
      <c r="AQ16" s="47"/>
      <c r="AR16" s="63"/>
      <c r="AS16" s="95"/>
      <c r="AT16" s="96"/>
      <c r="AU16" s="96"/>
      <c r="AV16" s="96"/>
      <c r="AW16" s="97"/>
      <c r="AX16" s="98"/>
      <c r="AY16" s="47"/>
      <c r="AZ16" s="47"/>
      <c r="BA16" s="47"/>
      <c r="BB16" s="63"/>
      <c r="BC16" s="95"/>
      <c r="BD16" s="96"/>
      <c r="BE16" s="96"/>
      <c r="BF16" s="96"/>
      <c r="BG16" s="97"/>
      <c r="BH16" s="98"/>
      <c r="BI16" s="47"/>
      <c r="BJ16" s="47"/>
      <c r="BK16" s="47"/>
      <c r="BL16" s="63"/>
      <c r="BM16" s="95"/>
      <c r="BN16" s="96"/>
      <c r="BO16" s="96"/>
      <c r="BP16" s="96"/>
      <c r="BQ16" s="97"/>
      <c r="BR16" s="98"/>
      <c r="BS16" s="47"/>
      <c r="BT16" s="47"/>
      <c r="BU16" s="47"/>
      <c r="BV16" s="63"/>
      <c r="BW16" s="95"/>
      <c r="BX16" s="96"/>
      <c r="BY16" s="96"/>
      <c r="BZ16" s="96"/>
      <c r="CA16" s="97"/>
      <c r="CB16" s="98"/>
      <c r="CC16" s="47"/>
      <c r="CD16" s="47"/>
      <c r="CE16" s="47"/>
      <c r="CF16" s="63"/>
      <c r="CG16" s="95"/>
      <c r="CH16" s="96"/>
      <c r="CI16" s="96"/>
      <c r="CJ16" s="96"/>
      <c r="CK16" s="97"/>
      <c r="CL16" s="98"/>
      <c r="CM16" s="47"/>
      <c r="CN16" s="47"/>
      <c r="CO16" s="47"/>
      <c r="CP16" s="63"/>
      <c r="CQ16" s="95"/>
      <c r="CR16" s="96"/>
      <c r="CS16" s="96"/>
      <c r="CT16" s="96"/>
      <c r="CU16" s="97"/>
      <c r="CV16" s="98"/>
      <c r="CW16" s="47"/>
      <c r="CX16" s="47"/>
      <c r="CY16" s="47"/>
      <c r="CZ16" s="63"/>
      <c r="DA16" s="95"/>
      <c r="DB16" s="96"/>
      <c r="DC16" s="96"/>
      <c r="DD16" s="96"/>
      <c r="DE16" s="97"/>
    </row>
    <row r="17" spans="2:109" x14ac:dyDescent="0.2">
      <c r="B17" s="448" t="s">
        <v>30</v>
      </c>
      <c r="C17" s="449"/>
      <c r="D17" s="450"/>
      <c r="E17" s="68"/>
      <c r="F17" s="65"/>
      <c r="G17" s="65"/>
      <c r="H17" s="65"/>
      <c r="I17" s="70"/>
      <c r="J17" s="67"/>
      <c r="K17" s="56"/>
      <c r="L17" s="56"/>
      <c r="M17" s="56"/>
      <c r="N17" s="66"/>
      <c r="O17" s="68"/>
      <c r="P17" s="65"/>
      <c r="Q17" s="65"/>
      <c r="R17" s="65"/>
      <c r="S17" s="70"/>
      <c r="T17" s="67"/>
      <c r="U17" s="56"/>
      <c r="V17" s="56"/>
      <c r="W17" s="56"/>
      <c r="X17" s="66"/>
      <c r="Y17" s="68"/>
      <c r="Z17" s="65"/>
      <c r="AA17" s="65"/>
      <c r="AB17" s="65"/>
      <c r="AC17" s="70"/>
      <c r="AD17" s="67"/>
      <c r="AE17" s="56"/>
      <c r="AF17" s="56"/>
      <c r="AG17" s="56"/>
      <c r="AH17" s="66"/>
      <c r="AI17" s="68"/>
      <c r="AJ17" s="65"/>
      <c r="AK17" s="65"/>
      <c r="AL17" s="65"/>
      <c r="AM17" s="70"/>
      <c r="AN17" s="67"/>
      <c r="AO17" s="56"/>
      <c r="AP17" s="56"/>
      <c r="AQ17" s="56"/>
      <c r="AR17" s="66"/>
      <c r="AS17" s="68"/>
      <c r="AT17" s="65"/>
      <c r="AU17" s="65"/>
      <c r="AV17" s="65"/>
      <c r="AW17" s="70"/>
      <c r="AX17" s="67"/>
      <c r="AY17" s="56"/>
      <c r="AZ17" s="56"/>
      <c r="BA17" s="56"/>
      <c r="BB17" s="66"/>
      <c r="BC17" s="68"/>
      <c r="BD17" s="65"/>
      <c r="BE17" s="65"/>
      <c r="BF17" s="65"/>
      <c r="BG17" s="70"/>
      <c r="BH17" s="67"/>
      <c r="BI17" s="56"/>
      <c r="BJ17" s="56"/>
      <c r="BK17" s="56"/>
      <c r="BL17" s="66"/>
      <c r="BM17" s="68"/>
      <c r="BN17" s="65"/>
      <c r="BO17" s="65"/>
      <c r="BP17" s="65"/>
      <c r="BQ17" s="70"/>
      <c r="BR17" s="67"/>
      <c r="BS17" s="56"/>
      <c r="BT17" s="56"/>
      <c r="BU17" s="56"/>
      <c r="BV17" s="66"/>
      <c r="BW17" s="68"/>
      <c r="BX17" s="65"/>
      <c r="BY17" s="65"/>
      <c r="BZ17" s="65"/>
      <c r="CA17" s="70"/>
      <c r="CB17" s="67"/>
      <c r="CC17" s="56"/>
      <c r="CD17" s="56"/>
      <c r="CE17" s="56"/>
      <c r="CF17" s="66"/>
      <c r="CG17" s="68"/>
      <c r="CH17" s="65"/>
      <c r="CI17" s="65"/>
      <c r="CJ17" s="65"/>
      <c r="CK17" s="70"/>
      <c r="CL17" s="67"/>
      <c r="CM17" s="56"/>
      <c r="CN17" s="56"/>
      <c r="CO17" s="56"/>
      <c r="CP17" s="66"/>
      <c r="CQ17" s="68"/>
      <c r="CR17" s="65"/>
      <c r="CS17" s="65"/>
      <c r="CT17" s="65"/>
      <c r="CU17" s="70"/>
      <c r="CV17" s="67"/>
      <c r="CW17" s="56"/>
      <c r="CX17" s="56"/>
      <c r="CY17" s="56"/>
      <c r="CZ17" s="66"/>
      <c r="DA17" s="68"/>
      <c r="DB17" s="65"/>
      <c r="DC17" s="65"/>
      <c r="DD17" s="65"/>
      <c r="DE17" s="70"/>
    </row>
    <row r="18" spans="2:109" x14ac:dyDescent="0.2">
      <c r="B18" s="448" t="s">
        <v>31</v>
      </c>
      <c r="C18" s="449"/>
      <c r="D18" s="450"/>
      <c r="E18" s="68"/>
      <c r="F18" s="65"/>
      <c r="G18" s="65"/>
      <c r="H18" s="65"/>
      <c r="I18" s="70"/>
      <c r="J18" s="67"/>
      <c r="K18" s="56"/>
      <c r="L18" s="56"/>
      <c r="M18" s="56"/>
      <c r="N18" s="66"/>
      <c r="O18" s="68"/>
      <c r="P18" s="65"/>
      <c r="Q18" s="65"/>
      <c r="R18" s="65"/>
      <c r="S18" s="70"/>
      <c r="T18" s="67"/>
      <c r="U18" s="56"/>
      <c r="V18" s="56"/>
      <c r="W18" s="56"/>
      <c r="X18" s="66"/>
      <c r="Y18" s="68"/>
      <c r="Z18" s="65"/>
      <c r="AA18" s="65"/>
      <c r="AB18" s="65"/>
      <c r="AC18" s="70"/>
      <c r="AD18" s="67"/>
      <c r="AE18" s="56"/>
      <c r="AF18" s="56"/>
      <c r="AG18" s="56"/>
      <c r="AH18" s="66"/>
      <c r="AI18" s="68"/>
      <c r="AJ18" s="65"/>
      <c r="AK18" s="65"/>
      <c r="AL18" s="65"/>
      <c r="AM18" s="70"/>
      <c r="AN18" s="67"/>
      <c r="AO18" s="56"/>
      <c r="AP18" s="56"/>
      <c r="AQ18" s="56"/>
      <c r="AR18" s="66"/>
      <c r="AS18" s="68"/>
      <c r="AT18" s="65"/>
      <c r="AU18" s="65"/>
      <c r="AV18" s="65"/>
      <c r="AW18" s="70"/>
      <c r="AX18" s="67"/>
      <c r="AY18" s="56"/>
      <c r="AZ18" s="56"/>
      <c r="BA18" s="56"/>
      <c r="BB18" s="66"/>
      <c r="BC18" s="68"/>
      <c r="BD18" s="65"/>
      <c r="BE18" s="65"/>
      <c r="BF18" s="65"/>
      <c r="BG18" s="70"/>
      <c r="BH18" s="67"/>
      <c r="BI18" s="56"/>
      <c r="BJ18" s="56"/>
      <c r="BK18" s="56"/>
      <c r="BL18" s="66"/>
      <c r="BM18" s="68"/>
      <c r="BN18" s="65"/>
      <c r="BO18" s="65"/>
      <c r="BP18" s="65"/>
      <c r="BQ18" s="70"/>
      <c r="BR18" s="67"/>
      <c r="BS18" s="56"/>
      <c r="BT18" s="56"/>
      <c r="BU18" s="56"/>
      <c r="BV18" s="66"/>
      <c r="BW18" s="68"/>
      <c r="BX18" s="65"/>
      <c r="BY18" s="65"/>
      <c r="BZ18" s="65"/>
      <c r="CA18" s="70"/>
      <c r="CB18" s="67"/>
      <c r="CC18" s="56"/>
      <c r="CD18" s="56"/>
      <c r="CE18" s="56"/>
      <c r="CF18" s="66"/>
      <c r="CG18" s="68"/>
      <c r="CH18" s="65"/>
      <c r="CI18" s="65"/>
      <c r="CJ18" s="65"/>
      <c r="CK18" s="70"/>
      <c r="CL18" s="67"/>
      <c r="CM18" s="56"/>
      <c r="CN18" s="56"/>
      <c r="CO18" s="56"/>
      <c r="CP18" s="66"/>
      <c r="CQ18" s="68"/>
      <c r="CR18" s="65"/>
      <c r="CS18" s="65"/>
      <c r="CT18" s="65"/>
      <c r="CU18" s="70"/>
      <c r="CV18" s="67"/>
      <c r="CW18" s="56"/>
      <c r="CX18" s="56"/>
      <c r="CY18" s="56"/>
      <c r="CZ18" s="66"/>
      <c r="DA18" s="68"/>
      <c r="DB18" s="65"/>
      <c r="DC18" s="65"/>
      <c r="DD18" s="65"/>
      <c r="DE18" s="70"/>
    </row>
    <row r="19" spans="2:109" x14ac:dyDescent="0.2">
      <c r="B19" s="448" t="s">
        <v>32</v>
      </c>
      <c r="C19" s="449"/>
      <c r="D19" s="450"/>
      <c r="E19" s="68"/>
      <c r="F19" s="65"/>
      <c r="G19" s="65"/>
      <c r="H19" s="65"/>
      <c r="I19" s="70"/>
      <c r="J19" s="67"/>
      <c r="K19" s="56"/>
      <c r="L19" s="56"/>
      <c r="M19" s="56"/>
      <c r="N19" s="66"/>
      <c r="O19" s="68"/>
      <c r="P19" s="65"/>
      <c r="Q19" s="65"/>
      <c r="R19" s="65"/>
      <c r="S19" s="70"/>
      <c r="T19" s="67"/>
      <c r="U19" s="56"/>
      <c r="V19" s="56"/>
      <c r="W19" s="56"/>
      <c r="X19" s="66"/>
      <c r="Y19" s="68"/>
      <c r="Z19" s="65"/>
      <c r="AA19" s="65"/>
      <c r="AB19" s="65"/>
      <c r="AC19" s="70"/>
      <c r="AD19" s="67"/>
      <c r="AE19" s="56"/>
      <c r="AF19" s="56"/>
      <c r="AG19" s="56"/>
      <c r="AH19" s="66"/>
      <c r="AI19" s="68"/>
      <c r="AJ19" s="65"/>
      <c r="AK19" s="65"/>
      <c r="AL19" s="65"/>
      <c r="AM19" s="70"/>
      <c r="AN19" s="67"/>
      <c r="AO19" s="56"/>
      <c r="AP19" s="56"/>
      <c r="AQ19" s="56"/>
      <c r="AR19" s="66"/>
      <c r="AS19" s="68"/>
      <c r="AT19" s="65"/>
      <c r="AU19" s="65"/>
      <c r="AV19" s="65"/>
      <c r="AW19" s="70"/>
      <c r="AX19" s="67"/>
      <c r="AY19" s="56"/>
      <c r="AZ19" s="56"/>
      <c r="BA19" s="56"/>
      <c r="BB19" s="66"/>
      <c r="BC19" s="68"/>
      <c r="BD19" s="65"/>
      <c r="BE19" s="65"/>
      <c r="BF19" s="65"/>
      <c r="BG19" s="70"/>
      <c r="BH19" s="67"/>
      <c r="BI19" s="56"/>
      <c r="BJ19" s="56"/>
      <c r="BK19" s="56"/>
      <c r="BL19" s="66"/>
      <c r="BM19" s="68"/>
      <c r="BN19" s="65"/>
      <c r="BO19" s="65"/>
      <c r="BP19" s="65"/>
      <c r="BQ19" s="70"/>
      <c r="BR19" s="67"/>
      <c r="BS19" s="56"/>
      <c r="BT19" s="56"/>
      <c r="BU19" s="56"/>
      <c r="BV19" s="66"/>
      <c r="BW19" s="68"/>
      <c r="BX19" s="65"/>
      <c r="BY19" s="65"/>
      <c r="BZ19" s="65"/>
      <c r="CA19" s="70"/>
      <c r="CB19" s="67"/>
      <c r="CC19" s="56"/>
      <c r="CD19" s="56"/>
      <c r="CE19" s="56"/>
      <c r="CF19" s="66"/>
      <c r="CG19" s="68"/>
      <c r="CH19" s="65"/>
      <c r="CI19" s="65"/>
      <c r="CJ19" s="65"/>
      <c r="CK19" s="70"/>
      <c r="CL19" s="67"/>
      <c r="CM19" s="56"/>
      <c r="CN19" s="56"/>
      <c r="CO19" s="56"/>
      <c r="CP19" s="66"/>
      <c r="CQ19" s="68"/>
      <c r="CR19" s="65"/>
      <c r="CS19" s="65"/>
      <c r="CT19" s="65"/>
      <c r="CU19" s="70"/>
      <c r="CV19" s="67"/>
      <c r="CW19" s="56"/>
      <c r="CX19" s="56"/>
      <c r="CY19" s="56"/>
      <c r="CZ19" s="66"/>
      <c r="DA19" s="68"/>
      <c r="DB19" s="65"/>
      <c r="DC19" s="65"/>
      <c r="DD19" s="65"/>
      <c r="DE19" s="70"/>
    </row>
    <row r="20" spans="2:109" x14ac:dyDescent="0.2">
      <c r="B20" s="448" t="s">
        <v>33</v>
      </c>
      <c r="C20" s="449"/>
      <c r="D20" s="450"/>
      <c r="E20" s="68"/>
      <c r="F20" s="65"/>
      <c r="G20" s="65"/>
      <c r="H20" s="65"/>
      <c r="I20" s="70"/>
      <c r="J20" s="67"/>
      <c r="K20" s="56"/>
      <c r="L20" s="56"/>
      <c r="M20" s="56"/>
      <c r="N20" s="66"/>
      <c r="O20" s="68"/>
      <c r="P20" s="65"/>
      <c r="Q20" s="65"/>
      <c r="R20" s="65"/>
      <c r="S20" s="70"/>
      <c r="T20" s="67"/>
      <c r="U20" s="56"/>
      <c r="V20" s="56"/>
      <c r="W20" s="56"/>
      <c r="X20" s="66"/>
      <c r="Y20" s="68"/>
      <c r="Z20" s="65"/>
      <c r="AA20" s="65"/>
      <c r="AB20" s="65"/>
      <c r="AC20" s="70"/>
      <c r="AD20" s="67"/>
      <c r="AE20" s="56"/>
      <c r="AF20" s="56"/>
      <c r="AG20" s="56"/>
      <c r="AH20" s="66"/>
      <c r="AI20" s="68"/>
      <c r="AJ20" s="65"/>
      <c r="AK20" s="65"/>
      <c r="AL20" s="65"/>
      <c r="AM20" s="70"/>
      <c r="AN20" s="67"/>
      <c r="AO20" s="56"/>
      <c r="AP20" s="56"/>
      <c r="AQ20" s="56"/>
      <c r="AR20" s="66"/>
      <c r="AS20" s="68"/>
      <c r="AT20" s="65"/>
      <c r="AU20" s="65"/>
      <c r="AV20" s="65"/>
      <c r="AW20" s="70"/>
      <c r="AX20" s="67"/>
      <c r="AY20" s="56"/>
      <c r="AZ20" s="56"/>
      <c r="BA20" s="56"/>
      <c r="BB20" s="66"/>
      <c r="BC20" s="68"/>
      <c r="BD20" s="65"/>
      <c r="BE20" s="65"/>
      <c r="BF20" s="65"/>
      <c r="BG20" s="70"/>
      <c r="BH20" s="67"/>
      <c r="BI20" s="56"/>
      <c r="BJ20" s="56"/>
      <c r="BK20" s="56"/>
      <c r="BL20" s="66"/>
      <c r="BM20" s="68"/>
      <c r="BN20" s="65"/>
      <c r="BO20" s="65"/>
      <c r="BP20" s="65"/>
      <c r="BQ20" s="70"/>
      <c r="BR20" s="67"/>
      <c r="BS20" s="56"/>
      <c r="BT20" s="56"/>
      <c r="BU20" s="56"/>
      <c r="BV20" s="66"/>
      <c r="BW20" s="68"/>
      <c r="BX20" s="65"/>
      <c r="BY20" s="65"/>
      <c r="BZ20" s="65"/>
      <c r="CA20" s="70"/>
      <c r="CB20" s="67"/>
      <c r="CC20" s="56"/>
      <c r="CD20" s="56"/>
      <c r="CE20" s="56"/>
      <c r="CF20" s="66"/>
      <c r="CG20" s="68"/>
      <c r="CH20" s="65"/>
      <c r="CI20" s="65"/>
      <c r="CJ20" s="65"/>
      <c r="CK20" s="70"/>
      <c r="CL20" s="67"/>
      <c r="CM20" s="56"/>
      <c r="CN20" s="56"/>
      <c r="CO20" s="56"/>
      <c r="CP20" s="66"/>
      <c r="CQ20" s="68"/>
      <c r="CR20" s="65"/>
      <c r="CS20" s="65"/>
      <c r="CT20" s="65"/>
      <c r="CU20" s="70"/>
      <c r="CV20" s="67"/>
      <c r="CW20" s="56"/>
      <c r="CX20" s="56"/>
      <c r="CY20" s="56"/>
      <c r="CZ20" s="66"/>
      <c r="DA20" s="68"/>
      <c r="DB20" s="65"/>
      <c r="DC20" s="65"/>
      <c r="DD20" s="65"/>
      <c r="DE20" s="70"/>
    </row>
    <row r="21" spans="2:109" ht="17" thickBot="1" x14ac:dyDescent="0.25">
      <c r="B21" s="451" t="s">
        <v>34</v>
      </c>
      <c r="C21" s="452"/>
      <c r="D21" s="453"/>
      <c r="E21" s="71"/>
      <c r="F21" s="72"/>
      <c r="G21" s="72"/>
      <c r="H21" s="72"/>
      <c r="I21" s="73"/>
      <c r="J21" s="74"/>
      <c r="K21" s="75"/>
      <c r="L21" s="75"/>
      <c r="M21" s="75"/>
      <c r="N21" s="76"/>
      <c r="O21" s="71"/>
      <c r="P21" s="72"/>
      <c r="Q21" s="72"/>
      <c r="R21" s="72"/>
      <c r="S21" s="73"/>
      <c r="T21" s="74"/>
      <c r="U21" s="75"/>
      <c r="V21" s="75"/>
      <c r="W21" s="75"/>
      <c r="X21" s="76"/>
      <c r="Y21" s="71"/>
      <c r="Z21" s="72"/>
      <c r="AA21" s="72"/>
      <c r="AB21" s="72"/>
      <c r="AC21" s="73"/>
      <c r="AD21" s="74"/>
      <c r="AE21" s="75"/>
      <c r="AF21" s="75"/>
      <c r="AG21" s="75"/>
      <c r="AH21" s="76"/>
      <c r="AI21" s="71"/>
      <c r="AJ21" s="72"/>
      <c r="AK21" s="72"/>
      <c r="AL21" s="72"/>
      <c r="AM21" s="73"/>
      <c r="AN21" s="74"/>
      <c r="AO21" s="75"/>
      <c r="AP21" s="75"/>
      <c r="AQ21" s="75"/>
      <c r="AR21" s="76"/>
      <c r="AS21" s="71"/>
      <c r="AT21" s="72"/>
      <c r="AU21" s="72"/>
      <c r="AV21" s="72"/>
      <c r="AW21" s="73"/>
      <c r="AX21" s="74"/>
      <c r="AY21" s="75"/>
      <c r="AZ21" s="75"/>
      <c r="BA21" s="75"/>
      <c r="BB21" s="76"/>
      <c r="BC21" s="71"/>
      <c r="BD21" s="72"/>
      <c r="BE21" s="72"/>
      <c r="BF21" s="72"/>
      <c r="BG21" s="73"/>
      <c r="BH21" s="74"/>
      <c r="BI21" s="75"/>
      <c r="BJ21" s="75"/>
      <c r="BK21" s="75"/>
      <c r="BL21" s="76"/>
      <c r="BM21" s="71"/>
      <c r="BN21" s="72"/>
      <c r="BO21" s="72"/>
      <c r="BP21" s="72"/>
      <c r="BQ21" s="73"/>
      <c r="BR21" s="74"/>
      <c r="BS21" s="75"/>
      <c r="BT21" s="75"/>
      <c r="BU21" s="75"/>
      <c r="BV21" s="76"/>
      <c r="BW21" s="71"/>
      <c r="BX21" s="72"/>
      <c r="BY21" s="72"/>
      <c r="BZ21" s="72"/>
      <c r="CA21" s="73"/>
      <c r="CB21" s="74"/>
      <c r="CC21" s="75"/>
      <c r="CD21" s="75"/>
      <c r="CE21" s="75"/>
      <c r="CF21" s="76"/>
      <c r="CG21" s="71"/>
      <c r="CH21" s="72"/>
      <c r="CI21" s="72"/>
      <c r="CJ21" s="72"/>
      <c r="CK21" s="73"/>
      <c r="CL21" s="74"/>
      <c r="CM21" s="75"/>
      <c r="CN21" s="75"/>
      <c r="CO21" s="75"/>
      <c r="CP21" s="76"/>
      <c r="CQ21" s="71"/>
      <c r="CR21" s="72"/>
      <c r="CS21" s="72"/>
      <c r="CT21" s="72"/>
      <c r="CU21" s="73"/>
      <c r="CV21" s="74"/>
      <c r="CW21" s="75"/>
      <c r="CX21" s="75"/>
      <c r="CY21" s="75"/>
      <c r="CZ21" s="76"/>
      <c r="DA21" s="71"/>
      <c r="DB21" s="72"/>
      <c r="DC21" s="72"/>
      <c r="DD21" s="72"/>
      <c r="DE21" s="73"/>
    </row>
    <row r="22" spans="2:109" s="136" customFormat="1" ht="17" thickBot="1" x14ac:dyDescent="0.25"/>
    <row r="23" spans="2:109" ht="17" thickBot="1" x14ac:dyDescent="0.25">
      <c r="C23" s="198" t="s">
        <v>37</v>
      </c>
      <c r="D23" s="199" t="s">
        <v>38</v>
      </c>
    </row>
    <row r="24" spans="2:109" x14ac:dyDescent="0.2">
      <c r="B24" s="83"/>
      <c r="C24" s="80"/>
      <c r="D24" s="106" t="str">
        <f t="shared" ref="D24:D36" si="22">IF(SUM(E24:DE24)=0,"",SUM(E24:DE24))</f>
        <v/>
      </c>
      <c r="E24" s="81" t="str">
        <f t="shared" ref="E24:N38" si="23">IF($B24="","",IF(COUNTIF(E$16:E$21,$B24)&gt;0,COUNTA(E$7:E$15),0)+IF(COUNTIF(E$36:E$41,$B24)&gt;0,COUNTA(E$27:E$35),0))</f>
        <v/>
      </c>
      <c r="F24" s="46" t="str">
        <f t="shared" si="23"/>
        <v/>
      </c>
      <c r="G24" s="46" t="str">
        <f t="shared" si="23"/>
        <v/>
      </c>
      <c r="H24" s="46" t="str">
        <f t="shared" si="23"/>
        <v/>
      </c>
      <c r="I24" s="46" t="str">
        <f t="shared" si="23"/>
        <v/>
      </c>
      <c r="J24" s="46" t="str">
        <f t="shared" si="23"/>
        <v/>
      </c>
      <c r="K24" s="46" t="str">
        <f t="shared" si="23"/>
        <v/>
      </c>
      <c r="L24" s="46" t="str">
        <f t="shared" si="23"/>
        <v/>
      </c>
      <c r="M24" s="46" t="str">
        <f t="shared" si="23"/>
        <v/>
      </c>
      <c r="N24" s="46" t="str">
        <f t="shared" si="23"/>
        <v/>
      </c>
      <c r="O24" s="46" t="str">
        <f t="shared" ref="O24:X38" si="24">IF($B24="","",IF(COUNTIF(O$16:O$21,$B24)&gt;0,COUNTA(O$7:O$15),0)+IF(COUNTIF(O$36:O$41,$B24)&gt;0,COUNTA(O$27:O$35),0))</f>
        <v/>
      </c>
      <c r="P24" s="46" t="str">
        <f t="shared" si="24"/>
        <v/>
      </c>
      <c r="Q24" s="46" t="str">
        <f t="shared" si="24"/>
        <v/>
      </c>
      <c r="R24" s="46" t="str">
        <f t="shared" si="24"/>
        <v/>
      </c>
      <c r="S24" s="46" t="str">
        <f t="shared" si="24"/>
        <v/>
      </c>
      <c r="T24" s="46" t="str">
        <f t="shared" si="24"/>
        <v/>
      </c>
      <c r="U24" s="46" t="str">
        <f t="shared" si="24"/>
        <v/>
      </c>
      <c r="V24" s="46" t="str">
        <f t="shared" si="24"/>
        <v/>
      </c>
      <c r="W24" s="46" t="str">
        <f t="shared" si="24"/>
        <v/>
      </c>
      <c r="X24" s="46" t="str">
        <f t="shared" si="24"/>
        <v/>
      </c>
      <c r="Y24" s="46" t="str">
        <f t="shared" ref="Y24:AH38" si="25">IF($B24="","",IF(COUNTIF(Y$16:Y$21,$B24)&gt;0,COUNTA(Y$7:Y$15),0)+IF(COUNTIF(Y$36:Y$41,$B24)&gt;0,COUNTA(Y$27:Y$35),0))</f>
        <v/>
      </c>
      <c r="Z24" s="46" t="str">
        <f t="shared" si="25"/>
        <v/>
      </c>
      <c r="AA24" s="46" t="str">
        <f t="shared" si="25"/>
        <v/>
      </c>
      <c r="AB24" s="46" t="str">
        <f t="shared" si="25"/>
        <v/>
      </c>
      <c r="AC24" s="46" t="str">
        <f t="shared" si="25"/>
        <v/>
      </c>
      <c r="AD24" s="46" t="str">
        <f t="shared" si="25"/>
        <v/>
      </c>
      <c r="AE24" s="46" t="str">
        <f t="shared" si="25"/>
        <v/>
      </c>
      <c r="AF24" s="46" t="str">
        <f t="shared" si="25"/>
        <v/>
      </c>
      <c r="AG24" s="46" t="str">
        <f t="shared" si="25"/>
        <v/>
      </c>
      <c r="AH24" s="46" t="str">
        <f t="shared" si="25"/>
        <v/>
      </c>
      <c r="AI24" s="46" t="str">
        <f t="shared" ref="AI24:AR38" si="26">IF($B24="","",IF(COUNTIF(AI$16:AI$21,$B24)&gt;0,COUNTA(AI$7:AI$15),0)+IF(COUNTIF(AI$36:AI$41,$B24)&gt;0,COUNTA(AI$27:AI$35),0))</f>
        <v/>
      </c>
      <c r="AJ24" s="46" t="str">
        <f t="shared" si="26"/>
        <v/>
      </c>
      <c r="AK24" s="46" t="str">
        <f t="shared" si="26"/>
        <v/>
      </c>
      <c r="AL24" s="46" t="str">
        <f t="shared" si="26"/>
        <v/>
      </c>
      <c r="AM24" s="46" t="str">
        <f t="shared" si="26"/>
        <v/>
      </c>
      <c r="AN24" s="46" t="str">
        <f t="shared" si="26"/>
        <v/>
      </c>
      <c r="AO24" s="46" t="str">
        <f t="shared" si="26"/>
        <v/>
      </c>
      <c r="AP24" s="46" t="str">
        <f t="shared" si="26"/>
        <v/>
      </c>
      <c r="AQ24" s="46" t="str">
        <f t="shared" si="26"/>
        <v/>
      </c>
      <c r="AR24" s="46" t="str">
        <f t="shared" si="26"/>
        <v/>
      </c>
      <c r="AS24" s="46" t="str">
        <f t="shared" ref="AS24:BB38" si="27">IF($B24="","",IF(COUNTIF(AS$16:AS$21,$B24)&gt;0,COUNTA(AS$7:AS$15),0)+IF(COUNTIF(AS$36:AS$41,$B24)&gt;0,COUNTA(AS$27:AS$35),0))</f>
        <v/>
      </c>
      <c r="AT24" s="46" t="str">
        <f t="shared" si="27"/>
        <v/>
      </c>
      <c r="AU24" s="46" t="str">
        <f t="shared" si="27"/>
        <v/>
      </c>
      <c r="AV24" s="46" t="str">
        <f t="shared" si="27"/>
        <v/>
      </c>
      <c r="AW24" s="46" t="str">
        <f t="shared" si="27"/>
        <v/>
      </c>
      <c r="AX24" s="46" t="str">
        <f t="shared" si="27"/>
        <v/>
      </c>
      <c r="AY24" s="46" t="str">
        <f t="shared" si="27"/>
        <v/>
      </c>
      <c r="AZ24" s="46" t="str">
        <f t="shared" si="27"/>
        <v/>
      </c>
      <c r="BA24" s="46" t="str">
        <f t="shared" si="27"/>
        <v/>
      </c>
      <c r="BB24" s="46" t="str">
        <f t="shared" si="27"/>
        <v/>
      </c>
      <c r="BC24" s="46" t="str">
        <f t="shared" ref="BC24:BL38" si="28">IF($B24="","",IF(COUNTIF(BC$16:BC$21,$B24)&gt;0,COUNTA(BC$7:BC$15),0)+IF(COUNTIF(BC$36:BC$41,$B24)&gt;0,COUNTA(BC$27:BC$35),0))</f>
        <v/>
      </c>
      <c r="BD24" s="46" t="str">
        <f t="shared" si="28"/>
        <v/>
      </c>
      <c r="BE24" s="46" t="str">
        <f t="shared" si="28"/>
        <v/>
      </c>
      <c r="BF24" s="46" t="str">
        <f t="shared" si="28"/>
        <v/>
      </c>
      <c r="BG24" s="46" t="str">
        <f t="shared" si="28"/>
        <v/>
      </c>
      <c r="BH24" s="46" t="str">
        <f t="shared" si="28"/>
        <v/>
      </c>
      <c r="BI24" s="46" t="str">
        <f t="shared" si="28"/>
        <v/>
      </c>
      <c r="BJ24" s="46" t="str">
        <f t="shared" si="28"/>
        <v/>
      </c>
      <c r="BK24" s="46" t="str">
        <f t="shared" si="28"/>
        <v/>
      </c>
      <c r="BL24" s="46" t="str">
        <f t="shared" si="28"/>
        <v/>
      </c>
      <c r="BM24" s="46" t="str">
        <f t="shared" ref="BM24:BV38" si="29">IF($B24="","",IF(COUNTIF(BM$16:BM$21,$B24)&gt;0,COUNTA(BM$7:BM$15),0)+IF(COUNTIF(BM$36:BM$41,$B24)&gt;0,COUNTA(BM$27:BM$35),0))</f>
        <v/>
      </c>
      <c r="BN24" s="46" t="str">
        <f t="shared" si="29"/>
        <v/>
      </c>
      <c r="BO24" s="46" t="str">
        <f t="shared" si="29"/>
        <v/>
      </c>
      <c r="BP24" s="46" t="str">
        <f t="shared" si="29"/>
        <v/>
      </c>
      <c r="BQ24" s="46" t="str">
        <f t="shared" si="29"/>
        <v/>
      </c>
      <c r="BR24" s="46" t="str">
        <f t="shared" si="29"/>
        <v/>
      </c>
      <c r="BS24" s="46" t="str">
        <f t="shared" si="29"/>
        <v/>
      </c>
      <c r="BT24" s="46" t="str">
        <f t="shared" si="29"/>
        <v/>
      </c>
      <c r="BU24" s="46" t="str">
        <f t="shared" si="29"/>
        <v/>
      </c>
      <c r="BV24" s="46" t="str">
        <f t="shared" si="29"/>
        <v/>
      </c>
      <c r="BW24" s="46" t="str">
        <f t="shared" ref="BW24:CF38" si="30">IF($B24="","",IF(COUNTIF(BW$16:BW$21,$B24)&gt;0,COUNTA(BW$7:BW$15),0)+IF(COUNTIF(BW$36:BW$41,$B24)&gt;0,COUNTA(BW$27:BW$35),0))</f>
        <v/>
      </c>
      <c r="BX24" s="46" t="str">
        <f t="shared" si="30"/>
        <v/>
      </c>
      <c r="BY24" s="46" t="str">
        <f t="shared" si="30"/>
        <v/>
      </c>
      <c r="BZ24" s="46" t="str">
        <f t="shared" si="30"/>
        <v/>
      </c>
      <c r="CA24" s="46" t="str">
        <f t="shared" si="30"/>
        <v/>
      </c>
      <c r="CB24" s="46" t="str">
        <f t="shared" si="30"/>
        <v/>
      </c>
      <c r="CC24" s="46" t="str">
        <f t="shared" si="30"/>
        <v/>
      </c>
      <c r="CD24" s="46" t="str">
        <f t="shared" si="30"/>
        <v/>
      </c>
      <c r="CE24" s="46" t="str">
        <f t="shared" si="30"/>
        <v/>
      </c>
      <c r="CF24" s="46" t="str">
        <f t="shared" si="30"/>
        <v/>
      </c>
      <c r="CG24" s="46" t="str">
        <f t="shared" ref="CG24:CP38" si="31">IF($B24="","",IF(COUNTIF(CG$16:CG$21,$B24)&gt;0,COUNTA(CG$7:CG$15),0)+IF(COUNTIF(CG$36:CG$41,$B24)&gt;0,COUNTA(CG$27:CG$35),0))</f>
        <v/>
      </c>
      <c r="CH24" s="46" t="str">
        <f t="shared" si="31"/>
        <v/>
      </c>
      <c r="CI24" s="46" t="str">
        <f t="shared" si="31"/>
        <v/>
      </c>
      <c r="CJ24" s="46" t="str">
        <f t="shared" si="31"/>
        <v/>
      </c>
      <c r="CK24" s="46" t="str">
        <f t="shared" si="31"/>
        <v/>
      </c>
      <c r="CL24" s="46" t="str">
        <f t="shared" si="31"/>
        <v/>
      </c>
      <c r="CM24" s="46" t="str">
        <f t="shared" si="31"/>
        <v/>
      </c>
      <c r="CN24" s="46" t="str">
        <f t="shared" si="31"/>
        <v/>
      </c>
      <c r="CO24" s="46" t="str">
        <f t="shared" si="31"/>
        <v/>
      </c>
      <c r="CP24" s="46" t="str">
        <f t="shared" si="31"/>
        <v/>
      </c>
      <c r="CQ24" s="46" t="str">
        <f t="shared" ref="CQ24:DE38" si="32">IF($B24="","",IF(COUNTIF(CQ$16:CQ$21,$B24)&gt;0,COUNTA(CQ$7:CQ$15),0)+IF(COUNTIF(CQ$36:CQ$41,$B24)&gt;0,COUNTA(CQ$27:CQ$35),0))</f>
        <v/>
      </c>
      <c r="CR24" s="46" t="str">
        <f t="shared" si="32"/>
        <v/>
      </c>
      <c r="CS24" s="46" t="str">
        <f t="shared" si="32"/>
        <v/>
      </c>
      <c r="CT24" s="46" t="str">
        <f t="shared" si="32"/>
        <v/>
      </c>
      <c r="CU24" s="46" t="str">
        <f t="shared" si="32"/>
        <v/>
      </c>
      <c r="CV24" s="46" t="str">
        <f t="shared" si="32"/>
        <v/>
      </c>
      <c r="CW24" s="46" t="str">
        <f t="shared" si="32"/>
        <v/>
      </c>
      <c r="CX24" s="46" t="str">
        <f t="shared" si="32"/>
        <v/>
      </c>
      <c r="CY24" s="46" t="str">
        <f t="shared" si="32"/>
        <v/>
      </c>
      <c r="CZ24" s="46" t="str">
        <f t="shared" si="32"/>
        <v/>
      </c>
      <c r="DA24" s="46" t="str">
        <f t="shared" si="32"/>
        <v/>
      </c>
      <c r="DB24" s="46" t="str">
        <f t="shared" si="32"/>
        <v/>
      </c>
      <c r="DC24" s="46" t="str">
        <f t="shared" si="32"/>
        <v/>
      </c>
      <c r="DD24" s="46" t="str">
        <f t="shared" si="32"/>
        <v/>
      </c>
      <c r="DE24" s="78" t="str">
        <f t="shared" si="32"/>
        <v/>
      </c>
    </row>
    <row r="25" spans="2:109" x14ac:dyDescent="0.2">
      <c r="B25" s="84"/>
      <c r="C25" s="79"/>
      <c r="D25" s="106" t="str">
        <f t="shared" si="22"/>
        <v/>
      </c>
      <c r="E25" s="57" t="str">
        <f t="shared" si="23"/>
        <v/>
      </c>
      <c r="F25" s="55" t="str">
        <f t="shared" si="23"/>
        <v/>
      </c>
      <c r="G25" s="55" t="str">
        <f t="shared" si="23"/>
        <v/>
      </c>
      <c r="H25" s="55" t="str">
        <f t="shared" si="23"/>
        <v/>
      </c>
      <c r="I25" s="55" t="str">
        <f t="shared" si="23"/>
        <v/>
      </c>
      <c r="J25" s="55" t="str">
        <f t="shared" si="23"/>
        <v/>
      </c>
      <c r="K25" s="55" t="str">
        <f t="shared" si="23"/>
        <v/>
      </c>
      <c r="L25" s="55" t="str">
        <f t="shared" si="23"/>
        <v/>
      </c>
      <c r="M25" s="55" t="str">
        <f t="shared" si="23"/>
        <v/>
      </c>
      <c r="N25" s="55" t="str">
        <f t="shared" si="23"/>
        <v/>
      </c>
      <c r="O25" s="55" t="str">
        <f t="shared" si="24"/>
        <v/>
      </c>
      <c r="P25" s="55" t="str">
        <f t="shared" si="24"/>
        <v/>
      </c>
      <c r="Q25" s="55" t="str">
        <f t="shared" si="24"/>
        <v/>
      </c>
      <c r="R25" s="55" t="str">
        <f t="shared" si="24"/>
        <v/>
      </c>
      <c r="S25" s="55" t="str">
        <f t="shared" si="24"/>
        <v/>
      </c>
      <c r="T25" s="55" t="str">
        <f t="shared" si="24"/>
        <v/>
      </c>
      <c r="U25" s="55" t="str">
        <f t="shared" si="24"/>
        <v/>
      </c>
      <c r="V25" s="55" t="str">
        <f t="shared" si="24"/>
        <v/>
      </c>
      <c r="W25" s="55" t="str">
        <f t="shared" si="24"/>
        <v/>
      </c>
      <c r="X25" s="55" t="str">
        <f t="shared" si="24"/>
        <v/>
      </c>
      <c r="Y25" s="55" t="str">
        <f t="shared" si="25"/>
        <v/>
      </c>
      <c r="Z25" s="55" t="str">
        <f t="shared" si="25"/>
        <v/>
      </c>
      <c r="AA25" s="55" t="str">
        <f t="shared" si="25"/>
        <v/>
      </c>
      <c r="AB25" s="55" t="str">
        <f t="shared" si="25"/>
        <v/>
      </c>
      <c r="AC25" s="55" t="str">
        <f t="shared" si="25"/>
        <v/>
      </c>
      <c r="AD25" s="55" t="str">
        <f t="shared" si="25"/>
        <v/>
      </c>
      <c r="AE25" s="55" t="str">
        <f t="shared" si="25"/>
        <v/>
      </c>
      <c r="AF25" s="55" t="str">
        <f t="shared" si="25"/>
        <v/>
      </c>
      <c r="AG25" s="55" t="str">
        <f t="shared" si="25"/>
        <v/>
      </c>
      <c r="AH25" s="55" t="str">
        <f t="shared" si="25"/>
        <v/>
      </c>
      <c r="AI25" s="55" t="str">
        <f t="shared" si="26"/>
        <v/>
      </c>
      <c r="AJ25" s="55" t="str">
        <f t="shared" si="26"/>
        <v/>
      </c>
      <c r="AK25" s="55" t="str">
        <f t="shared" si="26"/>
        <v/>
      </c>
      <c r="AL25" s="55" t="str">
        <f t="shared" si="26"/>
        <v/>
      </c>
      <c r="AM25" s="55" t="str">
        <f t="shared" si="26"/>
        <v/>
      </c>
      <c r="AN25" s="55" t="str">
        <f t="shared" si="26"/>
        <v/>
      </c>
      <c r="AO25" s="55" t="str">
        <f t="shared" si="26"/>
        <v/>
      </c>
      <c r="AP25" s="55" t="str">
        <f t="shared" si="26"/>
        <v/>
      </c>
      <c r="AQ25" s="55" t="str">
        <f t="shared" si="26"/>
        <v/>
      </c>
      <c r="AR25" s="55" t="str">
        <f t="shared" si="26"/>
        <v/>
      </c>
      <c r="AS25" s="55" t="str">
        <f t="shared" si="27"/>
        <v/>
      </c>
      <c r="AT25" s="55" t="str">
        <f t="shared" si="27"/>
        <v/>
      </c>
      <c r="AU25" s="55" t="str">
        <f t="shared" si="27"/>
        <v/>
      </c>
      <c r="AV25" s="55" t="str">
        <f t="shared" si="27"/>
        <v/>
      </c>
      <c r="AW25" s="55" t="str">
        <f t="shared" si="27"/>
        <v/>
      </c>
      <c r="AX25" s="55" t="str">
        <f t="shared" si="27"/>
        <v/>
      </c>
      <c r="AY25" s="55" t="str">
        <f t="shared" si="27"/>
        <v/>
      </c>
      <c r="AZ25" s="55" t="str">
        <f t="shared" si="27"/>
        <v/>
      </c>
      <c r="BA25" s="55" t="str">
        <f t="shared" si="27"/>
        <v/>
      </c>
      <c r="BB25" s="55" t="str">
        <f t="shared" si="27"/>
        <v/>
      </c>
      <c r="BC25" s="55" t="str">
        <f t="shared" si="28"/>
        <v/>
      </c>
      <c r="BD25" s="55" t="str">
        <f t="shared" si="28"/>
        <v/>
      </c>
      <c r="BE25" s="55" t="str">
        <f t="shared" si="28"/>
        <v/>
      </c>
      <c r="BF25" s="55" t="str">
        <f t="shared" si="28"/>
        <v/>
      </c>
      <c r="BG25" s="55" t="str">
        <f t="shared" si="28"/>
        <v/>
      </c>
      <c r="BH25" s="55" t="str">
        <f t="shared" si="28"/>
        <v/>
      </c>
      <c r="BI25" s="55" t="str">
        <f t="shared" si="28"/>
        <v/>
      </c>
      <c r="BJ25" s="55" t="str">
        <f t="shared" si="28"/>
        <v/>
      </c>
      <c r="BK25" s="55" t="str">
        <f t="shared" si="28"/>
        <v/>
      </c>
      <c r="BL25" s="55" t="str">
        <f t="shared" si="28"/>
        <v/>
      </c>
      <c r="BM25" s="55" t="str">
        <f t="shared" si="29"/>
        <v/>
      </c>
      <c r="BN25" s="55" t="str">
        <f t="shared" si="29"/>
        <v/>
      </c>
      <c r="BO25" s="55" t="str">
        <f t="shared" si="29"/>
        <v/>
      </c>
      <c r="BP25" s="55" t="str">
        <f t="shared" si="29"/>
        <v/>
      </c>
      <c r="BQ25" s="55" t="str">
        <f t="shared" si="29"/>
        <v/>
      </c>
      <c r="BR25" s="55" t="str">
        <f t="shared" si="29"/>
        <v/>
      </c>
      <c r="BS25" s="55" t="str">
        <f t="shared" si="29"/>
        <v/>
      </c>
      <c r="BT25" s="55" t="str">
        <f t="shared" si="29"/>
        <v/>
      </c>
      <c r="BU25" s="55" t="str">
        <f t="shared" si="29"/>
        <v/>
      </c>
      <c r="BV25" s="55" t="str">
        <f t="shared" si="29"/>
        <v/>
      </c>
      <c r="BW25" s="55" t="str">
        <f t="shared" si="30"/>
        <v/>
      </c>
      <c r="BX25" s="55" t="str">
        <f t="shared" si="30"/>
        <v/>
      </c>
      <c r="BY25" s="55" t="str">
        <f t="shared" si="30"/>
        <v/>
      </c>
      <c r="BZ25" s="55" t="str">
        <f t="shared" si="30"/>
        <v/>
      </c>
      <c r="CA25" s="55" t="str">
        <f t="shared" si="30"/>
        <v/>
      </c>
      <c r="CB25" s="55" t="str">
        <f t="shared" si="30"/>
        <v/>
      </c>
      <c r="CC25" s="55" t="str">
        <f t="shared" si="30"/>
        <v/>
      </c>
      <c r="CD25" s="55" t="str">
        <f t="shared" si="30"/>
        <v/>
      </c>
      <c r="CE25" s="55" t="str">
        <f t="shared" si="30"/>
        <v/>
      </c>
      <c r="CF25" s="55" t="str">
        <f t="shared" si="30"/>
        <v/>
      </c>
      <c r="CG25" s="55" t="str">
        <f t="shared" si="31"/>
        <v/>
      </c>
      <c r="CH25" s="55" t="str">
        <f t="shared" si="31"/>
        <v/>
      </c>
      <c r="CI25" s="55" t="str">
        <f t="shared" si="31"/>
        <v/>
      </c>
      <c r="CJ25" s="55" t="str">
        <f t="shared" si="31"/>
        <v/>
      </c>
      <c r="CK25" s="55" t="str">
        <f t="shared" si="31"/>
        <v/>
      </c>
      <c r="CL25" s="55" t="str">
        <f t="shared" si="31"/>
        <v/>
      </c>
      <c r="CM25" s="55" t="str">
        <f t="shared" si="31"/>
        <v/>
      </c>
      <c r="CN25" s="55" t="str">
        <f t="shared" si="31"/>
        <v/>
      </c>
      <c r="CO25" s="55" t="str">
        <f t="shared" si="31"/>
        <v/>
      </c>
      <c r="CP25" s="55" t="str">
        <f t="shared" si="31"/>
        <v/>
      </c>
      <c r="CQ25" s="55" t="str">
        <f t="shared" si="32"/>
        <v/>
      </c>
      <c r="CR25" s="55" t="str">
        <f t="shared" si="32"/>
        <v/>
      </c>
      <c r="CS25" s="55" t="str">
        <f t="shared" si="32"/>
        <v/>
      </c>
      <c r="CT25" s="55" t="str">
        <f t="shared" si="32"/>
        <v/>
      </c>
      <c r="CU25" s="55" t="str">
        <f t="shared" si="32"/>
        <v/>
      </c>
      <c r="CV25" s="55" t="str">
        <f t="shared" si="32"/>
        <v/>
      </c>
      <c r="CW25" s="55" t="str">
        <f t="shared" si="32"/>
        <v/>
      </c>
      <c r="CX25" s="55" t="str">
        <f t="shared" si="32"/>
        <v/>
      </c>
      <c r="CY25" s="55" t="str">
        <f t="shared" si="32"/>
        <v/>
      </c>
      <c r="CZ25" s="55" t="str">
        <f t="shared" si="32"/>
        <v/>
      </c>
      <c r="DA25" s="55" t="str">
        <f t="shared" si="32"/>
        <v/>
      </c>
      <c r="DB25" s="55" t="str">
        <f t="shared" si="32"/>
        <v/>
      </c>
      <c r="DC25" s="55" t="str">
        <f t="shared" si="32"/>
        <v/>
      </c>
      <c r="DD25" s="55" t="str">
        <f t="shared" si="32"/>
        <v/>
      </c>
      <c r="DE25" s="58" t="str">
        <f t="shared" si="32"/>
        <v/>
      </c>
    </row>
    <row r="26" spans="2:109" x14ac:dyDescent="0.2">
      <c r="B26" s="84"/>
      <c r="C26" s="79"/>
      <c r="D26" s="106" t="str">
        <f t="shared" si="22"/>
        <v/>
      </c>
      <c r="E26" s="57" t="str">
        <f t="shared" si="23"/>
        <v/>
      </c>
      <c r="F26" s="55" t="str">
        <f t="shared" si="23"/>
        <v/>
      </c>
      <c r="G26" s="55" t="str">
        <f t="shared" si="23"/>
        <v/>
      </c>
      <c r="H26" s="55" t="str">
        <f t="shared" si="23"/>
        <v/>
      </c>
      <c r="I26" s="55" t="str">
        <f t="shared" si="23"/>
        <v/>
      </c>
      <c r="J26" s="55" t="str">
        <f t="shared" si="23"/>
        <v/>
      </c>
      <c r="K26" s="55" t="str">
        <f t="shared" si="23"/>
        <v/>
      </c>
      <c r="L26" s="55" t="str">
        <f t="shared" si="23"/>
        <v/>
      </c>
      <c r="M26" s="55" t="str">
        <f t="shared" si="23"/>
        <v/>
      </c>
      <c r="N26" s="55" t="str">
        <f t="shared" si="23"/>
        <v/>
      </c>
      <c r="O26" s="55" t="str">
        <f t="shared" si="24"/>
        <v/>
      </c>
      <c r="P26" s="55" t="str">
        <f t="shared" si="24"/>
        <v/>
      </c>
      <c r="Q26" s="55" t="str">
        <f t="shared" si="24"/>
        <v/>
      </c>
      <c r="R26" s="55" t="str">
        <f t="shared" si="24"/>
        <v/>
      </c>
      <c r="S26" s="55" t="str">
        <f t="shared" si="24"/>
        <v/>
      </c>
      <c r="T26" s="55" t="str">
        <f t="shared" si="24"/>
        <v/>
      </c>
      <c r="U26" s="55" t="str">
        <f t="shared" si="24"/>
        <v/>
      </c>
      <c r="V26" s="55" t="str">
        <f t="shared" si="24"/>
        <v/>
      </c>
      <c r="W26" s="55" t="str">
        <f t="shared" si="24"/>
        <v/>
      </c>
      <c r="X26" s="55" t="str">
        <f t="shared" si="24"/>
        <v/>
      </c>
      <c r="Y26" s="55" t="str">
        <f t="shared" si="25"/>
        <v/>
      </c>
      <c r="Z26" s="55" t="str">
        <f t="shared" si="25"/>
        <v/>
      </c>
      <c r="AA26" s="55" t="str">
        <f t="shared" si="25"/>
        <v/>
      </c>
      <c r="AB26" s="55" t="str">
        <f t="shared" si="25"/>
        <v/>
      </c>
      <c r="AC26" s="55" t="str">
        <f t="shared" si="25"/>
        <v/>
      </c>
      <c r="AD26" s="55" t="str">
        <f t="shared" si="25"/>
        <v/>
      </c>
      <c r="AE26" s="55" t="str">
        <f t="shared" si="25"/>
        <v/>
      </c>
      <c r="AF26" s="55" t="str">
        <f t="shared" si="25"/>
        <v/>
      </c>
      <c r="AG26" s="55" t="str">
        <f t="shared" si="25"/>
        <v/>
      </c>
      <c r="AH26" s="55" t="str">
        <f t="shared" si="25"/>
        <v/>
      </c>
      <c r="AI26" s="55" t="str">
        <f t="shared" si="26"/>
        <v/>
      </c>
      <c r="AJ26" s="55" t="str">
        <f t="shared" si="26"/>
        <v/>
      </c>
      <c r="AK26" s="55" t="str">
        <f t="shared" si="26"/>
        <v/>
      </c>
      <c r="AL26" s="55" t="str">
        <f t="shared" si="26"/>
        <v/>
      </c>
      <c r="AM26" s="55" t="str">
        <f t="shared" si="26"/>
        <v/>
      </c>
      <c r="AN26" s="55" t="str">
        <f t="shared" si="26"/>
        <v/>
      </c>
      <c r="AO26" s="55" t="str">
        <f t="shared" si="26"/>
        <v/>
      </c>
      <c r="AP26" s="55" t="str">
        <f t="shared" si="26"/>
        <v/>
      </c>
      <c r="AQ26" s="55" t="str">
        <f t="shared" si="26"/>
        <v/>
      </c>
      <c r="AR26" s="55" t="str">
        <f t="shared" si="26"/>
        <v/>
      </c>
      <c r="AS26" s="55" t="str">
        <f t="shared" si="27"/>
        <v/>
      </c>
      <c r="AT26" s="55" t="str">
        <f t="shared" si="27"/>
        <v/>
      </c>
      <c r="AU26" s="55" t="str">
        <f t="shared" si="27"/>
        <v/>
      </c>
      <c r="AV26" s="55" t="str">
        <f t="shared" si="27"/>
        <v/>
      </c>
      <c r="AW26" s="55" t="str">
        <f t="shared" si="27"/>
        <v/>
      </c>
      <c r="AX26" s="55" t="str">
        <f t="shared" si="27"/>
        <v/>
      </c>
      <c r="AY26" s="55" t="str">
        <f t="shared" si="27"/>
        <v/>
      </c>
      <c r="AZ26" s="55" t="str">
        <f t="shared" si="27"/>
        <v/>
      </c>
      <c r="BA26" s="55" t="str">
        <f t="shared" si="27"/>
        <v/>
      </c>
      <c r="BB26" s="55" t="str">
        <f t="shared" si="27"/>
        <v/>
      </c>
      <c r="BC26" s="55" t="str">
        <f t="shared" si="28"/>
        <v/>
      </c>
      <c r="BD26" s="55" t="str">
        <f t="shared" si="28"/>
        <v/>
      </c>
      <c r="BE26" s="55" t="str">
        <f t="shared" si="28"/>
        <v/>
      </c>
      <c r="BF26" s="55" t="str">
        <f t="shared" si="28"/>
        <v/>
      </c>
      <c r="BG26" s="55" t="str">
        <f t="shared" si="28"/>
        <v/>
      </c>
      <c r="BH26" s="55" t="str">
        <f t="shared" si="28"/>
        <v/>
      </c>
      <c r="BI26" s="55" t="str">
        <f t="shared" si="28"/>
        <v/>
      </c>
      <c r="BJ26" s="55" t="str">
        <f t="shared" si="28"/>
        <v/>
      </c>
      <c r="BK26" s="55" t="str">
        <f t="shared" si="28"/>
        <v/>
      </c>
      <c r="BL26" s="55" t="str">
        <f t="shared" si="28"/>
        <v/>
      </c>
      <c r="BM26" s="55" t="str">
        <f t="shared" si="29"/>
        <v/>
      </c>
      <c r="BN26" s="55" t="str">
        <f t="shared" si="29"/>
        <v/>
      </c>
      <c r="BO26" s="55" t="str">
        <f t="shared" si="29"/>
        <v/>
      </c>
      <c r="BP26" s="55" t="str">
        <f t="shared" si="29"/>
        <v/>
      </c>
      <c r="BQ26" s="55" t="str">
        <f t="shared" si="29"/>
        <v/>
      </c>
      <c r="BR26" s="55" t="str">
        <f t="shared" si="29"/>
        <v/>
      </c>
      <c r="BS26" s="55" t="str">
        <f t="shared" si="29"/>
        <v/>
      </c>
      <c r="BT26" s="55" t="str">
        <f t="shared" si="29"/>
        <v/>
      </c>
      <c r="BU26" s="55" t="str">
        <f t="shared" si="29"/>
        <v/>
      </c>
      <c r="BV26" s="55" t="str">
        <f t="shared" si="29"/>
        <v/>
      </c>
      <c r="BW26" s="55" t="str">
        <f t="shared" si="30"/>
        <v/>
      </c>
      <c r="BX26" s="55" t="str">
        <f t="shared" si="30"/>
        <v/>
      </c>
      <c r="BY26" s="55" t="str">
        <f t="shared" si="30"/>
        <v/>
      </c>
      <c r="BZ26" s="55" t="str">
        <f t="shared" si="30"/>
        <v/>
      </c>
      <c r="CA26" s="55" t="str">
        <f t="shared" si="30"/>
        <v/>
      </c>
      <c r="CB26" s="55" t="str">
        <f t="shared" si="30"/>
        <v/>
      </c>
      <c r="CC26" s="55" t="str">
        <f t="shared" si="30"/>
        <v/>
      </c>
      <c r="CD26" s="55" t="str">
        <f t="shared" si="30"/>
        <v/>
      </c>
      <c r="CE26" s="55" t="str">
        <f t="shared" si="30"/>
        <v/>
      </c>
      <c r="CF26" s="55" t="str">
        <f t="shared" si="30"/>
        <v/>
      </c>
      <c r="CG26" s="55" t="str">
        <f t="shared" si="31"/>
        <v/>
      </c>
      <c r="CH26" s="55" t="str">
        <f t="shared" si="31"/>
        <v/>
      </c>
      <c r="CI26" s="55" t="str">
        <f t="shared" si="31"/>
        <v/>
      </c>
      <c r="CJ26" s="55" t="str">
        <f t="shared" si="31"/>
        <v/>
      </c>
      <c r="CK26" s="55" t="str">
        <f t="shared" si="31"/>
        <v/>
      </c>
      <c r="CL26" s="55" t="str">
        <f t="shared" si="31"/>
        <v/>
      </c>
      <c r="CM26" s="55" t="str">
        <f t="shared" si="31"/>
        <v/>
      </c>
      <c r="CN26" s="55" t="str">
        <f t="shared" si="31"/>
        <v/>
      </c>
      <c r="CO26" s="55" t="str">
        <f t="shared" si="31"/>
        <v/>
      </c>
      <c r="CP26" s="55" t="str">
        <f t="shared" si="31"/>
        <v/>
      </c>
      <c r="CQ26" s="55" t="str">
        <f t="shared" si="32"/>
        <v/>
      </c>
      <c r="CR26" s="55" t="str">
        <f t="shared" si="32"/>
        <v/>
      </c>
      <c r="CS26" s="55" t="str">
        <f t="shared" si="32"/>
        <v/>
      </c>
      <c r="CT26" s="55" t="str">
        <f t="shared" si="32"/>
        <v/>
      </c>
      <c r="CU26" s="55" t="str">
        <f t="shared" si="32"/>
        <v/>
      </c>
      <c r="CV26" s="55" t="str">
        <f t="shared" si="32"/>
        <v/>
      </c>
      <c r="CW26" s="55" t="str">
        <f t="shared" si="32"/>
        <v/>
      </c>
      <c r="CX26" s="55" t="str">
        <f t="shared" si="32"/>
        <v/>
      </c>
      <c r="CY26" s="55" t="str">
        <f t="shared" si="32"/>
        <v/>
      </c>
      <c r="CZ26" s="55" t="str">
        <f t="shared" si="32"/>
        <v/>
      </c>
      <c r="DA26" s="55" t="str">
        <f t="shared" si="32"/>
        <v/>
      </c>
      <c r="DB26" s="55" t="str">
        <f t="shared" si="32"/>
        <v/>
      </c>
      <c r="DC26" s="55" t="str">
        <f t="shared" si="32"/>
        <v/>
      </c>
      <c r="DD26" s="55" t="str">
        <f t="shared" si="32"/>
        <v/>
      </c>
      <c r="DE26" s="58" t="str">
        <f t="shared" si="32"/>
        <v/>
      </c>
    </row>
    <row r="27" spans="2:109" x14ac:dyDescent="0.2">
      <c r="B27" s="84"/>
      <c r="C27" s="79"/>
      <c r="D27" s="106" t="str">
        <f t="shared" si="22"/>
        <v/>
      </c>
      <c r="E27" s="57" t="str">
        <f t="shared" si="23"/>
        <v/>
      </c>
      <c r="F27" s="55" t="str">
        <f t="shared" si="23"/>
        <v/>
      </c>
      <c r="G27" s="55" t="str">
        <f t="shared" si="23"/>
        <v/>
      </c>
      <c r="H27" s="55" t="str">
        <f t="shared" si="23"/>
        <v/>
      </c>
      <c r="I27" s="55" t="str">
        <f t="shared" si="23"/>
        <v/>
      </c>
      <c r="J27" s="55" t="str">
        <f t="shared" si="23"/>
        <v/>
      </c>
      <c r="K27" s="55" t="str">
        <f t="shared" si="23"/>
        <v/>
      </c>
      <c r="L27" s="55" t="str">
        <f t="shared" si="23"/>
        <v/>
      </c>
      <c r="M27" s="55" t="str">
        <f t="shared" si="23"/>
        <v/>
      </c>
      <c r="N27" s="55" t="str">
        <f t="shared" si="23"/>
        <v/>
      </c>
      <c r="O27" s="55" t="str">
        <f t="shared" si="24"/>
        <v/>
      </c>
      <c r="P27" s="55" t="str">
        <f t="shared" si="24"/>
        <v/>
      </c>
      <c r="Q27" s="55" t="str">
        <f t="shared" si="24"/>
        <v/>
      </c>
      <c r="R27" s="55" t="str">
        <f t="shared" si="24"/>
        <v/>
      </c>
      <c r="S27" s="55" t="str">
        <f t="shared" si="24"/>
        <v/>
      </c>
      <c r="T27" s="55" t="str">
        <f t="shared" si="24"/>
        <v/>
      </c>
      <c r="U27" s="55" t="str">
        <f t="shared" si="24"/>
        <v/>
      </c>
      <c r="V27" s="55" t="str">
        <f t="shared" si="24"/>
        <v/>
      </c>
      <c r="W27" s="55" t="str">
        <f t="shared" si="24"/>
        <v/>
      </c>
      <c r="X27" s="55" t="str">
        <f t="shared" si="24"/>
        <v/>
      </c>
      <c r="Y27" s="55" t="str">
        <f t="shared" si="25"/>
        <v/>
      </c>
      <c r="Z27" s="55" t="str">
        <f t="shared" si="25"/>
        <v/>
      </c>
      <c r="AA27" s="55" t="str">
        <f t="shared" si="25"/>
        <v/>
      </c>
      <c r="AB27" s="55" t="str">
        <f t="shared" si="25"/>
        <v/>
      </c>
      <c r="AC27" s="55" t="str">
        <f t="shared" si="25"/>
        <v/>
      </c>
      <c r="AD27" s="55" t="str">
        <f t="shared" si="25"/>
        <v/>
      </c>
      <c r="AE27" s="55" t="str">
        <f t="shared" si="25"/>
        <v/>
      </c>
      <c r="AF27" s="55" t="str">
        <f t="shared" si="25"/>
        <v/>
      </c>
      <c r="AG27" s="55" t="str">
        <f t="shared" si="25"/>
        <v/>
      </c>
      <c r="AH27" s="55" t="str">
        <f t="shared" si="25"/>
        <v/>
      </c>
      <c r="AI27" s="55" t="str">
        <f t="shared" si="26"/>
        <v/>
      </c>
      <c r="AJ27" s="55" t="str">
        <f t="shared" si="26"/>
        <v/>
      </c>
      <c r="AK27" s="55" t="str">
        <f t="shared" si="26"/>
        <v/>
      </c>
      <c r="AL27" s="55" t="str">
        <f t="shared" si="26"/>
        <v/>
      </c>
      <c r="AM27" s="55" t="str">
        <f t="shared" si="26"/>
        <v/>
      </c>
      <c r="AN27" s="55" t="str">
        <f t="shared" si="26"/>
        <v/>
      </c>
      <c r="AO27" s="55" t="str">
        <f t="shared" si="26"/>
        <v/>
      </c>
      <c r="AP27" s="55" t="str">
        <f t="shared" si="26"/>
        <v/>
      </c>
      <c r="AQ27" s="55" t="str">
        <f t="shared" si="26"/>
        <v/>
      </c>
      <c r="AR27" s="55" t="str">
        <f t="shared" si="26"/>
        <v/>
      </c>
      <c r="AS27" s="55" t="str">
        <f t="shared" si="27"/>
        <v/>
      </c>
      <c r="AT27" s="55" t="str">
        <f t="shared" si="27"/>
        <v/>
      </c>
      <c r="AU27" s="55" t="str">
        <f t="shared" si="27"/>
        <v/>
      </c>
      <c r="AV27" s="55" t="str">
        <f t="shared" si="27"/>
        <v/>
      </c>
      <c r="AW27" s="55" t="str">
        <f t="shared" si="27"/>
        <v/>
      </c>
      <c r="AX27" s="55" t="str">
        <f t="shared" si="27"/>
        <v/>
      </c>
      <c r="AY27" s="55" t="str">
        <f t="shared" si="27"/>
        <v/>
      </c>
      <c r="AZ27" s="55" t="str">
        <f t="shared" si="27"/>
        <v/>
      </c>
      <c r="BA27" s="55" t="str">
        <f t="shared" si="27"/>
        <v/>
      </c>
      <c r="BB27" s="55" t="str">
        <f t="shared" si="27"/>
        <v/>
      </c>
      <c r="BC27" s="55" t="str">
        <f t="shared" si="28"/>
        <v/>
      </c>
      <c r="BD27" s="55" t="str">
        <f t="shared" si="28"/>
        <v/>
      </c>
      <c r="BE27" s="55" t="str">
        <f t="shared" si="28"/>
        <v/>
      </c>
      <c r="BF27" s="55" t="str">
        <f t="shared" si="28"/>
        <v/>
      </c>
      <c r="BG27" s="55" t="str">
        <f t="shared" si="28"/>
        <v/>
      </c>
      <c r="BH27" s="55" t="str">
        <f t="shared" si="28"/>
        <v/>
      </c>
      <c r="BI27" s="55" t="str">
        <f t="shared" si="28"/>
        <v/>
      </c>
      <c r="BJ27" s="55" t="str">
        <f t="shared" si="28"/>
        <v/>
      </c>
      <c r="BK27" s="55" t="str">
        <f t="shared" si="28"/>
        <v/>
      </c>
      <c r="BL27" s="55" t="str">
        <f t="shared" si="28"/>
        <v/>
      </c>
      <c r="BM27" s="55" t="str">
        <f t="shared" si="29"/>
        <v/>
      </c>
      <c r="BN27" s="55" t="str">
        <f t="shared" si="29"/>
        <v/>
      </c>
      <c r="BO27" s="55" t="str">
        <f t="shared" si="29"/>
        <v/>
      </c>
      <c r="BP27" s="55" t="str">
        <f t="shared" si="29"/>
        <v/>
      </c>
      <c r="BQ27" s="55" t="str">
        <f t="shared" si="29"/>
        <v/>
      </c>
      <c r="BR27" s="55" t="str">
        <f t="shared" si="29"/>
        <v/>
      </c>
      <c r="BS27" s="55" t="str">
        <f t="shared" si="29"/>
        <v/>
      </c>
      <c r="BT27" s="55" t="str">
        <f t="shared" si="29"/>
        <v/>
      </c>
      <c r="BU27" s="55" t="str">
        <f t="shared" si="29"/>
        <v/>
      </c>
      <c r="BV27" s="55" t="str">
        <f t="shared" si="29"/>
        <v/>
      </c>
      <c r="BW27" s="55" t="str">
        <f t="shared" si="30"/>
        <v/>
      </c>
      <c r="BX27" s="55" t="str">
        <f t="shared" si="30"/>
        <v/>
      </c>
      <c r="BY27" s="55" t="str">
        <f t="shared" si="30"/>
        <v/>
      </c>
      <c r="BZ27" s="55" t="str">
        <f t="shared" si="30"/>
        <v/>
      </c>
      <c r="CA27" s="55" t="str">
        <f t="shared" si="30"/>
        <v/>
      </c>
      <c r="CB27" s="55" t="str">
        <f t="shared" si="30"/>
        <v/>
      </c>
      <c r="CC27" s="55" t="str">
        <f t="shared" si="30"/>
        <v/>
      </c>
      <c r="CD27" s="55" t="str">
        <f t="shared" si="30"/>
        <v/>
      </c>
      <c r="CE27" s="55" t="str">
        <f t="shared" si="30"/>
        <v/>
      </c>
      <c r="CF27" s="55" t="str">
        <f t="shared" si="30"/>
        <v/>
      </c>
      <c r="CG27" s="55" t="str">
        <f t="shared" si="31"/>
        <v/>
      </c>
      <c r="CH27" s="55" t="str">
        <f t="shared" si="31"/>
        <v/>
      </c>
      <c r="CI27" s="55" t="str">
        <f t="shared" si="31"/>
        <v/>
      </c>
      <c r="CJ27" s="55" t="str">
        <f t="shared" si="31"/>
        <v/>
      </c>
      <c r="CK27" s="55" t="str">
        <f t="shared" si="31"/>
        <v/>
      </c>
      <c r="CL27" s="55" t="str">
        <f t="shared" si="31"/>
        <v/>
      </c>
      <c r="CM27" s="55" t="str">
        <f t="shared" si="31"/>
        <v/>
      </c>
      <c r="CN27" s="55" t="str">
        <f t="shared" si="31"/>
        <v/>
      </c>
      <c r="CO27" s="55" t="str">
        <f t="shared" si="31"/>
        <v/>
      </c>
      <c r="CP27" s="55" t="str">
        <f t="shared" si="31"/>
        <v/>
      </c>
      <c r="CQ27" s="55" t="str">
        <f t="shared" si="32"/>
        <v/>
      </c>
      <c r="CR27" s="55" t="str">
        <f t="shared" si="32"/>
        <v/>
      </c>
      <c r="CS27" s="55" t="str">
        <f t="shared" si="32"/>
        <v/>
      </c>
      <c r="CT27" s="55" t="str">
        <f t="shared" si="32"/>
        <v/>
      </c>
      <c r="CU27" s="55" t="str">
        <f t="shared" si="32"/>
        <v/>
      </c>
      <c r="CV27" s="55" t="str">
        <f t="shared" si="32"/>
        <v/>
      </c>
      <c r="CW27" s="55" t="str">
        <f t="shared" si="32"/>
        <v/>
      </c>
      <c r="CX27" s="55" t="str">
        <f t="shared" si="32"/>
        <v/>
      </c>
      <c r="CY27" s="55" t="str">
        <f t="shared" si="32"/>
        <v/>
      </c>
      <c r="CZ27" s="55" t="str">
        <f t="shared" si="32"/>
        <v/>
      </c>
      <c r="DA27" s="55" t="str">
        <f t="shared" si="32"/>
        <v/>
      </c>
      <c r="DB27" s="55" t="str">
        <f t="shared" si="32"/>
        <v/>
      </c>
      <c r="DC27" s="55" t="str">
        <f t="shared" si="32"/>
        <v/>
      </c>
      <c r="DD27" s="55" t="str">
        <f t="shared" si="32"/>
        <v/>
      </c>
      <c r="DE27" s="58" t="str">
        <f t="shared" si="32"/>
        <v/>
      </c>
    </row>
    <row r="28" spans="2:109" x14ac:dyDescent="0.2">
      <c r="B28" s="84"/>
      <c r="C28" s="79"/>
      <c r="D28" s="106" t="str">
        <f t="shared" si="22"/>
        <v/>
      </c>
      <c r="E28" s="57" t="str">
        <f t="shared" si="23"/>
        <v/>
      </c>
      <c r="F28" s="55" t="str">
        <f t="shared" si="23"/>
        <v/>
      </c>
      <c r="G28" s="55" t="str">
        <f t="shared" si="23"/>
        <v/>
      </c>
      <c r="H28" s="55" t="str">
        <f t="shared" si="23"/>
        <v/>
      </c>
      <c r="I28" s="55" t="str">
        <f t="shared" si="23"/>
        <v/>
      </c>
      <c r="J28" s="55" t="str">
        <f t="shared" si="23"/>
        <v/>
      </c>
      <c r="K28" s="55" t="str">
        <f t="shared" si="23"/>
        <v/>
      </c>
      <c r="L28" s="55" t="str">
        <f t="shared" si="23"/>
        <v/>
      </c>
      <c r="M28" s="55" t="str">
        <f t="shared" si="23"/>
        <v/>
      </c>
      <c r="N28" s="55" t="str">
        <f t="shared" si="23"/>
        <v/>
      </c>
      <c r="O28" s="55" t="str">
        <f t="shared" si="24"/>
        <v/>
      </c>
      <c r="P28" s="55" t="str">
        <f t="shared" si="24"/>
        <v/>
      </c>
      <c r="Q28" s="55" t="str">
        <f t="shared" si="24"/>
        <v/>
      </c>
      <c r="R28" s="55" t="str">
        <f t="shared" si="24"/>
        <v/>
      </c>
      <c r="S28" s="55" t="str">
        <f t="shared" si="24"/>
        <v/>
      </c>
      <c r="T28" s="55" t="str">
        <f t="shared" si="24"/>
        <v/>
      </c>
      <c r="U28" s="55" t="str">
        <f t="shared" si="24"/>
        <v/>
      </c>
      <c r="V28" s="55" t="str">
        <f t="shared" si="24"/>
        <v/>
      </c>
      <c r="W28" s="55" t="str">
        <f t="shared" si="24"/>
        <v/>
      </c>
      <c r="X28" s="55" t="str">
        <f t="shared" si="24"/>
        <v/>
      </c>
      <c r="Y28" s="55" t="str">
        <f t="shared" si="25"/>
        <v/>
      </c>
      <c r="Z28" s="55" t="str">
        <f t="shared" si="25"/>
        <v/>
      </c>
      <c r="AA28" s="55" t="str">
        <f t="shared" si="25"/>
        <v/>
      </c>
      <c r="AB28" s="55" t="str">
        <f t="shared" si="25"/>
        <v/>
      </c>
      <c r="AC28" s="55" t="str">
        <f t="shared" si="25"/>
        <v/>
      </c>
      <c r="AD28" s="55" t="str">
        <f t="shared" si="25"/>
        <v/>
      </c>
      <c r="AE28" s="55" t="str">
        <f t="shared" si="25"/>
        <v/>
      </c>
      <c r="AF28" s="55" t="str">
        <f t="shared" si="25"/>
        <v/>
      </c>
      <c r="AG28" s="55" t="str">
        <f t="shared" si="25"/>
        <v/>
      </c>
      <c r="AH28" s="55" t="str">
        <f t="shared" si="25"/>
        <v/>
      </c>
      <c r="AI28" s="55" t="str">
        <f t="shared" si="26"/>
        <v/>
      </c>
      <c r="AJ28" s="55" t="str">
        <f t="shared" si="26"/>
        <v/>
      </c>
      <c r="AK28" s="55" t="str">
        <f t="shared" si="26"/>
        <v/>
      </c>
      <c r="AL28" s="55" t="str">
        <f t="shared" si="26"/>
        <v/>
      </c>
      <c r="AM28" s="55" t="str">
        <f t="shared" si="26"/>
        <v/>
      </c>
      <c r="AN28" s="55" t="str">
        <f t="shared" si="26"/>
        <v/>
      </c>
      <c r="AO28" s="55" t="str">
        <f t="shared" si="26"/>
        <v/>
      </c>
      <c r="AP28" s="55" t="str">
        <f t="shared" si="26"/>
        <v/>
      </c>
      <c r="AQ28" s="55" t="str">
        <f t="shared" si="26"/>
        <v/>
      </c>
      <c r="AR28" s="55" t="str">
        <f t="shared" si="26"/>
        <v/>
      </c>
      <c r="AS28" s="55" t="str">
        <f t="shared" si="27"/>
        <v/>
      </c>
      <c r="AT28" s="55" t="str">
        <f t="shared" si="27"/>
        <v/>
      </c>
      <c r="AU28" s="55" t="str">
        <f t="shared" si="27"/>
        <v/>
      </c>
      <c r="AV28" s="55" t="str">
        <f t="shared" si="27"/>
        <v/>
      </c>
      <c r="AW28" s="55" t="str">
        <f t="shared" si="27"/>
        <v/>
      </c>
      <c r="AX28" s="55" t="str">
        <f t="shared" si="27"/>
        <v/>
      </c>
      <c r="AY28" s="55" t="str">
        <f t="shared" si="27"/>
        <v/>
      </c>
      <c r="AZ28" s="55" t="str">
        <f t="shared" si="27"/>
        <v/>
      </c>
      <c r="BA28" s="55" t="str">
        <f t="shared" si="27"/>
        <v/>
      </c>
      <c r="BB28" s="55" t="str">
        <f t="shared" si="27"/>
        <v/>
      </c>
      <c r="BC28" s="55" t="str">
        <f t="shared" si="28"/>
        <v/>
      </c>
      <c r="BD28" s="55" t="str">
        <f t="shared" si="28"/>
        <v/>
      </c>
      <c r="BE28" s="55" t="str">
        <f t="shared" si="28"/>
        <v/>
      </c>
      <c r="BF28" s="55" t="str">
        <f t="shared" si="28"/>
        <v/>
      </c>
      <c r="BG28" s="55" t="str">
        <f t="shared" si="28"/>
        <v/>
      </c>
      <c r="BH28" s="55" t="str">
        <f t="shared" si="28"/>
        <v/>
      </c>
      <c r="BI28" s="55" t="str">
        <f t="shared" si="28"/>
        <v/>
      </c>
      <c r="BJ28" s="55" t="str">
        <f t="shared" si="28"/>
        <v/>
      </c>
      <c r="BK28" s="55" t="str">
        <f t="shared" si="28"/>
        <v/>
      </c>
      <c r="BL28" s="55" t="str">
        <f t="shared" si="28"/>
        <v/>
      </c>
      <c r="BM28" s="55" t="str">
        <f t="shared" si="29"/>
        <v/>
      </c>
      <c r="BN28" s="55" t="str">
        <f t="shared" si="29"/>
        <v/>
      </c>
      <c r="BO28" s="55" t="str">
        <f t="shared" si="29"/>
        <v/>
      </c>
      <c r="BP28" s="55" t="str">
        <f t="shared" si="29"/>
        <v/>
      </c>
      <c r="BQ28" s="55" t="str">
        <f t="shared" si="29"/>
        <v/>
      </c>
      <c r="BR28" s="55" t="str">
        <f t="shared" si="29"/>
        <v/>
      </c>
      <c r="BS28" s="55" t="str">
        <f t="shared" si="29"/>
        <v/>
      </c>
      <c r="BT28" s="55" t="str">
        <f t="shared" si="29"/>
        <v/>
      </c>
      <c r="BU28" s="55" t="str">
        <f t="shared" si="29"/>
        <v/>
      </c>
      <c r="BV28" s="55" t="str">
        <f t="shared" si="29"/>
        <v/>
      </c>
      <c r="BW28" s="55" t="str">
        <f t="shared" si="30"/>
        <v/>
      </c>
      <c r="BX28" s="55" t="str">
        <f t="shared" si="30"/>
        <v/>
      </c>
      <c r="BY28" s="55" t="str">
        <f t="shared" si="30"/>
        <v/>
      </c>
      <c r="BZ28" s="55" t="str">
        <f t="shared" si="30"/>
        <v/>
      </c>
      <c r="CA28" s="55" t="str">
        <f t="shared" si="30"/>
        <v/>
      </c>
      <c r="CB28" s="55" t="str">
        <f t="shared" si="30"/>
        <v/>
      </c>
      <c r="CC28" s="55" t="str">
        <f t="shared" si="30"/>
        <v/>
      </c>
      <c r="CD28" s="55" t="str">
        <f t="shared" si="30"/>
        <v/>
      </c>
      <c r="CE28" s="55" t="str">
        <f t="shared" si="30"/>
        <v/>
      </c>
      <c r="CF28" s="55" t="str">
        <f t="shared" si="30"/>
        <v/>
      </c>
      <c r="CG28" s="55" t="str">
        <f t="shared" si="31"/>
        <v/>
      </c>
      <c r="CH28" s="55" t="str">
        <f t="shared" si="31"/>
        <v/>
      </c>
      <c r="CI28" s="55" t="str">
        <f t="shared" si="31"/>
        <v/>
      </c>
      <c r="CJ28" s="55" t="str">
        <f t="shared" si="31"/>
        <v/>
      </c>
      <c r="CK28" s="55" t="str">
        <f t="shared" si="31"/>
        <v/>
      </c>
      <c r="CL28" s="55" t="str">
        <f t="shared" si="31"/>
        <v/>
      </c>
      <c r="CM28" s="55" t="str">
        <f t="shared" si="31"/>
        <v/>
      </c>
      <c r="CN28" s="55" t="str">
        <f t="shared" si="31"/>
        <v/>
      </c>
      <c r="CO28" s="55" t="str">
        <f t="shared" si="31"/>
        <v/>
      </c>
      <c r="CP28" s="55" t="str">
        <f t="shared" si="31"/>
        <v/>
      </c>
      <c r="CQ28" s="55" t="str">
        <f t="shared" si="32"/>
        <v/>
      </c>
      <c r="CR28" s="55" t="str">
        <f t="shared" si="32"/>
        <v/>
      </c>
      <c r="CS28" s="55" t="str">
        <f t="shared" si="32"/>
        <v/>
      </c>
      <c r="CT28" s="55" t="str">
        <f t="shared" si="32"/>
        <v/>
      </c>
      <c r="CU28" s="55" t="str">
        <f t="shared" si="32"/>
        <v/>
      </c>
      <c r="CV28" s="55" t="str">
        <f t="shared" si="32"/>
        <v/>
      </c>
      <c r="CW28" s="55" t="str">
        <f t="shared" si="32"/>
        <v/>
      </c>
      <c r="CX28" s="55" t="str">
        <f t="shared" si="32"/>
        <v/>
      </c>
      <c r="CY28" s="55" t="str">
        <f t="shared" si="32"/>
        <v/>
      </c>
      <c r="CZ28" s="55" t="str">
        <f t="shared" si="32"/>
        <v/>
      </c>
      <c r="DA28" s="55" t="str">
        <f t="shared" si="32"/>
        <v/>
      </c>
      <c r="DB28" s="55" t="str">
        <f t="shared" si="32"/>
        <v/>
      </c>
      <c r="DC28" s="55" t="str">
        <f t="shared" si="32"/>
        <v/>
      </c>
      <c r="DD28" s="55" t="str">
        <f t="shared" si="32"/>
        <v/>
      </c>
      <c r="DE28" s="58" t="str">
        <f t="shared" si="32"/>
        <v/>
      </c>
    </row>
    <row r="29" spans="2:109" x14ac:dyDescent="0.2">
      <c r="B29" s="84"/>
      <c r="C29" s="79"/>
      <c r="D29" s="106" t="str">
        <f t="shared" si="22"/>
        <v/>
      </c>
      <c r="E29" s="57" t="str">
        <f t="shared" si="23"/>
        <v/>
      </c>
      <c r="F29" s="55" t="str">
        <f t="shared" si="23"/>
        <v/>
      </c>
      <c r="G29" s="55" t="str">
        <f t="shared" si="23"/>
        <v/>
      </c>
      <c r="H29" s="55" t="str">
        <f t="shared" si="23"/>
        <v/>
      </c>
      <c r="I29" s="55" t="str">
        <f t="shared" si="23"/>
        <v/>
      </c>
      <c r="J29" s="55" t="str">
        <f t="shared" si="23"/>
        <v/>
      </c>
      <c r="K29" s="55" t="str">
        <f t="shared" si="23"/>
        <v/>
      </c>
      <c r="L29" s="55" t="str">
        <f t="shared" si="23"/>
        <v/>
      </c>
      <c r="M29" s="55" t="str">
        <f t="shared" si="23"/>
        <v/>
      </c>
      <c r="N29" s="55" t="str">
        <f t="shared" si="23"/>
        <v/>
      </c>
      <c r="O29" s="55" t="str">
        <f t="shared" si="24"/>
        <v/>
      </c>
      <c r="P29" s="55" t="str">
        <f t="shared" si="24"/>
        <v/>
      </c>
      <c r="Q29" s="55" t="str">
        <f t="shared" si="24"/>
        <v/>
      </c>
      <c r="R29" s="55" t="str">
        <f t="shared" si="24"/>
        <v/>
      </c>
      <c r="S29" s="55" t="str">
        <f t="shared" si="24"/>
        <v/>
      </c>
      <c r="T29" s="55" t="str">
        <f t="shared" si="24"/>
        <v/>
      </c>
      <c r="U29" s="55" t="str">
        <f t="shared" si="24"/>
        <v/>
      </c>
      <c r="V29" s="55" t="str">
        <f t="shared" si="24"/>
        <v/>
      </c>
      <c r="W29" s="55" t="str">
        <f t="shared" si="24"/>
        <v/>
      </c>
      <c r="X29" s="55" t="str">
        <f t="shared" si="24"/>
        <v/>
      </c>
      <c r="Y29" s="55" t="str">
        <f t="shared" si="25"/>
        <v/>
      </c>
      <c r="Z29" s="55" t="str">
        <f t="shared" si="25"/>
        <v/>
      </c>
      <c r="AA29" s="55" t="str">
        <f t="shared" si="25"/>
        <v/>
      </c>
      <c r="AB29" s="55" t="str">
        <f t="shared" si="25"/>
        <v/>
      </c>
      <c r="AC29" s="55" t="str">
        <f t="shared" si="25"/>
        <v/>
      </c>
      <c r="AD29" s="55" t="str">
        <f t="shared" si="25"/>
        <v/>
      </c>
      <c r="AE29" s="55" t="str">
        <f t="shared" si="25"/>
        <v/>
      </c>
      <c r="AF29" s="55" t="str">
        <f t="shared" si="25"/>
        <v/>
      </c>
      <c r="AG29" s="55" t="str">
        <f t="shared" si="25"/>
        <v/>
      </c>
      <c r="AH29" s="55" t="str">
        <f t="shared" si="25"/>
        <v/>
      </c>
      <c r="AI29" s="55" t="str">
        <f t="shared" si="26"/>
        <v/>
      </c>
      <c r="AJ29" s="55" t="str">
        <f t="shared" si="26"/>
        <v/>
      </c>
      <c r="AK29" s="55" t="str">
        <f t="shared" si="26"/>
        <v/>
      </c>
      <c r="AL29" s="55" t="str">
        <f t="shared" si="26"/>
        <v/>
      </c>
      <c r="AM29" s="55" t="str">
        <f t="shared" si="26"/>
        <v/>
      </c>
      <c r="AN29" s="55" t="str">
        <f t="shared" si="26"/>
        <v/>
      </c>
      <c r="AO29" s="55" t="str">
        <f t="shared" si="26"/>
        <v/>
      </c>
      <c r="AP29" s="55" t="str">
        <f t="shared" si="26"/>
        <v/>
      </c>
      <c r="AQ29" s="55" t="str">
        <f t="shared" si="26"/>
        <v/>
      </c>
      <c r="AR29" s="55" t="str">
        <f t="shared" si="26"/>
        <v/>
      </c>
      <c r="AS29" s="55" t="str">
        <f t="shared" si="27"/>
        <v/>
      </c>
      <c r="AT29" s="55" t="str">
        <f t="shared" si="27"/>
        <v/>
      </c>
      <c r="AU29" s="55" t="str">
        <f t="shared" si="27"/>
        <v/>
      </c>
      <c r="AV29" s="55" t="str">
        <f t="shared" si="27"/>
        <v/>
      </c>
      <c r="AW29" s="55" t="str">
        <f t="shared" si="27"/>
        <v/>
      </c>
      <c r="AX29" s="55" t="str">
        <f t="shared" si="27"/>
        <v/>
      </c>
      <c r="AY29" s="55" t="str">
        <f t="shared" si="27"/>
        <v/>
      </c>
      <c r="AZ29" s="55" t="str">
        <f t="shared" si="27"/>
        <v/>
      </c>
      <c r="BA29" s="55" t="str">
        <f t="shared" si="27"/>
        <v/>
      </c>
      <c r="BB29" s="55" t="str">
        <f t="shared" si="27"/>
        <v/>
      </c>
      <c r="BC29" s="55" t="str">
        <f t="shared" si="28"/>
        <v/>
      </c>
      <c r="BD29" s="55" t="str">
        <f t="shared" si="28"/>
        <v/>
      </c>
      <c r="BE29" s="55" t="str">
        <f t="shared" si="28"/>
        <v/>
      </c>
      <c r="BF29" s="55" t="str">
        <f t="shared" si="28"/>
        <v/>
      </c>
      <c r="BG29" s="55" t="str">
        <f t="shared" si="28"/>
        <v/>
      </c>
      <c r="BH29" s="55" t="str">
        <f t="shared" si="28"/>
        <v/>
      </c>
      <c r="BI29" s="55" t="str">
        <f t="shared" si="28"/>
        <v/>
      </c>
      <c r="BJ29" s="55" t="str">
        <f t="shared" si="28"/>
        <v/>
      </c>
      <c r="BK29" s="55" t="str">
        <f t="shared" si="28"/>
        <v/>
      </c>
      <c r="BL29" s="55" t="str">
        <f t="shared" si="28"/>
        <v/>
      </c>
      <c r="BM29" s="55" t="str">
        <f t="shared" si="29"/>
        <v/>
      </c>
      <c r="BN29" s="55" t="str">
        <f t="shared" si="29"/>
        <v/>
      </c>
      <c r="BO29" s="55" t="str">
        <f t="shared" si="29"/>
        <v/>
      </c>
      <c r="BP29" s="55" t="str">
        <f t="shared" si="29"/>
        <v/>
      </c>
      <c r="BQ29" s="55" t="str">
        <f t="shared" si="29"/>
        <v/>
      </c>
      <c r="BR29" s="55" t="str">
        <f t="shared" si="29"/>
        <v/>
      </c>
      <c r="BS29" s="55" t="str">
        <f t="shared" si="29"/>
        <v/>
      </c>
      <c r="BT29" s="55" t="str">
        <f t="shared" si="29"/>
        <v/>
      </c>
      <c r="BU29" s="55" t="str">
        <f t="shared" si="29"/>
        <v/>
      </c>
      <c r="BV29" s="55" t="str">
        <f t="shared" si="29"/>
        <v/>
      </c>
      <c r="BW29" s="55" t="str">
        <f t="shared" si="30"/>
        <v/>
      </c>
      <c r="BX29" s="55" t="str">
        <f t="shared" si="30"/>
        <v/>
      </c>
      <c r="BY29" s="55" t="str">
        <f t="shared" si="30"/>
        <v/>
      </c>
      <c r="BZ29" s="55" t="str">
        <f t="shared" si="30"/>
        <v/>
      </c>
      <c r="CA29" s="55" t="str">
        <f t="shared" si="30"/>
        <v/>
      </c>
      <c r="CB29" s="55" t="str">
        <f t="shared" si="30"/>
        <v/>
      </c>
      <c r="CC29" s="55" t="str">
        <f t="shared" si="30"/>
        <v/>
      </c>
      <c r="CD29" s="55" t="str">
        <f t="shared" si="30"/>
        <v/>
      </c>
      <c r="CE29" s="55" t="str">
        <f t="shared" si="30"/>
        <v/>
      </c>
      <c r="CF29" s="55" t="str">
        <f t="shared" si="30"/>
        <v/>
      </c>
      <c r="CG29" s="55" t="str">
        <f t="shared" si="31"/>
        <v/>
      </c>
      <c r="CH29" s="55" t="str">
        <f t="shared" si="31"/>
        <v/>
      </c>
      <c r="CI29" s="55" t="str">
        <f t="shared" si="31"/>
        <v/>
      </c>
      <c r="CJ29" s="55" t="str">
        <f t="shared" si="31"/>
        <v/>
      </c>
      <c r="CK29" s="55" t="str">
        <f t="shared" si="31"/>
        <v/>
      </c>
      <c r="CL29" s="55" t="str">
        <f t="shared" si="31"/>
        <v/>
      </c>
      <c r="CM29" s="55" t="str">
        <f t="shared" si="31"/>
        <v/>
      </c>
      <c r="CN29" s="55" t="str">
        <f t="shared" si="31"/>
        <v/>
      </c>
      <c r="CO29" s="55" t="str">
        <f t="shared" si="31"/>
        <v/>
      </c>
      <c r="CP29" s="55" t="str">
        <f t="shared" si="31"/>
        <v/>
      </c>
      <c r="CQ29" s="55" t="str">
        <f t="shared" si="32"/>
        <v/>
      </c>
      <c r="CR29" s="55" t="str">
        <f t="shared" si="32"/>
        <v/>
      </c>
      <c r="CS29" s="55" t="str">
        <f t="shared" si="32"/>
        <v/>
      </c>
      <c r="CT29" s="55" t="str">
        <f t="shared" si="32"/>
        <v/>
      </c>
      <c r="CU29" s="55" t="str">
        <f t="shared" si="32"/>
        <v/>
      </c>
      <c r="CV29" s="55" t="str">
        <f t="shared" si="32"/>
        <v/>
      </c>
      <c r="CW29" s="55" t="str">
        <f t="shared" si="32"/>
        <v/>
      </c>
      <c r="CX29" s="55" t="str">
        <f t="shared" si="32"/>
        <v/>
      </c>
      <c r="CY29" s="55" t="str">
        <f t="shared" si="32"/>
        <v/>
      </c>
      <c r="CZ29" s="55" t="str">
        <f t="shared" si="32"/>
        <v/>
      </c>
      <c r="DA29" s="55" t="str">
        <f t="shared" si="32"/>
        <v/>
      </c>
      <c r="DB29" s="55" t="str">
        <f t="shared" si="32"/>
        <v/>
      </c>
      <c r="DC29" s="55" t="str">
        <f t="shared" si="32"/>
        <v/>
      </c>
      <c r="DD29" s="55" t="str">
        <f t="shared" si="32"/>
        <v/>
      </c>
      <c r="DE29" s="58" t="str">
        <f t="shared" si="32"/>
        <v/>
      </c>
    </row>
    <row r="30" spans="2:109" x14ac:dyDescent="0.2">
      <c r="B30" s="84"/>
      <c r="C30" s="79"/>
      <c r="D30" s="106" t="str">
        <f t="shared" si="22"/>
        <v/>
      </c>
      <c r="E30" s="57" t="str">
        <f t="shared" si="23"/>
        <v/>
      </c>
      <c r="F30" s="55" t="str">
        <f t="shared" si="23"/>
        <v/>
      </c>
      <c r="G30" s="55" t="str">
        <f t="shared" si="23"/>
        <v/>
      </c>
      <c r="H30" s="55" t="str">
        <f t="shared" si="23"/>
        <v/>
      </c>
      <c r="I30" s="55" t="str">
        <f t="shared" si="23"/>
        <v/>
      </c>
      <c r="J30" s="55" t="str">
        <f t="shared" si="23"/>
        <v/>
      </c>
      <c r="K30" s="55" t="str">
        <f t="shared" si="23"/>
        <v/>
      </c>
      <c r="L30" s="55" t="str">
        <f t="shared" si="23"/>
        <v/>
      </c>
      <c r="M30" s="55" t="str">
        <f t="shared" si="23"/>
        <v/>
      </c>
      <c r="N30" s="55" t="str">
        <f t="shared" si="23"/>
        <v/>
      </c>
      <c r="O30" s="55" t="str">
        <f t="shared" si="24"/>
        <v/>
      </c>
      <c r="P30" s="55" t="str">
        <f t="shared" si="24"/>
        <v/>
      </c>
      <c r="Q30" s="55" t="str">
        <f t="shared" si="24"/>
        <v/>
      </c>
      <c r="R30" s="55" t="str">
        <f t="shared" si="24"/>
        <v/>
      </c>
      <c r="S30" s="55" t="str">
        <f t="shared" si="24"/>
        <v/>
      </c>
      <c r="T30" s="55" t="str">
        <f t="shared" si="24"/>
        <v/>
      </c>
      <c r="U30" s="55" t="str">
        <f t="shared" si="24"/>
        <v/>
      </c>
      <c r="V30" s="55" t="str">
        <f t="shared" si="24"/>
        <v/>
      </c>
      <c r="W30" s="55" t="str">
        <f t="shared" si="24"/>
        <v/>
      </c>
      <c r="X30" s="55" t="str">
        <f t="shared" si="24"/>
        <v/>
      </c>
      <c r="Y30" s="55" t="str">
        <f t="shared" si="25"/>
        <v/>
      </c>
      <c r="Z30" s="55" t="str">
        <f t="shared" si="25"/>
        <v/>
      </c>
      <c r="AA30" s="55" t="str">
        <f t="shared" si="25"/>
        <v/>
      </c>
      <c r="AB30" s="55" t="str">
        <f t="shared" si="25"/>
        <v/>
      </c>
      <c r="AC30" s="55" t="str">
        <f t="shared" si="25"/>
        <v/>
      </c>
      <c r="AD30" s="55" t="str">
        <f t="shared" si="25"/>
        <v/>
      </c>
      <c r="AE30" s="55" t="str">
        <f t="shared" si="25"/>
        <v/>
      </c>
      <c r="AF30" s="55" t="str">
        <f t="shared" si="25"/>
        <v/>
      </c>
      <c r="AG30" s="55" t="str">
        <f t="shared" si="25"/>
        <v/>
      </c>
      <c r="AH30" s="55" t="str">
        <f t="shared" si="25"/>
        <v/>
      </c>
      <c r="AI30" s="55" t="str">
        <f t="shared" si="26"/>
        <v/>
      </c>
      <c r="AJ30" s="55" t="str">
        <f t="shared" si="26"/>
        <v/>
      </c>
      <c r="AK30" s="55" t="str">
        <f t="shared" si="26"/>
        <v/>
      </c>
      <c r="AL30" s="55" t="str">
        <f t="shared" si="26"/>
        <v/>
      </c>
      <c r="AM30" s="55" t="str">
        <f t="shared" si="26"/>
        <v/>
      </c>
      <c r="AN30" s="55" t="str">
        <f t="shared" si="26"/>
        <v/>
      </c>
      <c r="AO30" s="55" t="str">
        <f t="shared" si="26"/>
        <v/>
      </c>
      <c r="AP30" s="55" t="str">
        <f t="shared" si="26"/>
        <v/>
      </c>
      <c r="AQ30" s="55" t="str">
        <f t="shared" si="26"/>
        <v/>
      </c>
      <c r="AR30" s="55" t="str">
        <f t="shared" si="26"/>
        <v/>
      </c>
      <c r="AS30" s="55" t="str">
        <f t="shared" si="27"/>
        <v/>
      </c>
      <c r="AT30" s="55" t="str">
        <f t="shared" si="27"/>
        <v/>
      </c>
      <c r="AU30" s="55" t="str">
        <f t="shared" si="27"/>
        <v/>
      </c>
      <c r="AV30" s="55" t="str">
        <f t="shared" si="27"/>
        <v/>
      </c>
      <c r="AW30" s="55" t="str">
        <f t="shared" si="27"/>
        <v/>
      </c>
      <c r="AX30" s="55" t="str">
        <f t="shared" si="27"/>
        <v/>
      </c>
      <c r="AY30" s="55" t="str">
        <f t="shared" si="27"/>
        <v/>
      </c>
      <c r="AZ30" s="55" t="str">
        <f t="shared" si="27"/>
        <v/>
      </c>
      <c r="BA30" s="55" t="str">
        <f t="shared" si="27"/>
        <v/>
      </c>
      <c r="BB30" s="55" t="str">
        <f t="shared" si="27"/>
        <v/>
      </c>
      <c r="BC30" s="55" t="str">
        <f t="shared" si="28"/>
        <v/>
      </c>
      <c r="BD30" s="55" t="str">
        <f t="shared" si="28"/>
        <v/>
      </c>
      <c r="BE30" s="55" t="str">
        <f t="shared" si="28"/>
        <v/>
      </c>
      <c r="BF30" s="55" t="str">
        <f t="shared" si="28"/>
        <v/>
      </c>
      <c r="BG30" s="55" t="str">
        <f t="shared" si="28"/>
        <v/>
      </c>
      <c r="BH30" s="55" t="str">
        <f t="shared" si="28"/>
        <v/>
      </c>
      <c r="BI30" s="55" t="str">
        <f t="shared" si="28"/>
        <v/>
      </c>
      <c r="BJ30" s="55" t="str">
        <f t="shared" si="28"/>
        <v/>
      </c>
      <c r="BK30" s="55" t="str">
        <f t="shared" si="28"/>
        <v/>
      </c>
      <c r="BL30" s="55" t="str">
        <f t="shared" si="28"/>
        <v/>
      </c>
      <c r="BM30" s="55" t="str">
        <f t="shared" si="29"/>
        <v/>
      </c>
      <c r="BN30" s="55" t="str">
        <f t="shared" si="29"/>
        <v/>
      </c>
      <c r="BO30" s="55" t="str">
        <f t="shared" si="29"/>
        <v/>
      </c>
      <c r="BP30" s="55" t="str">
        <f t="shared" si="29"/>
        <v/>
      </c>
      <c r="BQ30" s="55" t="str">
        <f t="shared" si="29"/>
        <v/>
      </c>
      <c r="BR30" s="55" t="str">
        <f t="shared" si="29"/>
        <v/>
      </c>
      <c r="BS30" s="55" t="str">
        <f t="shared" si="29"/>
        <v/>
      </c>
      <c r="BT30" s="55" t="str">
        <f t="shared" si="29"/>
        <v/>
      </c>
      <c r="BU30" s="55" t="str">
        <f t="shared" si="29"/>
        <v/>
      </c>
      <c r="BV30" s="55" t="str">
        <f t="shared" si="29"/>
        <v/>
      </c>
      <c r="BW30" s="55" t="str">
        <f t="shared" si="30"/>
        <v/>
      </c>
      <c r="BX30" s="55" t="str">
        <f t="shared" si="30"/>
        <v/>
      </c>
      <c r="BY30" s="55" t="str">
        <f t="shared" si="30"/>
        <v/>
      </c>
      <c r="BZ30" s="55" t="str">
        <f t="shared" si="30"/>
        <v/>
      </c>
      <c r="CA30" s="55" t="str">
        <f t="shared" si="30"/>
        <v/>
      </c>
      <c r="CB30" s="55" t="str">
        <f t="shared" si="30"/>
        <v/>
      </c>
      <c r="CC30" s="55" t="str">
        <f t="shared" si="30"/>
        <v/>
      </c>
      <c r="CD30" s="55" t="str">
        <f t="shared" si="30"/>
        <v/>
      </c>
      <c r="CE30" s="55" t="str">
        <f t="shared" si="30"/>
        <v/>
      </c>
      <c r="CF30" s="55" t="str">
        <f t="shared" si="30"/>
        <v/>
      </c>
      <c r="CG30" s="55" t="str">
        <f t="shared" si="31"/>
        <v/>
      </c>
      <c r="CH30" s="55" t="str">
        <f t="shared" si="31"/>
        <v/>
      </c>
      <c r="CI30" s="55" t="str">
        <f t="shared" si="31"/>
        <v/>
      </c>
      <c r="CJ30" s="55" t="str">
        <f t="shared" si="31"/>
        <v/>
      </c>
      <c r="CK30" s="55" t="str">
        <f t="shared" si="31"/>
        <v/>
      </c>
      <c r="CL30" s="55" t="str">
        <f t="shared" si="31"/>
        <v/>
      </c>
      <c r="CM30" s="55" t="str">
        <f t="shared" si="31"/>
        <v/>
      </c>
      <c r="CN30" s="55" t="str">
        <f t="shared" si="31"/>
        <v/>
      </c>
      <c r="CO30" s="55" t="str">
        <f t="shared" si="31"/>
        <v/>
      </c>
      <c r="CP30" s="55" t="str">
        <f t="shared" si="31"/>
        <v/>
      </c>
      <c r="CQ30" s="55" t="str">
        <f t="shared" si="32"/>
        <v/>
      </c>
      <c r="CR30" s="55" t="str">
        <f t="shared" si="32"/>
        <v/>
      </c>
      <c r="CS30" s="55" t="str">
        <f t="shared" si="32"/>
        <v/>
      </c>
      <c r="CT30" s="55" t="str">
        <f t="shared" si="32"/>
        <v/>
      </c>
      <c r="CU30" s="55" t="str">
        <f t="shared" si="32"/>
        <v/>
      </c>
      <c r="CV30" s="55" t="str">
        <f t="shared" si="32"/>
        <v/>
      </c>
      <c r="CW30" s="55" t="str">
        <f t="shared" si="32"/>
        <v/>
      </c>
      <c r="CX30" s="55" t="str">
        <f t="shared" si="32"/>
        <v/>
      </c>
      <c r="CY30" s="55" t="str">
        <f t="shared" si="32"/>
        <v/>
      </c>
      <c r="CZ30" s="55" t="str">
        <f t="shared" si="32"/>
        <v/>
      </c>
      <c r="DA30" s="55" t="str">
        <f t="shared" si="32"/>
        <v/>
      </c>
      <c r="DB30" s="55" t="str">
        <f t="shared" si="32"/>
        <v/>
      </c>
      <c r="DC30" s="55" t="str">
        <f t="shared" si="32"/>
        <v/>
      </c>
      <c r="DD30" s="55" t="str">
        <f t="shared" si="32"/>
        <v/>
      </c>
      <c r="DE30" s="58" t="str">
        <f t="shared" si="32"/>
        <v/>
      </c>
    </row>
    <row r="31" spans="2:109" x14ac:dyDescent="0.2">
      <c r="B31" s="84"/>
      <c r="C31" s="79"/>
      <c r="D31" s="106" t="str">
        <f t="shared" si="22"/>
        <v/>
      </c>
      <c r="E31" s="57" t="str">
        <f t="shared" si="23"/>
        <v/>
      </c>
      <c r="F31" s="55" t="str">
        <f t="shared" si="23"/>
        <v/>
      </c>
      <c r="G31" s="55" t="str">
        <f t="shared" si="23"/>
        <v/>
      </c>
      <c r="H31" s="55" t="str">
        <f t="shared" si="23"/>
        <v/>
      </c>
      <c r="I31" s="55" t="str">
        <f t="shared" si="23"/>
        <v/>
      </c>
      <c r="J31" s="55" t="str">
        <f t="shared" si="23"/>
        <v/>
      </c>
      <c r="K31" s="55" t="str">
        <f t="shared" si="23"/>
        <v/>
      </c>
      <c r="L31" s="55" t="str">
        <f t="shared" si="23"/>
        <v/>
      </c>
      <c r="M31" s="55" t="str">
        <f t="shared" si="23"/>
        <v/>
      </c>
      <c r="N31" s="55" t="str">
        <f t="shared" si="23"/>
        <v/>
      </c>
      <c r="O31" s="55" t="str">
        <f t="shared" si="24"/>
        <v/>
      </c>
      <c r="P31" s="55" t="str">
        <f t="shared" si="24"/>
        <v/>
      </c>
      <c r="Q31" s="55" t="str">
        <f t="shared" si="24"/>
        <v/>
      </c>
      <c r="R31" s="55" t="str">
        <f t="shared" si="24"/>
        <v/>
      </c>
      <c r="S31" s="55" t="str">
        <f t="shared" si="24"/>
        <v/>
      </c>
      <c r="T31" s="55" t="str">
        <f t="shared" si="24"/>
        <v/>
      </c>
      <c r="U31" s="55" t="str">
        <f t="shared" si="24"/>
        <v/>
      </c>
      <c r="V31" s="55" t="str">
        <f t="shared" si="24"/>
        <v/>
      </c>
      <c r="W31" s="55" t="str">
        <f t="shared" si="24"/>
        <v/>
      </c>
      <c r="X31" s="55" t="str">
        <f t="shared" si="24"/>
        <v/>
      </c>
      <c r="Y31" s="55" t="str">
        <f t="shared" si="25"/>
        <v/>
      </c>
      <c r="Z31" s="55" t="str">
        <f t="shared" si="25"/>
        <v/>
      </c>
      <c r="AA31" s="55" t="str">
        <f t="shared" si="25"/>
        <v/>
      </c>
      <c r="AB31" s="55" t="str">
        <f t="shared" si="25"/>
        <v/>
      </c>
      <c r="AC31" s="55" t="str">
        <f t="shared" si="25"/>
        <v/>
      </c>
      <c r="AD31" s="55" t="str">
        <f t="shared" si="25"/>
        <v/>
      </c>
      <c r="AE31" s="55" t="str">
        <f t="shared" si="25"/>
        <v/>
      </c>
      <c r="AF31" s="55" t="str">
        <f t="shared" si="25"/>
        <v/>
      </c>
      <c r="AG31" s="55" t="str">
        <f t="shared" si="25"/>
        <v/>
      </c>
      <c r="AH31" s="55" t="str">
        <f t="shared" si="25"/>
        <v/>
      </c>
      <c r="AI31" s="55" t="str">
        <f t="shared" si="26"/>
        <v/>
      </c>
      <c r="AJ31" s="55" t="str">
        <f t="shared" si="26"/>
        <v/>
      </c>
      <c r="AK31" s="55" t="str">
        <f t="shared" si="26"/>
        <v/>
      </c>
      <c r="AL31" s="55" t="str">
        <f t="shared" si="26"/>
        <v/>
      </c>
      <c r="AM31" s="55" t="str">
        <f t="shared" si="26"/>
        <v/>
      </c>
      <c r="AN31" s="55" t="str">
        <f t="shared" si="26"/>
        <v/>
      </c>
      <c r="AO31" s="55" t="str">
        <f t="shared" si="26"/>
        <v/>
      </c>
      <c r="AP31" s="55" t="str">
        <f t="shared" si="26"/>
        <v/>
      </c>
      <c r="AQ31" s="55" t="str">
        <f t="shared" si="26"/>
        <v/>
      </c>
      <c r="AR31" s="55" t="str">
        <f t="shared" si="26"/>
        <v/>
      </c>
      <c r="AS31" s="55" t="str">
        <f t="shared" si="27"/>
        <v/>
      </c>
      <c r="AT31" s="55" t="str">
        <f t="shared" si="27"/>
        <v/>
      </c>
      <c r="AU31" s="55" t="str">
        <f t="shared" si="27"/>
        <v/>
      </c>
      <c r="AV31" s="55" t="str">
        <f t="shared" si="27"/>
        <v/>
      </c>
      <c r="AW31" s="55" t="str">
        <f t="shared" si="27"/>
        <v/>
      </c>
      <c r="AX31" s="55" t="str">
        <f t="shared" si="27"/>
        <v/>
      </c>
      <c r="AY31" s="55" t="str">
        <f t="shared" si="27"/>
        <v/>
      </c>
      <c r="AZ31" s="55" t="str">
        <f t="shared" si="27"/>
        <v/>
      </c>
      <c r="BA31" s="55" t="str">
        <f t="shared" si="27"/>
        <v/>
      </c>
      <c r="BB31" s="55" t="str">
        <f t="shared" si="27"/>
        <v/>
      </c>
      <c r="BC31" s="55" t="str">
        <f t="shared" si="28"/>
        <v/>
      </c>
      <c r="BD31" s="55" t="str">
        <f t="shared" si="28"/>
        <v/>
      </c>
      <c r="BE31" s="55" t="str">
        <f t="shared" si="28"/>
        <v/>
      </c>
      <c r="BF31" s="55" t="str">
        <f t="shared" si="28"/>
        <v/>
      </c>
      <c r="BG31" s="55" t="str">
        <f t="shared" si="28"/>
        <v/>
      </c>
      <c r="BH31" s="55" t="str">
        <f t="shared" si="28"/>
        <v/>
      </c>
      <c r="BI31" s="55" t="str">
        <f t="shared" si="28"/>
        <v/>
      </c>
      <c r="BJ31" s="55" t="str">
        <f t="shared" si="28"/>
        <v/>
      </c>
      <c r="BK31" s="55" t="str">
        <f t="shared" si="28"/>
        <v/>
      </c>
      <c r="BL31" s="55" t="str">
        <f t="shared" si="28"/>
        <v/>
      </c>
      <c r="BM31" s="55" t="str">
        <f t="shared" si="29"/>
        <v/>
      </c>
      <c r="BN31" s="55" t="str">
        <f t="shared" si="29"/>
        <v/>
      </c>
      <c r="BO31" s="55" t="str">
        <f t="shared" si="29"/>
        <v/>
      </c>
      <c r="BP31" s="55" t="str">
        <f t="shared" si="29"/>
        <v/>
      </c>
      <c r="BQ31" s="55" t="str">
        <f t="shared" si="29"/>
        <v/>
      </c>
      <c r="BR31" s="55" t="str">
        <f t="shared" si="29"/>
        <v/>
      </c>
      <c r="BS31" s="55" t="str">
        <f t="shared" si="29"/>
        <v/>
      </c>
      <c r="BT31" s="55" t="str">
        <f t="shared" si="29"/>
        <v/>
      </c>
      <c r="BU31" s="55" t="str">
        <f t="shared" si="29"/>
        <v/>
      </c>
      <c r="BV31" s="55" t="str">
        <f t="shared" si="29"/>
        <v/>
      </c>
      <c r="BW31" s="55" t="str">
        <f t="shared" si="30"/>
        <v/>
      </c>
      <c r="BX31" s="55" t="str">
        <f t="shared" si="30"/>
        <v/>
      </c>
      <c r="BY31" s="55" t="str">
        <f t="shared" si="30"/>
        <v/>
      </c>
      <c r="BZ31" s="55" t="str">
        <f t="shared" si="30"/>
        <v/>
      </c>
      <c r="CA31" s="55" t="str">
        <f t="shared" si="30"/>
        <v/>
      </c>
      <c r="CB31" s="55" t="str">
        <f t="shared" si="30"/>
        <v/>
      </c>
      <c r="CC31" s="55" t="str">
        <f t="shared" si="30"/>
        <v/>
      </c>
      <c r="CD31" s="55" t="str">
        <f t="shared" si="30"/>
        <v/>
      </c>
      <c r="CE31" s="55" t="str">
        <f t="shared" si="30"/>
        <v/>
      </c>
      <c r="CF31" s="55" t="str">
        <f t="shared" si="30"/>
        <v/>
      </c>
      <c r="CG31" s="55" t="str">
        <f t="shared" si="31"/>
        <v/>
      </c>
      <c r="CH31" s="55" t="str">
        <f t="shared" si="31"/>
        <v/>
      </c>
      <c r="CI31" s="55" t="str">
        <f t="shared" si="31"/>
        <v/>
      </c>
      <c r="CJ31" s="55" t="str">
        <f t="shared" si="31"/>
        <v/>
      </c>
      <c r="CK31" s="55" t="str">
        <f t="shared" si="31"/>
        <v/>
      </c>
      <c r="CL31" s="55" t="str">
        <f t="shared" si="31"/>
        <v/>
      </c>
      <c r="CM31" s="55" t="str">
        <f t="shared" si="31"/>
        <v/>
      </c>
      <c r="CN31" s="55" t="str">
        <f t="shared" si="31"/>
        <v/>
      </c>
      <c r="CO31" s="55" t="str">
        <f t="shared" si="31"/>
        <v/>
      </c>
      <c r="CP31" s="55" t="str">
        <f t="shared" si="31"/>
        <v/>
      </c>
      <c r="CQ31" s="55" t="str">
        <f t="shared" si="32"/>
        <v/>
      </c>
      <c r="CR31" s="55" t="str">
        <f t="shared" si="32"/>
        <v/>
      </c>
      <c r="CS31" s="55" t="str">
        <f t="shared" si="32"/>
        <v/>
      </c>
      <c r="CT31" s="55" t="str">
        <f t="shared" si="32"/>
        <v/>
      </c>
      <c r="CU31" s="55" t="str">
        <f t="shared" si="32"/>
        <v/>
      </c>
      <c r="CV31" s="55" t="str">
        <f t="shared" si="32"/>
        <v/>
      </c>
      <c r="CW31" s="55" t="str">
        <f t="shared" si="32"/>
        <v/>
      </c>
      <c r="CX31" s="55" t="str">
        <f t="shared" si="32"/>
        <v/>
      </c>
      <c r="CY31" s="55" t="str">
        <f t="shared" si="32"/>
        <v/>
      </c>
      <c r="CZ31" s="55" t="str">
        <f t="shared" si="32"/>
        <v/>
      </c>
      <c r="DA31" s="55" t="str">
        <f t="shared" si="32"/>
        <v/>
      </c>
      <c r="DB31" s="55" t="str">
        <f t="shared" si="32"/>
        <v/>
      </c>
      <c r="DC31" s="55" t="str">
        <f t="shared" si="32"/>
        <v/>
      </c>
      <c r="DD31" s="55" t="str">
        <f t="shared" si="32"/>
        <v/>
      </c>
      <c r="DE31" s="58" t="str">
        <f t="shared" si="32"/>
        <v/>
      </c>
    </row>
    <row r="32" spans="2:109" x14ac:dyDescent="0.2">
      <c r="B32" s="84"/>
      <c r="C32" s="79"/>
      <c r="D32" s="106" t="str">
        <f t="shared" si="22"/>
        <v/>
      </c>
      <c r="E32" s="57" t="str">
        <f t="shared" si="23"/>
        <v/>
      </c>
      <c r="F32" s="55" t="str">
        <f t="shared" si="23"/>
        <v/>
      </c>
      <c r="G32" s="55" t="str">
        <f t="shared" si="23"/>
        <v/>
      </c>
      <c r="H32" s="55" t="str">
        <f t="shared" si="23"/>
        <v/>
      </c>
      <c r="I32" s="55" t="str">
        <f t="shared" si="23"/>
        <v/>
      </c>
      <c r="J32" s="55" t="str">
        <f t="shared" si="23"/>
        <v/>
      </c>
      <c r="K32" s="55" t="str">
        <f t="shared" si="23"/>
        <v/>
      </c>
      <c r="L32" s="55" t="str">
        <f t="shared" si="23"/>
        <v/>
      </c>
      <c r="M32" s="55" t="str">
        <f t="shared" si="23"/>
        <v/>
      </c>
      <c r="N32" s="55" t="str">
        <f t="shared" si="23"/>
        <v/>
      </c>
      <c r="O32" s="55" t="str">
        <f t="shared" si="24"/>
        <v/>
      </c>
      <c r="P32" s="55" t="str">
        <f t="shared" si="24"/>
        <v/>
      </c>
      <c r="Q32" s="55" t="str">
        <f t="shared" si="24"/>
        <v/>
      </c>
      <c r="R32" s="55" t="str">
        <f t="shared" si="24"/>
        <v/>
      </c>
      <c r="S32" s="55" t="str">
        <f t="shared" si="24"/>
        <v/>
      </c>
      <c r="T32" s="55" t="str">
        <f t="shared" si="24"/>
        <v/>
      </c>
      <c r="U32" s="55" t="str">
        <f t="shared" si="24"/>
        <v/>
      </c>
      <c r="V32" s="55" t="str">
        <f t="shared" si="24"/>
        <v/>
      </c>
      <c r="W32" s="55" t="str">
        <f t="shared" si="24"/>
        <v/>
      </c>
      <c r="X32" s="55" t="str">
        <f t="shared" si="24"/>
        <v/>
      </c>
      <c r="Y32" s="55" t="str">
        <f t="shared" si="25"/>
        <v/>
      </c>
      <c r="Z32" s="55" t="str">
        <f t="shared" si="25"/>
        <v/>
      </c>
      <c r="AA32" s="55" t="str">
        <f t="shared" si="25"/>
        <v/>
      </c>
      <c r="AB32" s="55" t="str">
        <f t="shared" si="25"/>
        <v/>
      </c>
      <c r="AC32" s="55" t="str">
        <f t="shared" si="25"/>
        <v/>
      </c>
      <c r="AD32" s="55" t="str">
        <f t="shared" si="25"/>
        <v/>
      </c>
      <c r="AE32" s="55" t="str">
        <f t="shared" si="25"/>
        <v/>
      </c>
      <c r="AF32" s="55" t="str">
        <f t="shared" si="25"/>
        <v/>
      </c>
      <c r="AG32" s="55" t="str">
        <f t="shared" si="25"/>
        <v/>
      </c>
      <c r="AH32" s="55" t="str">
        <f t="shared" si="25"/>
        <v/>
      </c>
      <c r="AI32" s="55" t="str">
        <f t="shared" si="26"/>
        <v/>
      </c>
      <c r="AJ32" s="55" t="str">
        <f t="shared" si="26"/>
        <v/>
      </c>
      <c r="AK32" s="55" t="str">
        <f t="shared" si="26"/>
        <v/>
      </c>
      <c r="AL32" s="55" t="str">
        <f t="shared" si="26"/>
        <v/>
      </c>
      <c r="AM32" s="55" t="str">
        <f t="shared" si="26"/>
        <v/>
      </c>
      <c r="AN32" s="55" t="str">
        <f t="shared" si="26"/>
        <v/>
      </c>
      <c r="AO32" s="55" t="str">
        <f t="shared" si="26"/>
        <v/>
      </c>
      <c r="AP32" s="55" t="str">
        <f t="shared" si="26"/>
        <v/>
      </c>
      <c r="AQ32" s="55" t="str">
        <f t="shared" si="26"/>
        <v/>
      </c>
      <c r="AR32" s="55" t="str">
        <f t="shared" si="26"/>
        <v/>
      </c>
      <c r="AS32" s="55" t="str">
        <f t="shared" si="27"/>
        <v/>
      </c>
      <c r="AT32" s="55" t="str">
        <f t="shared" si="27"/>
        <v/>
      </c>
      <c r="AU32" s="55" t="str">
        <f t="shared" si="27"/>
        <v/>
      </c>
      <c r="AV32" s="55" t="str">
        <f t="shared" si="27"/>
        <v/>
      </c>
      <c r="AW32" s="55" t="str">
        <f t="shared" si="27"/>
        <v/>
      </c>
      <c r="AX32" s="55" t="str">
        <f t="shared" si="27"/>
        <v/>
      </c>
      <c r="AY32" s="55" t="str">
        <f t="shared" si="27"/>
        <v/>
      </c>
      <c r="AZ32" s="55" t="str">
        <f t="shared" si="27"/>
        <v/>
      </c>
      <c r="BA32" s="55" t="str">
        <f t="shared" si="27"/>
        <v/>
      </c>
      <c r="BB32" s="55" t="str">
        <f t="shared" si="27"/>
        <v/>
      </c>
      <c r="BC32" s="55" t="str">
        <f t="shared" si="28"/>
        <v/>
      </c>
      <c r="BD32" s="55" t="str">
        <f t="shared" si="28"/>
        <v/>
      </c>
      <c r="BE32" s="55" t="str">
        <f t="shared" si="28"/>
        <v/>
      </c>
      <c r="BF32" s="55" t="str">
        <f t="shared" si="28"/>
        <v/>
      </c>
      <c r="BG32" s="55" t="str">
        <f t="shared" si="28"/>
        <v/>
      </c>
      <c r="BH32" s="55" t="str">
        <f t="shared" si="28"/>
        <v/>
      </c>
      <c r="BI32" s="55" t="str">
        <f t="shared" si="28"/>
        <v/>
      </c>
      <c r="BJ32" s="55" t="str">
        <f t="shared" si="28"/>
        <v/>
      </c>
      <c r="BK32" s="55" t="str">
        <f t="shared" si="28"/>
        <v/>
      </c>
      <c r="BL32" s="55" t="str">
        <f t="shared" si="28"/>
        <v/>
      </c>
      <c r="BM32" s="55" t="str">
        <f t="shared" si="29"/>
        <v/>
      </c>
      <c r="BN32" s="55" t="str">
        <f t="shared" si="29"/>
        <v/>
      </c>
      <c r="BO32" s="55" t="str">
        <f t="shared" si="29"/>
        <v/>
      </c>
      <c r="BP32" s="55" t="str">
        <f t="shared" si="29"/>
        <v/>
      </c>
      <c r="BQ32" s="55" t="str">
        <f t="shared" si="29"/>
        <v/>
      </c>
      <c r="BR32" s="55" t="str">
        <f t="shared" si="29"/>
        <v/>
      </c>
      <c r="BS32" s="55" t="str">
        <f t="shared" si="29"/>
        <v/>
      </c>
      <c r="BT32" s="55" t="str">
        <f t="shared" si="29"/>
        <v/>
      </c>
      <c r="BU32" s="55" t="str">
        <f t="shared" si="29"/>
        <v/>
      </c>
      <c r="BV32" s="55" t="str">
        <f t="shared" si="29"/>
        <v/>
      </c>
      <c r="BW32" s="55" t="str">
        <f t="shared" si="30"/>
        <v/>
      </c>
      <c r="BX32" s="55" t="str">
        <f t="shared" si="30"/>
        <v/>
      </c>
      <c r="BY32" s="55" t="str">
        <f t="shared" si="30"/>
        <v/>
      </c>
      <c r="BZ32" s="55" t="str">
        <f t="shared" si="30"/>
        <v/>
      </c>
      <c r="CA32" s="55" t="str">
        <f t="shared" si="30"/>
        <v/>
      </c>
      <c r="CB32" s="55" t="str">
        <f t="shared" si="30"/>
        <v/>
      </c>
      <c r="CC32" s="55" t="str">
        <f t="shared" si="30"/>
        <v/>
      </c>
      <c r="CD32" s="55" t="str">
        <f t="shared" si="30"/>
        <v/>
      </c>
      <c r="CE32" s="55" t="str">
        <f t="shared" si="30"/>
        <v/>
      </c>
      <c r="CF32" s="55" t="str">
        <f t="shared" si="30"/>
        <v/>
      </c>
      <c r="CG32" s="55" t="str">
        <f t="shared" si="31"/>
        <v/>
      </c>
      <c r="CH32" s="55" t="str">
        <f t="shared" si="31"/>
        <v/>
      </c>
      <c r="CI32" s="55" t="str">
        <f t="shared" si="31"/>
        <v/>
      </c>
      <c r="CJ32" s="55" t="str">
        <f t="shared" si="31"/>
        <v/>
      </c>
      <c r="CK32" s="55" t="str">
        <f t="shared" si="31"/>
        <v/>
      </c>
      <c r="CL32" s="55" t="str">
        <f t="shared" si="31"/>
        <v/>
      </c>
      <c r="CM32" s="55" t="str">
        <f t="shared" si="31"/>
        <v/>
      </c>
      <c r="CN32" s="55" t="str">
        <f t="shared" si="31"/>
        <v/>
      </c>
      <c r="CO32" s="55" t="str">
        <f t="shared" si="31"/>
        <v/>
      </c>
      <c r="CP32" s="55" t="str">
        <f t="shared" si="31"/>
        <v/>
      </c>
      <c r="CQ32" s="55" t="str">
        <f t="shared" si="32"/>
        <v/>
      </c>
      <c r="CR32" s="55" t="str">
        <f t="shared" si="32"/>
        <v/>
      </c>
      <c r="CS32" s="55" t="str">
        <f t="shared" si="32"/>
        <v/>
      </c>
      <c r="CT32" s="55" t="str">
        <f t="shared" si="32"/>
        <v/>
      </c>
      <c r="CU32" s="55" t="str">
        <f t="shared" si="32"/>
        <v/>
      </c>
      <c r="CV32" s="55" t="str">
        <f t="shared" si="32"/>
        <v/>
      </c>
      <c r="CW32" s="55" t="str">
        <f t="shared" si="32"/>
        <v/>
      </c>
      <c r="CX32" s="55" t="str">
        <f t="shared" si="32"/>
        <v/>
      </c>
      <c r="CY32" s="55" t="str">
        <f t="shared" si="32"/>
        <v/>
      </c>
      <c r="CZ32" s="55" t="str">
        <f t="shared" si="32"/>
        <v/>
      </c>
      <c r="DA32" s="55" t="str">
        <f t="shared" si="32"/>
        <v/>
      </c>
      <c r="DB32" s="55" t="str">
        <f t="shared" si="32"/>
        <v/>
      </c>
      <c r="DC32" s="55" t="str">
        <f t="shared" si="32"/>
        <v/>
      </c>
      <c r="DD32" s="55" t="str">
        <f t="shared" si="32"/>
        <v/>
      </c>
      <c r="DE32" s="58" t="str">
        <f t="shared" si="32"/>
        <v/>
      </c>
    </row>
    <row r="33" spans="2:109" x14ac:dyDescent="0.2">
      <c r="B33" s="84"/>
      <c r="C33" s="79"/>
      <c r="D33" s="106" t="str">
        <f t="shared" si="22"/>
        <v/>
      </c>
      <c r="E33" s="57" t="str">
        <f t="shared" si="23"/>
        <v/>
      </c>
      <c r="F33" s="55" t="str">
        <f t="shared" si="23"/>
        <v/>
      </c>
      <c r="G33" s="55" t="str">
        <f t="shared" si="23"/>
        <v/>
      </c>
      <c r="H33" s="55" t="str">
        <f t="shared" si="23"/>
        <v/>
      </c>
      <c r="I33" s="55" t="str">
        <f t="shared" si="23"/>
        <v/>
      </c>
      <c r="J33" s="55" t="str">
        <f t="shared" si="23"/>
        <v/>
      </c>
      <c r="K33" s="55" t="str">
        <f t="shared" si="23"/>
        <v/>
      </c>
      <c r="L33" s="55" t="str">
        <f t="shared" si="23"/>
        <v/>
      </c>
      <c r="M33" s="55" t="str">
        <f t="shared" si="23"/>
        <v/>
      </c>
      <c r="N33" s="55" t="str">
        <f t="shared" si="23"/>
        <v/>
      </c>
      <c r="O33" s="55" t="str">
        <f t="shared" si="24"/>
        <v/>
      </c>
      <c r="P33" s="55" t="str">
        <f t="shared" si="24"/>
        <v/>
      </c>
      <c r="Q33" s="55" t="str">
        <f t="shared" si="24"/>
        <v/>
      </c>
      <c r="R33" s="55" t="str">
        <f t="shared" si="24"/>
        <v/>
      </c>
      <c r="S33" s="55" t="str">
        <f t="shared" si="24"/>
        <v/>
      </c>
      <c r="T33" s="55" t="str">
        <f t="shared" si="24"/>
        <v/>
      </c>
      <c r="U33" s="55" t="str">
        <f t="shared" si="24"/>
        <v/>
      </c>
      <c r="V33" s="55" t="str">
        <f t="shared" si="24"/>
        <v/>
      </c>
      <c r="W33" s="55" t="str">
        <f t="shared" si="24"/>
        <v/>
      </c>
      <c r="X33" s="55" t="str">
        <f t="shared" si="24"/>
        <v/>
      </c>
      <c r="Y33" s="55" t="str">
        <f t="shared" si="25"/>
        <v/>
      </c>
      <c r="Z33" s="55" t="str">
        <f t="shared" si="25"/>
        <v/>
      </c>
      <c r="AA33" s="55" t="str">
        <f t="shared" si="25"/>
        <v/>
      </c>
      <c r="AB33" s="55" t="str">
        <f t="shared" si="25"/>
        <v/>
      </c>
      <c r="AC33" s="55" t="str">
        <f t="shared" si="25"/>
        <v/>
      </c>
      <c r="AD33" s="55" t="str">
        <f t="shared" si="25"/>
        <v/>
      </c>
      <c r="AE33" s="55" t="str">
        <f t="shared" si="25"/>
        <v/>
      </c>
      <c r="AF33" s="55" t="str">
        <f t="shared" si="25"/>
        <v/>
      </c>
      <c r="AG33" s="55" t="str">
        <f t="shared" si="25"/>
        <v/>
      </c>
      <c r="AH33" s="55" t="str">
        <f t="shared" si="25"/>
        <v/>
      </c>
      <c r="AI33" s="55" t="str">
        <f t="shared" si="26"/>
        <v/>
      </c>
      <c r="AJ33" s="55" t="str">
        <f t="shared" si="26"/>
        <v/>
      </c>
      <c r="AK33" s="55" t="str">
        <f t="shared" si="26"/>
        <v/>
      </c>
      <c r="AL33" s="55" t="str">
        <f t="shared" si="26"/>
        <v/>
      </c>
      <c r="AM33" s="55" t="str">
        <f t="shared" si="26"/>
        <v/>
      </c>
      <c r="AN33" s="55" t="str">
        <f t="shared" si="26"/>
        <v/>
      </c>
      <c r="AO33" s="55" t="str">
        <f t="shared" si="26"/>
        <v/>
      </c>
      <c r="AP33" s="55" t="str">
        <f t="shared" si="26"/>
        <v/>
      </c>
      <c r="AQ33" s="55" t="str">
        <f t="shared" si="26"/>
        <v/>
      </c>
      <c r="AR33" s="55" t="str">
        <f t="shared" si="26"/>
        <v/>
      </c>
      <c r="AS33" s="55" t="str">
        <f t="shared" si="27"/>
        <v/>
      </c>
      <c r="AT33" s="55" t="str">
        <f t="shared" si="27"/>
        <v/>
      </c>
      <c r="AU33" s="55" t="str">
        <f t="shared" si="27"/>
        <v/>
      </c>
      <c r="AV33" s="55" t="str">
        <f t="shared" si="27"/>
        <v/>
      </c>
      <c r="AW33" s="55" t="str">
        <f t="shared" si="27"/>
        <v/>
      </c>
      <c r="AX33" s="55" t="str">
        <f t="shared" si="27"/>
        <v/>
      </c>
      <c r="AY33" s="55" t="str">
        <f t="shared" si="27"/>
        <v/>
      </c>
      <c r="AZ33" s="55" t="str">
        <f t="shared" si="27"/>
        <v/>
      </c>
      <c r="BA33" s="55" t="str">
        <f t="shared" si="27"/>
        <v/>
      </c>
      <c r="BB33" s="55" t="str">
        <f t="shared" si="27"/>
        <v/>
      </c>
      <c r="BC33" s="55" t="str">
        <f t="shared" si="28"/>
        <v/>
      </c>
      <c r="BD33" s="55" t="str">
        <f t="shared" si="28"/>
        <v/>
      </c>
      <c r="BE33" s="55" t="str">
        <f t="shared" si="28"/>
        <v/>
      </c>
      <c r="BF33" s="55" t="str">
        <f t="shared" si="28"/>
        <v/>
      </c>
      <c r="BG33" s="55" t="str">
        <f t="shared" si="28"/>
        <v/>
      </c>
      <c r="BH33" s="55" t="str">
        <f t="shared" si="28"/>
        <v/>
      </c>
      <c r="BI33" s="55" t="str">
        <f t="shared" si="28"/>
        <v/>
      </c>
      <c r="BJ33" s="55" t="str">
        <f t="shared" si="28"/>
        <v/>
      </c>
      <c r="BK33" s="55" t="str">
        <f t="shared" si="28"/>
        <v/>
      </c>
      <c r="BL33" s="55" t="str">
        <f t="shared" si="28"/>
        <v/>
      </c>
      <c r="BM33" s="55" t="str">
        <f t="shared" si="29"/>
        <v/>
      </c>
      <c r="BN33" s="55" t="str">
        <f t="shared" si="29"/>
        <v/>
      </c>
      <c r="BO33" s="55" t="str">
        <f t="shared" si="29"/>
        <v/>
      </c>
      <c r="BP33" s="55" t="str">
        <f t="shared" si="29"/>
        <v/>
      </c>
      <c r="BQ33" s="55" t="str">
        <f t="shared" si="29"/>
        <v/>
      </c>
      <c r="BR33" s="55" t="str">
        <f t="shared" si="29"/>
        <v/>
      </c>
      <c r="BS33" s="55" t="str">
        <f t="shared" si="29"/>
        <v/>
      </c>
      <c r="BT33" s="55" t="str">
        <f t="shared" si="29"/>
        <v/>
      </c>
      <c r="BU33" s="55" t="str">
        <f t="shared" si="29"/>
        <v/>
      </c>
      <c r="BV33" s="55" t="str">
        <f t="shared" si="29"/>
        <v/>
      </c>
      <c r="BW33" s="55" t="str">
        <f t="shared" si="30"/>
        <v/>
      </c>
      <c r="BX33" s="55" t="str">
        <f t="shared" si="30"/>
        <v/>
      </c>
      <c r="BY33" s="55" t="str">
        <f t="shared" si="30"/>
        <v/>
      </c>
      <c r="BZ33" s="55" t="str">
        <f t="shared" si="30"/>
        <v/>
      </c>
      <c r="CA33" s="55" t="str">
        <f t="shared" si="30"/>
        <v/>
      </c>
      <c r="CB33" s="55" t="str">
        <f t="shared" si="30"/>
        <v/>
      </c>
      <c r="CC33" s="55" t="str">
        <f t="shared" si="30"/>
        <v/>
      </c>
      <c r="CD33" s="55" t="str">
        <f t="shared" si="30"/>
        <v/>
      </c>
      <c r="CE33" s="55" t="str">
        <f t="shared" si="30"/>
        <v/>
      </c>
      <c r="CF33" s="55" t="str">
        <f t="shared" si="30"/>
        <v/>
      </c>
      <c r="CG33" s="55" t="str">
        <f t="shared" si="31"/>
        <v/>
      </c>
      <c r="CH33" s="55" t="str">
        <f t="shared" si="31"/>
        <v/>
      </c>
      <c r="CI33" s="55" t="str">
        <f t="shared" si="31"/>
        <v/>
      </c>
      <c r="CJ33" s="55" t="str">
        <f t="shared" si="31"/>
        <v/>
      </c>
      <c r="CK33" s="55" t="str">
        <f t="shared" si="31"/>
        <v/>
      </c>
      <c r="CL33" s="55" t="str">
        <f t="shared" si="31"/>
        <v/>
      </c>
      <c r="CM33" s="55" t="str">
        <f t="shared" si="31"/>
        <v/>
      </c>
      <c r="CN33" s="55" t="str">
        <f t="shared" si="31"/>
        <v/>
      </c>
      <c r="CO33" s="55" t="str">
        <f t="shared" si="31"/>
        <v/>
      </c>
      <c r="CP33" s="55" t="str">
        <f t="shared" si="31"/>
        <v/>
      </c>
      <c r="CQ33" s="55" t="str">
        <f t="shared" si="32"/>
        <v/>
      </c>
      <c r="CR33" s="55" t="str">
        <f t="shared" si="32"/>
        <v/>
      </c>
      <c r="CS33" s="55" t="str">
        <f t="shared" si="32"/>
        <v/>
      </c>
      <c r="CT33" s="55" t="str">
        <f t="shared" si="32"/>
        <v/>
      </c>
      <c r="CU33" s="55" t="str">
        <f t="shared" si="32"/>
        <v/>
      </c>
      <c r="CV33" s="55" t="str">
        <f t="shared" si="32"/>
        <v/>
      </c>
      <c r="CW33" s="55" t="str">
        <f t="shared" si="32"/>
        <v/>
      </c>
      <c r="CX33" s="55" t="str">
        <f t="shared" si="32"/>
        <v/>
      </c>
      <c r="CY33" s="55" t="str">
        <f t="shared" si="32"/>
        <v/>
      </c>
      <c r="CZ33" s="55" t="str">
        <f t="shared" si="32"/>
        <v/>
      </c>
      <c r="DA33" s="55" t="str">
        <f t="shared" si="32"/>
        <v/>
      </c>
      <c r="DB33" s="55" t="str">
        <f t="shared" si="32"/>
        <v/>
      </c>
      <c r="DC33" s="55" t="str">
        <f t="shared" si="32"/>
        <v/>
      </c>
      <c r="DD33" s="55" t="str">
        <f t="shared" si="32"/>
        <v/>
      </c>
      <c r="DE33" s="58" t="str">
        <f t="shared" si="32"/>
        <v/>
      </c>
    </row>
    <row r="34" spans="2:109" x14ac:dyDescent="0.2">
      <c r="B34" s="84"/>
      <c r="C34" s="79"/>
      <c r="D34" s="106" t="str">
        <f t="shared" si="22"/>
        <v/>
      </c>
      <c r="E34" s="57" t="str">
        <f t="shared" si="23"/>
        <v/>
      </c>
      <c r="F34" s="55" t="str">
        <f t="shared" si="23"/>
        <v/>
      </c>
      <c r="G34" s="55" t="str">
        <f t="shared" si="23"/>
        <v/>
      </c>
      <c r="H34" s="55" t="str">
        <f t="shared" si="23"/>
        <v/>
      </c>
      <c r="I34" s="55" t="str">
        <f t="shared" si="23"/>
        <v/>
      </c>
      <c r="J34" s="55" t="str">
        <f t="shared" si="23"/>
        <v/>
      </c>
      <c r="K34" s="55" t="str">
        <f t="shared" si="23"/>
        <v/>
      </c>
      <c r="L34" s="55" t="str">
        <f t="shared" si="23"/>
        <v/>
      </c>
      <c r="M34" s="55" t="str">
        <f t="shared" si="23"/>
        <v/>
      </c>
      <c r="N34" s="55" t="str">
        <f t="shared" si="23"/>
        <v/>
      </c>
      <c r="O34" s="55" t="str">
        <f t="shared" si="24"/>
        <v/>
      </c>
      <c r="P34" s="55" t="str">
        <f t="shared" si="24"/>
        <v/>
      </c>
      <c r="Q34" s="55" t="str">
        <f t="shared" si="24"/>
        <v/>
      </c>
      <c r="R34" s="55" t="str">
        <f t="shared" si="24"/>
        <v/>
      </c>
      <c r="S34" s="55" t="str">
        <f t="shared" si="24"/>
        <v/>
      </c>
      <c r="T34" s="55" t="str">
        <f t="shared" si="24"/>
        <v/>
      </c>
      <c r="U34" s="55" t="str">
        <f t="shared" si="24"/>
        <v/>
      </c>
      <c r="V34" s="55" t="str">
        <f t="shared" si="24"/>
        <v/>
      </c>
      <c r="W34" s="55" t="str">
        <f t="shared" si="24"/>
        <v/>
      </c>
      <c r="X34" s="55" t="str">
        <f t="shared" si="24"/>
        <v/>
      </c>
      <c r="Y34" s="55" t="str">
        <f t="shared" si="25"/>
        <v/>
      </c>
      <c r="Z34" s="55" t="str">
        <f t="shared" si="25"/>
        <v/>
      </c>
      <c r="AA34" s="55" t="str">
        <f t="shared" si="25"/>
        <v/>
      </c>
      <c r="AB34" s="55" t="str">
        <f t="shared" si="25"/>
        <v/>
      </c>
      <c r="AC34" s="55" t="str">
        <f t="shared" si="25"/>
        <v/>
      </c>
      <c r="AD34" s="55" t="str">
        <f t="shared" si="25"/>
        <v/>
      </c>
      <c r="AE34" s="55" t="str">
        <f t="shared" si="25"/>
        <v/>
      </c>
      <c r="AF34" s="55" t="str">
        <f t="shared" si="25"/>
        <v/>
      </c>
      <c r="AG34" s="55" t="str">
        <f t="shared" si="25"/>
        <v/>
      </c>
      <c r="AH34" s="55" t="str">
        <f t="shared" si="25"/>
        <v/>
      </c>
      <c r="AI34" s="55" t="str">
        <f t="shared" si="26"/>
        <v/>
      </c>
      <c r="AJ34" s="55" t="str">
        <f t="shared" si="26"/>
        <v/>
      </c>
      <c r="AK34" s="55" t="str">
        <f t="shared" si="26"/>
        <v/>
      </c>
      <c r="AL34" s="55" t="str">
        <f t="shared" si="26"/>
        <v/>
      </c>
      <c r="AM34" s="55" t="str">
        <f t="shared" si="26"/>
        <v/>
      </c>
      <c r="AN34" s="55" t="str">
        <f t="shared" si="26"/>
        <v/>
      </c>
      <c r="AO34" s="55" t="str">
        <f t="shared" si="26"/>
        <v/>
      </c>
      <c r="AP34" s="55" t="str">
        <f t="shared" si="26"/>
        <v/>
      </c>
      <c r="AQ34" s="55" t="str">
        <f t="shared" si="26"/>
        <v/>
      </c>
      <c r="AR34" s="55" t="str">
        <f t="shared" si="26"/>
        <v/>
      </c>
      <c r="AS34" s="55" t="str">
        <f t="shared" si="27"/>
        <v/>
      </c>
      <c r="AT34" s="55" t="str">
        <f t="shared" si="27"/>
        <v/>
      </c>
      <c r="AU34" s="55" t="str">
        <f t="shared" si="27"/>
        <v/>
      </c>
      <c r="AV34" s="55" t="str">
        <f t="shared" si="27"/>
        <v/>
      </c>
      <c r="AW34" s="55" t="str">
        <f t="shared" si="27"/>
        <v/>
      </c>
      <c r="AX34" s="55" t="str">
        <f t="shared" si="27"/>
        <v/>
      </c>
      <c r="AY34" s="55" t="str">
        <f t="shared" si="27"/>
        <v/>
      </c>
      <c r="AZ34" s="55" t="str">
        <f t="shared" si="27"/>
        <v/>
      </c>
      <c r="BA34" s="55" t="str">
        <f t="shared" si="27"/>
        <v/>
      </c>
      <c r="BB34" s="55" t="str">
        <f t="shared" si="27"/>
        <v/>
      </c>
      <c r="BC34" s="55" t="str">
        <f t="shared" si="28"/>
        <v/>
      </c>
      <c r="BD34" s="55" t="str">
        <f t="shared" si="28"/>
        <v/>
      </c>
      <c r="BE34" s="55" t="str">
        <f t="shared" si="28"/>
        <v/>
      </c>
      <c r="BF34" s="55" t="str">
        <f t="shared" si="28"/>
        <v/>
      </c>
      <c r="BG34" s="55" t="str">
        <f t="shared" si="28"/>
        <v/>
      </c>
      <c r="BH34" s="55" t="str">
        <f t="shared" si="28"/>
        <v/>
      </c>
      <c r="BI34" s="55" t="str">
        <f t="shared" si="28"/>
        <v/>
      </c>
      <c r="BJ34" s="55" t="str">
        <f t="shared" si="28"/>
        <v/>
      </c>
      <c r="BK34" s="55" t="str">
        <f t="shared" si="28"/>
        <v/>
      </c>
      <c r="BL34" s="55" t="str">
        <f t="shared" si="28"/>
        <v/>
      </c>
      <c r="BM34" s="55" t="str">
        <f t="shared" si="29"/>
        <v/>
      </c>
      <c r="BN34" s="55" t="str">
        <f t="shared" si="29"/>
        <v/>
      </c>
      <c r="BO34" s="55" t="str">
        <f t="shared" si="29"/>
        <v/>
      </c>
      <c r="BP34" s="55" t="str">
        <f t="shared" si="29"/>
        <v/>
      </c>
      <c r="BQ34" s="55" t="str">
        <f t="shared" si="29"/>
        <v/>
      </c>
      <c r="BR34" s="55" t="str">
        <f t="shared" si="29"/>
        <v/>
      </c>
      <c r="BS34" s="55" t="str">
        <f t="shared" si="29"/>
        <v/>
      </c>
      <c r="BT34" s="55" t="str">
        <f t="shared" si="29"/>
        <v/>
      </c>
      <c r="BU34" s="55" t="str">
        <f t="shared" si="29"/>
        <v/>
      </c>
      <c r="BV34" s="55" t="str">
        <f t="shared" si="29"/>
        <v/>
      </c>
      <c r="BW34" s="55" t="str">
        <f t="shared" si="30"/>
        <v/>
      </c>
      <c r="BX34" s="55" t="str">
        <f t="shared" si="30"/>
        <v/>
      </c>
      <c r="BY34" s="55" t="str">
        <f t="shared" si="30"/>
        <v/>
      </c>
      <c r="BZ34" s="55" t="str">
        <f t="shared" si="30"/>
        <v/>
      </c>
      <c r="CA34" s="55" t="str">
        <f t="shared" si="30"/>
        <v/>
      </c>
      <c r="CB34" s="55" t="str">
        <f t="shared" si="30"/>
        <v/>
      </c>
      <c r="CC34" s="55" t="str">
        <f t="shared" si="30"/>
        <v/>
      </c>
      <c r="CD34" s="55" t="str">
        <f t="shared" si="30"/>
        <v/>
      </c>
      <c r="CE34" s="55" t="str">
        <f t="shared" si="30"/>
        <v/>
      </c>
      <c r="CF34" s="55" t="str">
        <f t="shared" si="30"/>
        <v/>
      </c>
      <c r="CG34" s="55" t="str">
        <f t="shared" si="31"/>
        <v/>
      </c>
      <c r="CH34" s="55" t="str">
        <f t="shared" si="31"/>
        <v/>
      </c>
      <c r="CI34" s="55" t="str">
        <f t="shared" si="31"/>
        <v/>
      </c>
      <c r="CJ34" s="55" t="str">
        <f t="shared" si="31"/>
        <v/>
      </c>
      <c r="CK34" s="55" t="str">
        <f t="shared" si="31"/>
        <v/>
      </c>
      <c r="CL34" s="55" t="str">
        <f t="shared" si="31"/>
        <v/>
      </c>
      <c r="CM34" s="55" t="str">
        <f t="shared" si="31"/>
        <v/>
      </c>
      <c r="CN34" s="55" t="str">
        <f t="shared" si="31"/>
        <v/>
      </c>
      <c r="CO34" s="55" t="str">
        <f t="shared" si="31"/>
        <v/>
      </c>
      <c r="CP34" s="55" t="str">
        <f t="shared" si="31"/>
        <v/>
      </c>
      <c r="CQ34" s="55" t="str">
        <f t="shared" si="32"/>
        <v/>
      </c>
      <c r="CR34" s="55" t="str">
        <f t="shared" si="32"/>
        <v/>
      </c>
      <c r="CS34" s="55" t="str">
        <f t="shared" si="32"/>
        <v/>
      </c>
      <c r="CT34" s="55" t="str">
        <f t="shared" si="32"/>
        <v/>
      </c>
      <c r="CU34" s="55" t="str">
        <f t="shared" si="32"/>
        <v/>
      </c>
      <c r="CV34" s="55" t="str">
        <f t="shared" si="32"/>
        <v/>
      </c>
      <c r="CW34" s="55" t="str">
        <f t="shared" si="32"/>
        <v/>
      </c>
      <c r="CX34" s="55" t="str">
        <f t="shared" si="32"/>
        <v/>
      </c>
      <c r="CY34" s="55" t="str">
        <f t="shared" si="32"/>
        <v/>
      </c>
      <c r="CZ34" s="55" t="str">
        <f t="shared" si="32"/>
        <v/>
      </c>
      <c r="DA34" s="55" t="str">
        <f t="shared" si="32"/>
        <v/>
      </c>
      <c r="DB34" s="55" t="str">
        <f t="shared" si="32"/>
        <v/>
      </c>
      <c r="DC34" s="55" t="str">
        <f t="shared" si="32"/>
        <v/>
      </c>
      <c r="DD34" s="55" t="str">
        <f t="shared" si="32"/>
        <v/>
      </c>
      <c r="DE34" s="58" t="str">
        <f t="shared" si="32"/>
        <v/>
      </c>
    </row>
    <row r="35" spans="2:109" x14ac:dyDescent="0.2">
      <c r="B35" s="84"/>
      <c r="C35" s="79"/>
      <c r="D35" s="106" t="str">
        <f t="shared" si="22"/>
        <v/>
      </c>
      <c r="E35" s="57" t="str">
        <f t="shared" si="23"/>
        <v/>
      </c>
      <c r="F35" s="55" t="str">
        <f t="shared" si="23"/>
        <v/>
      </c>
      <c r="G35" s="55" t="str">
        <f t="shared" si="23"/>
        <v/>
      </c>
      <c r="H35" s="55" t="str">
        <f t="shared" si="23"/>
        <v/>
      </c>
      <c r="I35" s="55" t="str">
        <f t="shared" si="23"/>
        <v/>
      </c>
      <c r="J35" s="55" t="str">
        <f t="shared" si="23"/>
        <v/>
      </c>
      <c r="K35" s="55" t="str">
        <f t="shared" si="23"/>
        <v/>
      </c>
      <c r="L35" s="55" t="str">
        <f t="shared" si="23"/>
        <v/>
      </c>
      <c r="M35" s="55" t="str">
        <f t="shared" si="23"/>
        <v/>
      </c>
      <c r="N35" s="55" t="str">
        <f t="shared" si="23"/>
        <v/>
      </c>
      <c r="O35" s="55" t="str">
        <f t="shared" si="24"/>
        <v/>
      </c>
      <c r="P35" s="55" t="str">
        <f t="shared" si="24"/>
        <v/>
      </c>
      <c r="Q35" s="55" t="str">
        <f t="shared" si="24"/>
        <v/>
      </c>
      <c r="R35" s="55" t="str">
        <f t="shared" si="24"/>
        <v/>
      </c>
      <c r="S35" s="55" t="str">
        <f t="shared" si="24"/>
        <v/>
      </c>
      <c r="T35" s="55" t="str">
        <f t="shared" si="24"/>
        <v/>
      </c>
      <c r="U35" s="55" t="str">
        <f t="shared" si="24"/>
        <v/>
      </c>
      <c r="V35" s="55" t="str">
        <f t="shared" si="24"/>
        <v/>
      </c>
      <c r="W35" s="55" t="str">
        <f t="shared" si="24"/>
        <v/>
      </c>
      <c r="X35" s="55" t="str">
        <f t="shared" si="24"/>
        <v/>
      </c>
      <c r="Y35" s="55" t="str">
        <f t="shared" si="25"/>
        <v/>
      </c>
      <c r="Z35" s="55" t="str">
        <f t="shared" si="25"/>
        <v/>
      </c>
      <c r="AA35" s="55" t="str">
        <f t="shared" si="25"/>
        <v/>
      </c>
      <c r="AB35" s="55" t="str">
        <f t="shared" si="25"/>
        <v/>
      </c>
      <c r="AC35" s="55" t="str">
        <f t="shared" si="25"/>
        <v/>
      </c>
      <c r="AD35" s="55" t="str">
        <f t="shared" si="25"/>
        <v/>
      </c>
      <c r="AE35" s="55" t="str">
        <f t="shared" si="25"/>
        <v/>
      </c>
      <c r="AF35" s="55" t="str">
        <f t="shared" si="25"/>
        <v/>
      </c>
      <c r="AG35" s="55" t="str">
        <f t="shared" si="25"/>
        <v/>
      </c>
      <c r="AH35" s="55" t="str">
        <f t="shared" si="25"/>
        <v/>
      </c>
      <c r="AI35" s="55" t="str">
        <f t="shared" si="26"/>
        <v/>
      </c>
      <c r="AJ35" s="55" t="str">
        <f t="shared" si="26"/>
        <v/>
      </c>
      <c r="AK35" s="55" t="str">
        <f t="shared" si="26"/>
        <v/>
      </c>
      <c r="AL35" s="55" t="str">
        <f t="shared" si="26"/>
        <v/>
      </c>
      <c r="AM35" s="55" t="str">
        <f t="shared" si="26"/>
        <v/>
      </c>
      <c r="AN35" s="55" t="str">
        <f t="shared" si="26"/>
        <v/>
      </c>
      <c r="AO35" s="55" t="str">
        <f t="shared" si="26"/>
        <v/>
      </c>
      <c r="AP35" s="55" t="str">
        <f t="shared" si="26"/>
        <v/>
      </c>
      <c r="AQ35" s="55" t="str">
        <f t="shared" si="26"/>
        <v/>
      </c>
      <c r="AR35" s="55" t="str">
        <f t="shared" si="26"/>
        <v/>
      </c>
      <c r="AS35" s="55" t="str">
        <f t="shared" si="27"/>
        <v/>
      </c>
      <c r="AT35" s="55" t="str">
        <f t="shared" si="27"/>
        <v/>
      </c>
      <c r="AU35" s="55" t="str">
        <f t="shared" si="27"/>
        <v/>
      </c>
      <c r="AV35" s="55" t="str">
        <f t="shared" si="27"/>
        <v/>
      </c>
      <c r="AW35" s="55" t="str">
        <f t="shared" si="27"/>
        <v/>
      </c>
      <c r="AX35" s="55" t="str">
        <f t="shared" si="27"/>
        <v/>
      </c>
      <c r="AY35" s="55" t="str">
        <f t="shared" si="27"/>
        <v/>
      </c>
      <c r="AZ35" s="55" t="str">
        <f t="shared" si="27"/>
        <v/>
      </c>
      <c r="BA35" s="55" t="str">
        <f t="shared" si="27"/>
        <v/>
      </c>
      <c r="BB35" s="55" t="str">
        <f t="shared" si="27"/>
        <v/>
      </c>
      <c r="BC35" s="55" t="str">
        <f t="shared" si="28"/>
        <v/>
      </c>
      <c r="BD35" s="55" t="str">
        <f t="shared" si="28"/>
        <v/>
      </c>
      <c r="BE35" s="55" t="str">
        <f t="shared" si="28"/>
        <v/>
      </c>
      <c r="BF35" s="55" t="str">
        <f t="shared" si="28"/>
        <v/>
      </c>
      <c r="BG35" s="55" t="str">
        <f t="shared" si="28"/>
        <v/>
      </c>
      <c r="BH35" s="55" t="str">
        <f t="shared" si="28"/>
        <v/>
      </c>
      <c r="BI35" s="55" t="str">
        <f t="shared" si="28"/>
        <v/>
      </c>
      <c r="BJ35" s="55" t="str">
        <f t="shared" si="28"/>
        <v/>
      </c>
      <c r="BK35" s="55" t="str">
        <f t="shared" si="28"/>
        <v/>
      </c>
      <c r="BL35" s="55" t="str">
        <f t="shared" si="28"/>
        <v/>
      </c>
      <c r="BM35" s="55" t="str">
        <f t="shared" si="29"/>
        <v/>
      </c>
      <c r="BN35" s="55" t="str">
        <f t="shared" si="29"/>
        <v/>
      </c>
      <c r="BO35" s="55" t="str">
        <f t="shared" si="29"/>
        <v/>
      </c>
      <c r="BP35" s="55" t="str">
        <f t="shared" si="29"/>
        <v/>
      </c>
      <c r="BQ35" s="55" t="str">
        <f t="shared" si="29"/>
        <v/>
      </c>
      <c r="BR35" s="55" t="str">
        <f t="shared" si="29"/>
        <v/>
      </c>
      <c r="BS35" s="55" t="str">
        <f t="shared" si="29"/>
        <v/>
      </c>
      <c r="BT35" s="55" t="str">
        <f t="shared" si="29"/>
        <v/>
      </c>
      <c r="BU35" s="55" t="str">
        <f t="shared" si="29"/>
        <v/>
      </c>
      <c r="BV35" s="55" t="str">
        <f t="shared" si="29"/>
        <v/>
      </c>
      <c r="BW35" s="55" t="str">
        <f t="shared" si="30"/>
        <v/>
      </c>
      <c r="BX35" s="55" t="str">
        <f t="shared" si="30"/>
        <v/>
      </c>
      <c r="BY35" s="55" t="str">
        <f t="shared" si="30"/>
        <v/>
      </c>
      <c r="BZ35" s="55" t="str">
        <f t="shared" si="30"/>
        <v/>
      </c>
      <c r="CA35" s="55" t="str">
        <f t="shared" si="30"/>
        <v/>
      </c>
      <c r="CB35" s="55" t="str">
        <f t="shared" si="30"/>
        <v/>
      </c>
      <c r="CC35" s="55" t="str">
        <f t="shared" si="30"/>
        <v/>
      </c>
      <c r="CD35" s="55" t="str">
        <f t="shared" si="30"/>
        <v/>
      </c>
      <c r="CE35" s="55" t="str">
        <f t="shared" si="30"/>
        <v/>
      </c>
      <c r="CF35" s="55" t="str">
        <f t="shared" si="30"/>
        <v/>
      </c>
      <c r="CG35" s="55" t="str">
        <f t="shared" si="31"/>
        <v/>
      </c>
      <c r="CH35" s="55" t="str">
        <f t="shared" si="31"/>
        <v/>
      </c>
      <c r="CI35" s="55" t="str">
        <f t="shared" si="31"/>
        <v/>
      </c>
      <c r="CJ35" s="55" t="str">
        <f t="shared" si="31"/>
        <v/>
      </c>
      <c r="CK35" s="55" t="str">
        <f t="shared" si="31"/>
        <v/>
      </c>
      <c r="CL35" s="55" t="str">
        <f t="shared" si="31"/>
        <v/>
      </c>
      <c r="CM35" s="55" t="str">
        <f t="shared" si="31"/>
        <v/>
      </c>
      <c r="CN35" s="55" t="str">
        <f t="shared" si="31"/>
        <v/>
      </c>
      <c r="CO35" s="55" t="str">
        <f t="shared" si="31"/>
        <v/>
      </c>
      <c r="CP35" s="55" t="str">
        <f t="shared" si="31"/>
        <v/>
      </c>
      <c r="CQ35" s="55" t="str">
        <f t="shared" si="32"/>
        <v/>
      </c>
      <c r="CR35" s="55" t="str">
        <f t="shared" si="32"/>
        <v/>
      </c>
      <c r="CS35" s="55" t="str">
        <f t="shared" si="32"/>
        <v/>
      </c>
      <c r="CT35" s="55" t="str">
        <f t="shared" si="32"/>
        <v/>
      </c>
      <c r="CU35" s="55" t="str">
        <f t="shared" si="32"/>
        <v/>
      </c>
      <c r="CV35" s="55" t="str">
        <f t="shared" si="32"/>
        <v/>
      </c>
      <c r="CW35" s="55" t="str">
        <f t="shared" si="32"/>
        <v/>
      </c>
      <c r="CX35" s="55" t="str">
        <f t="shared" si="32"/>
        <v/>
      </c>
      <c r="CY35" s="55" t="str">
        <f t="shared" si="32"/>
        <v/>
      </c>
      <c r="CZ35" s="55" t="str">
        <f t="shared" si="32"/>
        <v/>
      </c>
      <c r="DA35" s="55" t="str">
        <f t="shared" si="32"/>
        <v/>
      </c>
      <c r="DB35" s="55" t="str">
        <f t="shared" si="32"/>
        <v/>
      </c>
      <c r="DC35" s="55" t="str">
        <f t="shared" si="32"/>
        <v/>
      </c>
      <c r="DD35" s="55" t="str">
        <f t="shared" si="32"/>
        <v/>
      </c>
      <c r="DE35" s="58" t="str">
        <f t="shared" si="32"/>
        <v/>
      </c>
    </row>
    <row r="36" spans="2:109" x14ac:dyDescent="0.2">
      <c r="B36" s="84"/>
      <c r="C36" s="79"/>
      <c r="D36" s="106" t="str">
        <f t="shared" si="22"/>
        <v/>
      </c>
      <c r="E36" s="57" t="str">
        <f t="shared" si="23"/>
        <v/>
      </c>
      <c r="F36" s="55" t="str">
        <f t="shared" si="23"/>
        <v/>
      </c>
      <c r="G36" s="55" t="str">
        <f t="shared" si="23"/>
        <v/>
      </c>
      <c r="H36" s="55" t="str">
        <f t="shared" si="23"/>
        <v/>
      </c>
      <c r="I36" s="55" t="str">
        <f t="shared" si="23"/>
        <v/>
      </c>
      <c r="J36" s="55" t="str">
        <f t="shared" si="23"/>
        <v/>
      </c>
      <c r="K36" s="55" t="str">
        <f t="shared" si="23"/>
        <v/>
      </c>
      <c r="L36" s="55" t="str">
        <f t="shared" si="23"/>
        <v/>
      </c>
      <c r="M36" s="55" t="str">
        <f t="shared" si="23"/>
        <v/>
      </c>
      <c r="N36" s="55" t="str">
        <f t="shared" si="23"/>
        <v/>
      </c>
      <c r="O36" s="55" t="str">
        <f t="shared" si="24"/>
        <v/>
      </c>
      <c r="P36" s="55" t="str">
        <f t="shared" si="24"/>
        <v/>
      </c>
      <c r="Q36" s="55" t="str">
        <f t="shared" si="24"/>
        <v/>
      </c>
      <c r="R36" s="55" t="str">
        <f t="shared" si="24"/>
        <v/>
      </c>
      <c r="S36" s="55" t="str">
        <f t="shared" si="24"/>
        <v/>
      </c>
      <c r="T36" s="55" t="str">
        <f t="shared" si="24"/>
        <v/>
      </c>
      <c r="U36" s="55" t="str">
        <f t="shared" si="24"/>
        <v/>
      </c>
      <c r="V36" s="55" t="str">
        <f t="shared" si="24"/>
        <v/>
      </c>
      <c r="W36" s="55" t="str">
        <f t="shared" si="24"/>
        <v/>
      </c>
      <c r="X36" s="55" t="str">
        <f t="shared" si="24"/>
        <v/>
      </c>
      <c r="Y36" s="55" t="str">
        <f t="shared" si="25"/>
        <v/>
      </c>
      <c r="Z36" s="55" t="str">
        <f t="shared" si="25"/>
        <v/>
      </c>
      <c r="AA36" s="55" t="str">
        <f t="shared" si="25"/>
        <v/>
      </c>
      <c r="AB36" s="55" t="str">
        <f t="shared" si="25"/>
        <v/>
      </c>
      <c r="AC36" s="55" t="str">
        <f t="shared" si="25"/>
        <v/>
      </c>
      <c r="AD36" s="55" t="str">
        <f t="shared" si="25"/>
        <v/>
      </c>
      <c r="AE36" s="55" t="str">
        <f t="shared" si="25"/>
        <v/>
      </c>
      <c r="AF36" s="55" t="str">
        <f t="shared" si="25"/>
        <v/>
      </c>
      <c r="AG36" s="55" t="str">
        <f t="shared" si="25"/>
        <v/>
      </c>
      <c r="AH36" s="55" t="str">
        <f t="shared" si="25"/>
        <v/>
      </c>
      <c r="AI36" s="55" t="str">
        <f t="shared" si="26"/>
        <v/>
      </c>
      <c r="AJ36" s="55" t="str">
        <f t="shared" si="26"/>
        <v/>
      </c>
      <c r="AK36" s="55" t="str">
        <f t="shared" si="26"/>
        <v/>
      </c>
      <c r="AL36" s="55" t="str">
        <f t="shared" si="26"/>
        <v/>
      </c>
      <c r="AM36" s="55" t="str">
        <f t="shared" si="26"/>
        <v/>
      </c>
      <c r="AN36" s="55" t="str">
        <f t="shared" si="26"/>
        <v/>
      </c>
      <c r="AO36" s="55" t="str">
        <f t="shared" si="26"/>
        <v/>
      </c>
      <c r="AP36" s="55" t="str">
        <f t="shared" si="26"/>
        <v/>
      </c>
      <c r="AQ36" s="55" t="str">
        <f t="shared" si="26"/>
        <v/>
      </c>
      <c r="AR36" s="55" t="str">
        <f t="shared" si="26"/>
        <v/>
      </c>
      <c r="AS36" s="55" t="str">
        <f t="shared" si="27"/>
        <v/>
      </c>
      <c r="AT36" s="55" t="str">
        <f t="shared" si="27"/>
        <v/>
      </c>
      <c r="AU36" s="55" t="str">
        <f t="shared" si="27"/>
        <v/>
      </c>
      <c r="AV36" s="55" t="str">
        <f t="shared" si="27"/>
        <v/>
      </c>
      <c r="AW36" s="55" t="str">
        <f t="shared" si="27"/>
        <v/>
      </c>
      <c r="AX36" s="55" t="str">
        <f t="shared" si="27"/>
        <v/>
      </c>
      <c r="AY36" s="55" t="str">
        <f t="shared" si="27"/>
        <v/>
      </c>
      <c r="AZ36" s="55" t="str">
        <f t="shared" si="27"/>
        <v/>
      </c>
      <c r="BA36" s="55" t="str">
        <f t="shared" si="27"/>
        <v/>
      </c>
      <c r="BB36" s="55" t="str">
        <f t="shared" si="27"/>
        <v/>
      </c>
      <c r="BC36" s="55" t="str">
        <f t="shared" si="28"/>
        <v/>
      </c>
      <c r="BD36" s="55" t="str">
        <f t="shared" si="28"/>
        <v/>
      </c>
      <c r="BE36" s="55" t="str">
        <f t="shared" si="28"/>
        <v/>
      </c>
      <c r="BF36" s="55" t="str">
        <f t="shared" si="28"/>
        <v/>
      </c>
      <c r="BG36" s="55" t="str">
        <f t="shared" si="28"/>
        <v/>
      </c>
      <c r="BH36" s="55" t="str">
        <f t="shared" si="28"/>
        <v/>
      </c>
      <c r="BI36" s="55" t="str">
        <f t="shared" si="28"/>
        <v/>
      </c>
      <c r="BJ36" s="55" t="str">
        <f t="shared" si="28"/>
        <v/>
      </c>
      <c r="BK36" s="55" t="str">
        <f t="shared" si="28"/>
        <v/>
      </c>
      <c r="BL36" s="55" t="str">
        <f t="shared" si="28"/>
        <v/>
      </c>
      <c r="BM36" s="55" t="str">
        <f t="shared" si="29"/>
        <v/>
      </c>
      <c r="BN36" s="55" t="str">
        <f t="shared" si="29"/>
        <v/>
      </c>
      <c r="BO36" s="55" t="str">
        <f t="shared" si="29"/>
        <v/>
      </c>
      <c r="BP36" s="55" t="str">
        <f t="shared" si="29"/>
        <v/>
      </c>
      <c r="BQ36" s="55" t="str">
        <f t="shared" si="29"/>
        <v/>
      </c>
      <c r="BR36" s="55" t="str">
        <f t="shared" si="29"/>
        <v/>
      </c>
      <c r="BS36" s="55" t="str">
        <f t="shared" si="29"/>
        <v/>
      </c>
      <c r="BT36" s="55" t="str">
        <f t="shared" si="29"/>
        <v/>
      </c>
      <c r="BU36" s="55" t="str">
        <f t="shared" si="29"/>
        <v/>
      </c>
      <c r="BV36" s="55" t="str">
        <f t="shared" si="29"/>
        <v/>
      </c>
      <c r="BW36" s="55" t="str">
        <f t="shared" si="30"/>
        <v/>
      </c>
      <c r="BX36" s="55" t="str">
        <f t="shared" si="30"/>
        <v/>
      </c>
      <c r="BY36" s="55" t="str">
        <f t="shared" si="30"/>
        <v/>
      </c>
      <c r="BZ36" s="55" t="str">
        <f t="shared" si="30"/>
        <v/>
      </c>
      <c r="CA36" s="55" t="str">
        <f t="shared" si="30"/>
        <v/>
      </c>
      <c r="CB36" s="55" t="str">
        <f t="shared" si="30"/>
        <v/>
      </c>
      <c r="CC36" s="55" t="str">
        <f t="shared" si="30"/>
        <v/>
      </c>
      <c r="CD36" s="55" t="str">
        <f t="shared" si="30"/>
        <v/>
      </c>
      <c r="CE36" s="55" t="str">
        <f t="shared" si="30"/>
        <v/>
      </c>
      <c r="CF36" s="55" t="str">
        <f t="shared" si="30"/>
        <v/>
      </c>
      <c r="CG36" s="55" t="str">
        <f t="shared" si="31"/>
        <v/>
      </c>
      <c r="CH36" s="55" t="str">
        <f t="shared" si="31"/>
        <v/>
      </c>
      <c r="CI36" s="55" t="str">
        <f t="shared" si="31"/>
        <v/>
      </c>
      <c r="CJ36" s="55" t="str">
        <f t="shared" si="31"/>
        <v/>
      </c>
      <c r="CK36" s="55" t="str">
        <f t="shared" si="31"/>
        <v/>
      </c>
      <c r="CL36" s="55" t="str">
        <f t="shared" si="31"/>
        <v/>
      </c>
      <c r="CM36" s="55" t="str">
        <f t="shared" si="31"/>
        <v/>
      </c>
      <c r="CN36" s="55" t="str">
        <f t="shared" si="31"/>
        <v/>
      </c>
      <c r="CO36" s="55" t="str">
        <f t="shared" si="31"/>
        <v/>
      </c>
      <c r="CP36" s="55" t="str">
        <f t="shared" si="31"/>
        <v/>
      </c>
      <c r="CQ36" s="55" t="str">
        <f t="shared" si="32"/>
        <v/>
      </c>
      <c r="CR36" s="55" t="str">
        <f t="shared" si="32"/>
        <v/>
      </c>
      <c r="CS36" s="55" t="str">
        <f t="shared" si="32"/>
        <v/>
      </c>
      <c r="CT36" s="55" t="str">
        <f t="shared" si="32"/>
        <v/>
      </c>
      <c r="CU36" s="55" t="str">
        <f t="shared" si="32"/>
        <v/>
      </c>
      <c r="CV36" s="55" t="str">
        <f t="shared" si="32"/>
        <v/>
      </c>
      <c r="CW36" s="55" t="str">
        <f t="shared" si="32"/>
        <v/>
      </c>
      <c r="CX36" s="55" t="str">
        <f t="shared" si="32"/>
        <v/>
      </c>
      <c r="CY36" s="55" t="str">
        <f t="shared" si="32"/>
        <v/>
      </c>
      <c r="CZ36" s="55" t="str">
        <f t="shared" si="32"/>
        <v/>
      </c>
      <c r="DA36" s="55" t="str">
        <f t="shared" si="32"/>
        <v/>
      </c>
      <c r="DB36" s="55" t="str">
        <f t="shared" si="32"/>
        <v/>
      </c>
      <c r="DC36" s="55" t="str">
        <f t="shared" si="32"/>
        <v/>
      </c>
      <c r="DD36" s="55" t="str">
        <f t="shared" si="32"/>
        <v/>
      </c>
      <c r="DE36" s="58" t="str">
        <f t="shared" si="32"/>
        <v/>
      </c>
    </row>
    <row r="37" spans="2:109" x14ac:dyDescent="0.2">
      <c r="B37" s="84"/>
      <c r="C37" s="79"/>
      <c r="D37" s="106" t="str">
        <f>IF(SUM(E37:DE37)=0,"",SUM(E37:DE37))</f>
        <v/>
      </c>
      <c r="E37" s="57" t="str">
        <f t="shared" si="23"/>
        <v/>
      </c>
      <c r="F37" s="55" t="str">
        <f t="shared" si="23"/>
        <v/>
      </c>
      <c r="G37" s="55" t="str">
        <f t="shared" si="23"/>
        <v/>
      </c>
      <c r="H37" s="55" t="str">
        <f t="shared" si="23"/>
        <v/>
      </c>
      <c r="I37" s="55" t="str">
        <f t="shared" si="23"/>
        <v/>
      </c>
      <c r="J37" s="55" t="str">
        <f t="shared" si="23"/>
        <v/>
      </c>
      <c r="K37" s="55" t="str">
        <f t="shared" si="23"/>
        <v/>
      </c>
      <c r="L37" s="55" t="str">
        <f t="shared" si="23"/>
        <v/>
      </c>
      <c r="M37" s="55" t="str">
        <f t="shared" si="23"/>
        <v/>
      </c>
      <c r="N37" s="55" t="str">
        <f t="shared" si="23"/>
        <v/>
      </c>
      <c r="O37" s="55" t="str">
        <f t="shared" si="24"/>
        <v/>
      </c>
      <c r="P37" s="55" t="str">
        <f t="shared" si="24"/>
        <v/>
      </c>
      <c r="Q37" s="55" t="str">
        <f t="shared" si="24"/>
        <v/>
      </c>
      <c r="R37" s="55" t="str">
        <f t="shared" si="24"/>
        <v/>
      </c>
      <c r="S37" s="55" t="str">
        <f t="shared" si="24"/>
        <v/>
      </c>
      <c r="T37" s="55" t="str">
        <f t="shared" si="24"/>
        <v/>
      </c>
      <c r="U37" s="55" t="str">
        <f t="shared" si="24"/>
        <v/>
      </c>
      <c r="V37" s="55" t="str">
        <f t="shared" si="24"/>
        <v/>
      </c>
      <c r="W37" s="55" t="str">
        <f t="shared" si="24"/>
        <v/>
      </c>
      <c r="X37" s="55" t="str">
        <f t="shared" si="24"/>
        <v/>
      </c>
      <c r="Y37" s="55" t="str">
        <f t="shared" si="25"/>
        <v/>
      </c>
      <c r="Z37" s="55" t="str">
        <f t="shared" si="25"/>
        <v/>
      </c>
      <c r="AA37" s="55" t="str">
        <f t="shared" si="25"/>
        <v/>
      </c>
      <c r="AB37" s="55" t="str">
        <f t="shared" si="25"/>
        <v/>
      </c>
      <c r="AC37" s="55" t="str">
        <f t="shared" si="25"/>
        <v/>
      </c>
      <c r="AD37" s="55" t="str">
        <f t="shared" si="25"/>
        <v/>
      </c>
      <c r="AE37" s="55" t="str">
        <f t="shared" si="25"/>
        <v/>
      </c>
      <c r="AF37" s="55" t="str">
        <f t="shared" si="25"/>
        <v/>
      </c>
      <c r="AG37" s="55" t="str">
        <f t="shared" si="25"/>
        <v/>
      </c>
      <c r="AH37" s="55" t="str">
        <f t="shared" si="25"/>
        <v/>
      </c>
      <c r="AI37" s="55" t="str">
        <f t="shared" si="26"/>
        <v/>
      </c>
      <c r="AJ37" s="55" t="str">
        <f t="shared" si="26"/>
        <v/>
      </c>
      <c r="AK37" s="55" t="str">
        <f t="shared" si="26"/>
        <v/>
      </c>
      <c r="AL37" s="55" t="str">
        <f t="shared" si="26"/>
        <v/>
      </c>
      <c r="AM37" s="55" t="str">
        <f t="shared" si="26"/>
        <v/>
      </c>
      <c r="AN37" s="55" t="str">
        <f t="shared" si="26"/>
        <v/>
      </c>
      <c r="AO37" s="55" t="str">
        <f t="shared" si="26"/>
        <v/>
      </c>
      <c r="AP37" s="55" t="str">
        <f t="shared" si="26"/>
        <v/>
      </c>
      <c r="AQ37" s="55" t="str">
        <f t="shared" si="26"/>
        <v/>
      </c>
      <c r="AR37" s="55" t="str">
        <f t="shared" si="26"/>
        <v/>
      </c>
      <c r="AS37" s="55" t="str">
        <f t="shared" si="27"/>
        <v/>
      </c>
      <c r="AT37" s="55" t="str">
        <f t="shared" si="27"/>
        <v/>
      </c>
      <c r="AU37" s="55" t="str">
        <f t="shared" si="27"/>
        <v/>
      </c>
      <c r="AV37" s="55" t="str">
        <f t="shared" si="27"/>
        <v/>
      </c>
      <c r="AW37" s="55" t="str">
        <f t="shared" si="27"/>
        <v/>
      </c>
      <c r="AX37" s="55" t="str">
        <f t="shared" si="27"/>
        <v/>
      </c>
      <c r="AY37" s="55" t="str">
        <f t="shared" si="27"/>
        <v/>
      </c>
      <c r="AZ37" s="55" t="str">
        <f t="shared" si="27"/>
        <v/>
      </c>
      <c r="BA37" s="55" t="str">
        <f t="shared" si="27"/>
        <v/>
      </c>
      <c r="BB37" s="55" t="str">
        <f t="shared" si="27"/>
        <v/>
      </c>
      <c r="BC37" s="55" t="str">
        <f t="shared" si="28"/>
        <v/>
      </c>
      <c r="BD37" s="55" t="str">
        <f t="shared" si="28"/>
        <v/>
      </c>
      <c r="BE37" s="55" t="str">
        <f t="shared" si="28"/>
        <v/>
      </c>
      <c r="BF37" s="55" t="str">
        <f t="shared" si="28"/>
        <v/>
      </c>
      <c r="BG37" s="55" t="str">
        <f t="shared" si="28"/>
        <v/>
      </c>
      <c r="BH37" s="55" t="str">
        <f t="shared" si="28"/>
        <v/>
      </c>
      <c r="BI37" s="55" t="str">
        <f t="shared" si="28"/>
        <v/>
      </c>
      <c r="BJ37" s="55" t="str">
        <f t="shared" si="28"/>
        <v/>
      </c>
      <c r="BK37" s="55" t="str">
        <f t="shared" si="28"/>
        <v/>
      </c>
      <c r="BL37" s="55" t="str">
        <f t="shared" si="28"/>
        <v/>
      </c>
      <c r="BM37" s="55" t="str">
        <f t="shared" si="29"/>
        <v/>
      </c>
      <c r="BN37" s="55" t="str">
        <f t="shared" si="29"/>
        <v/>
      </c>
      <c r="BO37" s="55" t="str">
        <f t="shared" si="29"/>
        <v/>
      </c>
      <c r="BP37" s="55" t="str">
        <f t="shared" si="29"/>
        <v/>
      </c>
      <c r="BQ37" s="55" t="str">
        <f t="shared" si="29"/>
        <v/>
      </c>
      <c r="BR37" s="55" t="str">
        <f t="shared" si="29"/>
        <v/>
      </c>
      <c r="BS37" s="55" t="str">
        <f t="shared" si="29"/>
        <v/>
      </c>
      <c r="BT37" s="55" t="str">
        <f t="shared" si="29"/>
        <v/>
      </c>
      <c r="BU37" s="55" t="str">
        <f t="shared" si="29"/>
        <v/>
      </c>
      <c r="BV37" s="55" t="str">
        <f t="shared" si="29"/>
        <v/>
      </c>
      <c r="BW37" s="55" t="str">
        <f t="shared" si="30"/>
        <v/>
      </c>
      <c r="BX37" s="55" t="str">
        <f t="shared" si="30"/>
        <v/>
      </c>
      <c r="BY37" s="55" t="str">
        <f t="shared" si="30"/>
        <v/>
      </c>
      <c r="BZ37" s="55" t="str">
        <f t="shared" si="30"/>
        <v/>
      </c>
      <c r="CA37" s="55" t="str">
        <f t="shared" si="30"/>
        <v/>
      </c>
      <c r="CB37" s="55" t="str">
        <f t="shared" si="30"/>
        <v/>
      </c>
      <c r="CC37" s="55" t="str">
        <f t="shared" si="30"/>
        <v/>
      </c>
      <c r="CD37" s="55" t="str">
        <f t="shared" si="30"/>
        <v/>
      </c>
      <c r="CE37" s="55" t="str">
        <f t="shared" si="30"/>
        <v/>
      </c>
      <c r="CF37" s="55" t="str">
        <f t="shared" si="30"/>
        <v/>
      </c>
      <c r="CG37" s="55" t="str">
        <f t="shared" si="31"/>
        <v/>
      </c>
      <c r="CH37" s="55" t="str">
        <f t="shared" si="31"/>
        <v/>
      </c>
      <c r="CI37" s="55" t="str">
        <f t="shared" si="31"/>
        <v/>
      </c>
      <c r="CJ37" s="55" t="str">
        <f t="shared" si="31"/>
        <v/>
      </c>
      <c r="CK37" s="55" t="str">
        <f t="shared" si="31"/>
        <v/>
      </c>
      <c r="CL37" s="55" t="str">
        <f t="shared" si="31"/>
        <v/>
      </c>
      <c r="CM37" s="55" t="str">
        <f t="shared" si="31"/>
        <v/>
      </c>
      <c r="CN37" s="55" t="str">
        <f t="shared" si="31"/>
        <v/>
      </c>
      <c r="CO37" s="55" t="str">
        <f t="shared" si="31"/>
        <v/>
      </c>
      <c r="CP37" s="55" t="str">
        <f t="shared" si="31"/>
        <v/>
      </c>
      <c r="CQ37" s="55" t="str">
        <f t="shared" si="32"/>
        <v/>
      </c>
      <c r="CR37" s="55" t="str">
        <f t="shared" si="32"/>
        <v/>
      </c>
      <c r="CS37" s="55" t="str">
        <f t="shared" si="32"/>
        <v/>
      </c>
      <c r="CT37" s="55" t="str">
        <f t="shared" si="32"/>
        <v/>
      </c>
      <c r="CU37" s="55" t="str">
        <f t="shared" si="32"/>
        <v/>
      </c>
      <c r="CV37" s="55" t="str">
        <f t="shared" si="32"/>
        <v/>
      </c>
      <c r="CW37" s="55" t="str">
        <f t="shared" si="32"/>
        <v/>
      </c>
      <c r="CX37" s="55" t="str">
        <f t="shared" si="32"/>
        <v/>
      </c>
      <c r="CY37" s="55" t="str">
        <f t="shared" si="32"/>
        <v/>
      </c>
      <c r="CZ37" s="55" t="str">
        <f t="shared" si="32"/>
        <v/>
      </c>
      <c r="DA37" s="55" t="str">
        <f t="shared" si="32"/>
        <v/>
      </c>
      <c r="DB37" s="55" t="str">
        <f t="shared" si="32"/>
        <v/>
      </c>
      <c r="DC37" s="55" t="str">
        <f t="shared" si="32"/>
        <v/>
      </c>
      <c r="DD37" s="55" t="str">
        <f t="shared" si="32"/>
        <v/>
      </c>
      <c r="DE37" s="58" t="str">
        <f t="shared" si="32"/>
        <v/>
      </c>
    </row>
    <row r="38" spans="2:109" ht="17" thickBot="1" x14ac:dyDescent="0.25">
      <c r="B38" s="85"/>
      <c r="C38" s="86"/>
      <c r="D38" s="106" t="str">
        <f>IF(SUM(E38:DE38)=0,"",SUM(E38:DE38))</f>
        <v/>
      </c>
      <c r="E38" s="59" t="str">
        <f t="shared" si="23"/>
        <v/>
      </c>
      <c r="F38" s="60" t="str">
        <f t="shared" si="23"/>
        <v/>
      </c>
      <c r="G38" s="60" t="str">
        <f t="shared" si="23"/>
        <v/>
      </c>
      <c r="H38" s="60" t="str">
        <f t="shared" si="23"/>
        <v/>
      </c>
      <c r="I38" s="60" t="str">
        <f t="shared" si="23"/>
        <v/>
      </c>
      <c r="J38" s="60" t="str">
        <f t="shared" si="23"/>
        <v/>
      </c>
      <c r="K38" s="60" t="str">
        <f t="shared" si="23"/>
        <v/>
      </c>
      <c r="L38" s="60" t="str">
        <f t="shared" si="23"/>
        <v/>
      </c>
      <c r="M38" s="60" t="str">
        <f t="shared" si="23"/>
        <v/>
      </c>
      <c r="N38" s="60" t="str">
        <f t="shared" si="23"/>
        <v/>
      </c>
      <c r="O38" s="60" t="str">
        <f t="shared" si="24"/>
        <v/>
      </c>
      <c r="P38" s="60" t="str">
        <f t="shared" si="24"/>
        <v/>
      </c>
      <c r="Q38" s="60" t="str">
        <f t="shared" si="24"/>
        <v/>
      </c>
      <c r="R38" s="60" t="str">
        <f t="shared" si="24"/>
        <v/>
      </c>
      <c r="S38" s="60" t="str">
        <f t="shared" si="24"/>
        <v/>
      </c>
      <c r="T38" s="60" t="str">
        <f t="shared" si="24"/>
        <v/>
      </c>
      <c r="U38" s="60" t="str">
        <f t="shared" si="24"/>
        <v/>
      </c>
      <c r="V38" s="60" t="str">
        <f t="shared" si="24"/>
        <v/>
      </c>
      <c r="W38" s="60" t="str">
        <f t="shared" si="24"/>
        <v/>
      </c>
      <c r="X38" s="60" t="str">
        <f t="shared" si="24"/>
        <v/>
      </c>
      <c r="Y38" s="60" t="str">
        <f t="shared" si="25"/>
        <v/>
      </c>
      <c r="Z38" s="60" t="str">
        <f t="shared" si="25"/>
        <v/>
      </c>
      <c r="AA38" s="60" t="str">
        <f t="shared" si="25"/>
        <v/>
      </c>
      <c r="AB38" s="60" t="str">
        <f t="shared" si="25"/>
        <v/>
      </c>
      <c r="AC38" s="60" t="str">
        <f t="shared" si="25"/>
        <v/>
      </c>
      <c r="AD38" s="60" t="str">
        <f t="shared" si="25"/>
        <v/>
      </c>
      <c r="AE38" s="60" t="str">
        <f t="shared" si="25"/>
        <v/>
      </c>
      <c r="AF38" s="60" t="str">
        <f t="shared" si="25"/>
        <v/>
      </c>
      <c r="AG38" s="60" t="str">
        <f t="shared" si="25"/>
        <v/>
      </c>
      <c r="AH38" s="60" t="str">
        <f t="shared" si="25"/>
        <v/>
      </c>
      <c r="AI38" s="60" t="str">
        <f t="shared" si="26"/>
        <v/>
      </c>
      <c r="AJ38" s="60" t="str">
        <f t="shared" si="26"/>
        <v/>
      </c>
      <c r="AK38" s="60" t="str">
        <f t="shared" si="26"/>
        <v/>
      </c>
      <c r="AL38" s="60" t="str">
        <f t="shared" si="26"/>
        <v/>
      </c>
      <c r="AM38" s="60" t="str">
        <f t="shared" si="26"/>
        <v/>
      </c>
      <c r="AN38" s="60" t="str">
        <f t="shared" si="26"/>
        <v/>
      </c>
      <c r="AO38" s="60" t="str">
        <f t="shared" si="26"/>
        <v/>
      </c>
      <c r="AP38" s="60" t="str">
        <f t="shared" si="26"/>
        <v/>
      </c>
      <c r="AQ38" s="60" t="str">
        <f t="shared" si="26"/>
        <v/>
      </c>
      <c r="AR38" s="60" t="str">
        <f t="shared" si="26"/>
        <v/>
      </c>
      <c r="AS38" s="60" t="str">
        <f t="shared" si="27"/>
        <v/>
      </c>
      <c r="AT38" s="60" t="str">
        <f t="shared" si="27"/>
        <v/>
      </c>
      <c r="AU38" s="60" t="str">
        <f t="shared" si="27"/>
        <v/>
      </c>
      <c r="AV38" s="60" t="str">
        <f t="shared" si="27"/>
        <v/>
      </c>
      <c r="AW38" s="60" t="str">
        <f t="shared" si="27"/>
        <v/>
      </c>
      <c r="AX38" s="60" t="str">
        <f t="shared" si="27"/>
        <v/>
      </c>
      <c r="AY38" s="60" t="str">
        <f t="shared" si="27"/>
        <v/>
      </c>
      <c r="AZ38" s="60" t="str">
        <f t="shared" si="27"/>
        <v/>
      </c>
      <c r="BA38" s="60" t="str">
        <f t="shared" si="27"/>
        <v/>
      </c>
      <c r="BB38" s="60" t="str">
        <f t="shared" si="27"/>
        <v/>
      </c>
      <c r="BC38" s="60" t="str">
        <f t="shared" si="28"/>
        <v/>
      </c>
      <c r="BD38" s="60" t="str">
        <f t="shared" si="28"/>
        <v/>
      </c>
      <c r="BE38" s="60" t="str">
        <f t="shared" si="28"/>
        <v/>
      </c>
      <c r="BF38" s="60" t="str">
        <f t="shared" si="28"/>
        <v/>
      </c>
      <c r="BG38" s="60" t="str">
        <f t="shared" si="28"/>
        <v/>
      </c>
      <c r="BH38" s="60" t="str">
        <f t="shared" si="28"/>
        <v/>
      </c>
      <c r="BI38" s="60" t="str">
        <f t="shared" si="28"/>
        <v/>
      </c>
      <c r="BJ38" s="60" t="str">
        <f t="shared" si="28"/>
        <v/>
      </c>
      <c r="BK38" s="60" t="str">
        <f t="shared" si="28"/>
        <v/>
      </c>
      <c r="BL38" s="60" t="str">
        <f t="shared" si="28"/>
        <v/>
      </c>
      <c r="BM38" s="60" t="str">
        <f t="shared" si="29"/>
        <v/>
      </c>
      <c r="BN38" s="60" t="str">
        <f t="shared" si="29"/>
        <v/>
      </c>
      <c r="BO38" s="60" t="str">
        <f t="shared" si="29"/>
        <v/>
      </c>
      <c r="BP38" s="60" t="str">
        <f t="shared" si="29"/>
        <v/>
      </c>
      <c r="BQ38" s="60" t="str">
        <f t="shared" si="29"/>
        <v/>
      </c>
      <c r="BR38" s="60" t="str">
        <f t="shared" si="29"/>
        <v/>
      </c>
      <c r="BS38" s="60" t="str">
        <f t="shared" si="29"/>
        <v/>
      </c>
      <c r="BT38" s="60" t="str">
        <f t="shared" si="29"/>
        <v/>
      </c>
      <c r="BU38" s="60" t="str">
        <f t="shared" si="29"/>
        <v/>
      </c>
      <c r="BV38" s="60" t="str">
        <f t="shared" si="29"/>
        <v/>
      </c>
      <c r="BW38" s="60" t="str">
        <f t="shared" si="30"/>
        <v/>
      </c>
      <c r="BX38" s="60" t="str">
        <f t="shared" si="30"/>
        <v/>
      </c>
      <c r="BY38" s="60" t="str">
        <f t="shared" si="30"/>
        <v/>
      </c>
      <c r="BZ38" s="60" t="str">
        <f t="shared" si="30"/>
        <v/>
      </c>
      <c r="CA38" s="60" t="str">
        <f t="shared" si="30"/>
        <v/>
      </c>
      <c r="CB38" s="60" t="str">
        <f t="shared" si="30"/>
        <v/>
      </c>
      <c r="CC38" s="60" t="str">
        <f t="shared" si="30"/>
        <v/>
      </c>
      <c r="CD38" s="60" t="str">
        <f t="shared" si="30"/>
        <v/>
      </c>
      <c r="CE38" s="60" t="str">
        <f t="shared" si="30"/>
        <v/>
      </c>
      <c r="CF38" s="60" t="str">
        <f t="shared" si="30"/>
        <v/>
      </c>
      <c r="CG38" s="60" t="str">
        <f t="shared" si="31"/>
        <v/>
      </c>
      <c r="CH38" s="60" t="str">
        <f t="shared" si="31"/>
        <v/>
      </c>
      <c r="CI38" s="60" t="str">
        <f t="shared" si="31"/>
        <v/>
      </c>
      <c r="CJ38" s="60" t="str">
        <f t="shared" si="31"/>
        <v/>
      </c>
      <c r="CK38" s="60" t="str">
        <f t="shared" si="31"/>
        <v/>
      </c>
      <c r="CL38" s="60" t="str">
        <f t="shared" si="31"/>
        <v/>
      </c>
      <c r="CM38" s="60" t="str">
        <f t="shared" si="31"/>
        <v/>
      </c>
      <c r="CN38" s="60" t="str">
        <f t="shared" si="31"/>
        <v/>
      </c>
      <c r="CO38" s="60" t="str">
        <f t="shared" si="31"/>
        <v/>
      </c>
      <c r="CP38" s="60" t="str">
        <f t="shared" si="31"/>
        <v/>
      </c>
      <c r="CQ38" s="60" t="str">
        <f t="shared" si="32"/>
        <v/>
      </c>
      <c r="CR38" s="60" t="str">
        <f t="shared" si="32"/>
        <v/>
      </c>
      <c r="CS38" s="60" t="str">
        <f t="shared" si="32"/>
        <v/>
      </c>
      <c r="CT38" s="60" t="str">
        <f t="shared" si="32"/>
        <v/>
      </c>
      <c r="CU38" s="60" t="str">
        <f t="shared" si="32"/>
        <v/>
      </c>
      <c r="CV38" s="60" t="str">
        <f t="shared" si="32"/>
        <v/>
      </c>
      <c r="CW38" s="60" t="str">
        <f t="shared" si="32"/>
        <v/>
      </c>
      <c r="CX38" s="60" t="str">
        <f t="shared" si="32"/>
        <v/>
      </c>
      <c r="CY38" s="60" t="str">
        <f t="shared" si="32"/>
        <v/>
      </c>
      <c r="CZ38" s="60" t="str">
        <f t="shared" si="32"/>
        <v/>
      </c>
      <c r="DA38" s="60" t="str">
        <f t="shared" si="32"/>
        <v/>
      </c>
      <c r="DB38" s="60" t="str">
        <f t="shared" si="32"/>
        <v/>
      </c>
      <c r="DC38" s="60" t="str">
        <f t="shared" si="32"/>
        <v/>
      </c>
      <c r="DD38" s="60" t="str">
        <f t="shared" si="32"/>
        <v/>
      </c>
      <c r="DE38" s="61" t="str">
        <f t="shared" si="32"/>
        <v/>
      </c>
    </row>
    <row r="39" spans="2:109" ht="17" thickBot="1" x14ac:dyDescent="0.25">
      <c r="C39" s="87">
        <f>SUM(C24:C38)</f>
        <v>0</v>
      </c>
      <c r="D39" s="88">
        <f>SUM(D24:D38)</f>
        <v>0</v>
      </c>
      <c r="E39" s="139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</row>
    <row r="40" spans="2:109" x14ac:dyDescent="0.2">
      <c r="E40" s="139"/>
      <c r="F40" s="140"/>
      <c r="G40" s="141"/>
      <c r="H40" s="142"/>
      <c r="I40" s="142"/>
      <c r="J40" s="142"/>
      <c r="K40" s="142"/>
      <c r="L40" s="142"/>
      <c r="M40" s="142"/>
      <c r="N40" s="142"/>
      <c r="O40" s="142"/>
      <c r="P40" s="140"/>
    </row>
  </sheetData>
  <mergeCells count="57">
    <mergeCell ref="DA2:DE2"/>
    <mergeCell ref="CB2:CF2"/>
    <mergeCell ref="CG2:CK2"/>
    <mergeCell ref="CL2:CP2"/>
    <mergeCell ref="CQ2:CU2"/>
    <mergeCell ref="CV2:CZ2"/>
    <mergeCell ref="BC2:BG2"/>
    <mergeCell ref="BH2:BL2"/>
    <mergeCell ref="BM2:BQ2"/>
    <mergeCell ref="BR2:BV2"/>
    <mergeCell ref="BW2:CA2"/>
    <mergeCell ref="AD2:AH2"/>
    <mergeCell ref="AI2:AM2"/>
    <mergeCell ref="AN2:AR2"/>
    <mergeCell ref="AS2:AW2"/>
    <mergeCell ref="AX2:BB2"/>
    <mergeCell ref="E2:I2"/>
    <mergeCell ref="J2:N2"/>
    <mergeCell ref="O2:S2"/>
    <mergeCell ref="T2:X2"/>
    <mergeCell ref="Y2:AC2"/>
    <mergeCell ref="B10:D10"/>
    <mergeCell ref="B2:D2"/>
    <mergeCell ref="B3:D5"/>
    <mergeCell ref="B6:D6"/>
    <mergeCell ref="B7:D7"/>
    <mergeCell ref="B9:D9"/>
    <mergeCell ref="B19:D19"/>
    <mergeCell ref="B20:D20"/>
    <mergeCell ref="B21:D21"/>
    <mergeCell ref="B13:D13"/>
    <mergeCell ref="B14:D14"/>
    <mergeCell ref="B15:D15"/>
    <mergeCell ref="B16:D16"/>
    <mergeCell ref="B17:D17"/>
    <mergeCell ref="B18:D18"/>
    <mergeCell ref="BH3:BL3"/>
    <mergeCell ref="E3:I3"/>
    <mergeCell ref="J3:N3"/>
    <mergeCell ref="O3:S3"/>
    <mergeCell ref="T3:X3"/>
    <mergeCell ref="Y3:AC3"/>
    <mergeCell ref="AD3:AH3"/>
    <mergeCell ref="AI3:AM3"/>
    <mergeCell ref="AN3:AR3"/>
    <mergeCell ref="AS3:AW3"/>
    <mergeCell ref="AX3:BB3"/>
    <mergeCell ref="BC3:BG3"/>
    <mergeCell ref="CQ3:CU3"/>
    <mergeCell ref="CV3:CZ3"/>
    <mergeCell ref="DA3:DE3"/>
    <mergeCell ref="BM3:BQ3"/>
    <mergeCell ref="BR3:BV3"/>
    <mergeCell ref="BW3:CA3"/>
    <mergeCell ref="CB3:CF3"/>
    <mergeCell ref="CG3:CK3"/>
    <mergeCell ref="CL3:CP3"/>
  </mergeCells>
  <conditionalFormatting sqref="E6:BV6">
    <cfRule type="containsText" dxfId="888" priority="115" operator="containsText" text="BLOCKED">
      <formula>NOT(ISERROR(SEARCH("BLOCKED",E6)))</formula>
    </cfRule>
  </conditionalFormatting>
  <conditionalFormatting sqref="BX6:CO6 CQ6:DE6">
    <cfRule type="containsText" dxfId="887" priority="116" operator="containsText" text="BLOCKED">
      <formula>NOT(ISERROR(SEARCH("BLOCKED",BX6)))</formula>
    </cfRule>
  </conditionalFormatting>
  <conditionalFormatting sqref="F11:AJ11 AL11:BD11 BF11:BJ11 BM11:DE11">
    <cfRule type="containsText" dxfId="886" priority="46" operator="containsText" text="BLOCKED">
      <formula>NOT(ISERROR(SEARCH("BLOCKED",F11)))</formula>
    </cfRule>
  </conditionalFormatting>
  <conditionalFormatting sqref="F11:AJ11 AL11:BD11 BF11:BJ11 BM11:DE11">
    <cfRule type="containsText" dxfId="885" priority="47" operator="containsText" text="Eksamen">
      <formula>NOT(ISERROR(SEARCH("Eksamen",F11)))</formula>
    </cfRule>
    <cfRule type="containsText" dxfId="884" priority="48" operator="containsText" text="Øvelser">
      <formula>NOT(ISERROR(SEARCH("Øvelser",F11)))</formula>
    </cfRule>
    <cfRule type="containsText" dxfId="883" priority="49" operator="containsText" text="FORET_ARK">
      <formula>NOT(ISERROR(SEARCH("FORET_ARK",F11)))</formula>
    </cfRule>
    <cfRule type="containsText" dxfId="882" priority="50" operator="containsText" text="DATA_ARK">
      <formula>NOT(ISERROR(SEARCH("DATA_ARK",F11)))</formula>
    </cfRule>
    <cfRule type="containsText" dxfId="881" priority="51" operator="containsText" text="DRIFT ANALYSE">
      <formula>NOT(ISERROR(SEARCH("DRIFT ANALYSE",F11)))</formula>
    </cfRule>
    <cfRule type="containsText" dxfId="880" priority="52" operator="containsText" text="PROJ_STYR">
      <formula>NOT(ISERROR(SEARCH("PROJ_STYR",F11)))</formula>
    </cfRule>
    <cfRule type="containsText" dxfId="879" priority="53" operator="containsText" text="Coaching">
      <formula>NOT(ISERROR(SEARCH("Coaching",F11)))</formula>
    </cfRule>
    <cfRule type="containsText" dxfId="878" priority="54" operator="containsText" text="CasePræs">
      <formula>NOT(ISERROR(SEARCH("CasePræs",F11)))</formula>
    </cfRule>
    <cfRule type="containsText" dxfId="877" priority="55" operator="containsText" text="Feedback">
      <formula>NOT(ISERROR(SEARCH("Feedback",F11)))</formula>
    </cfRule>
  </conditionalFormatting>
  <conditionalFormatting sqref="F11:AJ11 AL11:BD11 BF11:BJ11 BM11:DE11">
    <cfRule type="expression" dxfId="876" priority="45">
      <formula>INDIRECT("R5C" &amp; COLUMN(),FALSE)="BLOCKED"</formula>
    </cfRule>
  </conditionalFormatting>
  <conditionalFormatting sqref="E11">
    <cfRule type="containsText" dxfId="875" priority="35" operator="containsText" text="BLOCKED">
      <formula>NOT(ISERROR(SEARCH("BLOCKED",E11)))</formula>
    </cfRule>
  </conditionalFormatting>
  <conditionalFormatting sqref="E11">
    <cfRule type="containsText" dxfId="874" priority="36" operator="containsText" text="Eksamen">
      <formula>NOT(ISERROR(SEARCH("Eksamen",E11)))</formula>
    </cfRule>
    <cfRule type="containsText" dxfId="873" priority="37" operator="containsText" text="Øvelser">
      <formula>NOT(ISERROR(SEARCH("Øvelser",E11)))</formula>
    </cfRule>
    <cfRule type="containsText" dxfId="872" priority="38" operator="containsText" text="FORET_ARK">
      <formula>NOT(ISERROR(SEARCH("FORET_ARK",E11)))</formula>
    </cfRule>
    <cfRule type="containsText" dxfId="871" priority="39" operator="containsText" text="DATA_ARK">
      <formula>NOT(ISERROR(SEARCH("DATA_ARK",E11)))</formula>
    </cfRule>
    <cfRule type="containsText" dxfId="870" priority="40" operator="containsText" text="DRIFT ANALYSE">
      <formula>NOT(ISERROR(SEARCH("DRIFT ANALYSE",E11)))</formula>
    </cfRule>
    <cfRule type="containsText" dxfId="869" priority="41" operator="containsText" text="PROJ_STYR">
      <formula>NOT(ISERROR(SEARCH("PROJ_STYR",E11)))</formula>
    </cfRule>
    <cfRule type="containsText" dxfId="868" priority="42" operator="containsText" text="Coaching">
      <formula>NOT(ISERROR(SEARCH("Coaching",E11)))</formula>
    </cfRule>
    <cfRule type="containsText" dxfId="867" priority="43" operator="containsText" text="CasePræs">
      <formula>NOT(ISERROR(SEARCH("CasePræs",E11)))</formula>
    </cfRule>
    <cfRule type="containsText" dxfId="866" priority="44" operator="containsText" text="Feedback">
      <formula>NOT(ISERROR(SEARCH("Feedback",E11)))</formula>
    </cfRule>
  </conditionalFormatting>
  <conditionalFormatting sqref="E11">
    <cfRule type="expression" dxfId="865" priority="34">
      <formula>INDIRECT("R5C" &amp; COLUMN(),FALSE)="BLOCKED"</formula>
    </cfRule>
  </conditionalFormatting>
  <conditionalFormatting sqref="AK11">
    <cfRule type="containsText" dxfId="864" priority="24" operator="containsText" text="BLOCKED">
      <formula>NOT(ISERROR(SEARCH("BLOCKED",AK11)))</formula>
    </cfRule>
  </conditionalFormatting>
  <conditionalFormatting sqref="AK11">
    <cfRule type="containsText" dxfId="863" priority="25" operator="containsText" text="Eksamen">
      <formula>NOT(ISERROR(SEARCH("Eksamen",AK11)))</formula>
    </cfRule>
    <cfRule type="containsText" dxfId="862" priority="26" operator="containsText" text="Øvelser">
      <formula>NOT(ISERROR(SEARCH("Øvelser",AK11)))</formula>
    </cfRule>
    <cfRule type="containsText" dxfId="861" priority="27" operator="containsText" text="FORET_ARK">
      <formula>NOT(ISERROR(SEARCH("FORET_ARK",AK11)))</formula>
    </cfRule>
    <cfRule type="containsText" dxfId="860" priority="28" operator="containsText" text="DATA_ARK">
      <formula>NOT(ISERROR(SEARCH("DATA_ARK",AK11)))</formula>
    </cfRule>
    <cfRule type="containsText" dxfId="859" priority="29" operator="containsText" text="DRIFT ANALYSE">
      <formula>NOT(ISERROR(SEARCH("DRIFT ANALYSE",AK11)))</formula>
    </cfRule>
    <cfRule type="containsText" dxfId="858" priority="30" operator="containsText" text="PROJ_STYR">
      <formula>NOT(ISERROR(SEARCH("PROJ_STYR",AK11)))</formula>
    </cfRule>
    <cfRule type="containsText" dxfId="857" priority="31" operator="containsText" text="Coaching">
      <formula>NOT(ISERROR(SEARCH("Coaching",AK11)))</formula>
    </cfRule>
    <cfRule type="containsText" dxfId="856" priority="32" operator="containsText" text="CasePræs">
      <formula>NOT(ISERROR(SEARCH("CasePræs",AK11)))</formula>
    </cfRule>
    <cfRule type="containsText" dxfId="855" priority="33" operator="containsText" text="Feedback">
      <formula>NOT(ISERROR(SEARCH("Feedback",AK11)))</formula>
    </cfRule>
  </conditionalFormatting>
  <conditionalFormatting sqref="AK11">
    <cfRule type="expression" dxfId="854" priority="23">
      <formula>INDIRECT("R5C" &amp; COLUMN(),FALSE)="BLOCKED"</formula>
    </cfRule>
  </conditionalFormatting>
  <conditionalFormatting sqref="BE11">
    <cfRule type="containsText" dxfId="853" priority="13" operator="containsText" text="BLOCKED">
      <formula>NOT(ISERROR(SEARCH("BLOCKED",BE11)))</formula>
    </cfRule>
  </conditionalFormatting>
  <conditionalFormatting sqref="BE11">
    <cfRule type="containsText" dxfId="852" priority="14" operator="containsText" text="Eksamen">
      <formula>NOT(ISERROR(SEARCH("Eksamen",BE11)))</formula>
    </cfRule>
    <cfRule type="containsText" dxfId="851" priority="15" operator="containsText" text="Øvelser">
      <formula>NOT(ISERROR(SEARCH("Øvelser",BE11)))</formula>
    </cfRule>
    <cfRule type="containsText" dxfId="850" priority="16" operator="containsText" text="FORET_ARK">
      <formula>NOT(ISERROR(SEARCH("FORET_ARK",BE11)))</formula>
    </cfRule>
    <cfRule type="containsText" dxfId="849" priority="17" operator="containsText" text="DATA_ARK">
      <formula>NOT(ISERROR(SEARCH("DATA_ARK",BE11)))</formula>
    </cfRule>
    <cfRule type="containsText" dxfId="848" priority="18" operator="containsText" text="DRIFT ANALYSE">
      <formula>NOT(ISERROR(SEARCH("DRIFT ANALYSE",BE11)))</formula>
    </cfRule>
    <cfRule type="containsText" dxfId="847" priority="19" operator="containsText" text="PROJ_STYR">
      <formula>NOT(ISERROR(SEARCH("PROJ_STYR",BE11)))</formula>
    </cfRule>
    <cfRule type="containsText" dxfId="846" priority="20" operator="containsText" text="Coaching">
      <formula>NOT(ISERROR(SEARCH("Coaching",BE11)))</formula>
    </cfRule>
    <cfRule type="containsText" dxfId="845" priority="21" operator="containsText" text="CasePræs">
      <formula>NOT(ISERROR(SEARCH("CasePræs",BE11)))</formula>
    </cfRule>
    <cfRule type="containsText" dxfId="844" priority="22" operator="containsText" text="Feedback">
      <formula>NOT(ISERROR(SEARCH("Feedback",BE11)))</formula>
    </cfRule>
  </conditionalFormatting>
  <conditionalFormatting sqref="BE11">
    <cfRule type="expression" dxfId="843" priority="12">
      <formula>INDIRECT("R5C" &amp; COLUMN(),FALSE)="BLOCKED"</formula>
    </cfRule>
  </conditionalFormatting>
  <conditionalFormatting sqref="BK11:BL11">
    <cfRule type="containsText" dxfId="842" priority="2" operator="containsText" text="BLOCKED">
      <formula>NOT(ISERROR(SEARCH("BLOCKED",BK11)))</formula>
    </cfRule>
  </conditionalFormatting>
  <conditionalFormatting sqref="BK11:BL11">
    <cfRule type="containsText" dxfId="841" priority="3" operator="containsText" text="Eksamen">
      <formula>NOT(ISERROR(SEARCH("Eksamen",BK11)))</formula>
    </cfRule>
    <cfRule type="containsText" dxfId="840" priority="4" operator="containsText" text="Øvelser">
      <formula>NOT(ISERROR(SEARCH("Øvelser",BK11)))</formula>
    </cfRule>
    <cfRule type="containsText" dxfId="839" priority="5" operator="containsText" text="FORET_ARK">
      <formula>NOT(ISERROR(SEARCH("FORET_ARK",BK11)))</formula>
    </cfRule>
    <cfRule type="containsText" dxfId="838" priority="6" operator="containsText" text="DATA_ARK">
      <formula>NOT(ISERROR(SEARCH("DATA_ARK",BK11)))</formula>
    </cfRule>
    <cfRule type="containsText" dxfId="837" priority="7" operator="containsText" text="DRIFT ANALYSE">
      <formula>NOT(ISERROR(SEARCH("DRIFT ANALYSE",BK11)))</formula>
    </cfRule>
    <cfRule type="containsText" dxfId="836" priority="8" operator="containsText" text="PROJ_STYR">
      <formula>NOT(ISERROR(SEARCH("PROJ_STYR",BK11)))</formula>
    </cfRule>
    <cfRule type="containsText" dxfId="835" priority="9" operator="containsText" text="Coaching">
      <formula>NOT(ISERROR(SEARCH("Coaching",BK11)))</formula>
    </cfRule>
    <cfRule type="containsText" dxfId="834" priority="10" operator="containsText" text="CasePræs">
      <formula>NOT(ISERROR(SEARCH("CasePræs",BK11)))</formula>
    </cfRule>
    <cfRule type="containsText" dxfId="833" priority="11" operator="containsText" text="Feedback">
      <formula>NOT(ISERROR(SEARCH("Feedback",BK11)))</formula>
    </cfRule>
  </conditionalFormatting>
  <conditionalFormatting sqref="BK11:BL11">
    <cfRule type="expression" dxfId="832" priority="1">
      <formula>INDIRECT("R5C" &amp; COLUMN(),FALSE)="BLOCKED"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D5144-60A5-4A4C-AF94-CB944E350D49}">
  <sheetPr codeName="Sheet10"/>
  <dimension ref="A2:M107"/>
  <sheetViews>
    <sheetView topLeftCell="A5" workbookViewId="0">
      <selection activeCell="H14" sqref="H14"/>
    </sheetView>
  </sheetViews>
  <sheetFormatPr baseColWidth="10" defaultColWidth="11.5" defaultRowHeight="15" x14ac:dyDescent="0.2"/>
  <cols>
    <col min="1" max="1" width="27.33203125" customWidth="1"/>
    <col min="2" max="2" width="9.33203125" bestFit="1" customWidth="1"/>
    <col min="3" max="3" width="10.1640625" bestFit="1" customWidth="1"/>
    <col min="4" max="4" width="8.1640625" bestFit="1" customWidth="1"/>
    <col min="5" max="5" width="10.1640625" bestFit="1" customWidth="1"/>
    <col min="6" max="6" width="7.1640625" bestFit="1" customWidth="1"/>
    <col min="7" max="7" width="25.83203125" bestFit="1" customWidth="1"/>
    <col min="8" max="8" width="30" bestFit="1" customWidth="1"/>
    <col min="9" max="9" width="28.1640625" bestFit="1" customWidth="1"/>
    <col min="10" max="10" width="13.5" bestFit="1" customWidth="1"/>
    <col min="11" max="11" width="9.1640625" bestFit="1" customWidth="1"/>
    <col min="12" max="12" width="4.6640625" bestFit="1" customWidth="1"/>
    <col min="13" max="14" width="17.6640625" customWidth="1"/>
  </cols>
  <sheetData>
    <row r="2" spans="1:13" ht="16" x14ac:dyDescent="0.2">
      <c r="A2" s="99" t="s">
        <v>214</v>
      </c>
    </row>
    <row r="3" spans="1:13" x14ac:dyDescent="0.2">
      <c r="A3" t="s">
        <v>215</v>
      </c>
    </row>
    <row r="4" spans="1:13" x14ac:dyDescent="0.2">
      <c r="A4" t="s">
        <v>216</v>
      </c>
    </row>
    <row r="5" spans="1:13" x14ac:dyDescent="0.2">
      <c r="A5" t="s">
        <v>217</v>
      </c>
    </row>
    <row r="6" spans="1:13" ht="16" x14ac:dyDescent="0.2">
      <c r="A6" s="99" t="s">
        <v>1</v>
      </c>
      <c r="B6" s="99" t="s">
        <v>218</v>
      </c>
      <c r="C6" s="99" t="s">
        <v>219</v>
      </c>
      <c r="D6" s="99" t="s">
        <v>220</v>
      </c>
      <c r="E6" s="99" t="s">
        <v>221</v>
      </c>
      <c r="F6" s="99" t="s">
        <v>222</v>
      </c>
      <c r="G6" s="99" t="s">
        <v>87</v>
      </c>
      <c r="H6" s="99" t="s">
        <v>121</v>
      </c>
      <c r="I6" s="99" t="s">
        <v>223</v>
      </c>
      <c r="J6" s="99" t="s">
        <v>224</v>
      </c>
      <c r="K6" s="99" t="s">
        <v>225</v>
      </c>
      <c r="L6" s="99" t="s">
        <v>226</v>
      </c>
      <c r="M6" s="99" t="s">
        <v>227</v>
      </c>
    </row>
    <row r="7" spans="1:13" x14ac:dyDescent="0.2">
      <c r="A7" t="s">
        <v>228</v>
      </c>
      <c r="B7" t="s">
        <v>229</v>
      </c>
      <c r="C7" t="s">
        <v>230</v>
      </c>
      <c r="D7" t="s">
        <v>231</v>
      </c>
      <c r="E7" t="s">
        <v>230</v>
      </c>
      <c r="F7" t="s">
        <v>232</v>
      </c>
      <c r="G7" t="s">
        <v>216</v>
      </c>
      <c r="H7" t="s">
        <v>233</v>
      </c>
      <c r="I7" t="s">
        <v>234</v>
      </c>
      <c r="J7" t="s">
        <v>235</v>
      </c>
      <c r="K7" t="s">
        <v>236</v>
      </c>
      <c r="L7" t="s">
        <v>236</v>
      </c>
      <c r="M7">
        <v>90</v>
      </c>
    </row>
    <row r="8" spans="1:13" x14ac:dyDescent="0.2">
      <c r="A8" t="s">
        <v>228</v>
      </c>
      <c r="B8" t="s">
        <v>229</v>
      </c>
      <c r="C8" t="s">
        <v>230</v>
      </c>
      <c r="D8" t="s">
        <v>237</v>
      </c>
      <c r="E8" t="s">
        <v>230</v>
      </c>
      <c r="F8" t="s">
        <v>238</v>
      </c>
      <c r="G8" t="s">
        <v>216</v>
      </c>
      <c r="H8" t="s">
        <v>233</v>
      </c>
      <c r="I8" t="s">
        <v>234</v>
      </c>
      <c r="J8" t="s">
        <v>235</v>
      </c>
      <c r="K8" t="s">
        <v>236</v>
      </c>
      <c r="L8" t="s">
        <v>236</v>
      </c>
      <c r="M8">
        <v>90</v>
      </c>
    </row>
    <row r="9" spans="1:13" x14ac:dyDescent="0.2">
      <c r="A9" t="s">
        <v>228</v>
      </c>
      <c r="B9" t="s">
        <v>229</v>
      </c>
      <c r="C9" t="s">
        <v>230</v>
      </c>
      <c r="D9" t="s">
        <v>239</v>
      </c>
      <c r="E9" t="s">
        <v>230</v>
      </c>
      <c r="F9" t="s">
        <v>240</v>
      </c>
      <c r="G9" t="s">
        <v>216</v>
      </c>
      <c r="H9" t="s">
        <v>233</v>
      </c>
      <c r="I9" t="s">
        <v>234</v>
      </c>
      <c r="J9" t="s">
        <v>235</v>
      </c>
      <c r="K9" t="s">
        <v>236</v>
      </c>
      <c r="L9" t="s">
        <v>236</v>
      </c>
      <c r="M9">
        <v>90</v>
      </c>
    </row>
    <row r="10" spans="1:13" x14ac:dyDescent="0.2">
      <c r="A10" t="s">
        <v>228</v>
      </c>
      <c r="B10" t="s">
        <v>229</v>
      </c>
      <c r="C10" t="s">
        <v>230</v>
      </c>
      <c r="D10" t="s">
        <v>241</v>
      </c>
      <c r="E10" t="s">
        <v>230</v>
      </c>
      <c r="F10" t="s">
        <v>242</v>
      </c>
      <c r="G10" t="s">
        <v>216</v>
      </c>
      <c r="H10" t="s">
        <v>233</v>
      </c>
      <c r="I10" t="s">
        <v>234</v>
      </c>
      <c r="J10" t="s">
        <v>235</v>
      </c>
      <c r="K10" t="s">
        <v>236</v>
      </c>
      <c r="L10" t="s">
        <v>236</v>
      </c>
      <c r="M10">
        <v>90</v>
      </c>
    </row>
    <row r="11" spans="1:13" x14ac:dyDescent="0.2">
      <c r="A11" t="s">
        <v>228</v>
      </c>
      <c r="B11" t="s">
        <v>243</v>
      </c>
      <c r="C11" t="s">
        <v>244</v>
      </c>
      <c r="D11" t="s">
        <v>231</v>
      </c>
      <c r="E11" t="s">
        <v>244</v>
      </c>
      <c r="F11" t="s">
        <v>232</v>
      </c>
      <c r="G11" t="s">
        <v>216</v>
      </c>
      <c r="H11" t="s">
        <v>233</v>
      </c>
      <c r="I11" t="s">
        <v>245</v>
      </c>
      <c r="J11" t="s">
        <v>235</v>
      </c>
      <c r="K11" t="s">
        <v>236</v>
      </c>
      <c r="L11" t="s">
        <v>236</v>
      </c>
      <c r="M11">
        <v>90</v>
      </c>
    </row>
    <row r="12" spans="1:13" x14ac:dyDescent="0.2">
      <c r="A12" t="s">
        <v>228</v>
      </c>
      <c r="B12" t="s">
        <v>243</v>
      </c>
      <c r="C12" t="s">
        <v>244</v>
      </c>
      <c r="D12" t="s">
        <v>237</v>
      </c>
      <c r="E12" t="s">
        <v>244</v>
      </c>
      <c r="F12" t="s">
        <v>238</v>
      </c>
      <c r="G12" t="s">
        <v>216</v>
      </c>
      <c r="H12" t="s">
        <v>233</v>
      </c>
      <c r="I12" t="s">
        <v>245</v>
      </c>
      <c r="J12" t="s">
        <v>235</v>
      </c>
      <c r="K12" t="s">
        <v>236</v>
      </c>
      <c r="L12" t="s">
        <v>236</v>
      </c>
      <c r="M12">
        <v>90</v>
      </c>
    </row>
    <row r="13" spans="1:13" x14ac:dyDescent="0.2">
      <c r="A13" t="s">
        <v>228</v>
      </c>
      <c r="B13" t="s">
        <v>243</v>
      </c>
      <c r="C13" t="s">
        <v>244</v>
      </c>
      <c r="D13" t="s">
        <v>239</v>
      </c>
      <c r="E13" t="s">
        <v>244</v>
      </c>
      <c r="F13" t="s">
        <v>240</v>
      </c>
      <c r="G13" t="s">
        <v>216</v>
      </c>
      <c r="H13" t="s">
        <v>233</v>
      </c>
      <c r="I13" t="s">
        <v>245</v>
      </c>
      <c r="J13" t="s">
        <v>235</v>
      </c>
      <c r="K13" t="s">
        <v>236</v>
      </c>
      <c r="L13" t="s">
        <v>236</v>
      </c>
      <c r="M13">
        <v>90</v>
      </c>
    </row>
    <row r="14" spans="1:13" x14ac:dyDescent="0.2">
      <c r="A14" t="s">
        <v>228</v>
      </c>
      <c r="B14" t="s">
        <v>246</v>
      </c>
      <c r="C14" t="s">
        <v>247</v>
      </c>
      <c r="D14" t="s">
        <v>231</v>
      </c>
      <c r="E14" t="s">
        <v>247</v>
      </c>
      <c r="F14" t="s">
        <v>232</v>
      </c>
      <c r="G14" t="s">
        <v>216</v>
      </c>
      <c r="H14" t="s">
        <v>233</v>
      </c>
      <c r="I14" t="s">
        <v>245</v>
      </c>
      <c r="J14" t="s">
        <v>248</v>
      </c>
      <c r="K14" t="s">
        <v>236</v>
      </c>
      <c r="L14" t="s">
        <v>236</v>
      </c>
      <c r="M14">
        <v>90</v>
      </c>
    </row>
    <row r="15" spans="1:13" x14ac:dyDescent="0.2">
      <c r="A15" t="s">
        <v>228</v>
      </c>
      <c r="B15" t="s">
        <v>246</v>
      </c>
      <c r="C15" t="s">
        <v>247</v>
      </c>
      <c r="D15" t="s">
        <v>237</v>
      </c>
      <c r="E15" t="s">
        <v>247</v>
      </c>
      <c r="F15" t="s">
        <v>238</v>
      </c>
      <c r="G15" t="s">
        <v>216</v>
      </c>
      <c r="H15" t="s">
        <v>233</v>
      </c>
      <c r="I15" t="s">
        <v>245</v>
      </c>
      <c r="J15" t="s">
        <v>248</v>
      </c>
      <c r="K15" t="s">
        <v>236</v>
      </c>
      <c r="L15" t="s">
        <v>236</v>
      </c>
      <c r="M15">
        <v>90</v>
      </c>
    </row>
    <row r="16" spans="1:13" x14ac:dyDescent="0.2">
      <c r="A16" t="s">
        <v>228</v>
      </c>
      <c r="B16" t="s">
        <v>246</v>
      </c>
      <c r="C16" t="s">
        <v>247</v>
      </c>
      <c r="D16" t="s">
        <v>239</v>
      </c>
      <c r="E16" t="s">
        <v>247</v>
      </c>
      <c r="F16" t="s">
        <v>240</v>
      </c>
      <c r="G16" t="s">
        <v>216</v>
      </c>
      <c r="H16" t="s">
        <v>233</v>
      </c>
      <c r="I16" t="s">
        <v>245</v>
      </c>
      <c r="J16" t="s">
        <v>248</v>
      </c>
      <c r="K16" t="s">
        <v>236</v>
      </c>
      <c r="L16" t="s">
        <v>236</v>
      </c>
      <c r="M16">
        <v>90</v>
      </c>
    </row>
    <row r="17" spans="1:13" x14ac:dyDescent="0.2">
      <c r="A17" t="s">
        <v>249</v>
      </c>
      <c r="B17" t="s">
        <v>250</v>
      </c>
      <c r="C17" t="s">
        <v>251</v>
      </c>
      <c r="D17" t="s">
        <v>231</v>
      </c>
      <c r="E17" t="s">
        <v>251</v>
      </c>
      <c r="F17" t="s">
        <v>232</v>
      </c>
      <c r="G17" t="s">
        <v>216</v>
      </c>
      <c r="H17" t="s">
        <v>233</v>
      </c>
      <c r="I17" t="s">
        <v>245</v>
      </c>
      <c r="J17" t="s">
        <v>235</v>
      </c>
      <c r="K17" t="s">
        <v>236</v>
      </c>
      <c r="L17" t="s">
        <v>236</v>
      </c>
      <c r="M17">
        <v>90</v>
      </c>
    </row>
    <row r="18" spans="1:13" x14ac:dyDescent="0.2">
      <c r="A18" t="s">
        <v>249</v>
      </c>
      <c r="B18" t="s">
        <v>250</v>
      </c>
      <c r="C18" t="s">
        <v>251</v>
      </c>
      <c r="D18" t="s">
        <v>237</v>
      </c>
      <c r="E18" t="s">
        <v>251</v>
      </c>
      <c r="F18" t="s">
        <v>238</v>
      </c>
      <c r="G18" t="s">
        <v>216</v>
      </c>
      <c r="H18" t="s">
        <v>233</v>
      </c>
      <c r="I18" t="s">
        <v>245</v>
      </c>
      <c r="J18" t="s">
        <v>235</v>
      </c>
      <c r="K18" t="s">
        <v>236</v>
      </c>
      <c r="L18" t="s">
        <v>236</v>
      </c>
      <c r="M18">
        <v>90</v>
      </c>
    </row>
    <row r="19" spans="1:13" x14ac:dyDescent="0.2">
      <c r="A19" t="s">
        <v>249</v>
      </c>
      <c r="B19" t="s">
        <v>250</v>
      </c>
      <c r="C19" t="s">
        <v>251</v>
      </c>
      <c r="D19" t="s">
        <v>239</v>
      </c>
      <c r="E19" t="s">
        <v>251</v>
      </c>
      <c r="F19" t="s">
        <v>240</v>
      </c>
      <c r="G19" t="s">
        <v>216</v>
      </c>
      <c r="H19" t="s">
        <v>233</v>
      </c>
      <c r="I19" t="s">
        <v>245</v>
      </c>
      <c r="J19" t="s">
        <v>235</v>
      </c>
      <c r="K19" t="s">
        <v>236</v>
      </c>
      <c r="L19" t="s">
        <v>236</v>
      </c>
      <c r="M19">
        <v>90</v>
      </c>
    </row>
    <row r="20" spans="1:13" x14ac:dyDescent="0.2">
      <c r="A20" t="s">
        <v>249</v>
      </c>
      <c r="B20" t="s">
        <v>252</v>
      </c>
      <c r="C20" t="s">
        <v>253</v>
      </c>
      <c r="D20" t="s">
        <v>231</v>
      </c>
      <c r="E20" t="s">
        <v>253</v>
      </c>
      <c r="F20" t="s">
        <v>232</v>
      </c>
      <c r="G20" t="s">
        <v>216</v>
      </c>
      <c r="H20" t="s">
        <v>233</v>
      </c>
      <c r="I20" t="s">
        <v>234</v>
      </c>
      <c r="J20" t="s">
        <v>248</v>
      </c>
      <c r="K20" t="s">
        <v>236</v>
      </c>
      <c r="L20" t="s">
        <v>236</v>
      </c>
      <c r="M20">
        <v>90</v>
      </c>
    </row>
    <row r="21" spans="1:13" x14ac:dyDescent="0.2">
      <c r="A21" t="s">
        <v>249</v>
      </c>
      <c r="B21" t="s">
        <v>252</v>
      </c>
      <c r="C21" t="s">
        <v>253</v>
      </c>
      <c r="D21" t="s">
        <v>237</v>
      </c>
      <c r="E21" t="s">
        <v>253</v>
      </c>
      <c r="F21" t="s">
        <v>238</v>
      </c>
      <c r="G21" t="s">
        <v>216</v>
      </c>
      <c r="H21" t="s">
        <v>233</v>
      </c>
      <c r="I21" t="s">
        <v>234</v>
      </c>
      <c r="J21" t="s">
        <v>248</v>
      </c>
      <c r="K21" t="s">
        <v>236</v>
      </c>
      <c r="L21" t="s">
        <v>236</v>
      </c>
      <c r="M21">
        <v>90</v>
      </c>
    </row>
    <row r="22" spans="1:13" x14ac:dyDescent="0.2">
      <c r="A22" t="s">
        <v>249</v>
      </c>
      <c r="B22" t="s">
        <v>252</v>
      </c>
      <c r="C22" t="s">
        <v>253</v>
      </c>
      <c r="D22" t="s">
        <v>239</v>
      </c>
      <c r="E22" t="s">
        <v>253</v>
      </c>
      <c r="F22" t="s">
        <v>240</v>
      </c>
      <c r="G22" t="s">
        <v>216</v>
      </c>
      <c r="H22" t="s">
        <v>233</v>
      </c>
      <c r="I22" t="s">
        <v>234</v>
      </c>
      <c r="J22" t="s">
        <v>248</v>
      </c>
      <c r="K22" t="s">
        <v>236</v>
      </c>
      <c r="L22" t="s">
        <v>236</v>
      </c>
      <c r="M22">
        <v>90</v>
      </c>
    </row>
    <row r="23" spans="1:13" x14ac:dyDescent="0.2">
      <c r="A23" t="s">
        <v>249</v>
      </c>
      <c r="B23" t="s">
        <v>229</v>
      </c>
      <c r="C23" t="s">
        <v>254</v>
      </c>
      <c r="D23" t="s">
        <v>231</v>
      </c>
      <c r="E23" t="s">
        <v>254</v>
      </c>
      <c r="F23" t="s">
        <v>232</v>
      </c>
      <c r="G23" t="s">
        <v>216</v>
      </c>
      <c r="H23" t="s">
        <v>233</v>
      </c>
      <c r="I23" t="s">
        <v>255</v>
      </c>
      <c r="J23" t="s">
        <v>235</v>
      </c>
      <c r="K23" t="s">
        <v>236</v>
      </c>
      <c r="L23" t="s">
        <v>236</v>
      </c>
      <c r="M23">
        <v>90</v>
      </c>
    </row>
    <row r="24" spans="1:13" x14ac:dyDescent="0.2">
      <c r="A24" t="s">
        <v>249</v>
      </c>
      <c r="B24" t="s">
        <v>229</v>
      </c>
      <c r="C24" t="s">
        <v>254</v>
      </c>
      <c r="D24" t="s">
        <v>237</v>
      </c>
      <c r="E24" t="s">
        <v>254</v>
      </c>
      <c r="F24" t="s">
        <v>238</v>
      </c>
      <c r="G24" t="s">
        <v>216</v>
      </c>
      <c r="H24" t="s">
        <v>233</v>
      </c>
      <c r="I24" t="s">
        <v>255</v>
      </c>
      <c r="J24" t="s">
        <v>235</v>
      </c>
      <c r="K24" t="s">
        <v>236</v>
      </c>
      <c r="L24" t="s">
        <v>236</v>
      </c>
      <c r="M24">
        <v>90</v>
      </c>
    </row>
    <row r="25" spans="1:13" x14ac:dyDescent="0.2">
      <c r="A25" t="s">
        <v>249</v>
      </c>
      <c r="B25" t="s">
        <v>243</v>
      </c>
      <c r="C25" t="s">
        <v>256</v>
      </c>
      <c r="D25" t="s">
        <v>231</v>
      </c>
      <c r="E25" t="s">
        <v>256</v>
      </c>
      <c r="F25" t="s">
        <v>232</v>
      </c>
      <c r="G25" t="s">
        <v>216</v>
      </c>
      <c r="H25" t="s">
        <v>233</v>
      </c>
      <c r="I25" t="s">
        <v>245</v>
      </c>
      <c r="J25" t="s">
        <v>235</v>
      </c>
      <c r="K25" t="s">
        <v>236</v>
      </c>
      <c r="L25" t="s">
        <v>236</v>
      </c>
      <c r="M25">
        <v>90</v>
      </c>
    </row>
    <row r="26" spans="1:13" x14ac:dyDescent="0.2">
      <c r="A26" t="s">
        <v>249</v>
      </c>
      <c r="B26" t="s">
        <v>243</v>
      </c>
      <c r="C26" t="s">
        <v>256</v>
      </c>
      <c r="D26" t="s">
        <v>237</v>
      </c>
      <c r="E26" t="s">
        <v>256</v>
      </c>
      <c r="F26" t="s">
        <v>238</v>
      </c>
      <c r="G26" t="s">
        <v>216</v>
      </c>
      <c r="H26" t="s">
        <v>233</v>
      </c>
      <c r="I26" t="s">
        <v>245</v>
      </c>
      <c r="J26" t="s">
        <v>235</v>
      </c>
      <c r="K26" t="s">
        <v>236</v>
      </c>
      <c r="L26" t="s">
        <v>236</v>
      </c>
      <c r="M26">
        <v>90</v>
      </c>
    </row>
    <row r="27" spans="1:13" x14ac:dyDescent="0.2">
      <c r="A27" t="s">
        <v>249</v>
      </c>
      <c r="B27" t="s">
        <v>246</v>
      </c>
      <c r="C27" t="s">
        <v>257</v>
      </c>
      <c r="D27" t="s">
        <v>231</v>
      </c>
      <c r="E27" t="s">
        <v>257</v>
      </c>
      <c r="F27" t="s">
        <v>232</v>
      </c>
      <c r="G27" t="s">
        <v>258</v>
      </c>
      <c r="H27" t="s">
        <v>233</v>
      </c>
      <c r="I27" t="s">
        <v>45</v>
      </c>
      <c r="J27" t="s">
        <v>235</v>
      </c>
      <c r="K27" t="s">
        <v>236</v>
      </c>
      <c r="L27" t="s">
        <v>236</v>
      </c>
      <c r="M27">
        <v>90</v>
      </c>
    </row>
    <row r="28" spans="1:13" x14ac:dyDescent="0.2">
      <c r="A28" t="s">
        <v>249</v>
      </c>
      <c r="B28" t="s">
        <v>246</v>
      </c>
      <c r="C28" t="s">
        <v>257</v>
      </c>
      <c r="D28" t="s">
        <v>237</v>
      </c>
      <c r="E28" t="s">
        <v>257</v>
      </c>
      <c r="F28" t="s">
        <v>238</v>
      </c>
      <c r="G28" t="s">
        <v>258</v>
      </c>
      <c r="H28" t="s">
        <v>233</v>
      </c>
      <c r="I28" t="s">
        <v>45</v>
      </c>
      <c r="J28" t="s">
        <v>235</v>
      </c>
      <c r="K28" t="s">
        <v>236</v>
      </c>
      <c r="L28" t="s">
        <v>236</v>
      </c>
      <c r="M28">
        <v>90</v>
      </c>
    </row>
    <row r="29" spans="1:13" x14ac:dyDescent="0.2">
      <c r="A29" t="s">
        <v>249</v>
      </c>
      <c r="B29" t="s">
        <v>246</v>
      </c>
      <c r="C29" t="s">
        <v>257</v>
      </c>
      <c r="D29" t="s">
        <v>239</v>
      </c>
      <c r="E29" t="s">
        <v>257</v>
      </c>
      <c r="F29" t="s">
        <v>240</v>
      </c>
      <c r="G29" t="s">
        <v>259</v>
      </c>
      <c r="H29" t="s">
        <v>233</v>
      </c>
      <c r="I29" t="s">
        <v>25</v>
      </c>
      <c r="J29" t="s">
        <v>235</v>
      </c>
      <c r="K29" t="s">
        <v>236</v>
      </c>
      <c r="L29" t="s">
        <v>236</v>
      </c>
      <c r="M29">
        <v>90</v>
      </c>
    </row>
    <row r="30" spans="1:13" x14ac:dyDescent="0.2">
      <c r="A30" t="s">
        <v>249</v>
      </c>
      <c r="B30" t="s">
        <v>246</v>
      </c>
      <c r="C30" t="s">
        <v>257</v>
      </c>
      <c r="D30" t="s">
        <v>241</v>
      </c>
      <c r="E30" t="s">
        <v>257</v>
      </c>
      <c r="F30" t="s">
        <v>242</v>
      </c>
      <c r="G30" t="s">
        <v>259</v>
      </c>
      <c r="H30" t="s">
        <v>233</v>
      </c>
      <c r="I30" t="s">
        <v>25</v>
      </c>
      <c r="J30" t="s">
        <v>235</v>
      </c>
      <c r="K30" t="s">
        <v>236</v>
      </c>
      <c r="L30" t="s">
        <v>236</v>
      </c>
      <c r="M30">
        <v>90</v>
      </c>
    </row>
    <row r="31" spans="1:13" x14ac:dyDescent="0.2">
      <c r="A31" t="s">
        <v>260</v>
      </c>
      <c r="B31" t="s">
        <v>250</v>
      </c>
      <c r="C31" t="s">
        <v>261</v>
      </c>
      <c r="D31" t="s">
        <v>231</v>
      </c>
      <c r="E31" t="s">
        <v>261</v>
      </c>
      <c r="F31" t="s">
        <v>232</v>
      </c>
      <c r="G31" t="s">
        <v>216</v>
      </c>
      <c r="H31" t="s">
        <v>233</v>
      </c>
      <c r="I31" t="s">
        <v>245</v>
      </c>
      <c r="J31" t="s">
        <v>235</v>
      </c>
      <c r="K31" t="s">
        <v>236</v>
      </c>
      <c r="L31" t="s">
        <v>236</v>
      </c>
      <c r="M31">
        <v>90</v>
      </c>
    </row>
    <row r="32" spans="1:13" x14ac:dyDescent="0.2">
      <c r="A32" t="s">
        <v>260</v>
      </c>
      <c r="B32" t="s">
        <v>250</v>
      </c>
      <c r="C32" t="s">
        <v>261</v>
      </c>
      <c r="D32" t="s">
        <v>237</v>
      </c>
      <c r="E32" t="s">
        <v>261</v>
      </c>
      <c r="F32" t="s">
        <v>238</v>
      </c>
      <c r="G32" t="s">
        <v>216</v>
      </c>
      <c r="H32" t="s">
        <v>233</v>
      </c>
      <c r="I32" t="s">
        <v>245</v>
      </c>
      <c r="J32" t="s">
        <v>235</v>
      </c>
      <c r="K32" t="s">
        <v>236</v>
      </c>
      <c r="L32" t="s">
        <v>236</v>
      </c>
      <c r="M32">
        <v>90</v>
      </c>
    </row>
    <row r="33" spans="1:13" x14ac:dyDescent="0.2">
      <c r="A33" t="s">
        <v>260</v>
      </c>
      <c r="B33" t="s">
        <v>250</v>
      </c>
      <c r="C33" t="s">
        <v>261</v>
      </c>
      <c r="D33" t="s">
        <v>239</v>
      </c>
      <c r="E33" t="s">
        <v>261</v>
      </c>
      <c r="F33" t="s">
        <v>240</v>
      </c>
      <c r="G33" t="s">
        <v>216</v>
      </c>
      <c r="H33" t="s">
        <v>233</v>
      </c>
      <c r="I33" t="s">
        <v>245</v>
      </c>
      <c r="J33" t="s">
        <v>235</v>
      </c>
      <c r="K33" t="s">
        <v>236</v>
      </c>
      <c r="L33" t="s">
        <v>236</v>
      </c>
      <c r="M33">
        <v>90</v>
      </c>
    </row>
    <row r="34" spans="1:13" x14ac:dyDescent="0.2">
      <c r="A34" t="s">
        <v>260</v>
      </c>
      <c r="B34" t="s">
        <v>252</v>
      </c>
      <c r="C34" t="s">
        <v>262</v>
      </c>
      <c r="D34" t="s">
        <v>231</v>
      </c>
      <c r="E34" t="s">
        <v>262</v>
      </c>
      <c r="F34" t="s">
        <v>232</v>
      </c>
      <c r="G34" t="s">
        <v>259</v>
      </c>
      <c r="H34" t="s">
        <v>233</v>
      </c>
      <c r="I34" t="s">
        <v>25</v>
      </c>
      <c r="J34" t="s">
        <v>248</v>
      </c>
      <c r="K34" t="s">
        <v>236</v>
      </c>
      <c r="L34" t="s">
        <v>236</v>
      </c>
      <c r="M34">
        <v>90</v>
      </c>
    </row>
    <row r="35" spans="1:13" x14ac:dyDescent="0.2">
      <c r="A35" t="s">
        <v>260</v>
      </c>
      <c r="B35" t="s">
        <v>252</v>
      </c>
      <c r="C35" t="s">
        <v>262</v>
      </c>
      <c r="D35" t="s">
        <v>237</v>
      </c>
      <c r="E35" t="s">
        <v>262</v>
      </c>
      <c r="F35" t="s">
        <v>238</v>
      </c>
      <c r="G35" t="s">
        <v>259</v>
      </c>
      <c r="H35" t="s">
        <v>233</v>
      </c>
      <c r="I35" t="s">
        <v>25</v>
      </c>
      <c r="J35" t="s">
        <v>248</v>
      </c>
      <c r="K35" t="s">
        <v>236</v>
      </c>
      <c r="L35" t="s">
        <v>236</v>
      </c>
      <c r="M35">
        <v>90</v>
      </c>
    </row>
    <row r="36" spans="1:13" x14ac:dyDescent="0.2">
      <c r="A36" t="s">
        <v>260</v>
      </c>
      <c r="B36" t="s">
        <v>252</v>
      </c>
      <c r="C36" t="s">
        <v>262</v>
      </c>
      <c r="D36" t="s">
        <v>239</v>
      </c>
      <c r="E36" t="s">
        <v>262</v>
      </c>
      <c r="F36" t="s">
        <v>240</v>
      </c>
      <c r="G36" t="s">
        <v>258</v>
      </c>
      <c r="H36" t="s">
        <v>233</v>
      </c>
      <c r="I36" t="s">
        <v>45</v>
      </c>
      <c r="J36" t="s">
        <v>248</v>
      </c>
      <c r="K36" t="s">
        <v>236</v>
      </c>
      <c r="L36" t="s">
        <v>236</v>
      </c>
      <c r="M36">
        <v>90</v>
      </c>
    </row>
    <row r="37" spans="1:13" x14ac:dyDescent="0.2">
      <c r="A37" t="s">
        <v>260</v>
      </c>
      <c r="B37" t="s">
        <v>252</v>
      </c>
      <c r="C37" t="s">
        <v>262</v>
      </c>
      <c r="D37" t="s">
        <v>241</v>
      </c>
      <c r="E37" t="s">
        <v>262</v>
      </c>
      <c r="F37" t="s">
        <v>242</v>
      </c>
      <c r="G37" t="s">
        <v>258</v>
      </c>
      <c r="H37" t="s">
        <v>233</v>
      </c>
      <c r="I37" t="s">
        <v>45</v>
      </c>
      <c r="J37" t="s">
        <v>248</v>
      </c>
      <c r="K37" t="s">
        <v>236</v>
      </c>
      <c r="L37" t="s">
        <v>236</v>
      </c>
      <c r="M37">
        <v>90</v>
      </c>
    </row>
    <row r="38" spans="1:13" x14ac:dyDescent="0.2">
      <c r="A38" t="s">
        <v>260</v>
      </c>
      <c r="B38" t="s">
        <v>243</v>
      </c>
      <c r="C38" t="s">
        <v>263</v>
      </c>
      <c r="D38" t="s">
        <v>231</v>
      </c>
      <c r="E38" t="s">
        <v>263</v>
      </c>
      <c r="F38" t="s">
        <v>232</v>
      </c>
      <c r="G38" t="s">
        <v>216</v>
      </c>
      <c r="H38" t="s">
        <v>233</v>
      </c>
      <c r="I38" t="s">
        <v>255</v>
      </c>
      <c r="J38" t="s">
        <v>248</v>
      </c>
      <c r="K38" t="s">
        <v>236</v>
      </c>
      <c r="L38" t="s">
        <v>236</v>
      </c>
      <c r="M38">
        <v>90</v>
      </c>
    </row>
    <row r="39" spans="1:13" x14ac:dyDescent="0.2">
      <c r="A39" t="s">
        <v>260</v>
      </c>
      <c r="B39" t="s">
        <v>243</v>
      </c>
      <c r="C39" t="s">
        <v>263</v>
      </c>
      <c r="D39" t="s">
        <v>237</v>
      </c>
      <c r="E39" t="s">
        <v>263</v>
      </c>
      <c r="F39" t="s">
        <v>238</v>
      </c>
      <c r="G39" t="s">
        <v>216</v>
      </c>
      <c r="H39" t="s">
        <v>233</v>
      </c>
      <c r="I39" t="s">
        <v>255</v>
      </c>
      <c r="J39" t="s">
        <v>248</v>
      </c>
      <c r="K39" t="s">
        <v>236</v>
      </c>
      <c r="L39" t="s">
        <v>236</v>
      </c>
      <c r="M39">
        <v>90</v>
      </c>
    </row>
    <row r="40" spans="1:13" x14ac:dyDescent="0.2">
      <c r="A40" t="s">
        <v>260</v>
      </c>
      <c r="B40" t="s">
        <v>243</v>
      </c>
      <c r="C40" t="s">
        <v>263</v>
      </c>
      <c r="D40" t="s">
        <v>239</v>
      </c>
      <c r="E40" t="s">
        <v>263</v>
      </c>
      <c r="F40" t="s">
        <v>240</v>
      </c>
      <c r="G40" t="s">
        <v>216</v>
      </c>
      <c r="H40" t="s">
        <v>233</v>
      </c>
      <c r="I40" t="s">
        <v>255</v>
      </c>
      <c r="J40" t="s">
        <v>248</v>
      </c>
      <c r="K40" t="s">
        <v>236</v>
      </c>
      <c r="L40" t="s">
        <v>236</v>
      </c>
      <c r="M40">
        <v>90</v>
      </c>
    </row>
    <row r="41" spans="1:13" x14ac:dyDescent="0.2">
      <c r="A41" t="s">
        <v>260</v>
      </c>
      <c r="B41" t="s">
        <v>246</v>
      </c>
      <c r="C41" t="s">
        <v>264</v>
      </c>
      <c r="D41" t="s">
        <v>231</v>
      </c>
      <c r="E41" t="s">
        <v>264</v>
      </c>
      <c r="F41" t="s">
        <v>232</v>
      </c>
      <c r="G41" t="s">
        <v>258</v>
      </c>
      <c r="H41" t="s">
        <v>233</v>
      </c>
      <c r="I41" t="s">
        <v>234</v>
      </c>
      <c r="J41" t="s">
        <v>248</v>
      </c>
      <c r="K41" t="s">
        <v>236</v>
      </c>
      <c r="L41" t="s">
        <v>236</v>
      </c>
      <c r="M41">
        <v>90</v>
      </c>
    </row>
    <row r="42" spans="1:13" x14ac:dyDescent="0.2">
      <c r="A42" t="s">
        <v>260</v>
      </c>
      <c r="B42" t="s">
        <v>246</v>
      </c>
      <c r="C42" t="s">
        <v>264</v>
      </c>
      <c r="D42" t="s">
        <v>237</v>
      </c>
      <c r="E42" t="s">
        <v>264</v>
      </c>
      <c r="F42" t="s">
        <v>238</v>
      </c>
      <c r="G42" t="s">
        <v>258</v>
      </c>
      <c r="H42" t="s">
        <v>233</v>
      </c>
      <c r="I42" t="s">
        <v>234</v>
      </c>
      <c r="J42" t="s">
        <v>248</v>
      </c>
      <c r="K42" t="s">
        <v>236</v>
      </c>
      <c r="L42" t="s">
        <v>236</v>
      </c>
      <c r="M42">
        <v>90</v>
      </c>
    </row>
    <row r="43" spans="1:13" x14ac:dyDescent="0.2">
      <c r="A43" t="s">
        <v>260</v>
      </c>
      <c r="B43" t="s">
        <v>246</v>
      </c>
      <c r="C43" t="s">
        <v>264</v>
      </c>
      <c r="D43" t="s">
        <v>239</v>
      </c>
      <c r="E43" t="s">
        <v>264</v>
      </c>
      <c r="F43" t="s">
        <v>240</v>
      </c>
      <c r="G43" t="s">
        <v>259</v>
      </c>
      <c r="H43" t="s">
        <v>233</v>
      </c>
      <c r="I43" t="s">
        <v>234</v>
      </c>
      <c r="J43" t="s">
        <v>248</v>
      </c>
      <c r="K43" t="s">
        <v>236</v>
      </c>
      <c r="L43" t="s">
        <v>236</v>
      </c>
      <c r="M43">
        <v>90</v>
      </c>
    </row>
    <row r="44" spans="1:13" x14ac:dyDescent="0.2">
      <c r="A44" t="s">
        <v>265</v>
      </c>
      <c r="B44" t="s">
        <v>250</v>
      </c>
      <c r="C44" t="s">
        <v>266</v>
      </c>
      <c r="D44" t="s">
        <v>231</v>
      </c>
      <c r="E44" t="s">
        <v>266</v>
      </c>
      <c r="F44" t="s">
        <v>232</v>
      </c>
      <c r="G44" t="s">
        <v>216</v>
      </c>
      <c r="H44" t="s">
        <v>233</v>
      </c>
      <c r="I44" t="s">
        <v>267</v>
      </c>
      <c r="J44" t="s">
        <v>235</v>
      </c>
      <c r="K44" t="s">
        <v>236</v>
      </c>
      <c r="L44" t="s">
        <v>236</v>
      </c>
      <c r="M44">
        <v>90</v>
      </c>
    </row>
    <row r="45" spans="1:13" x14ac:dyDescent="0.2">
      <c r="A45" t="s">
        <v>265</v>
      </c>
      <c r="B45" t="s">
        <v>250</v>
      </c>
      <c r="C45" t="s">
        <v>266</v>
      </c>
      <c r="D45" t="s">
        <v>237</v>
      </c>
      <c r="E45" t="s">
        <v>266</v>
      </c>
      <c r="F45" t="s">
        <v>238</v>
      </c>
      <c r="G45" t="s">
        <v>216</v>
      </c>
      <c r="H45" t="s">
        <v>233</v>
      </c>
      <c r="I45" t="s">
        <v>267</v>
      </c>
      <c r="J45" t="s">
        <v>235</v>
      </c>
      <c r="K45" t="s">
        <v>236</v>
      </c>
      <c r="L45" t="s">
        <v>236</v>
      </c>
      <c r="M45">
        <v>90</v>
      </c>
    </row>
    <row r="46" spans="1:13" x14ac:dyDescent="0.2">
      <c r="A46" t="s">
        <v>265</v>
      </c>
      <c r="B46" t="s">
        <v>252</v>
      </c>
      <c r="C46" t="s">
        <v>268</v>
      </c>
      <c r="D46" t="s">
        <v>231</v>
      </c>
      <c r="E46" t="s">
        <v>268</v>
      </c>
      <c r="F46" t="s">
        <v>232</v>
      </c>
      <c r="G46" t="s">
        <v>216</v>
      </c>
      <c r="H46" t="s">
        <v>233</v>
      </c>
      <c r="I46" t="s">
        <v>269</v>
      </c>
      <c r="J46" t="s">
        <v>162</v>
      </c>
      <c r="K46" t="s">
        <v>236</v>
      </c>
      <c r="L46" t="s">
        <v>236</v>
      </c>
      <c r="M46">
        <v>90</v>
      </c>
    </row>
    <row r="47" spans="1:13" x14ac:dyDescent="0.2">
      <c r="A47" t="s">
        <v>265</v>
      </c>
      <c r="B47" t="s">
        <v>252</v>
      </c>
      <c r="C47" t="s">
        <v>268</v>
      </c>
      <c r="D47" t="s">
        <v>237</v>
      </c>
      <c r="E47" t="s">
        <v>268</v>
      </c>
      <c r="F47" t="s">
        <v>238</v>
      </c>
      <c r="G47" t="s">
        <v>216</v>
      </c>
      <c r="H47" t="s">
        <v>233</v>
      </c>
      <c r="I47" t="s">
        <v>269</v>
      </c>
      <c r="J47" t="s">
        <v>162</v>
      </c>
      <c r="K47" t="s">
        <v>236</v>
      </c>
      <c r="L47" t="s">
        <v>236</v>
      </c>
      <c r="M47">
        <v>90</v>
      </c>
    </row>
    <row r="48" spans="1:13" x14ac:dyDescent="0.2">
      <c r="A48" t="s">
        <v>265</v>
      </c>
      <c r="B48" t="s">
        <v>252</v>
      </c>
      <c r="C48" t="s">
        <v>268</v>
      </c>
      <c r="D48" t="s">
        <v>239</v>
      </c>
      <c r="E48" t="s">
        <v>268</v>
      </c>
      <c r="F48" t="s">
        <v>240</v>
      </c>
      <c r="G48" t="s">
        <v>216</v>
      </c>
      <c r="H48" t="s">
        <v>233</v>
      </c>
      <c r="I48" t="s">
        <v>269</v>
      </c>
      <c r="J48" t="s">
        <v>162</v>
      </c>
      <c r="K48" t="s">
        <v>236</v>
      </c>
      <c r="L48" t="s">
        <v>236</v>
      </c>
      <c r="M48">
        <v>90</v>
      </c>
    </row>
    <row r="49" spans="1:13" x14ac:dyDescent="0.2">
      <c r="A49" t="s">
        <v>265</v>
      </c>
      <c r="B49" t="s">
        <v>229</v>
      </c>
      <c r="C49" t="s">
        <v>270</v>
      </c>
      <c r="D49" t="s">
        <v>231</v>
      </c>
      <c r="E49" t="s">
        <v>270</v>
      </c>
      <c r="F49" t="s">
        <v>232</v>
      </c>
      <c r="G49" t="s">
        <v>216</v>
      </c>
      <c r="H49" t="s">
        <v>233</v>
      </c>
      <c r="I49" t="s">
        <v>271</v>
      </c>
      <c r="J49" t="s">
        <v>162</v>
      </c>
      <c r="K49" t="s">
        <v>236</v>
      </c>
      <c r="L49" t="s">
        <v>236</v>
      </c>
      <c r="M49">
        <v>90</v>
      </c>
    </row>
    <row r="50" spans="1:13" x14ac:dyDescent="0.2">
      <c r="A50" t="s">
        <v>265</v>
      </c>
      <c r="B50" t="s">
        <v>229</v>
      </c>
      <c r="C50" t="s">
        <v>270</v>
      </c>
      <c r="D50" t="s">
        <v>237</v>
      </c>
      <c r="E50" t="s">
        <v>270</v>
      </c>
      <c r="F50" t="s">
        <v>238</v>
      </c>
      <c r="G50" t="s">
        <v>216</v>
      </c>
      <c r="H50" t="s">
        <v>233</v>
      </c>
      <c r="I50" t="s">
        <v>271</v>
      </c>
      <c r="J50" t="s">
        <v>162</v>
      </c>
      <c r="K50" t="s">
        <v>236</v>
      </c>
      <c r="L50" t="s">
        <v>236</v>
      </c>
      <c r="M50">
        <v>90</v>
      </c>
    </row>
    <row r="51" spans="1:13" x14ac:dyDescent="0.2">
      <c r="A51" t="s">
        <v>265</v>
      </c>
      <c r="B51" t="s">
        <v>243</v>
      </c>
      <c r="C51" t="s">
        <v>272</v>
      </c>
      <c r="D51" t="s">
        <v>231</v>
      </c>
      <c r="E51" t="s">
        <v>272</v>
      </c>
      <c r="F51" t="s">
        <v>232</v>
      </c>
      <c r="G51" t="s">
        <v>216</v>
      </c>
      <c r="H51" t="s">
        <v>233</v>
      </c>
      <c r="I51" t="s">
        <v>273</v>
      </c>
      <c r="J51" t="s">
        <v>162</v>
      </c>
      <c r="K51" t="s">
        <v>236</v>
      </c>
      <c r="L51" t="s">
        <v>236</v>
      </c>
      <c r="M51">
        <v>90</v>
      </c>
    </row>
    <row r="52" spans="1:13" x14ac:dyDescent="0.2">
      <c r="A52" t="s">
        <v>265</v>
      </c>
      <c r="B52" t="s">
        <v>243</v>
      </c>
      <c r="C52" t="s">
        <v>272</v>
      </c>
      <c r="D52" t="s">
        <v>237</v>
      </c>
      <c r="E52" t="s">
        <v>272</v>
      </c>
      <c r="F52" t="s">
        <v>238</v>
      </c>
      <c r="G52" t="s">
        <v>216</v>
      </c>
      <c r="H52" t="s">
        <v>233</v>
      </c>
      <c r="I52" t="s">
        <v>273</v>
      </c>
      <c r="J52" t="s">
        <v>162</v>
      </c>
      <c r="K52" t="s">
        <v>236</v>
      </c>
      <c r="L52" t="s">
        <v>236</v>
      </c>
      <c r="M52">
        <v>90</v>
      </c>
    </row>
    <row r="53" spans="1:13" x14ac:dyDescent="0.2">
      <c r="A53" t="s">
        <v>265</v>
      </c>
      <c r="B53" t="s">
        <v>243</v>
      </c>
      <c r="C53" t="s">
        <v>272</v>
      </c>
      <c r="D53" t="s">
        <v>239</v>
      </c>
      <c r="E53" t="s">
        <v>272</v>
      </c>
      <c r="F53" t="s">
        <v>240</v>
      </c>
      <c r="G53" t="s">
        <v>216</v>
      </c>
      <c r="H53" t="s">
        <v>233</v>
      </c>
      <c r="I53" t="s">
        <v>273</v>
      </c>
      <c r="J53" t="s">
        <v>162</v>
      </c>
      <c r="K53" t="s">
        <v>236</v>
      </c>
      <c r="L53" t="s">
        <v>236</v>
      </c>
      <c r="M53">
        <v>90</v>
      </c>
    </row>
    <row r="54" spans="1:13" x14ac:dyDescent="0.2">
      <c r="A54" t="s">
        <v>265</v>
      </c>
      <c r="B54" t="s">
        <v>246</v>
      </c>
      <c r="C54" t="s">
        <v>274</v>
      </c>
      <c r="D54" t="s">
        <v>231</v>
      </c>
      <c r="E54" t="s">
        <v>274</v>
      </c>
      <c r="F54" t="s">
        <v>232</v>
      </c>
      <c r="G54" t="s">
        <v>216</v>
      </c>
      <c r="H54" t="s">
        <v>233</v>
      </c>
      <c r="I54" t="s">
        <v>275</v>
      </c>
      <c r="J54" t="s">
        <v>162</v>
      </c>
      <c r="K54" t="s">
        <v>236</v>
      </c>
      <c r="L54" t="s">
        <v>236</v>
      </c>
      <c r="M54">
        <v>90</v>
      </c>
    </row>
    <row r="55" spans="1:13" x14ac:dyDescent="0.2">
      <c r="A55" t="s">
        <v>265</v>
      </c>
      <c r="B55" t="s">
        <v>246</v>
      </c>
      <c r="C55" t="s">
        <v>274</v>
      </c>
      <c r="D55" t="s">
        <v>237</v>
      </c>
      <c r="E55" t="s">
        <v>274</v>
      </c>
      <c r="F55" t="s">
        <v>238</v>
      </c>
      <c r="G55" t="s">
        <v>216</v>
      </c>
      <c r="H55" t="s">
        <v>233</v>
      </c>
      <c r="I55" t="s">
        <v>275</v>
      </c>
      <c r="J55" t="s">
        <v>162</v>
      </c>
      <c r="K55" t="s">
        <v>236</v>
      </c>
      <c r="L55" t="s">
        <v>236</v>
      </c>
      <c r="M55">
        <v>90</v>
      </c>
    </row>
    <row r="56" spans="1:13" x14ac:dyDescent="0.2">
      <c r="A56" t="s">
        <v>265</v>
      </c>
      <c r="B56" t="s">
        <v>246</v>
      </c>
      <c r="C56" t="s">
        <v>274</v>
      </c>
      <c r="D56" t="s">
        <v>239</v>
      </c>
      <c r="E56" t="s">
        <v>274</v>
      </c>
      <c r="F56" t="s">
        <v>240</v>
      </c>
      <c r="G56" t="s">
        <v>216</v>
      </c>
      <c r="H56" t="s">
        <v>233</v>
      </c>
      <c r="I56" t="s">
        <v>275</v>
      </c>
      <c r="J56" t="s">
        <v>162</v>
      </c>
      <c r="K56" t="s">
        <v>236</v>
      </c>
      <c r="L56" t="s">
        <v>236</v>
      </c>
      <c r="M56">
        <v>90</v>
      </c>
    </row>
    <row r="57" spans="1:13" x14ac:dyDescent="0.2">
      <c r="A57" t="s">
        <v>276</v>
      </c>
      <c r="B57" t="s">
        <v>250</v>
      </c>
      <c r="C57" t="s">
        <v>277</v>
      </c>
      <c r="D57" t="s">
        <v>231</v>
      </c>
      <c r="E57" t="s">
        <v>277</v>
      </c>
      <c r="F57" t="s">
        <v>232</v>
      </c>
      <c r="G57" t="s">
        <v>216</v>
      </c>
      <c r="H57" t="s">
        <v>233</v>
      </c>
      <c r="I57" t="s">
        <v>278</v>
      </c>
      <c r="J57" t="s">
        <v>162</v>
      </c>
      <c r="K57" t="s">
        <v>236</v>
      </c>
      <c r="L57" t="s">
        <v>236</v>
      </c>
      <c r="M57">
        <v>90</v>
      </c>
    </row>
    <row r="58" spans="1:13" x14ac:dyDescent="0.2">
      <c r="A58" t="s">
        <v>276</v>
      </c>
      <c r="B58" t="s">
        <v>250</v>
      </c>
      <c r="C58" t="s">
        <v>277</v>
      </c>
      <c r="D58" t="s">
        <v>237</v>
      </c>
      <c r="E58" t="s">
        <v>277</v>
      </c>
      <c r="F58" t="s">
        <v>238</v>
      </c>
      <c r="G58" t="s">
        <v>216</v>
      </c>
      <c r="H58" t="s">
        <v>233</v>
      </c>
      <c r="I58" t="s">
        <v>278</v>
      </c>
      <c r="J58" t="s">
        <v>162</v>
      </c>
      <c r="K58" t="s">
        <v>236</v>
      </c>
      <c r="L58" t="s">
        <v>236</v>
      </c>
      <c r="M58">
        <v>90</v>
      </c>
    </row>
    <row r="59" spans="1:13" x14ac:dyDescent="0.2">
      <c r="A59" t="s">
        <v>276</v>
      </c>
      <c r="B59" t="s">
        <v>250</v>
      </c>
      <c r="C59" t="s">
        <v>277</v>
      </c>
      <c r="D59" t="s">
        <v>239</v>
      </c>
      <c r="E59" t="s">
        <v>277</v>
      </c>
      <c r="F59" t="s">
        <v>240</v>
      </c>
      <c r="G59" t="s">
        <v>216</v>
      </c>
      <c r="H59" t="s">
        <v>233</v>
      </c>
      <c r="I59" t="s">
        <v>278</v>
      </c>
      <c r="J59" t="s">
        <v>162</v>
      </c>
      <c r="K59" t="s">
        <v>236</v>
      </c>
      <c r="L59" t="s">
        <v>236</v>
      </c>
      <c r="M59">
        <v>90</v>
      </c>
    </row>
    <row r="60" spans="1:13" x14ac:dyDescent="0.2">
      <c r="A60" t="s">
        <v>276</v>
      </c>
      <c r="B60" t="s">
        <v>252</v>
      </c>
      <c r="C60" t="s">
        <v>279</v>
      </c>
      <c r="D60" t="s">
        <v>231</v>
      </c>
      <c r="E60" t="s">
        <v>279</v>
      </c>
      <c r="F60" t="s">
        <v>232</v>
      </c>
      <c r="G60" t="s">
        <v>216</v>
      </c>
      <c r="H60" t="s">
        <v>233</v>
      </c>
      <c r="I60" t="s">
        <v>278</v>
      </c>
      <c r="J60" t="s">
        <v>162</v>
      </c>
      <c r="K60" t="s">
        <v>236</v>
      </c>
      <c r="L60" t="s">
        <v>236</v>
      </c>
      <c r="M60">
        <v>90</v>
      </c>
    </row>
    <row r="61" spans="1:13" x14ac:dyDescent="0.2">
      <c r="A61" t="s">
        <v>276</v>
      </c>
      <c r="B61" t="s">
        <v>252</v>
      </c>
      <c r="C61" t="s">
        <v>279</v>
      </c>
      <c r="D61" t="s">
        <v>237</v>
      </c>
      <c r="E61" t="s">
        <v>279</v>
      </c>
      <c r="F61" t="s">
        <v>238</v>
      </c>
      <c r="G61" t="s">
        <v>216</v>
      </c>
      <c r="H61" t="s">
        <v>233</v>
      </c>
      <c r="I61" t="s">
        <v>278</v>
      </c>
      <c r="J61" t="s">
        <v>162</v>
      </c>
      <c r="K61" t="s">
        <v>236</v>
      </c>
      <c r="L61" t="s">
        <v>236</v>
      </c>
      <c r="M61">
        <v>90</v>
      </c>
    </row>
    <row r="62" spans="1:13" x14ac:dyDescent="0.2">
      <c r="A62" t="s">
        <v>276</v>
      </c>
      <c r="B62" t="s">
        <v>252</v>
      </c>
      <c r="C62" t="s">
        <v>279</v>
      </c>
      <c r="D62" t="s">
        <v>239</v>
      </c>
      <c r="E62" t="s">
        <v>279</v>
      </c>
      <c r="F62" t="s">
        <v>240</v>
      </c>
      <c r="G62" t="s">
        <v>216</v>
      </c>
      <c r="H62" t="s">
        <v>233</v>
      </c>
      <c r="I62" t="s">
        <v>278</v>
      </c>
      <c r="J62" t="s">
        <v>162</v>
      </c>
      <c r="K62" t="s">
        <v>236</v>
      </c>
      <c r="L62" t="s">
        <v>236</v>
      </c>
      <c r="M62">
        <v>90</v>
      </c>
    </row>
    <row r="63" spans="1:13" x14ac:dyDescent="0.2">
      <c r="A63" t="s">
        <v>276</v>
      </c>
      <c r="B63" t="s">
        <v>243</v>
      </c>
      <c r="C63" t="s">
        <v>280</v>
      </c>
      <c r="D63" t="s">
        <v>231</v>
      </c>
      <c r="E63" t="s">
        <v>280</v>
      </c>
      <c r="F63" t="s">
        <v>232</v>
      </c>
      <c r="G63" t="s">
        <v>216</v>
      </c>
      <c r="H63" t="s">
        <v>233</v>
      </c>
      <c r="I63" t="s">
        <v>267</v>
      </c>
      <c r="J63" t="s">
        <v>235</v>
      </c>
      <c r="K63" t="s">
        <v>236</v>
      </c>
      <c r="L63" t="s">
        <v>236</v>
      </c>
      <c r="M63">
        <v>90</v>
      </c>
    </row>
    <row r="64" spans="1:13" x14ac:dyDescent="0.2">
      <c r="A64" t="s">
        <v>276</v>
      </c>
      <c r="B64" t="s">
        <v>243</v>
      </c>
      <c r="C64" t="s">
        <v>280</v>
      </c>
      <c r="D64" t="s">
        <v>237</v>
      </c>
      <c r="E64" t="s">
        <v>280</v>
      </c>
      <c r="F64" t="s">
        <v>238</v>
      </c>
      <c r="G64" t="s">
        <v>216</v>
      </c>
      <c r="H64" t="s">
        <v>233</v>
      </c>
      <c r="I64" t="s">
        <v>267</v>
      </c>
      <c r="J64" t="s">
        <v>235</v>
      </c>
      <c r="K64" t="s">
        <v>236</v>
      </c>
      <c r="L64" t="s">
        <v>236</v>
      </c>
      <c r="M64">
        <v>90</v>
      </c>
    </row>
    <row r="65" spans="1:13" x14ac:dyDescent="0.2">
      <c r="A65" t="s">
        <v>276</v>
      </c>
      <c r="B65" t="s">
        <v>243</v>
      </c>
      <c r="C65" t="s">
        <v>280</v>
      </c>
      <c r="D65" t="s">
        <v>239</v>
      </c>
      <c r="E65" t="s">
        <v>280</v>
      </c>
      <c r="F65" t="s">
        <v>240</v>
      </c>
      <c r="G65" t="s">
        <v>216</v>
      </c>
      <c r="H65" t="s">
        <v>233</v>
      </c>
      <c r="I65" t="s">
        <v>267</v>
      </c>
      <c r="J65" t="s">
        <v>235</v>
      </c>
      <c r="K65" t="s">
        <v>236</v>
      </c>
      <c r="L65" t="s">
        <v>236</v>
      </c>
      <c r="M65">
        <v>90</v>
      </c>
    </row>
    <row r="66" spans="1:13" x14ac:dyDescent="0.2">
      <c r="A66" t="s">
        <v>276</v>
      </c>
      <c r="B66" t="s">
        <v>243</v>
      </c>
      <c r="C66" t="s">
        <v>280</v>
      </c>
      <c r="D66" t="s">
        <v>241</v>
      </c>
      <c r="E66" t="s">
        <v>280</v>
      </c>
      <c r="F66" t="s">
        <v>242</v>
      </c>
      <c r="G66" t="s">
        <v>216</v>
      </c>
      <c r="H66" t="s">
        <v>233</v>
      </c>
      <c r="I66" t="s">
        <v>267</v>
      </c>
      <c r="J66" t="s">
        <v>235</v>
      </c>
      <c r="K66" t="s">
        <v>236</v>
      </c>
      <c r="L66" t="s">
        <v>236</v>
      </c>
      <c r="M66">
        <v>90</v>
      </c>
    </row>
    <row r="67" spans="1:13" x14ac:dyDescent="0.2">
      <c r="A67" t="s">
        <v>276</v>
      </c>
      <c r="B67" t="s">
        <v>246</v>
      </c>
      <c r="C67" t="s">
        <v>281</v>
      </c>
      <c r="D67" t="s">
        <v>231</v>
      </c>
      <c r="E67" t="s">
        <v>281</v>
      </c>
      <c r="F67" t="s">
        <v>232</v>
      </c>
      <c r="G67" t="s">
        <v>216</v>
      </c>
      <c r="H67" t="s">
        <v>233</v>
      </c>
      <c r="I67" t="s">
        <v>267</v>
      </c>
      <c r="J67" t="s">
        <v>235</v>
      </c>
      <c r="K67" t="s">
        <v>236</v>
      </c>
      <c r="L67" t="s">
        <v>236</v>
      </c>
      <c r="M67">
        <v>90</v>
      </c>
    </row>
    <row r="68" spans="1:13" x14ac:dyDescent="0.2">
      <c r="A68" t="s">
        <v>276</v>
      </c>
      <c r="B68" t="s">
        <v>246</v>
      </c>
      <c r="C68" t="s">
        <v>281</v>
      </c>
      <c r="D68" t="s">
        <v>237</v>
      </c>
      <c r="E68" t="s">
        <v>281</v>
      </c>
      <c r="F68" t="s">
        <v>238</v>
      </c>
      <c r="G68" t="s">
        <v>216</v>
      </c>
      <c r="H68" t="s">
        <v>233</v>
      </c>
      <c r="I68" t="s">
        <v>267</v>
      </c>
      <c r="J68" t="s">
        <v>235</v>
      </c>
      <c r="K68" t="s">
        <v>236</v>
      </c>
      <c r="L68" t="s">
        <v>236</v>
      </c>
      <c r="M68">
        <v>90</v>
      </c>
    </row>
    <row r="69" spans="1:13" x14ac:dyDescent="0.2">
      <c r="A69" t="s">
        <v>276</v>
      </c>
      <c r="B69" t="s">
        <v>246</v>
      </c>
      <c r="C69" t="s">
        <v>281</v>
      </c>
      <c r="D69" t="s">
        <v>239</v>
      </c>
      <c r="E69" t="s">
        <v>281</v>
      </c>
      <c r="F69" t="s">
        <v>240</v>
      </c>
      <c r="G69" t="s">
        <v>216</v>
      </c>
      <c r="H69" t="s">
        <v>233</v>
      </c>
      <c r="I69" t="s">
        <v>267</v>
      </c>
      <c r="J69" t="s">
        <v>235</v>
      </c>
      <c r="K69" t="s">
        <v>236</v>
      </c>
      <c r="L69" t="s">
        <v>236</v>
      </c>
      <c r="M69">
        <v>90</v>
      </c>
    </row>
    <row r="70" spans="1:13" x14ac:dyDescent="0.2">
      <c r="A70" t="s">
        <v>276</v>
      </c>
      <c r="B70" t="s">
        <v>246</v>
      </c>
      <c r="C70" t="s">
        <v>281</v>
      </c>
      <c r="D70" t="s">
        <v>241</v>
      </c>
      <c r="E70" t="s">
        <v>281</v>
      </c>
      <c r="F70" t="s">
        <v>242</v>
      </c>
      <c r="G70" t="s">
        <v>216</v>
      </c>
      <c r="H70" t="s">
        <v>233</v>
      </c>
      <c r="I70" t="s">
        <v>267</v>
      </c>
      <c r="J70" t="s">
        <v>235</v>
      </c>
      <c r="K70" t="s">
        <v>236</v>
      </c>
      <c r="L70" t="s">
        <v>236</v>
      </c>
      <c r="M70">
        <v>90</v>
      </c>
    </row>
    <row r="71" spans="1:13" x14ac:dyDescent="0.2">
      <c r="A71" t="s">
        <v>282</v>
      </c>
      <c r="B71" t="s">
        <v>250</v>
      </c>
      <c r="C71" t="s">
        <v>283</v>
      </c>
      <c r="D71" t="s">
        <v>231</v>
      </c>
      <c r="E71" t="s">
        <v>283</v>
      </c>
      <c r="F71" t="s">
        <v>232</v>
      </c>
      <c r="G71" t="s">
        <v>216</v>
      </c>
      <c r="H71" t="s">
        <v>284</v>
      </c>
      <c r="I71" t="s">
        <v>267</v>
      </c>
      <c r="J71" t="s">
        <v>235</v>
      </c>
      <c r="K71" t="s">
        <v>236</v>
      </c>
      <c r="L71" t="s">
        <v>236</v>
      </c>
      <c r="M71">
        <v>90</v>
      </c>
    </row>
    <row r="72" spans="1:13" x14ac:dyDescent="0.2">
      <c r="A72" t="s">
        <v>282</v>
      </c>
      <c r="B72" t="s">
        <v>250</v>
      </c>
      <c r="C72" t="s">
        <v>283</v>
      </c>
      <c r="D72" t="s">
        <v>237</v>
      </c>
      <c r="E72" t="s">
        <v>283</v>
      </c>
      <c r="F72" t="s">
        <v>238</v>
      </c>
      <c r="G72" t="s">
        <v>216</v>
      </c>
      <c r="H72" t="s">
        <v>284</v>
      </c>
      <c r="I72" t="s">
        <v>267</v>
      </c>
      <c r="J72" t="s">
        <v>235</v>
      </c>
      <c r="K72" t="s">
        <v>236</v>
      </c>
      <c r="L72" t="s">
        <v>236</v>
      </c>
      <c r="M72">
        <v>90</v>
      </c>
    </row>
    <row r="73" spans="1:13" x14ac:dyDescent="0.2">
      <c r="A73" t="s">
        <v>282</v>
      </c>
      <c r="B73" t="s">
        <v>252</v>
      </c>
      <c r="C73" t="s">
        <v>285</v>
      </c>
      <c r="D73" t="s">
        <v>231</v>
      </c>
      <c r="E73" t="s">
        <v>285</v>
      </c>
      <c r="F73" t="s">
        <v>232</v>
      </c>
      <c r="G73" t="s">
        <v>216</v>
      </c>
      <c r="H73" t="s">
        <v>284</v>
      </c>
      <c r="I73" t="s">
        <v>286</v>
      </c>
      <c r="J73" t="s">
        <v>162</v>
      </c>
      <c r="K73" t="s">
        <v>236</v>
      </c>
      <c r="L73" t="s">
        <v>236</v>
      </c>
      <c r="M73">
        <v>90</v>
      </c>
    </row>
    <row r="74" spans="1:13" x14ac:dyDescent="0.2">
      <c r="A74" t="s">
        <v>282</v>
      </c>
      <c r="B74" t="s">
        <v>252</v>
      </c>
      <c r="C74" t="s">
        <v>285</v>
      </c>
      <c r="D74" t="s">
        <v>237</v>
      </c>
      <c r="E74" t="s">
        <v>285</v>
      </c>
      <c r="F74" t="s">
        <v>238</v>
      </c>
      <c r="G74" t="s">
        <v>216</v>
      </c>
      <c r="H74" t="s">
        <v>284</v>
      </c>
      <c r="I74" t="s">
        <v>286</v>
      </c>
      <c r="J74" t="s">
        <v>162</v>
      </c>
      <c r="K74" t="s">
        <v>236</v>
      </c>
      <c r="L74" t="s">
        <v>236</v>
      </c>
      <c r="M74">
        <v>90</v>
      </c>
    </row>
    <row r="75" spans="1:13" x14ac:dyDescent="0.2">
      <c r="A75" t="s">
        <v>282</v>
      </c>
      <c r="B75" t="s">
        <v>252</v>
      </c>
      <c r="C75" t="s">
        <v>285</v>
      </c>
      <c r="D75" t="s">
        <v>239</v>
      </c>
      <c r="E75" t="s">
        <v>285</v>
      </c>
      <c r="F75" t="s">
        <v>240</v>
      </c>
      <c r="G75" t="s">
        <v>216</v>
      </c>
      <c r="H75" t="s">
        <v>284</v>
      </c>
      <c r="I75" t="s">
        <v>286</v>
      </c>
      <c r="J75" t="s">
        <v>162</v>
      </c>
      <c r="K75" t="s">
        <v>236</v>
      </c>
      <c r="L75" t="s">
        <v>236</v>
      </c>
      <c r="M75">
        <v>90</v>
      </c>
    </row>
    <row r="76" spans="1:13" x14ac:dyDescent="0.2">
      <c r="A76" t="s">
        <v>282</v>
      </c>
      <c r="B76" t="s">
        <v>229</v>
      </c>
      <c r="C76" t="s">
        <v>287</v>
      </c>
      <c r="D76" t="s">
        <v>231</v>
      </c>
      <c r="E76" t="s">
        <v>287</v>
      </c>
      <c r="F76" t="s">
        <v>232</v>
      </c>
      <c r="G76" t="s">
        <v>216</v>
      </c>
      <c r="H76" t="s">
        <v>284</v>
      </c>
      <c r="I76" t="s">
        <v>269</v>
      </c>
      <c r="J76" t="s">
        <v>162</v>
      </c>
      <c r="K76" t="s">
        <v>236</v>
      </c>
      <c r="L76" t="s">
        <v>236</v>
      </c>
      <c r="M76">
        <v>90</v>
      </c>
    </row>
    <row r="77" spans="1:13" x14ac:dyDescent="0.2">
      <c r="A77" t="s">
        <v>282</v>
      </c>
      <c r="B77" t="s">
        <v>229</v>
      </c>
      <c r="C77" t="s">
        <v>287</v>
      </c>
      <c r="D77" t="s">
        <v>237</v>
      </c>
      <c r="E77" t="s">
        <v>287</v>
      </c>
      <c r="F77" t="s">
        <v>238</v>
      </c>
      <c r="G77" t="s">
        <v>216</v>
      </c>
      <c r="H77" t="s">
        <v>284</v>
      </c>
      <c r="I77" t="s">
        <v>269</v>
      </c>
      <c r="J77" t="s">
        <v>162</v>
      </c>
      <c r="K77" t="s">
        <v>236</v>
      </c>
      <c r="L77" t="s">
        <v>236</v>
      </c>
      <c r="M77">
        <v>90</v>
      </c>
    </row>
    <row r="78" spans="1:13" x14ac:dyDescent="0.2">
      <c r="A78" t="s">
        <v>288</v>
      </c>
      <c r="B78" t="s">
        <v>250</v>
      </c>
      <c r="C78" t="s">
        <v>289</v>
      </c>
      <c r="D78" t="s">
        <v>231</v>
      </c>
      <c r="E78" t="s">
        <v>289</v>
      </c>
      <c r="F78" t="s">
        <v>232</v>
      </c>
      <c r="G78" t="s">
        <v>216</v>
      </c>
      <c r="H78" t="s">
        <v>284</v>
      </c>
      <c r="I78" t="s">
        <v>290</v>
      </c>
      <c r="J78" t="s">
        <v>162</v>
      </c>
      <c r="K78" t="s">
        <v>236</v>
      </c>
      <c r="L78" t="s">
        <v>236</v>
      </c>
      <c r="M78">
        <v>90</v>
      </c>
    </row>
    <row r="79" spans="1:13" x14ac:dyDescent="0.2">
      <c r="A79" t="s">
        <v>288</v>
      </c>
      <c r="B79" t="s">
        <v>250</v>
      </c>
      <c r="C79" t="s">
        <v>289</v>
      </c>
      <c r="D79" t="s">
        <v>237</v>
      </c>
      <c r="E79" t="s">
        <v>289</v>
      </c>
      <c r="F79" t="s">
        <v>238</v>
      </c>
      <c r="G79" t="s">
        <v>216</v>
      </c>
      <c r="H79" t="s">
        <v>284</v>
      </c>
      <c r="I79" t="s">
        <v>290</v>
      </c>
      <c r="J79" t="s">
        <v>162</v>
      </c>
      <c r="K79" t="s">
        <v>236</v>
      </c>
      <c r="L79" t="s">
        <v>236</v>
      </c>
      <c r="M79">
        <v>90</v>
      </c>
    </row>
    <row r="80" spans="1:13" x14ac:dyDescent="0.2">
      <c r="A80" t="s">
        <v>288</v>
      </c>
      <c r="B80" t="s">
        <v>250</v>
      </c>
      <c r="C80" t="s">
        <v>289</v>
      </c>
      <c r="D80" t="s">
        <v>239</v>
      </c>
      <c r="E80" t="s">
        <v>289</v>
      </c>
      <c r="F80" t="s">
        <v>240</v>
      </c>
      <c r="G80" t="s">
        <v>216</v>
      </c>
      <c r="H80" t="s">
        <v>284</v>
      </c>
      <c r="I80" t="s">
        <v>290</v>
      </c>
      <c r="J80" t="s">
        <v>162</v>
      </c>
      <c r="K80" t="s">
        <v>236</v>
      </c>
      <c r="L80" t="s">
        <v>236</v>
      </c>
      <c r="M80">
        <v>90</v>
      </c>
    </row>
    <row r="81" spans="1:13" x14ac:dyDescent="0.2">
      <c r="A81" t="s">
        <v>288</v>
      </c>
      <c r="B81" t="s">
        <v>252</v>
      </c>
      <c r="C81" t="s">
        <v>291</v>
      </c>
      <c r="D81" t="s">
        <v>231</v>
      </c>
      <c r="E81" t="s">
        <v>291</v>
      </c>
      <c r="F81" t="s">
        <v>232</v>
      </c>
      <c r="G81" t="s">
        <v>216</v>
      </c>
      <c r="H81" t="s">
        <v>284</v>
      </c>
      <c r="I81" t="s">
        <v>292</v>
      </c>
      <c r="J81" t="s">
        <v>162</v>
      </c>
      <c r="K81" t="s">
        <v>236</v>
      </c>
      <c r="L81" t="s">
        <v>236</v>
      </c>
      <c r="M81">
        <v>90</v>
      </c>
    </row>
    <row r="82" spans="1:13" x14ac:dyDescent="0.2">
      <c r="A82" t="s">
        <v>288</v>
      </c>
      <c r="B82" t="s">
        <v>252</v>
      </c>
      <c r="C82" t="s">
        <v>291</v>
      </c>
      <c r="D82" t="s">
        <v>237</v>
      </c>
      <c r="E82" t="s">
        <v>291</v>
      </c>
      <c r="F82" t="s">
        <v>238</v>
      </c>
      <c r="G82" t="s">
        <v>216</v>
      </c>
      <c r="H82" t="s">
        <v>284</v>
      </c>
      <c r="I82" t="s">
        <v>292</v>
      </c>
      <c r="J82" t="s">
        <v>162</v>
      </c>
      <c r="K82" t="s">
        <v>236</v>
      </c>
      <c r="L82" t="s">
        <v>236</v>
      </c>
      <c r="M82">
        <v>90</v>
      </c>
    </row>
    <row r="83" spans="1:13" x14ac:dyDescent="0.2">
      <c r="A83" t="s">
        <v>288</v>
      </c>
      <c r="B83" t="s">
        <v>252</v>
      </c>
      <c r="C83" t="s">
        <v>291</v>
      </c>
      <c r="D83" t="s">
        <v>239</v>
      </c>
      <c r="E83" t="s">
        <v>291</v>
      </c>
      <c r="F83" t="s">
        <v>240</v>
      </c>
      <c r="G83" t="s">
        <v>216</v>
      </c>
      <c r="H83" t="s">
        <v>284</v>
      </c>
      <c r="I83" t="s">
        <v>292</v>
      </c>
      <c r="J83" t="s">
        <v>162</v>
      </c>
      <c r="K83" t="s">
        <v>236</v>
      </c>
      <c r="L83" t="s">
        <v>236</v>
      </c>
      <c r="M83">
        <v>90</v>
      </c>
    </row>
    <row r="84" spans="1:13" x14ac:dyDescent="0.2">
      <c r="A84" t="s">
        <v>288</v>
      </c>
      <c r="B84" t="s">
        <v>229</v>
      </c>
      <c r="C84" t="s">
        <v>293</v>
      </c>
      <c r="D84" t="s">
        <v>231</v>
      </c>
      <c r="E84" t="s">
        <v>293</v>
      </c>
      <c r="F84" t="s">
        <v>232</v>
      </c>
      <c r="G84" t="s">
        <v>216</v>
      </c>
      <c r="H84" t="s">
        <v>284</v>
      </c>
      <c r="I84" t="s">
        <v>294</v>
      </c>
      <c r="J84" t="s">
        <v>162</v>
      </c>
      <c r="K84" t="s">
        <v>236</v>
      </c>
      <c r="L84" t="s">
        <v>236</v>
      </c>
      <c r="M84">
        <v>90</v>
      </c>
    </row>
    <row r="85" spans="1:13" x14ac:dyDescent="0.2">
      <c r="A85" t="s">
        <v>288</v>
      </c>
      <c r="B85" t="s">
        <v>229</v>
      </c>
      <c r="C85" t="s">
        <v>293</v>
      </c>
      <c r="D85" t="s">
        <v>237</v>
      </c>
      <c r="E85" t="s">
        <v>293</v>
      </c>
      <c r="F85" t="s">
        <v>238</v>
      </c>
      <c r="G85" t="s">
        <v>216</v>
      </c>
      <c r="H85" t="s">
        <v>284</v>
      </c>
      <c r="I85" t="s">
        <v>294</v>
      </c>
      <c r="J85" t="s">
        <v>162</v>
      </c>
      <c r="K85" t="s">
        <v>236</v>
      </c>
      <c r="L85" t="s">
        <v>236</v>
      </c>
      <c r="M85">
        <v>90</v>
      </c>
    </row>
    <row r="86" spans="1:13" x14ac:dyDescent="0.2">
      <c r="A86" t="s">
        <v>288</v>
      </c>
      <c r="B86" t="s">
        <v>243</v>
      </c>
      <c r="C86" t="s">
        <v>295</v>
      </c>
      <c r="D86" t="s">
        <v>231</v>
      </c>
      <c r="E86" t="s">
        <v>295</v>
      </c>
      <c r="F86" t="s">
        <v>232</v>
      </c>
      <c r="G86" t="s">
        <v>216</v>
      </c>
      <c r="H86" t="s">
        <v>284</v>
      </c>
      <c r="I86" t="s">
        <v>269</v>
      </c>
      <c r="J86" t="s">
        <v>162</v>
      </c>
      <c r="K86" t="s">
        <v>236</v>
      </c>
      <c r="L86" t="s">
        <v>236</v>
      </c>
      <c r="M86">
        <v>90</v>
      </c>
    </row>
    <row r="87" spans="1:13" x14ac:dyDescent="0.2">
      <c r="A87" t="s">
        <v>288</v>
      </c>
      <c r="B87" t="s">
        <v>243</v>
      </c>
      <c r="C87" t="s">
        <v>295</v>
      </c>
      <c r="D87" t="s">
        <v>237</v>
      </c>
      <c r="E87" t="s">
        <v>295</v>
      </c>
      <c r="F87" t="s">
        <v>238</v>
      </c>
      <c r="G87" t="s">
        <v>216</v>
      </c>
      <c r="H87" t="s">
        <v>284</v>
      </c>
      <c r="I87" t="s">
        <v>269</v>
      </c>
      <c r="J87" t="s">
        <v>162</v>
      </c>
      <c r="K87" t="s">
        <v>236</v>
      </c>
      <c r="L87" t="s">
        <v>236</v>
      </c>
      <c r="M87">
        <v>90</v>
      </c>
    </row>
    <row r="88" spans="1:13" x14ac:dyDescent="0.2">
      <c r="A88" t="s">
        <v>288</v>
      </c>
      <c r="B88" t="s">
        <v>243</v>
      </c>
      <c r="C88" t="s">
        <v>295</v>
      </c>
      <c r="D88" t="s">
        <v>239</v>
      </c>
      <c r="E88" t="s">
        <v>295</v>
      </c>
      <c r="F88" t="s">
        <v>240</v>
      </c>
      <c r="G88" t="s">
        <v>216</v>
      </c>
      <c r="H88" t="s">
        <v>284</v>
      </c>
      <c r="I88" t="s">
        <v>269</v>
      </c>
      <c r="J88" t="s">
        <v>162</v>
      </c>
      <c r="K88" t="s">
        <v>236</v>
      </c>
      <c r="L88" t="s">
        <v>236</v>
      </c>
      <c r="M88">
        <v>90</v>
      </c>
    </row>
    <row r="89" spans="1:13" x14ac:dyDescent="0.2">
      <c r="A89" t="s">
        <v>288</v>
      </c>
      <c r="B89" t="s">
        <v>246</v>
      </c>
      <c r="C89" t="s">
        <v>296</v>
      </c>
      <c r="D89" t="s">
        <v>231</v>
      </c>
      <c r="E89" t="s">
        <v>296</v>
      </c>
      <c r="F89" t="s">
        <v>232</v>
      </c>
      <c r="G89" t="s">
        <v>216</v>
      </c>
      <c r="H89" t="s">
        <v>284</v>
      </c>
      <c r="I89" t="s">
        <v>297</v>
      </c>
      <c r="J89" t="s">
        <v>162</v>
      </c>
      <c r="K89" t="s">
        <v>236</v>
      </c>
      <c r="L89" t="s">
        <v>236</v>
      </c>
      <c r="M89">
        <v>90</v>
      </c>
    </row>
    <row r="90" spans="1:13" x14ac:dyDescent="0.2">
      <c r="A90" t="s">
        <v>288</v>
      </c>
      <c r="B90" t="s">
        <v>246</v>
      </c>
      <c r="C90" t="s">
        <v>296</v>
      </c>
      <c r="D90" t="s">
        <v>237</v>
      </c>
      <c r="E90" t="s">
        <v>296</v>
      </c>
      <c r="F90" t="s">
        <v>238</v>
      </c>
      <c r="G90" t="s">
        <v>216</v>
      </c>
      <c r="H90" t="s">
        <v>284</v>
      </c>
      <c r="I90" t="s">
        <v>297</v>
      </c>
      <c r="J90" t="s">
        <v>162</v>
      </c>
      <c r="K90" t="s">
        <v>236</v>
      </c>
      <c r="L90" t="s">
        <v>236</v>
      </c>
      <c r="M90">
        <v>90</v>
      </c>
    </row>
    <row r="91" spans="1:13" x14ac:dyDescent="0.2">
      <c r="A91" t="s">
        <v>288</v>
      </c>
      <c r="B91" t="s">
        <v>246</v>
      </c>
      <c r="C91" t="s">
        <v>296</v>
      </c>
      <c r="D91" t="s">
        <v>239</v>
      </c>
      <c r="E91" t="s">
        <v>296</v>
      </c>
      <c r="F91" t="s">
        <v>240</v>
      </c>
      <c r="G91" t="s">
        <v>216</v>
      </c>
      <c r="H91" t="s">
        <v>284</v>
      </c>
      <c r="I91" t="s">
        <v>297</v>
      </c>
      <c r="J91" t="s">
        <v>162</v>
      </c>
      <c r="K91" t="s">
        <v>236</v>
      </c>
      <c r="L91" t="s">
        <v>236</v>
      </c>
      <c r="M91">
        <v>90</v>
      </c>
    </row>
    <row r="92" spans="1:13" x14ac:dyDescent="0.2">
      <c r="A92" t="s">
        <v>298</v>
      </c>
      <c r="B92" t="s">
        <v>252</v>
      </c>
      <c r="C92" t="s">
        <v>299</v>
      </c>
      <c r="D92" t="s">
        <v>231</v>
      </c>
      <c r="E92" t="s">
        <v>299</v>
      </c>
      <c r="F92" t="s">
        <v>232</v>
      </c>
      <c r="G92" t="s">
        <v>216</v>
      </c>
      <c r="H92" t="s">
        <v>284</v>
      </c>
      <c r="I92" t="s">
        <v>300</v>
      </c>
      <c r="J92" t="s">
        <v>162</v>
      </c>
      <c r="K92" t="s">
        <v>236</v>
      </c>
      <c r="L92" t="s">
        <v>236</v>
      </c>
      <c r="M92">
        <v>90</v>
      </c>
    </row>
    <row r="93" spans="1:13" x14ac:dyDescent="0.2">
      <c r="A93" t="s">
        <v>298</v>
      </c>
      <c r="B93" t="s">
        <v>252</v>
      </c>
      <c r="C93" t="s">
        <v>299</v>
      </c>
      <c r="D93" t="s">
        <v>237</v>
      </c>
      <c r="E93" t="s">
        <v>299</v>
      </c>
      <c r="F93" t="s">
        <v>238</v>
      </c>
      <c r="G93" t="s">
        <v>216</v>
      </c>
      <c r="H93" t="s">
        <v>284</v>
      </c>
      <c r="I93" t="s">
        <v>300</v>
      </c>
      <c r="J93" t="s">
        <v>162</v>
      </c>
      <c r="K93" t="s">
        <v>236</v>
      </c>
      <c r="L93" t="s">
        <v>236</v>
      </c>
      <c r="M93">
        <v>90</v>
      </c>
    </row>
    <row r="94" spans="1:13" x14ac:dyDescent="0.2">
      <c r="A94" t="s">
        <v>298</v>
      </c>
      <c r="B94" t="s">
        <v>252</v>
      </c>
      <c r="C94" t="s">
        <v>299</v>
      </c>
      <c r="D94" t="s">
        <v>239</v>
      </c>
      <c r="E94" t="s">
        <v>299</v>
      </c>
      <c r="F94" t="s">
        <v>240</v>
      </c>
      <c r="G94" t="s">
        <v>216</v>
      </c>
      <c r="H94" t="s">
        <v>284</v>
      </c>
      <c r="I94" t="s">
        <v>300</v>
      </c>
      <c r="J94" t="s">
        <v>162</v>
      </c>
      <c r="K94" t="s">
        <v>236</v>
      </c>
      <c r="L94" t="s">
        <v>236</v>
      </c>
      <c r="M94">
        <v>90</v>
      </c>
    </row>
    <row r="95" spans="1:13" x14ac:dyDescent="0.2">
      <c r="A95" t="s">
        <v>298</v>
      </c>
      <c r="B95" t="s">
        <v>229</v>
      </c>
      <c r="C95" t="s">
        <v>301</v>
      </c>
      <c r="D95" t="s">
        <v>231</v>
      </c>
      <c r="E95" t="s">
        <v>301</v>
      </c>
      <c r="F95" t="s">
        <v>232</v>
      </c>
      <c r="G95" t="s">
        <v>216</v>
      </c>
      <c r="H95" t="s">
        <v>284</v>
      </c>
      <c r="I95" t="s">
        <v>302</v>
      </c>
      <c r="J95" t="s">
        <v>162</v>
      </c>
      <c r="K95" t="s">
        <v>236</v>
      </c>
      <c r="L95" t="s">
        <v>236</v>
      </c>
      <c r="M95">
        <v>90</v>
      </c>
    </row>
    <row r="96" spans="1:13" x14ac:dyDescent="0.2">
      <c r="A96" t="s">
        <v>298</v>
      </c>
      <c r="B96" t="s">
        <v>229</v>
      </c>
      <c r="C96" t="s">
        <v>301</v>
      </c>
      <c r="D96" t="s">
        <v>237</v>
      </c>
      <c r="E96" t="s">
        <v>301</v>
      </c>
      <c r="F96" t="s">
        <v>238</v>
      </c>
      <c r="G96" t="s">
        <v>216</v>
      </c>
      <c r="H96" t="s">
        <v>284</v>
      </c>
      <c r="I96" t="s">
        <v>302</v>
      </c>
      <c r="J96" t="s">
        <v>162</v>
      </c>
      <c r="K96" t="s">
        <v>236</v>
      </c>
      <c r="L96" t="s">
        <v>236</v>
      </c>
      <c r="M96">
        <v>90</v>
      </c>
    </row>
    <row r="97" spans="1:13" x14ac:dyDescent="0.2">
      <c r="A97" t="s">
        <v>298</v>
      </c>
      <c r="B97" t="s">
        <v>243</v>
      </c>
      <c r="C97" t="s">
        <v>303</v>
      </c>
      <c r="D97" t="s">
        <v>231</v>
      </c>
      <c r="E97" t="s">
        <v>303</v>
      </c>
      <c r="F97" t="s">
        <v>232</v>
      </c>
      <c r="G97" t="s">
        <v>216</v>
      </c>
      <c r="H97" t="s">
        <v>284</v>
      </c>
      <c r="I97" t="s">
        <v>304</v>
      </c>
      <c r="J97" t="s">
        <v>162</v>
      </c>
      <c r="K97" t="s">
        <v>236</v>
      </c>
      <c r="L97" t="s">
        <v>236</v>
      </c>
      <c r="M97">
        <v>90</v>
      </c>
    </row>
    <row r="98" spans="1:13" x14ac:dyDescent="0.2">
      <c r="A98" t="s">
        <v>298</v>
      </c>
      <c r="B98" t="s">
        <v>243</v>
      </c>
      <c r="C98" t="s">
        <v>303</v>
      </c>
      <c r="D98" t="s">
        <v>237</v>
      </c>
      <c r="E98" t="s">
        <v>303</v>
      </c>
      <c r="F98" t="s">
        <v>238</v>
      </c>
      <c r="G98" t="s">
        <v>216</v>
      </c>
      <c r="H98" t="s">
        <v>284</v>
      </c>
      <c r="I98" t="s">
        <v>304</v>
      </c>
      <c r="J98" t="s">
        <v>162</v>
      </c>
      <c r="K98" t="s">
        <v>236</v>
      </c>
      <c r="L98" t="s">
        <v>236</v>
      </c>
      <c r="M98">
        <v>90</v>
      </c>
    </row>
    <row r="99" spans="1:13" x14ac:dyDescent="0.2">
      <c r="A99" t="s">
        <v>298</v>
      </c>
      <c r="B99" t="s">
        <v>243</v>
      </c>
      <c r="C99" t="s">
        <v>303</v>
      </c>
      <c r="D99" t="s">
        <v>239</v>
      </c>
      <c r="E99" t="s">
        <v>303</v>
      </c>
      <c r="F99" t="s">
        <v>240</v>
      </c>
      <c r="G99" t="s">
        <v>216</v>
      </c>
      <c r="H99" t="s">
        <v>284</v>
      </c>
      <c r="I99" t="s">
        <v>304</v>
      </c>
      <c r="J99" t="s">
        <v>162</v>
      </c>
      <c r="K99" t="s">
        <v>236</v>
      </c>
      <c r="L99" t="s">
        <v>236</v>
      </c>
      <c r="M99">
        <v>90</v>
      </c>
    </row>
    <row r="101" spans="1:13" ht="16" x14ac:dyDescent="0.2">
      <c r="A101" s="99" t="s">
        <v>305</v>
      </c>
      <c r="B101">
        <v>139.5</v>
      </c>
    </row>
    <row r="102" spans="1:13" ht="16" x14ac:dyDescent="0.2">
      <c r="A102" s="99" t="s">
        <v>227</v>
      </c>
      <c r="B102">
        <v>139.5</v>
      </c>
    </row>
    <row r="107" spans="1:13" x14ac:dyDescent="0.2">
      <c r="A107" t="s">
        <v>306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A15CA-2394-994C-824F-57EE019FC269}">
  <sheetPr codeName="Sheet17"/>
  <dimension ref="A1:DC180"/>
  <sheetViews>
    <sheetView workbookViewId="0"/>
  </sheetViews>
  <sheetFormatPr baseColWidth="10" defaultRowHeight="15" x14ac:dyDescent="0.2"/>
  <cols>
    <col min="2" max="2" width="11.33203125" customWidth="1"/>
  </cols>
  <sheetData>
    <row r="1" spans="1:107" ht="15" customHeight="1" thickBot="1" x14ac:dyDescent="0.25">
      <c r="A1" s="288"/>
      <c r="B1" s="288"/>
      <c r="C1" s="288"/>
      <c r="D1" s="288"/>
      <c r="E1" s="288"/>
      <c r="F1" s="288"/>
      <c r="G1" s="288"/>
      <c r="H1" s="288"/>
      <c r="I1" s="288"/>
      <c r="J1" s="288"/>
      <c r="K1" s="288"/>
      <c r="L1" s="288"/>
      <c r="M1" s="288"/>
      <c r="N1" s="288"/>
      <c r="O1" s="288"/>
      <c r="P1" s="288"/>
      <c r="Q1" s="288"/>
      <c r="R1" s="288"/>
      <c r="S1" s="288"/>
      <c r="T1" s="288"/>
      <c r="U1" s="288"/>
      <c r="V1" s="288"/>
      <c r="W1" s="288"/>
      <c r="X1" s="288"/>
      <c r="Y1" s="288"/>
      <c r="Z1" s="288"/>
      <c r="AA1" s="288"/>
      <c r="AB1" s="288"/>
      <c r="AC1" s="288"/>
      <c r="AD1" s="288"/>
      <c r="AE1" s="288"/>
      <c r="AF1" s="288"/>
      <c r="AG1" s="288"/>
      <c r="AH1" s="288"/>
      <c r="AI1" s="288"/>
      <c r="AJ1" s="288"/>
      <c r="AK1" s="288"/>
      <c r="AL1" s="288"/>
      <c r="AM1" s="288"/>
      <c r="AN1" s="288"/>
      <c r="AO1" s="288"/>
      <c r="AP1" s="288"/>
      <c r="AQ1" s="288"/>
      <c r="AR1" s="288"/>
      <c r="AS1" s="288"/>
      <c r="AT1" s="288"/>
      <c r="AU1" s="288"/>
      <c r="AV1" s="288"/>
      <c r="AW1" s="288"/>
      <c r="AX1" s="288"/>
      <c r="AY1" s="288"/>
      <c r="AZ1" s="288"/>
      <c r="BA1" s="288"/>
      <c r="BB1" s="288"/>
      <c r="BC1" s="288"/>
      <c r="BD1" s="288"/>
      <c r="BE1" s="288"/>
      <c r="BF1" s="288"/>
      <c r="BG1" s="288"/>
      <c r="BH1" s="288"/>
      <c r="BI1" s="288"/>
      <c r="BJ1" s="288"/>
      <c r="BK1" s="288"/>
      <c r="BL1" s="288"/>
      <c r="BM1" s="288"/>
      <c r="BN1" s="288"/>
      <c r="BO1" s="288"/>
      <c r="BP1" s="288"/>
      <c r="BQ1" s="288"/>
      <c r="BR1" s="288"/>
      <c r="BS1" s="288"/>
      <c r="BT1" s="288"/>
      <c r="BU1" s="288"/>
      <c r="BV1" s="288"/>
      <c r="BW1" s="288"/>
      <c r="BX1" s="288"/>
      <c r="BY1" s="288"/>
      <c r="BZ1" s="288"/>
      <c r="CA1" s="288"/>
      <c r="CB1" s="288"/>
      <c r="CC1" s="288"/>
      <c r="CD1" s="288"/>
      <c r="CE1" s="288"/>
      <c r="CF1" s="288"/>
      <c r="CG1" s="288"/>
      <c r="CH1" s="288"/>
      <c r="CI1" s="288"/>
      <c r="CJ1" s="288"/>
      <c r="CK1" s="288"/>
      <c r="CL1" s="288"/>
      <c r="CM1" s="288"/>
      <c r="CN1" s="288"/>
      <c r="CO1" s="288"/>
      <c r="CP1" s="288"/>
      <c r="CQ1" s="288"/>
      <c r="CR1" s="288"/>
      <c r="CS1" s="288"/>
      <c r="CT1" s="288"/>
      <c r="CU1" s="288"/>
      <c r="CV1" s="288"/>
      <c r="CW1" s="288"/>
      <c r="CX1" s="288"/>
      <c r="CY1" s="288"/>
      <c r="CZ1" s="288"/>
      <c r="DA1" s="288"/>
      <c r="DB1" s="288"/>
      <c r="DC1" s="288"/>
    </row>
    <row r="2" spans="1:107" ht="15" customHeight="1" thickBot="1" x14ac:dyDescent="0.25">
      <c r="A2" s="288"/>
      <c r="B2" s="289"/>
      <c r="C2" s="526" t="str">
        <f>_xlfn.CONCAT("Uge ",WEEKNUM(C4))</f>
        <v>Uge 6</v>
      </c>
      <c r="D2" s="527"/>
      <c r="E2" s="527"/>
      <c r="F2" s="527"/>
      <c r="G2" s="528"/>
      <c r="H2" s="526" t="str">
        <f t="shared" ref="H2" si="0">_xlfn.CONCAT("Uge ",WEEKNUM(H4))</f>
        <v>Uge 7</v>
      </c>
      <c r="I2" s="527"/>
      <c r="J2" s="527"/>
      <c r="K2" s="527"/>
      <c r="L2" s="528"/>
      <c r="M2" s="526" t="str">
        <f t="shared" ref="M2" si="1">_xlfn.CONCAT("Uge ",WEEKNUM(M4))</f>
        <v>Uge 8</v>
      </c>
      <c r="N2" s="527"/>
      <c r="O2" s="527"/>
      <c r="P2" s="527"/>
      <c r="Q2" s="528"/>
      <c r="R2" s="526" t="str">
        <f t="shared" ref="R2" si="2">_xlfn.CONCAT("Uge ",WEEKNUM(R4))</f>
        <v>Uge 9</v>
      </c>
      <c r="S2" s="527"/>
      <c r="T2" s="527"/>
      <c r="U2" s="527"/>
      <c r="V2" s="528"/>
      <c r="W2" s="526" t="str">
        <f t="shared" ref="W2" si="3">_xlfn.CONCAT("Uge ",WEEKNUM(W4))</f>
        <v>Uge 10</v>
      </c>
      <c r="X2" s="527"/>
      <c r="Y2" s="527"/>
      <c r="Z2" s="527"/>
      <c r="AA2" s="528"/>
      <c r="AB2" s="526" t="str">
        <f t="shared" ref="AB2:CJ2" si="4">_xlfn.CONCAT("Uge ",WEEKNUM(AB4))</f>
        <v>Uge 11</v>
      </c>
      <c r="AC2" s="527"/>
      <c r="AD2" s="527"/>
      <c r="AE2" s="527"/>
      <c r="AF2" s="528"/>
      <c r="AG2" s="526" t="str">
        <f t="shared" ref="AG2:CO2" si="5">_xlfn.CONCAT("Uge ",WEEKNUM(AG4))</f>
        <v>Uge 12</v>
      </c>
      <c r="AH2" s="527"/>
      <c r="AI2" s="527"/>
      <c r="AJ2" s="527"/>
      <c r="AK2" s="528"/>
      <c r="AL2" s="526" t="str">
        <f t="shared" ref="AL2:BZ2" si="6">_xlfn.CONCAT("Uge ",WEEKNUM(AL4))</f>
        <v>Uge 13</v>
      </c>
      <c r="AM2" s="527"/>
      <c r="AN2" s="527"/>
      <c r="AO2" s="527"/>
      <c r="AP2" s="528"/>
      <c r="AQ2" s="526" t="str">
        <f t="shared" ref="AQ2" si="7">_xlfn.CONCAT("Uge ",WEEKNUM(AQ4))</f>
        <v>Uge 14</v>
      </c>
      <c r="AR2" s="527"/>
      <c r="AS2" s="527"/>
      <c r="AT2" s="527"/>
      <c r="AU2" s="528"/>
      <c r="AV2" s="526" t="str">
        <f t="shared" si="4"/>
        <v>Uge 15</v>
      </c>
      <c r="AW2" s="527"/>
      <c r="AX2" s="527"/>
      <c r="AY2" s="527"/>
      <c r="AZ2" s="528"/>
      <c r="BA2" s="526" t="str">
        <f t="shared" si="5"/>
        <v>Uge 16</v>
      </c>
      <c r="BB2" s="527"/>
      <c r="BC2" s="527"/>
      <c r="BD2" s="527"/>
      <c r="BE2" s="528"/>
      <c r="BF2" s="526" t="str">
        <f t="shared" si="6"/>
        <v>Uge 17</v>
      </c>
      <c r="BG2" s="527"/>
      <c r="BH2" s="527"/>
      <c r="BI2" s="527"/>
      <c r="BJ2" s="528"/>
      <c r="BK2" s="526" t="str">
        <f t="shared" ref="BK2" si="8">_xlfn.CONCAT("Uge ",WEEKNUM(BK4))</f>
        <v>Uge 18</v>
      </c>
      <c r="BL2" s="527"/>
      <c r="BM2" s="527"/>
      <c r="BN2" s="527"/>
      <c r="BO2" s="528"/>
      <c r="BP2" s="526" t="str">
        <f t="shared" si="4"/>
        <v>Uge 19</v>
      </c>
      <c r="BQ2" s="527"/>
      <c r="BR2" s="527"/>
      <c r="BS2" s="527"/>
      <c r="BT2" s="528"/>
      <c r="BU2" s="526" t="str">
        <f t="shared" si="5"/>
        <v>Uge 20</v>
      </c>
      <c r="BV2" s="527"/>
      <c r="BW2" s="527"/>
      <c r="BX2" s="527"/>
      <c r="BY2" s="528"/>
      <c r="BZ2" s="526" t="str">
        <f t="shared" si="6"/>
        <v>Uge 21</v>
      </c>
      <c r="CA2" s="527"/>
      <c r="CB2" s="527"/>
      <c r="CC2" s="527"/>
      <c r="CD2" s="528"/>
      <c r="CE2" s="526" t="str">
        <f t="shared" ref="CE2" si="9">_xlfn.CONCAT("Uge ",WEEKNUM(CE4))</f>
        <v>Uge 22</v>
      </c>
      <c r="CF2" s="527"/>
      <c r="CG2" s="527"/>
      <c r="CH2" s="527"/>
      <c r="CI2" s="528"/>
      <c r="CJ2" s="526" t="str">
        <f t="shared" si="4"/>
        <v>Uge 23</v>
      </c>
      <c r="CK2" s="527"/>
      <c r="CL2" s="527"/>
      <c r="CM2" s="527"/>
      <c r="CN2" s="528"/>
      <c r="CO2" s="526" t="str">
        <f t="shared" si="5"/>
        <v>Uge 24</v>
      </c>
      <c r="CP2" s="527"/>
      <c r="CQ2" s="527"/>
      <c r="CR2" s="527"/>
      <c r="CS2" s="528"/>
      <c r="CT2" s="526" t="str">
        <f>_xlfn.CONCAT("Uge ",_xlfn.ISOWEEKNUM(CT4))</f>
        <v>Uge 24</v>
      </c>
      <c r="CU2" s="527"/>
      <c r="CV2" s="527"/>
      <c r="CW2" s="527"/>
      <c r="CX2" s="528"/>
      <c r="CY2" s="526" t="str">
        <f>_xlfn.CONCAT("Uge ",_xlfn.ISOWEEKNUM(CY4))</f>
        <v>Uge 25</v>
      </c>
      <c r="CZ2" s="527"/>
      <c r="DA2" s="527"/>
      <c r="DB2" s="527"/>
      <c r="DC2" s="528"/>
    </row>
    <row r="3" spans="1:107" ht="14" customHeight="1" x14ac:dyDescent="0.2">
      <c r="A3" s="290"/>
      <c r="B3" s="529"/>
      <c r="C3" s="306">
        <f>C4</f>
        <v>46419</v>
      </c>
      <c r="D3" s="307">
        <f t="shared" ref="D3:BO3" si="10">D4</f>
        <v>46420</v>
      </c>
      <c r="E3" s="308">
        <f t="shared" si="10"/>
        <v>46421</v>
      </c>
      <c r="F3" s="308">
        <f t="shared" si="10"/>
        <v>46422</v>
      </c>
      <c r="G3" s="309">
        <f t="shared" si="10"/>
        <v>46423</v>
      </c>
      <c r="H3" s="310">
        <f t="shared" si="10"/>
        <v>46426</v>
      </c>
      <c r="I3" s="311">
        <f t="shared" si="10"/>
        <v>46427</v>
      </c>
      <c r="J3" s="312">
        <f t="shared" si="10"/>
        <v>46428</v>
      </c>
      <c r="K3" s="312">
        <f t="shared" si="10"/>
        <v>46429</v>
      </c>
      <c r="L3" s="313">
        <f t="shared" si="10"/>
        <v>46430</v>
      </c>
      <c r="M3" s="306">
        <f t="shared" si="10"/>
        <v>46433</v>
      </c>
      <c r="N3" s="307">
        <f t="shared" si="10"/>
        <v>46434</v>
      </c>
      <c r="O3" s="308">
        <f t="shared" si="10"/>
        <v>46435</v>
      </c>
      <c r="P3" s="308">
        <f t="shared" si="10"/>
        <v>46436</v>
      </c>
      <c r="Q3" s="309">
        <f t="shared" si="10"/>
        <v>46437</v>
      </c>
      <c r="R3" s="310">
        <f t="shared" si="10"/>
        <v>46440</v>
      </c>
      <c r="S3" s="312">
        <f t="shared" si="10"/>
        <v>46441</v>
      </c>
      <c r="T3" s="312">
        <f t="shared" si="10"/>
        <v>46442</v>
      </c>
      <c r="U3" s="312">
        <f t="shared" si="10"/>
        <v>46443</v>
      </c>
      <c r="V3" s="313">
        <f t="shared" si="10"/>
        <v>46444</v>
      </c>
      <c r="W3" s="306">
        <f t="shared" si="10"/>
        <v>46447</v>
      </c>
      <c r="X3" s="308">
        <f t="shared" si="10"/>
        <v>46448</v>
      </c>
      <c r="Y3" s="308">
        <f t="shared" si="10"/>
        <v>46449</v>
      </c>
      <c r="Z3" s="308">
        <f t="shared" si="10"/>
        <v>46450</v>
      </c>
      <c r="AA3" s="309">
        <f t="shared" si="10"/>
        <v>46451</v>
      </c>
      <c r="AB3" s="310">
        <f t="shared" si="10"/>
        <v>46454</v>
      </c>
      <c r="AC3" s="312">
        <f t="shared" si="10"/>
        <v>46455</v>
      </c>
      <c r="AD3" s="312">
        <f t="shared" si="10"/>
        <v>46456</v>
      </c>
      <c r="AE3" s="312">
        <f t="shared" si="10"/>
        <v>46457</v>
      </c>
      <c r="AF3" s="313">
        <f t="shared" si="10"/>
        <v>46458</v>
      </c>
      <c r="AG3" s="306">
        <f t="shared" si="10"/>
        <v>46461</v>
      </c>
      <c r="AH3" s="308">
        <f t="shared" si="10"/>
        <v>46462</v>
      </c>
      <c r="AI3" s="308">
        <f t="shared" si="10"/>
        <v>46463</v>
      </c>
      <c r="AJ3" s="308">
        <f t="shared" si="10"/>
        <v>46464</v>
      </c>
      <c r="AK3" s="309">
        <f t="shared" si="10"/>
        <v>46465</v>
      </c>
      <c r="AL3" s="310">
        <f t="shared" si="10"/>
        <v>46468</v>
      </c>
      <c r="AM3" s="312">
        <f t="shared" si="10"/>
        <v>46469</v>
      </c>
      <c r="AN3" s="312">
        <f t="shared" si="10"/>
        <v>46470</v>
      </c>
      <c r="AO3" s="312">
        <f t="shared" si="10"/>
        <v>46471</v>
      </c>
      <c r="AP3" s="313">
        <f t="shared" si="10"/>
        <v>46472</v>
      </c>
      <c r="AQ3" s="306">
        <f t="shared" si="10"/>
        <v>46475</v>
      </c>
      <c r="AR3" s="308">
        <f t="shared" si="10"/>
        <v>46476</v>
      </c>
      <c r="AS3" s="308">
        <f t="shared" si="10"/>
        <v>46477</v>
      </c>
      <c r="AT3" s="308">
        <f t="shared" si="10"/>
        <v>46478</v>
      </c>
      <c r="AU3" s="314">
        <f t="shared" si="10"/>
        <v>46479</v>
      </c>
      <c r="AV3" s="310">
        <f t="shared" si="10"/>
        <v>46482</v>
      </c>
      <c r="AW3" s="312">
        <f t="shared" si="10"/>
        <v>46483</v>
      </c>
      <c r="AX3" s="312">
        <f t="shared" si="10"/>
        <v>46484</v>
      </c>
      <c r="AY3" s="312">
        <f t="shared" si="10"/>
        <v>46485</v>
      </c>
      <c r="AZ3" s="315">
        <f t="shared" si="10"/>
        <v>46486</v>
      </c>
      <c r="BA3" s="306">
        <f t="shared" si="10"/>
        <v>46489</v>
      </c>
      <c r="BB3" s="308">
        <f t="shared" si="10"/>
        <v>46490</v>
      </c>
      <c r="BC3" s="308">
        <f t="shared" si="10"/>
        <v>46491</v>
      </c>
      <c r="BD3" s="308">
        <f t="shared" si="10"/>
        <v>46492</v>
      </c>
      <c r="BE3" s="314">
        <f t="shared" si="10"/>
        <v>46493</v>
      </c>
      <c r="BF3" s="310">
        <f t="shared" si="10"/>
        <v>46496</v>
      </c>
      <c r="BG3" s="312">
        <f t="shared" si="10"/>
        <v>46497</v>
      </c>
      <c r="BH3" s="312">
        <f t="shared" si="10"/>
        <v>46498</v>
      </c>
      <c r="BI3" s="312">
        <f t="shared" si="10"/>
        <v>46499</v>
      </c>
      <c r="BJ3" s="315">
        <f t="shared" si="10"/>
        <v>46500</v>
      </c>
      <c r="BK3" s="306">
        <f t="shared" si="10"/>
        <v>46503</v>
      </c>
      <c r="BL3" s="308">
        <f t="shared" si="10"/>
        <v>46504</v>
      </c>
      <c r="BM3" s="308">
        <f t="shared" si="10"/>
        <v>46505</v>
      </c>
      <c r="BN3" s="308">
        <f t="shared" si="10"/>
        <v>46506</v>
      </c>
      <c r="BO3" s="314">
        <f t="shared" si="10"/>
        <v>46507</v>
      </c>
      <c r="BP3" s="310">
        <f t="shared" ref="BP3:DC3" si="11">BP4</f>
        <v>46510</v>
      </c>
      <c r="BQ3" s="312">
        <f t="shared" si="11"/>
        <v>46511</v>
      </c>
      <c r="BR3" s="312">
        <f t="shared" si="11"/>
        <v>46512</v>
      </c>
      <c r="BS3" s="312">
        <f t="shared" si="11"/>
        <v>46513</v>
      </c>
      <c r="BT3" s="315">
        <f t="shared" si="11"/>
        <v>46514</v>
      </c>
      <c r="BU3" s="306">
        <f t="shared" si="11"/>
        <v>46517</v>
      </c>
      <c r="BV3" s="308">
        <f t="shared" si="11"/>
        <v>46518</v>
      </c>
      <c r="BW3" s="308">
        <f t="shared" si="11"/>
        <v>46519</v>
      </c>
      <c r="BX3" s="308">
        <f t="shared" si="11"/>
        <v>46520</v>
      </c>
      <c r="BY3" s="314">
        <f t="shared" si="11"/>
        <v>46521</v>
      </c>
      <c r="BZ3" s="310">
        <f t="shared" si="11"/>
        <v>46524</v>
      </c>
      <c r="CA3" s="312">
        <f t="shared" si="11"/>
        <v>46525</v>
      </c>
      <c r="CB3" s="312">
        <f t="shared" si="11"/>
        <v>46526</v>
      </c>
      <c r="CC3" s="312">
        <f t="shared" si="11"/>
        <v>46527</v>
      </c>
      <c r="CD3" s="315">
        <f t="shared" si="11"/>
        <v>46528</v>
      </c>
      <c r="CE3" s="306">
        <f t="shared" si="11"/>
        <v>46531</v>
      </c>
      <c r="CF3" s="308">
        <f t="shared" si="11"/>
        <v>46532</v>
      </c>
      <c r="CG3" s="308">
        <f t="shared" si="11"/>
        <v>46533</v>
      </c>
      <c r="CH3" s="308">
        <f t="shared" si="11"/>
        <v>46534</v>
      </c>
      <c r="CI3" s="314">
        <f t="shared" si="11"/>
        <v>46535</v>
      </c>
      <c r="CJ3" s="310">
        <f t="shared" si="11"/>
        <v>46538</v>
      </c>
      <c r="CK3" s="312">
        <f t="shared" si="11"/>
        <v>46539</v>
      </c>
      <c r="CL3" s="312">
        <f t="shared" si="11"/>
        <v>46540</v>
      </c>
      <c r="CM3" s="312">
        <f t="shared" si="11"/>
        <v>46541</v>
      </c>
      <c r="CN3" s="315">
        <f t="shared" si="11"/>
        <v>46542</v>
      </c>
      <c r="CO3" s="306">
        <f t="shared" si="11"/>
        <v>46545</v>
      </c>
      <c r="CP3" s="308">
        <f t="shared" si="11"/>
        <v>46546</v>
      </c>
      <c r="CQ3" s="308">
        <f t="shared" si="11"/>
        <v>46547</v>
      </c>
      <c r="CR3" s="308">
        <f t="shared" si="11"/>
        <v>46548</v>
      </c>
      <c r="CS3" s="309">
        <f t="shared" si="11"/>
        <v>46549</v>
      </c>
      <c r="CT3" s="310">
        <f t="shared" si="11"/>
        <v>46552</v>
      </c>
      <c r="CU3" s="312">
        <f t="shared" si="11"/>
        <v>46553</v>
      </c>
      <c r="CV3" s="312">
        <f t="shared" si="11"/>
        <v>46554</v>
      </c>
      <c r="CW3" s="312">
        <f t="shared" si="11"/>
        <v>46555</v>
      </c>
      <c r="CX3" s="313">
        <f t="shared" si="11"/>
        <v>46556</v>
      </c>
      <c r="CY3" s="306">
        <f t="shared" si="11"/>
        <v>46559</v>
      </c>
      <c r="CZ3" s="308">
        <f t="shared" si="11"/>
        <v>46560</v>
      </c>
      <c r="DA3" s="308">
        <f t="shared" si="11"/>
        <v>46561</v>
      </c>
      <c r="DB3" s="308">
        <f t="shared" si="11"/>
        <v>46562</v>
      </c>
      <c r="DC3" s="309">
        <f t="shared" si="11"/>
        <v>46563</v>
      </c>
    </row>
    <row r="4" spans="1:107" ht="15" customHeight="1" thickBot="1" x14ac:dyDescent="0.25">
      <c r="A4" s="290"/>
      <c r="B4" s="529"/>
      <c r="C4" s="291">
        <f>Data!M2</f>
        <v>46419</v>
      </c>
      <c r="D4" s="292">
        <f>C4+1</f>
        <v>46420</v>
      </c>
      <c r="E4" s="293">
        <f>D4+1</f>
        <v>46421</v>
      </c>
      <c r="F4" s="293">
        <f>E4+1</f>
        <v>46422</v>
      </c>
      <c r="G4" s="294">
        <f>F4+1</f>
        <v>46423</v>
      </c>
      <c r="H4" s="295">
        <f>G4+3</f>
        <v>46426</v>
      </c>
      <c r="I4" s="296">
        <f>H4+1</f>
        <v>46427</v>
      </c>
      <c r="J4" s="297">
        <f>I4+1</f>
        <v>46428</v>
      </c>
      <c r="K4" s="297">
        <f>J4+1</f>
        <v>46429</v>
      </c>
      <c r="L4" s="298">
        <f>K4+1</f>
        <v>46430</v>
      </c>
      <c r="M4" s="291">
        <f>L4+3</f>
        <v>46433</v>
      </c>
      <c r="N4" s="292">
        <f>M4+1</f>
        <v>46434</v>
      </c>
      <c r="O4" s="293">
        <f>N4+1</f>
        <v>46435</v>
      </c>
      <c r="P4" s="293">
        <f>O4+1</f>
        <v>46436</v>
      </c>
      <c r="Q4" s="294">
        <f>P4+1</f>
        <v>46437</v>
      </c>
      <c r="R4" s="295">
        <f>Q4+3</f>
        <v>46440</v>
      </c>
      <c r="S4" s="297">
        <f>R4+1</f>
        <v>46441</v>
      </c>
      <c r="T4" s="297">
        <f>S4+1</f>
        <v>46442</v>
      </c>
      <c r="U4" s="297">
        <f>T4+1</f>
        <v>46443</v>
      </c>
      <c r="V4" s="298">
        <f>U4+1</f>
        <v>46444</v>
      </c>
      <c r="W4" s="291">
        <f>V4+3</f>
        <v>46447</v>
      </c>
      <c r="X4" s="293">
        <f>W4+1</f>
        <v>46448</v>
      </c>
      <c r="Y4" s="293">
        <f>X4+1</f>
        <v>46449</v>
      </c>
      <c r="Z4" s="293">
        <f>Y4+1</f>
        <v>46450</v>
      </c>
      <c r="AA4" s="294">
        <f>Z4+1</f>
        <v>46451</v>
      </c>
      <c r="AB4" s="295">
        <f>AA4+3</f>
        <v>46454</v>
      </c>
      <c r="AC4" s="297">
        <f>AB4+1</f>
        <v>46455</v>
      </c>
      <c r="AD4" s="297">
        <f>AC4+1</f>
        <v>46456</v>
      </c>
      <c r="AE4" s="297">
        <f>AD4+1</f>
        <v>46457</v>
      </c>
      <c r="AF4" s="298">
        <f>AE4+1</f>
        <v>46458</v>
      </c>
      <c r="AG4" s="291">
        <f>AF4+3</f>
        <v>46461</v>
      </c>
      <c r="AH4" s="293">
        <f>AG4+1</f>
        <v>46462</v>
      </c>
      <c r="AI4" s="293">
        <f>AH4+1</f>
        <v>46463</v>
      </c>
      <c r="AJ4" s="293">
        <f>AI4+1</f>
        <v>46464</v>
      </c>
      <c r="AK4" s="294">
        <f>AJ4+1</f>
        <v>46465</v>
      </c>
      <c r="AL4" s="295">
        <f>AK4+3</f>
        <v>46468</v>
      </c>
      <c r="AM4" s="297">
        <f>AL4+1</f>
        <v>46469</v>
      </c>
      <c r="AN4" s="297">
        <f>AM4+1</f>
        <v>46470</v>
      </c>
      <c r="AO4" s="297">
        <f>AN4+1</f>
        <v>46471</v>
      </c>
      <c r="AP4" s="298">
        <f>AO4+1</f>
        <v>46472</v>
      </c>
      <c r="AQ4" s="291">
        <f>AP4+3</f>
        <v>46475</v>
      </c>
      <c r="AR4" s="293">
        <f>AQ4+1</f>
        <v>46476</v>
      </c>
      <c r="AS4" s="293">
        <f>AR4+1</f>
        <v>46477</v>
      </c>
      <c r="AT4" s="293">
        <f>AS4+1</f>
        <v>46478</v>
      </c>
      <c r="AU4" s="299">
        <f>AT4+1</f>
        <v>46479</v>
      </c>
      <c r="AV4" s="295">
        <f>AU4+3</f>
        <v>46482</v>
      </c>
      <c r="AW4" s="297">
        <f>AV4+1</f>
        <v>46483</v>
      </c>
      <c r="AX4" s="297">
        <f>AW4+1</f>
        <v>46484</v>
      </c>
      <c r="AY4" s="297">
        <f>AX4+1</f>
        <v>46485</v>
      </c>
      <c r="AZ4" s="300">
        <f>AY4+1</f>
        <v>46486</v>
      </c>
      <c r="BA4" s="291">
        <f>AZ4+3</f>
        <v>46489</v>
      </c>
      <c r="BB4" s="293">
        <f>BA4+1</f>
        <v>46490</v>
      </c>
      <c r="BC4" s="293">
        <f>BB4+1</f>
        <v>46491</v>
      </c>
      <c r="BD4" s="293">
        <f>BC4+1</f>
        <v>46492</v>
      </c>
      <c r="BE4" s="299">
        <f>BD4+1</f>
        <v>46493</v>
      </c>
      <c r="BF4" s="295">
        <f>BE4+3</f>
        <v>46496</v>
      </c>
      <c r="BG4" s="297">
        <f>BF4+1</f>
        <v>46497</v>
      </c>
      <c r="BH4" s="297">
        <f>BG4+1</f>
        <v>46498</v>
      </c>
      <c r="BI4" s="297">
        <f>BH4+1</f>
        <v>46499</v>
      </c>
      <c r="BJ4" s="300">
        <f>BI4+1</f>
        <v>46500</v>
      </c>
      <c r="BK4" s="291">
        <f>BJ4+3</f>
        <v>46503</v>
      </c>
      <c r="BL4" s="293">
        <f>BK4+1</f>
        <v>46504</v>
      </c>
      <c r="BM4" s="293">
        <f>BL4+1</f>
        <v>46505</v>
      </c>
      <c r="BN4" s="293">
        <f>BM4+1</f>
        <v>46506</v>
      </c>
      <c r="BO4" s="299">
        <f>BN4+1</f>
        <v>46507</v>
      </c>
      <c r="BP4" s="295">
        <f>BO4+3</f>
        <v>46510</v>
      </c>
      <c r="BQ4" s="297">
        <f>BP4+1</f>
        <v>46511</v>
      </c>
      <c r="BR4" s="297">
        <f>BQ4+1</f>
        <v>46512</v>
      </c>
      <c r="BS4" s="297">
        <f>BR4+1</f>
        <v>46513</v>
      </c>
      <c r="BT4" s="300">
        <f>BS4+1</f>
        <v>46514</v>
      </c>
      <c r="BU4" s="291">
        <f>BT4+3</f>
        <v>46517</v>
      </c>
      <c r="BV4" s="293">
        <f>BU4+1</f>
        <v>46518</v>
      </c>
      <c r="BW4" s="293">
        <f>BV4+1</f>
        <v>46519</v>
      </c>
      <c r="BX4" s="293">
        <f>BW4+1</f>
        <v>46520</v>
      </c>
      <c r="BY4" s="299">
        <f>BX4+1</f>
        <v>46521</v>
      </c>
      <c r="BZ4" s="295">
        <f>BY4+3</f>
        <v>46524</v>
      </c>
      <c r="CA4" s="297">
        <f>BZ4+1</f>
        <v>46525</v>
      </c>
      <c r="CB4" s="297">
        <f>CA4+1</f>
        <v>46526</v>
      </c>
      <c r="CC4" s="297">
        <f>CB4+1</f>
        <v>46527</v>
      </c>
      <c r="CD4" s="300">
        <f>CC4+1</f>
        <v>46528</v>
      </c>
      <c r="CE4" s="291">
        <f>CD4+3</f>
        <v>46531</v>
      </c>
      <c r="CF4" s="293">
        <f>CE4+1</f>
        <v>46532</v>
      </c>
      <c r="CG4" s="293">
        <f>CF4+1</f>
        <v>46533</v>
      </c>
      <c r="CH4" s="293">
        <f>CG4+1</f>
        <v>46534</v>
      </c>
      <c r="CI4" s="299">
        <f>CH4+1</f>
        <v>46535</v>
      </c>
      <c r="CJ4" s="295">
        <f>CI4+3</f>
        <v>46538</v>
      </c>
      <c r="CK4" s="297">
        <f>CJ4+1</f>
        <v>46539</v>
      </c>
      <c r="CL4" s="297">
        <f>CK4+1</f>
        <v>46540</v>
      </c>
      <c r="CM4" s="297">
        <f>CL4+1</f>
        <v>46541</v>
      </c>
      <c r="CN4" s="300">
        <f>CM4+1</f>
        <v>46542</v>
      </c>
      <c r="CO4" s="291">
        <f>CN4+3</f>
        <v>46545</v>
      </c>
      <c r="CP4" s="293">
        <f>CO4+1</f>
        <v>46546</v>
      </c>
      <c r="CQ4" s="293">
        <f>CP4+1</f>
        <v>46547</v>
      </c>
      <c r="CR4" s="293">
        <f>CQ4+1</f>
        <v>46548</v>
      </c>
      <c r="CS4" s="294">
        <f>CR4+1</f>
        <v>46549</v>
      </c>
      <c r="CT4" s="295">
        <f>CS4+3</f>
        <v>46552</v>
      </c>
      <c r="CU4" s="297">
        <f>CT4+1</f>
        <v>46553</v>
      </c>
      <c r="CV4" s="297">
        <f>CU4+1</f>
        <v>46554</v>
      </c>
      <c r="CW4" s="297">
        <f>CV4+1</f>
        <v>46555</v>
      </c>
      <c r="CX4" s="298">
        <f>CW4+1</f>
        <v>46556</v>
      </c>
      <c r="CY4" s="291">
        <f>CX4+3</f>
        <v>46559</v>
      </c>
      <c r="CZ4" s="293">
        <f>CY4+1</f>
        <v>46560</v>
      </c>
      <c r="DA4" s="293">
        <f>CZ4+1</f>
        <v>46561</v>
      </c>
      <c r="DB4" s="293">
        <f>DA4+1</f>
        <v>46562</v>
      </c>
      <c r="DC4" s="294">
        <f>DB4+1</f>
        <v>46563</v>
      </c>
    </row>
    <row r="5" spans="1:107" x14ac:dyDescent="0.2">
      <c r="B5" s="419"/>
    </row>
    <row r="6" spans="1:107" x14ac:dyDescent="0.2">
      <c r="A6" s="525"/>
      <c r="B6" s="420"/>
    </row>
    <row r="7" spans="1:107" x14ac:dyDescent="0.2">
      <c r="A7" s="525"/>
      <c r="B7" s="421"/>
    </row>
    <row r="8" spans="1:107" x14ac:dyDescent="0.2">
      <c r="A8" s="525"/>
      <c r="B8" s="421"/>
    </row>
    <row r="9" spans="1:107" x14ac:dyDescent="0.2">
      <c r="A9" s="525"/>
      <c r="B9" s="421"/>
    </row>
    <row r="10" spans="1:107" x14ac:dyDescent="0.2">
      <c r="A10" s="525"/>
      <c r="B10" s="421"/>
    </row>
    <row r="11" spans="1:107" x14ac:dyDescent="0.2">
      <c r="A11" s="525"/>
      <c r="B11" s="421"/>
    </row>
    <row r="12" spans="1:107" x14ac:dyDescent="0.2">
      <c r="A12" s="525"/>
      <c r="B12" s="421"/>
    </row>
    <row r="13" spans="1:107" x14ac:dyDescent="0.2">
      <c r="A13" s="525"/>
      <c r="B13" s="421"/>
    </row>
    <row r="14" spans="1:107" x14ac:dyDescent="0.2">
      <c r="A14" s="525"/>
      <c r="B14" s="421"/>
    </row>
    <row r="15" spans="1:107" x14ac:dyDescent="0.2">
      <c r="A15" s="525"/>
      <c r="B15" s="421"/>
    </row>
    <row r="16" spans="1:107" x14ac:dyDescent="0.2">
      <c r="A16" s="525"/>
      <c r="B16" s="421"/>
    </row>
    <row r="17" spans="1:2" x14ac:dyDescent="0.2">
      <c r="A17" s="525"/>
      <c r="B17" s="421"/>
    </row>
    <row r="18" spans="1:2" x14ac:dyDescent="0.2">
      <c r="A18" s="525"/>
      <c r="B18" s="421"/>
    </row>
    <row r="19" spans="1:2" x14ac:dyDescent="0.2">
      <c r="A19" s="525"/>
      <c r="B19" s="421"/>
    </row>
    <row r="20" spans="1:2" x14ac:dyDescent="0.2">
      <c r="A20" s="525"/>
      <c r="B20" s="422"/>
    </row>
    <row r="21" spans="1:2" x14ac:dyDescent="0.2">
      <c r="A21" s="288"/>
      <c r="B21" s="288"/>
    </row>
    <row r="22" spans="1:2" x14ac:dyDescent="0.2">
      <c r="A22" s="525"/>
      <c r="B22" s="420"/>
    </row>
    <row r="23" spans="1:2" x14ac:dyDescent="0.2">
      <c r="A23" s="525"/>
      <c r="B23" s="421"/>
    </row>
    <row r="24" spans="1:2" x14ac:dyDescent="0.2">
      <c r="A24" s="525"/>
      <c r="B24" s="421"/>
    </row>
    <row r="25" spans="1:2" x14ac:dyDescent="0.2">
      <c r="A25" s="525"/>
      <c r="B25" s="421"/>
    </row>
    <row r="26" spans="1:2" x14ac:dyDescent="0.2">
      <c r="A26" s="525"/>
      <c r="B26" s="421"/>
    </row>
    <row r="27" spans="1:2" x14ac:dyDescent="0.2">
      <c r="A27" s="525"/>
      <c r="B27" s="421"/>
    </row>
    <row r="28" spans="1:2" x14ac:dyDescent="0.2">
      <c r="A28" s="525"/>
      <c r="B28" s="421"/>
    </row>
    <row r="29" spans="1:2" x14ac:dyDescent="0.2">
      <c r="A29" s="525"/>
      <c r="B29" s="421"/>
    </row>
    <row r="30" spans="1:2" x14ac:dyDescent="0.2">
      <c r="A30" s="525"/>
      <c r="B30" s="421"/>
    </row>
    <row r="31" spans="1:2" x14ac:dyDescent="0.2">
      <c r="A31" s="525"/>
      <c r="B31" s="421"/>
    </row>
    <row r="32" spans="1:2" x14ac:dyDescent="0.2">
      <c r="A32" s="525"/>
      <c r="B32" s="421"/>
    </row>
    <row r="33" spans="1:2" x14ac:dyDescent="0.2">
      <c r="A33" s="525"/>
      <c r="B33" s="421"/>
    </row>
    <row r="34" spans="1:2" x14ac:dyDescent="0.2">
      <c r="A34" s="525"/>
      <c r="B34" s="421"/>
    </row>
    <row r="35" spans="1:2" x14ac:dyDescent="0.2">
      <c r="A35" s="525"/>
      <c r="B35" s="421"/>
    </row>
    <row r="36" spans="1:2" x14ac:dyDescent="0.2">
      <c r="A36" s="525"/>
      <c r="B36" s="422"/>
    </row>
    <row r="37" spans="1:2" x14ac:dyDescent="0.2">
      <c r="A37" s="288"/>
      <c r="B37" s="288"/>
    </row>
    <row r="38" spans="1:2" x14ac:dyDescent="0.2">
      <c r="A38" s="525"/>
      <c r="B38" s="420"/>
    </row>
    <row r="39" spans="1:2" x14ac:dyDescent="0.2">
      <c r="A39" s="525"/>
      <c r="B39" s="421"/>
    </row>
    <row r="40" spans="1:2" x14ac:dyDescent="0.2">
      <c r="A40" s="525"/>
      <c r="B40" s="421"/>
    </row>
    <row r="41" spans="1:2" x14ac:dyDescent="0.2">
      <c r="A41" s="525"/>
      <c r="B41" s="421"/>
    </row>
    <row r="42" spans="1:2" x14ac:dyDescent="0.2">
      <c r="A42" s="525"/>
      <c r="B42" s="421"/>
    </row>
    <row r="43" spans="1:2" x14ac:dyDescent="0.2">
      <c r="A43" s="525"/>
      <c r="B43" s="421"/>
    </row>
    <row r="44" spans="1:2" x14ac:dyDescent="0.2">
      <c r="A44" s="525"/>
      <c r="B44" s="421"/>
    </row>
    <row r="45" spans="1:2" x14ac:dyDescent="0.2">
      <c r="A45" s="525"/>
      <c r="B45" s="421"/>
    </row>
    <row r="46" spans="1:2" x14ac:dyDescent="0.2">
      <c r="A46" s="525"/>
      <c r="B46" s="421"/>
    </row>
    <row r="47" spans="1:2" x14ac:dyDescent="0.2">
      <c r="A47" s="525"/>
      <c r="B47" s="421"/>
    </row>
    <row r="48" spans="1:2" x14ac:dyDescent="0.2">
      <c r="A48" s="525"/>
      <c r="B48" s="421"/>
    </row>
    <row r="49" spans="1:2" x14ac:dyDescent="0.2">
      <c r="A49" s="525"/>
      <c r="B49" s="421"/>
    </row>
    <row r="50" spans="1:2" x14ac:dyDescent="0.2">
      <c r="A50" s="525"/>
      <c r="B50" s="421"/>
    </row>
    <row r="51" spans="1:2" x14ac:dyDescent="0.2">
      <c r="A51" s="525"/>
      <c r="B51" s="421"/>
    </row>
    <row r="52" spans="1:2" x14ac:dyDescent="0.2">
      <c r="A52" s="525"/>
      <c r="B52" s="422"/>
    </row>
    <row r="53" spans="1:2" x14ac:dyDescent="0.2">
      <c r="A53" s="288"/>
      <c r="B53" s="419"/>
    </row>
    <row r="54" spans="1:2" x14ac:dyDescent="0.2">
      <c r="A54" s="525"/>
      <c r="B54" s="420"/>
    </row>
    <row r="55" spans="1:2" x14ac:dyDescent="0.2">
      <c r="A55" s="525"/>
      <c r="B55" s="421"/>
    </row>
    <row r="56" spans="1:2" x14ac:dyDescent="0.2">
      <c r="A56" s="525"/>
      <c r="B56" s="421"/>
    </row>
    <row r="57" spans="1:2" x14ac:dyDescent="0.2">
      <c r="A57" s="525"/>
      <c r="B57" s="421"/>
    </row>
    <row r="58" spans="1:2" x14ac:dyDescent="0.2">
      <c r="A58" s="525"/>
      <c r="B58" s="421"/>
    </row>
    <row r="59" spans="1:2" x14ac:dyDescent="0.2">
      <c r="A59" s="525"/>
      <c r="B59" s="421"/>
    </row>
    <row r="60" spans="1:2" x14ac:dyDescent="0.2">
      <c r="A60" s="525"/>
      <c r="B60" s="421"/>
    </row>
    <row r="61" spans="1:2" x14ac:dyDescent="0.2">
      <c r="A61" s="525"/>
      <c r="B61" s="421"/>
    </row>
    <row r="62" spans="1:2" x14ac:dyDescent="0.2">
      <c r="A62" s="525"/>
      <c r="B62" s="421"/>
    </row>
    <row r="63" spans="1:2" x14ac:dyDescent="0.2">
      <c r="A63" s="525"/>
      <c r="B63" s="421"/>
    </row>
    <row r="64" spans="1:2" x14ac:dyDescent="0.2">
      <c r="A64" s="525"/>
      <c r="B64" s="421"/>
    </row>
    <row r="65" spans="1:2" x14ac:dyDescent="0.2">
      <c r="A65" s="525"/>
      <c r="B65" s="421"/>
    </row>
    <row r="66" spans="1:2" x14ac:dyDescent="0.2">
      <c r="A66" s="525"/>
      <c r="B66" s="421"/>
    </row>
    <row r="67" spans="1:2" x14ac:dyDescent="0.2">
      <c r="A67" s="525"/>
      <c r="B67" s="421"/>
    </row>
    <row r="68" spans="1:2" x14ac:dyDescent="0.2">
      <c r="A68" s="525"/>
      <c r="B68" s="422"/>
    </row>
    <row r="69" spans="1:2" x14ac:dyDescent="0.2">
      <c r="A69" s="288"/>
      <c r="B69" s="288"/>
    </row>
    <row r="70" spans="1:2" x14ac:dyDescent="0.2">
      <c r="A70" s="525"/>
      <c r="B70" s="420"/>
    </row>
    <row r="71" spans="1:2" x14ac:dyDescent="0.2">
      <c r="A71" s="525"/>
      <c r="B71" s="421"/>
    </row>
    <row r="72" spans="1:2" x14ac:dyDescent="0.2">
      <c r="A72" s="525"/>
      <c r="B72" s="421"/>
    </row>
    <row r="73" spans="1:2" x14ac:dyDescent="0.2">
      <c r="A73" s="525"/>
      <c r="B73" s="421"/>
    </row>
    <row r="74" spans="1:2" x14ac:dyDescent="0.2">
      <c r="A74" s="525"/>
      <c r="B74" s="421"/>
    </row>
    <row r="75" spans="1:2" x14ac:dyDescent="0.2">
      <c r="A75" s="525"/>
      <c r="B75" s="421"/>
    </row>
    <row r="76" spans="1:2" x14ac:dyDescent="0.2">
      <c r="A76" s="525"/>
      <c r="B76" s="421"/>
    </row>
    <row r="77" spans="1:2" x14ac:dyDescent="0.2">
      <c r="A77" s="525"/>
      <c r="B77" s="421"/>
    </row>
    <row r="78" spans="1:2" x14ac:dyDescent="0.2">
      <c r="A78" s="525"/>
      <c r="B78" s="421"/>
    </row>
    <row r="79" spans="1:2" x14ac:dyDescent="0.2">
      <c r="A79" s="525"/>
      <c r="B79" s="421"/>
    </row>
    <row r="80" spans="1:2" x14ac:dyDescent="0.2">
      <c r="A80" s="525"/>
      <c r="B80" s="421"/>
    </row>
    <row r="81" spans="1:2" x14ac:dyDescent="0.2">
      <c r="A81" s="525"/>
      <c r="B81" s="421"/>
    </row>
    <row r="82" spans="1:2" x14ac:dyDescent="0.2">
      <c r="A82" s="525"/>
      <c r="B82" s="421"/>
    </row>
    <row r="83" spans="1:2" x14ac:dyDescent="0.2">
      <c r="A83" s="525"/>
      <c r="B83" s="421"/>
    </row>
    <row r="84" spans="1:2" x14ac:dyDescent="0.2">
      <c r="A84" s="525"/>
      <c r="B84" s="422"/>
    </row>
    <row r="85" spans="1:2" x14ac:dyDescent="0.2">
      <c r="A85" s="288"/>
      <c r="B85" s="419"/>
    </row>
    <row r="86" spans="1:2" x14ac:dyDescent="0.2">
      <c r="A86" s="525"/>
      <c r="B86" s="420"/>
    </row>
    <row r="87" spans="1:2" x14ac:dyDescent="0.2">
      <c r="A87" s="525"/>
      <c r="B87" s="421"/>
    </row>
    <row r="88" spans="1:2" x14ac:dyDescent="0.2">
      <c r="A88" s="525"/>
      <c r="B88" s="421"/>
    </row>
    <row r="89" spans="1:2" x14ac:dyDescent="0.2">
      <c r="A89" s="525"/>
      <c r="B89" s="421"/>
    </row>
    <row r="90" spans="1:2" x14ac:dyDescent="0.2">
      <c r="A90" s="525"/>
      <c r="B90" s="421"/>
    </row>
    <row r="91" spans="1:2" x14ac:dyDescent="0.2">
      <c r="A91" s="525"/>
      <c r="B91" s="421"/>
    </row>
    <row r="92" spans="1:2" x14ac:dyDescent="0.2">
      <c r="A92" s="525"/>
      <c r="B92" s="421"/>
    </row>
    <row r="93" spans="1:2" x14ac:dyDescent="0.2">
      <c r="A93" s="525"/>
      <c r="B93" s="421"/>
    </row>
    <row r="94" spans="1:2" x14ac:dyDescent="0.2">
      <c r="A94" s="525"/>
      <c r="B94" s="421"/>
    </row>
    <row r="95" spans="1:2" x14ac:dyDescent="0.2">
      <c r="A95" s="525"/>
      <c r="B95" s="421"/>
    </row>
    <row r="96" spans="1:2" x14ac:dyDescent="0.2">
      <c r="A96" s="525"/>
      <c r="B96" s="421"/>
    </row>
    <row r="97" spans="1:2" x14ac:dyDescent="0.2">
      <c r="A97" s="525"/>
      <c r="B97" s="421"/>
    </row>
    <row r="98" spans="1:2" x14ac:dyDescent="0.2">
      <c r="A98" s="525"/>
      <c r="B98" s="421"/>
    </row>
    <row r="99" spans="1:2" x14ac:dyDescent="0.2">
      <c r="A99" s="525"/>
      <c r="B99" s="421"/>
    </row>
    <row r="100" spans="1:2" x14ac:dyDescent="0.2">
      <c r="A100" s="525"/>
      <c r="B100" s="422"/>
    </row>
    <row r="101" spans="1:2" x14ac:dyDescent="0.2">
      <c r="A101" s="288"/>
      <c r="B101" s="419"/>
    </row>
    <row r="102" spans="1:2" x14ac:dyDescent="0.2">
      <c r="A102" s="525"/>
      <c r="B102" s="420"/>
    </row>
    <row r="103" spans="1:2" x14ac:dyDescent="0.2">
      <c r="A103" s="525"/>
      <c r="B103" s="421"/>
    </row>
    <row r="104" spans="1:2" x14ac:dyDescent="0.2">
      <c r="A104" s="525"/>
      <c r="B104" s="421"/>
    </row>
    <row r="105" spans="1:2" x14ac:dyDescent="0.2">
      <c r="A105" s="525"/>
      <c r="B105" s="421"/>
    </row>
    <row r="106" spans="1:2" x14ac:dyDescent="0.2">
      <c r="A106" s="525"/>
      <c r="B106" s="421"/>
    </row>
    <row r="107" spans="1:2" x14ac:dyDescent="0.2">
      <c r="A107" s="525"/>
      <c r="B107" s="421"/>
    </row>
    <row r="108" spans="1:2" x14ac:dyDescent="0.2">
      <c r="A108" s="525"/>
      <c r="B108" s="421"/>
    </row>
    <row r="109" spans="1:2" x14ac:dyDescent="0.2">
      <c r="A109" s="525"/>
      <c r="B109" s="421"/>
    </row>
    <row r="110" spans="1:2" x14ac:dyDescent="0.2">
      <c r="A110" s="525"/>
      <c r="B110" s="421"/>
    </row>
    <row r="111" spans="1:2" x14ac:dyDescent="0.2">
      <c r="A111" s="525"/>
      <c r="B111" s="421"/>
    </row>
    <row r="112" spans="1:2" x14ac:dyDescent="0.2">
      <c r="A112" s="525"/>
      <c r="B112" s="421"/>
    </row>
    <row r="113" spans="1:2" x14ac:dyDescent="0.2">
      <c r="A113" s="525"/>
      <c r="B113" s="421"/>
    </row>
    <row r="114" spans="1:2" x14ac:dyDescent="0.2">
      <c r="A114" s="525"/>
      <c r="B114" s="421"/>
    </row>
    <row r="115" spans="1:2" x14ac:dyDescent="0.2">
      <c r="A115" s="525"/>
      <c r="B115" s="421"/>
    </row>
    <row r="116" spans="1:2" x14ac:dyDescent="0.2">
      <c r="A116" s="525"/>
      <c r="B116" s="422"/>
    </row>
    <row r="117" spans="1:2" x14ac:dyDescent="0.2">
      <c r="A117" s="418"/>
      <c r="B117" s="418"/>
    </row>
    <row r="118" spans="1:2" x14ac:dyDescent="0.2">
      <c r="A118" s="525"/>
      <c r="B118" s="420"/>
    </row>
    <row r="119" spans="1:2" x14ac:dyDescent="0.2">
      <c r="A119" s="525"/>
      <c r="B119" s="421"/>
    </row>
    <row r="120" spans="1:2" x14ac:dyDescent="0.2">
      <c r="A120" s="525"/>
      <c r="B120" s="421"/>
    </row>
    <row r="121" spans="1:2" x14ac:dyDescent="0.2">
      <c r="A121" s="525"/>
      <c r="B121" s="421"/>
    </row>
    <row r="122" spans="1:2" x14ac:dyDescent="0.2">
      <c r="A122" s="525"/>
      <c r="B122" s="421"/>
    </row>
    <row r="123" spans="1:2" x14ac:dyDescent="0.2">
      <c r="A123" s="525"/>
      <c r="B123" s="421"/>
    </row>
    <row r="124" spans="1:2" x14ac:dyDescent="0.2">
      <c r="A124" s="525"/>
      <c r="B124" s="421"/>
    </row>
    <row r="125" spans="1:2" x14ac:dyDescent="0.2">
      <c r="A125" s="525"/>
      <c r="B125" s="421"/>
    </row>
    <row r="126" spans="1:2" x14ac:dyDescent="0.2">
      <c r="A126" s="525"/>
      <c r="B126" s="421"/>
    </row>
    <row r="127" spans="1:2" x14ac:dyDescent="0.2">
      <c r="A127" s="525"/>
      <c r="B127" s="421"/>
    </row>
    <row r="128" spans="1:2" x14ac:dyDescent="0.2">
      <c r="A128" s="525"/>
      <c r="B128" s="421"/>
    </row>
    <row r="129" spans="1:2" x14ac:dyDescent="0.2">
      <c r="A129" s="525"/>
      <c r="B129" s="421"/>
    </row>
    <row r="130" spans="1:2" x14ac:dyDescent="0.2">
      <c r="A130" s="525"/>
      <c r="B130" s="421"/>
    </row>
    <row r="131" spans="1:2" x14ac:dyDescent="0.2">
      <c r="A131" s="525"/>
      <c r="B131" s="421"/>
    </row>
    <row r="132" spans="1:2" x14ac:dyDescent="0.2">
      <c r="A132" s="525"/>
      <c r="B132" s="422"/>
    </row>
    <row r="134" spans="1:2" x14ac:dyDescent="0.2">
      <c r="A134" s="525"/>
      <c r="B134" s="420"/>
    </row>
    <row r="135" spans="1:2" x14ac:dyDescent="0.2">
      <c r="A135" s="525"/>
      <c r="B135" s="421"/>
    </row>
    <row r="136" spans="1:2" x14ac:dyDescent="0.2">
      <c r="A136" s="525"/>
      <c r="B136" s="421"/>
    </row>
    <row r="137" spans="1:2" x14ac:dyDescent="0.2">
      <c r="A137" s="525"/>
      <c r="B137" s="421"/>
    </row>
    <row r="138" spans="1:2" x14ac:dyDescent="0.2">
      <c r="A138" s="525"/>
      <c r="B138" s="421"/>
    </row>
    <row r="139" spans="1:2" x14ac:dyDescent="0.2">
      <c r="A139" s="525"/>
      <c r="B139" s="421"/>
    </row>
    <row r="140" spans="1:2" x14ac:dyDescent="0.2">
      <c r="A140" s="525"/>
      <c r="B140" s="421"/>
    </row>
    <row r="141" spans="1:2" x14ac:dyDescent="0.2">
      <c r="A141" s="525"/>
      <c r="B141" s="421"/>
    </row>
    <row r="142" spans="1:2" x14ac:dyDescent="0.2">
      <c r="A142" s="525"/>
      <c r="B142" s="421"/>
    </row>
    <row r="143" spans="1:2" x14ac:dyDescent="0.2">
      <c r="A143" s="525"/>
      <c r="B143" s="421"/>
    </row>
    <row r="144" spans="1:2" x14ac:dyDescent="0.2">
      <c r="A144" s="525"/>
      <c r="B144" s="421"/>
    </row>
    <row r="145" spans="1:2" x14ac:dyDescent="0.2">
      <c r="A145" s="525"/>
      <c r="B145" s="421"/>
    </row>
    <row r="146" spans="1:2" x14ac:dyDescent="0.2">
      <c r="A146" s="525"/>
      <c r="B146" s="421"/>
    </row>
    <row r="147" spans="1:2" x14ac:dyDescent="0.2">
      <c r="A147" s="525"/>
      <c r="B147" s="421"/>
    </row>
    <row r="148" spans="1:2" x14ac:dyDescent="0.2">
      <c r="A148" s="525"/>
      <c r="B148" s="422"/>
    </row>
    <row r="150" spans="1:2" x14ac:dyDescent="0.2">
      <c r="A150" s="525"/>
      <c r="B150" s="420"/>
    </row>
    <row r="151" spans="1:2" x14ac:dyDescent="0.2">
      <c r="A151" s="525"/>
      <c r="B151" s="421"/>
    </row>
    <row r="152" spans="1:2" x14ac:dyDescent="0.2">
      <c r="A152" s="525"/>
      <c r="B152" s="421"/>
    </row>
    <row r="153" spans="1:2" x14ac:dyDescent="0.2">
      <c r="A153" s="525"/>
      <c r="B153" s="421"/>
    </row>
    <row r="154" spans="1:2" x14ac:dyDescent="0.2">
      <c r="A154" s="525"/>
      <c r="B154" s="421"/>
    </row>
    <row r="155" spans="1:2" x14ac:dyDescent="0.2">
      <c r="A155" s="525"/>
      <c r="B155" s="421"/>
    </row>
    <row r="156" spans="1:2" x14ac:dyDescent="0.2">
      <c r="A156" s="525"/>
      <c r="B156" s="421"/>
    </row>
    <row r="157" spans="1:2" x14ac:dyDescent="0.2">
      <c r="A157" s="525"/>
      <c r="B157" s="421"/>
    </row>
    <row r="158" spans="1:2" x14ac:dyDescent="0.2">
      <c r="A158" s="525"/>
      <c r="B158" s="421"/>
    </row>
    <row r="159" spans="1:2" x14ac:dyDescent="0.2">
      <c r="A159" s="525"/>
      <c r="B159" s="421"/>
    </row>
    <row r="160" spans="1:2" x14ac:dyDescent="0.2">
      <c r="A160" s="525"/>
      <c r="B160" s="421"/>
    </row>
    <row r="161" spans="1:2" x14ac:dyDescent="0.2">
      <c r="A161" s="525"/>
      <c r="B161" s="421"/>
    </row>
    <row r="162" spans="1:2" x14ac:dyDescent="0.2">
      <c r="A162" s="525"/>
      <c r="B162" s="421"/>
    </row>
    <row r="163" spans="1:2" x14ac:dyDescent="0.2">
      <c r="A163" s="525"/>
      <c r="B163" s="421"/>
    </row>
    <row r="164" spans="1:2" x14ac:dyDescent="0.2">
      <c r="A164" s="525"/>
      <c r="B164" s="422"/>
    </row>
    <row r="166" spans="1:2" x14ac:dyDescent="0.2">
      <c r="A166" s="525"/>
      <c r="B166" s="420"/>
    </row>
    <row r="167" spans="1:2" x14ac:dyDescent="0.2">
      <c r="A167" s="525"/>
      <c r="B167" s="421"/>
    </row>
    <row r="168" spans="1:2" x14ac:dyDescent="0.2">
      <c r="A168" s="525"/>
      <c r="B168" s="421"/>
    </row>
    <row r="169" spans="1:2" x14ac:dyDescent="0.2">
      <c r="A169" s="525"/>
      <c r="B169" s="421"/>
    </row>
    <row r="170" spans="1:2" x14ac:dyDescent="0.2">
      <c r="A170" s="525"/>
      <c r="B170" s="421"/>
    </row>
    <row r="171" spans="1:2" x14ac:dyDescent="0.2">
      <c r="A171" s="525"/>
      <c r="B171" s="421"/>
    </row>
    <row r="172" spans="1:2" x14ac:dyDescent="0.2">
      <c r="A172" s="525"/>
      <c r="B172" s="421"/>
    </row>
    <row r="173" spans="1:2" x14ac:dyDescent="0.2">
      <c r="A173" s="525"/>
      <c r="B173" s="421"/>
    </row>
    <row r="174" spans="1:2" x14ac:dyDescent="0.2">
      <c r="A174" s="525"/>
      <c r="B174" s="421"/>
    </row>
    <row r="175" spans="1:2" x14ac:dyDescent="0.2">
      <c r="A175" s="525"/>
      <c r="B175" s="421"/>
    </row>
    <row r="176" spans="1:2" x14ac:dyDescent="0.2">
      <c r="A176" s="525"/>
      <c r="B176" s="421"/>
    </row>
    <row r="177" spans="1:2" x14ac:dyDescent="0.2">
      <c r="A177" s="525"/>
      <c r="B177" s="421"/>
    </row>
    <row r="178" spans="1:2" x14ac:dyDescent="0.2">
      <c r="A178" s="525"/>
      <c r="B178" s="421"/>
    </row>
    <row r="179" spans="1:2" x14ac:dyDescent="0.2">
      <c r="A179" s="525"/>
      <c r="B179" s="421"/>
    </row>
    <row r="180" spans="1:2" x14ac:dyDescent="0.2">
      <c r="A180" s="525"/>
      <c r="B180" s="422"/>
    </row>
  </sheetData>
  <mergeCells count="33">
    <mergeCell ref="AB2:AF2"/>
    <mergeCell ref="C2:G2"/>
    <mergeCell ref="H2:L2"/>
    <mergeCell ref="M2:Q2"/>
    <mergeCell ref="R2:V2"/>
    <mergeCell ref="W2:AA2"/>
    <mergeCell ref="CO2:CS2"/>
    <mergeCell ref="CT2:CX2"/>
    <mergeCell ref="CY2:DC2"/>
    <mergeCell ref="B3:B4"/>
    <mergeCell ref="BK2:BO2"/>
    <mergeCell ref="BP2:BT2"/>
    <mergeCell ref="BU2:BY2"/>
    <mergeCell ref="BZ2:CD2"/>
    <mergeCell ref="CE2:CI2"/>
    <mergeCell ref="CJ2:CN2"/>
    <mergeCell ref="AG2:AK2"/>
    <mergeCell ref="AL2:AP2"/>
    <mergeCell ref="AQ2:AU2"/>
    <mergeCell ref="AV2:AZ2"/>
    <mergeCell ref="BA2:BE2"/>
    <mergeCell ref="BF2:BJ2"/>
    <mergeCell ref="A6:A20"/>
    <mergeCell ref="A22:A36"/>
    <mergeCell ref="A38:A52"/>
    <mergeCell ref="A54:A68"/>
    <mergeCell ref="A70:A84"/>
    <mergeCell ref="A166:A180"/>
    <mergeCell ref="A86:A100"/>
    <mergeCell ref="A102:A116"/>
    <mergeCell ref="A118:A132"/>
    <mergeCell ref="A134:A148"/>
    <mergeCell ref="A150:A16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4B4B2B-C21B-2544-84F9-7FD03520A95B}">
  <sheetPr codeName="Sheet5"/>
  <dimension ref="A1:DC180"/>
  <sheetViews>
    <sheetView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baseColWidth="10" defaultRowHeight="15" x14ac:dyDescent="0.2"/>
  <cols>
    <col min="1" max="1" width="10.83203125" style="535"/>
    <col min="2" max="2" width="11.33203125" style="535" customWidth="1"/>
    <col min="3" max="16384" width="10.83203125" style="535"/>
  </cols>
  <sheetData>
    <row r="1" spans="1:107" ht="15" customHeight="1" thickBot="1" x14ac:dyDescent="0.25">
      <c r="A1" s="534"/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  <c r="O1" s="534"/>
      <c r="P1" s="534"/>
      <c r="Q1" s="534"/>
      <c r="R1" s="534"/>
      <c r="S1" s="534"/>
      <c r="T1" s="534"/>
      <c r="U1" s="534"/>
      <c r="V1" s="534"/>
      <c r="W1" s="534"/>
      <c r="X1" s="534"/>
      <c r="Y1" s="534"/>
      <c r="Z1" s="534"/>
      <c r="AA1" s="534"/>
      <c r="AB1" s="534"/>
      <c r="AC1" s="534"/>
      <c r="AD1" s="534"/>
      <c r="AE1" s="534"/>
      <c r="AF1" s="534"/>
      <c r="AG1" s="534"/>
      <c r="AH1" s="534"/>
      <c r="AI1" s="534"/>
      <c r="AJ1" s="534"/>
      <c r="AK1" s="534"/>
      <c r="AL1" s="534"/>
      <c r="AM1" s="534"/>
      <c r="AN1" s="534"/>
      <c r="AO1" s="534"/>
      <c r="AP1" s="534"/>
      <c r="AQ1" s="534"/>
      <c r="AR1" s="534"/>
      <c r="AS1" s="534"/>
      <c r="AT1" s="534"/>
      <c r="AU1" s="534"/>
      <c r="AV1" s="534"/>
      <c r="AW1" s="534"/>
      <c r="AX1" s="534"/>
      <c r="AY1" s="534"/>
      <c r="AZ1" s="534"/>
      <c r="BA1" s="534"/>
      <c r="BB1" s="534"/>
      <c r="BC1" s="534"/>
      <c r="BD1" s="534"/>
      <c r="BE1" s="534"/>
      <c r="BF1" s="534"/>
      <c r="BG1" s="534"/>
      <c r="BH1" s="534"/>
      <c r="BI1" s="534"/>
      <c r="BJ1" s="534"/>
      <c r="BK1" s="534"/>
      <c r="BL1" s="534"/>
      <c r="BM1" s="534"/>
      <c r="BN1" s="534"/>
      <c r="BO1" s="534"/>
      <c r="BP1" s="534"/>
      <c r="BQ1" s="534"/>
      <c r="BR1" s="534"/>
      <c r="BS1" s="534"/>
      <c r="BT1" s="534"/>
      <c r="BU1" s="534"/>
      <c r="BV1" s="534"/>
      <c r="BW1" s="534"/>
      <c r="BX1" s="534"/>
      <c r="BY1" s="534"/>
      <c r="BZ1" s="534"/>
      <c r="CA1" s="534"/>
      <c r="CB1" s="534"/>
      <c r="CC1" s="534"/>
      <c r="CD1" s="534"/>
      <c r="CE1" s="534"/>
      <c r="CF1" s="534"/>
      <c r="CG1" s="534"/>
      <c r="CH1" s="534"/>
      <c r="CI1" s="534"/>
      <c r="CJ1" s="534"/>
      <c r="CK1" s="534"/>
      <c r="CL1" s="534"/>
      <c r="CM1" s="534"/>
      <c r="CN1" s="534"/>
      <c r="CO1" s="534"/>
      <c r="CP1" s="534"/>
      <c r="CQ1" s="534"/>
      <c r="CR1" s="534"/>
      <c r="CS1" s="534"/>
      <c r="CT1" s="534"/>
      <c r="CU1" s="534"/>
      <c r="CV1" s="534"/>
      <c r="CW1" s="534"/>
      <c r="CX1" s="534"/>
      <c r="CY1" s="534"/>
      <c r="CZ1" s="534"/>
      <c r="DA1" s="534"/>
      <c r="DB1" s="534"/>
      <c r="DC1" s="534"/>
    </row>
    <row r="2" spans="1:107" ht="15" customHeight="1" thickBot="1" x14ac:dyDescent="0.25">
      <c r="A2" s="534"/>
      <c r="B2" s="536"/>
      <c r="C2" s="537" t="str">
        <f>"Uge "&amp;WEEKNUM($C$4,21)</f>
        <v>Uge 5</v>
      </c>
      <c r="D2" s="538"/>
      <c r="E2" s="538"/>
      <c r="F2" s="538"/>
      <c r="G2" s="539"/>
      <c r="H2" s="537" t="str">
        <f>"Uge "&amp;WEEKNUM($H$4,21)</f>
        <v>Uge 6</v>
      </c>
      <c r="I2" s="538"/>
      <c r="J2" s="538"/>
      <c r="K2" s="538"/>
      <c r="L2" s="539"/>
      <c r="M2" s="537" t="str">
        <f>"Uge "&amp;WEEKNUM($M$4,21)</f>
        <v>Uge 7</v>
      </c>
      <c r="N2" s="538"/>
      <c r="O2" s="538"/>
      <c r="P2" s="538"/>
      <c r="Q2" s="539"/>
      <c r="R2" s="537" t="str">
        <f>"Uge "&amp;WEEKNUM($R$4,21)</f>
        <v>Uge 8</v>
      </c>
      <c r="S2" s="538"/>
      <c r="T2" s="538"/>
      <c r="U2" s="538"/>
      <c r="V2" s="539"/>
      <c r="W2" s="537" t="str">
        <f>"Uge "&amp;WEEKNUM($W$4,21)</f>
        <v>Uge 9</v>
      </c>
      <c r="X2" s="538"/>
      <c r="Y2" s="538"/>
      <c r="Z2" s="538"/>
      <c r="AA2" s="539"/>
      <c r="AB2" s="537" t="str">
        <f>"Uge "&amp;WEEKNUM($AB$4,21)</f>
        <v>Uge 10</v>
      </c>
      <c r="AC2" s="538"/>
      <c r="AD2" s="538"/>
      <c r="AE2" s="538"/>
      <c r="AF2" s="539"/>
      <c r="AG2" s="537" t="str">
        <f>"Uge "&amp;WEEKNUM($AG$4,21)</f>
        <v>Uge 11</v>
      </c>
      <c r="AH2" s="538"/>
      <c r="AI2" s="538"/>
      <c r="AJ2" s="538"/>
      <c r="AK2" s="539"/>
      <c r="AL2" s="537" t="str">
        <f>"Uge "&amp;WEEKNUM($AL$4,21)</f>
        <v>Uge 12</v>
      </c>
      <c r="AM2" s="538"/>
      <c r="AN2" s="538"/>
      <c r="AO2" s="538"/>
      <c r="AP2" s="539"/>
      <c r="AQ2" s="537" t="str">
        <f>"Uge "&amp;WEEKNUM($AQ$4,21)</f>
        <v>Uge 13</v>
      </c>
      <c r="AR2" s="538"/>
      <c r="AS2" s="538"/>
      <c r="AT2" s="538"/>
      <c r="AU2" s="539"/>
      <c r="AV2" s="537" t="str">
        <f>"Uge "&amp;WEEKNUM($AV$4,21)</f>
        <v>Uge 14</v>
      </c>
      <c r="AW2" s="538"/>
      <c r="AX2" s="538"/>
      <c r="AY2" s="538"/>
      <c r="AZ2" s="539"/>
      <c r="BA2" s="537" t="str">
        <f>"Uge "&amp;WEEKNUM($BA$4,21)</f>
        <v>Uge 15</v>
      </c>
      <c r="BB2" s="538"/>
      <c r="BC2" s="538"/>
      <c r="BD2" s="538"/>
      <c r="BE2" s="539"/>
      <c r="BF2" s="537" t="str">
        <f>"Uge "&amp;WEEKNUM($BF$4,21)</f>
        <v>Uge 16</v>
      </c>
      <c r="BG2" s="538"/>
      <c r="BH2" s="538"/>
      <c r="BI2" s="538"/>
      <c r="BJ2" s="539"/>
      <c r="BK2" s="537" t="str">
        <f>"Uge "&amp;WEEKNUM($BK$4,21)</f>
        <v>Uge 17</v>
      </c>
      <c r="BL2" s="538"/>
      <c r="BM2" s="538"/>
      <c r="BN2" s="538"/>
      <c r="BO2" s="539"/>
      <c r="BP2" s="537" t="str">
        <f>"Uge "&amp;WEEKNUM($BP$4,21)</f>
        <v>Uge 18</v>
      </c>
      <c r="BQ2" s="538"/>
      <c r="BR2" s="538"/>
      <c r="BS2" s="538"/>
      <c r="BT2" s="539"/>
      <c r="BU2" s="537" t="str">
        <f>"Uge "&amp;WEEKNUM($BU$4,21)</f>
        <v>Uge 19</v>
      </c>
      <c r="BV2" s="538"/>
      <c r="BW2" s="538"/>
      <c r="BX2" s="538"/>
      <c r="BY2" s="539"/>
      <c r="BZ2" s="537" t="str">
        <f>"Uge "&amp;WEEKNUM($BZ$4,21)</f>
        <v>Uge 20</v>
      </c>
      <c r="CA2" s="538"/>
      <c r="CB2" s="538"/>
      <c r="CC2" s="538"/>
      <c r="CD2" s="539"/>
      <c r="CE2" s="537" t="str">
        <f>"Uge "&amp;WEEKNUM($CE$4,21)</f>
        <v>Uge 21</v>
      </c>
      <c r="CF2" s="538"/>
      <c r="CG2" s="538"/>
      <c r="CH2" s="538"/>
      <c r="CI2" s="539"/>
      <c r="CJ2" s="537" t="str">
        <f>"Uge "&amp;WEEKNUM($CJ$4,21)</f>
        <v>Uge 22</v>
      </c>
      <c r="CK2" s="538"/>
      <c r="CL2" s="538"/>
      <c r="CM2" s="538"/>
      <c r="CN2" s="539"/>
      <c r="CO2" s="537" t="str">
        <f>"Uge "&amp;WEEKNUM($CO$4,21)</f>
        <v>Uge 23</v>
      </c>
      <c r="CP2" s="538"/>
      <c r="CQ2" s="538"/>
      <c r="CR2" s="538"/>
      <c r="CS2" s="539"/>
      <c r="CT2" s="537" t="str">
        <f>"Uge "&amp;WEEKNUM($CT$4,21)</f>
        <v>Uge 24</v>
      </c>
      <c r="CU2" s="538"/>
      <c r="CV2" s="538"/>
      <c r="CW2" s="538"/>
      <c r="CX2" s="539"/>
      <c r="CY2" s="537" t="str">
        <f>"Uge "&amp;WEEKNUM($CY$4,21)</f>
        <v>Uge 25</v>
      </c>
      <c r="CZ2" s="538"/>
      <c r="DA2" s="538"/>
      <c r="DB2" s="538"/>
      <c r="DC2" s="539"/>
    </row>
    <row r="3" spans="1:107" ht="14" customHeight="1" x14ac:dyDescent="0.2">
      <c r="A3" s="540"/>
      <c r="B3" s="541"/>
      <c r="C3" s="542">
        <f>'1. Sem'!$E$4</f>
        <v>46419</v>
      </c>
      <c r="D3" s="543">
        <f>'1. Sem'!$F$4</f>
        <v>46420</v>
      </c>
      <c r="E3" s="544">
        <f>'1. Sem'!$G$4</f>
        <v>46421</v>
      </c>
      <c r="F3" s="544">
        <f>'1. Sem'!$H$4</f>
        <v>46422</v>
      </c>
      <c r="G3" s="545">
        <f>'1. Sem'!$I$4</f>
        <v>46423</v>
      </c>
      <c r="H3" s="546">
        <f>'1. Sem'!$J$4</f>
        <v>46426</v>
      </c>
      <c r="I3" s="547">
        <f>'1. Sem'!$K$4</f>
        <v>46427</v>
      </c>
      <c r="J3" s="548">
        <f>'1. Sem'!$L$4</f>
        <v>46428</v>
      </c>
      <c r="K3" s="548">
        <f>'1. Sem'!$M$4</f>
        <v>46429</v>
      </c>
      <c r="L3" s="549">
        <f>'1. Sem'!$N$4</f>
        <v>46430</v>
      </c>
      <c r="M3" s="542">
        <f>'1. Sem'!$O$4</f>
        <v>46433</v>
      </c>
      <c r="N3" s="543">
        <f>'1. Sem'!$P$4</f>
        <v>46434</v>
      </c>
      <c r="O3" s="544">
        <f>'1. Sem'!$Q$4</f>
        <v>46435</v>
      </c>
      <c r="P3" s="544">
        <f>'1. Sem'!$R$4</f>
        <v>46436</v>
      </c>
      <c r="Q3" s="545">
        <f>'1. Sem'!$S$4</f>
        <v>46437</v>
      </c>
      <c r="R3" s="546">
        <f>'1. Sem'!$T$4</f>
        <v>46440</v>
      </c>
      <c r="S3" s="548">
        <f>'1. Sem'!$U$4</f>
        <v>46441</v>
      </c>
      <c r="T3" s="548">
        <f>'1. Sem'!$V$4</f>
        <v>46442</v>
      </c>
      <c r="U3" s="548">
        <f>'1. Sem'!$W$4</f>
        <v>46443</v>
      </c>
      <c r="V3" s="549">
        <f>'1. Sem'!$X$4</f>
        <v>46444</v>
      </c>
      <c r="W3" s="542">
        <f>'1. Sem'!$Y$4</f>
        <v>46447</v>
      </c>
      <c r="X3" s="544">
        <f>'1. Sem'!$Z$4</f>
        <v>46448</v>
      </c>
      <c r="Y3" s="544">
        <f>'1. Sem'!$AA$4</f>
        <v>46449</v>
      </c>
      <c r="Z3" s="544">
        <f>'1. Sem'!$AB$4</f>
        <v>46450</v>
      </c>
      <c r="AA3" s="545">
        <f>'1. Sem'!$AC$4</f>
        <v>46451</v>
      </c>
      <c r="AB3" s="546">
        <f>'1. Sem'!$AD$4</f>
        <v>46454</v>
      </c>
      <c r="AC3" s="548">
        <f>'1. Sem'!$AE$4</f>
        <v>46455</v>
      </c>
      <c r="AD3" s="548">
        <f>'1. Sem'!$AF$4</f>
        <v>46456</v>
      </c>
      <c r="AE3" s="548">
        <f>'1. Sem'!$AG$4</f>
        <v>46457</v>
      </c>
      <c r="AF3" s="549">
        <f>'1. Sem'!$AH$4</f>
        <v>46458</v>
      </c>
      <c r="AG3" s="542">
        <f>'1. Sem'!$AI$4</f>
        <v>46461</v>
      </c>
      <c r="AH3" s="544">
        <f>'1. Sem'!$AJ$4</f>
        <v>46462</v>
      </c>
      <c r="AI3" s="544">
        <f>'1. Sem'!$AK$4</f>
        <v>46463</v>
      </c>
      <c r="AJ3" s="544">
        <f>'1. Sem'!$AL$4</f>
        <v>46464</v>
      </c>
      <c r="AK3" s="545">
        <f>'1. Sem'!$AM$4</f>
        <v>46465</v>
      </c>
      <c r="AL3" s="546">
        <f>'1. Sem'!$AN$4</f>
        <v>46468</v>
      </c>
      <c r="AM3" s="548">
        <f>'1. Sem'!$AO$4</f>
        <v>46469</v>
      </c>
      <c r="AN3" s="548">
        <f>'1. Sem'!$AP$4</f>
        <v>46470</v>
      </c>
      <c r="AO3" s="548">
        <f>'1. Sem'!$AQ$4</f>
        <v>46471</v>
      </c>
      <c r="AP3" s="549">
        <f>'1. Sem'!$AR$4</f>
        <v>46472</v>
      </c>
      <c r="AQ3" s="542">
        <f>'1. Sem'!$AS$4</f>
        <v>46475</v>
      </c>
      <c r="AR3" s="544">
        <f>'1. Sem'!$AT$4</f>
        <v>46476</v>
      </c>
      <c r="AS3" s="544">
        <f>'1. Sem'!$AU$4</f>
        <v>46477</v>
      </c>
      <c r="AT3" s="544">
        <f>'1. Sem'!$AV$4</f>
        <v>46478</v>
      </c>
      <c r="AU3" s="550">
        <f>'1. Sem'!$AW$4</f>
        <v>46479</v>
      </c>
      <c r="AV3" s="546">
        <f>'1. Sem'!$AX$4</f>
        <v>46482</v>
      </c>
      <c r="AW3" s="548">
        <f>'1. Sem'!$AY$4</f>
        <v>46483</v>
      </c>
      <c r="AX3" s="548">
        <f>'1. Sem'!$AZ$4</f>
        <v>46484</v>
      </c>
      <c r="AY3" s="548">
        <f>'1. Sem'!$BA$4</f>
        <v>46485</v>
      </c>
      <c r="AZ3" s="551">
        <f>'1. Sem'!$BB$4</f>
        <v>46486</v>
      </c>
      <c r="BA3" s="542">
        <f>'1. Sem'!$BC$4</f>
        <v>46489</v>
      </c>
      <c r="BB3" s="544">
        <f>'1. Sem'!$BD$4</f>
        <v>46490</v>
      </c>
      <c r="BC3" s="544">
        <f>'1. Sem'!$BE$4</f>
        <v>46491</v>
      </c>
      <c r="BD3" s="544">
        <f>'1. Sem'!$BF$4</f>
        <v>46492</v>
      </c>
      <c r="BE3" s="550">
        <f>'1. Sem'!$BG$4</f>
        <v>46493</v>
      </c>
      <c r="BF3" s="546">
        <f>'1. Sem'!$BH$4</f>
        <v>46496</v>
      </c>
      <c r="BG3" s="548">
        <f>'1. Sem'!$BI$4</f>
        <v>46497</v>
      </c>
      <c r="BH3" s="548">
        <f>'1. Sem'!$BJ$4</f>
        <v>46498</v>
      </c>
      <c r="BI3" s="548">
        <f>'1. Sem'!$BK$4</f>
        <v>46499</v>
      </c>
      <c r="BJ3" s="551">
        <f>'1. Sem'!$BL$4</f>
        <v>46500</v>
      </c>
      <c r="BK3" s="542">
        <f>'1. Sem'!$BM$4</f>
        <v>46503</v>
      </c>
      <c r="BL3" s="544">
        <f>'1. Sem'!$BN$4</f>
        <v>46504</v>
      </c>
      <c r="BM3" s="544">
        <f>'1. Sem'!$BO$4</f>
        <v>46505</v>
      </c>
      <c r="BN3" s="544">
        <f>'1. Sem'!$BP$4</f>
        <v>46506</v>
      </c>
      <c r="BO3" s="550">
        <f>'1. Sem'!$BQ$4</f>
        <v>46507</v>
      </c>
      <c r="BP3" s="546">
        <f>'1. Sem'!$BR$4</f>
        <v>46510</v>
      </c>
      <c r="BQ3" s="548">
        <f>'1. Sem'!$BS$4</f>
        <v>46511</v>
      </c>
      <c r="BR3" s="548">
        <f>'1. Sem'!$BT$4</f>
        <v>46512</v>
      </c>
      <c r="BS3" s="548">
        <f>'1. Sem'!$BU$4</f>
        <v>46513</v>
      </c>
      <c r="BT3" s="551">
        <f>'1. Sem'!$BV$4</f>
        <v>46514</v>
      </c>
      <c r="BU3" s="542">
        <f>'1. Sem'!$BW$4</f>
        <v>46517</v>
      </c>
      <c r="BV3" s="544">
        <f>'1. Sem'!$BX$4</f>
        <v>46518</v>
      </c>
      <c r="BW3" s="544">
        <f>'1. Sem'!$BY$4</f>
        <v>46519</v>
      </c>
      <c r="BX3" s="544">
        <f>'1. Sem'!$BZ$4</f>
        <v>46520</v>
      </c>
      <c r="BY3" s="550">
        <f>'1. Sem'!$CA$4</f>
        <v>46521</v>
      </c>
      <c r="BZ3" s="546">
        <f>'1. Sem'!$CB$4</f>
        <v>46524</v>
      </c>
      <c r="CA3" s="548">
        <f>'1. Sem'!$CC$4</f>
        <v>46525</v>
      </c>
      <c r="CB3" s="548">
        <f>'1. Sem'!$CD$4</f>
        <v>46526</v>
      </c>
      <c r="CC3" s="548">
        <f>'1. Sem'!$CE$4</f>
        <v>46527</v>
      </c>
      <c r="CD3" s="551">
        <f>'1. Sem'!$CF$4</f>
        <v>46528</v>
      </c>
      <c r="CE3" s="542">
        <f>'1. Sem'!$CG$4</f>
        <v>46531</v>
      </c>
      <c r="CF3" s="544">
        <f>'1. Sem'!$CH$4</f>
        <v>46532</v>
      </c>
      <c r="CG3" s="544">
        <f>'1. Sem'!$CI$4</f>
        <v>46533</v>
      </c>
      <c r="CH3" s="544">
        <f>'1. Sem'!$CJ$4</f>
        <v>46534</v>
      </c>
      <c r="CI3" s="550">
        <f>'1. Sem'!$CK$4</f>
        <v>46535</v>
      </c>
      <c r="CJ3" s="546">
        <f>'1. Sem'!$CL$4</f>
        <v>46538</v>
      </c>
      <c r="CK3" s="548">
        <f>'1. Sem'!$CM$4</f>
        <v>46539</v>
      </c>
      <c r="CL3" s="548">
        <f>'1. Sem'!$CN$4</f>
        <v>46540</v>
      </c>
      <c r="CM3" s="548">
        <f>'1. Sem'!$CO$4</f>
        <v>46541</v>
      </c>
      <c r="CN3" s="551">
        <f>'1. Sem'!$CP$4</f>
        <v>46542</v>
      </c>
      <c r="CO3" s="542">
        <f>'1. Sem'!$CQ$4</f>
        <v>46545</v>
      </c>
      <c r="CP3" s="544">
        <f>'1. Sem'!$CR$4</f>
        <v>46546</v>
      </c>
      <c r="CQ3" s="544">
        <f>'1. Sem'!$CS$4</f>
        <v>46547</v>
      </c>
      <c r="CR3" s="544">
        <f>'1. Sem'!$CT$4</f>
        <v>46548</v>
      </c>
      <c r="CS3" s="545">
        <f>'1. Sem'!$CU$4</f>
        <v>46549</v>
      </c>
      <c r="CT3" s="546">
        <f>'1. Sem'!$CV$4</f>
        <v>46552</v>
      </c>
      <c r="CU3" s="548">
        <f>'1. Sem'!$CW$4</f>
        <v>46553</v>
      </c>
      <c r="CV3" s="548">
        <f>'1. Sem'!$CX$4</f>
        <v>46554</v>
      </c>
      <c r="CW3" s="548">
        <f>'1. Sem'!$CY$4</f>
        <v>46555</v>
      </c>
      <c r="CX3" s="549">
        <f>'1. Sem'!$CZ$4</f>
        <v>46556</v>
      </c>
      <c r="CY3" s="542">
        <f>'1. Sem'!$DA$4</f>
        <v>46559</v>
      </c>
      <c r="CZ3" s="544">
        <f>'1. Sem'!$DB$4</f>
        <v>46560</v>
      </c>
      <c r="DA3" s="544">
        <f>'1. Sem'!$DC$4</f>
        <v>46561</v>
      </c>
      <c r="DB3" s="544">
        <f>'1. Sem'!$DD$4</f>
        <v>46562</v>
      </c>
      <c r="DC3" s="545">
        <f>'1. Sem'!$DE$4</f>
        <v>46563</v>
      </c>
    </row>
    <row r="4" spans="1:107" ht="15" customHeight="1" thickBot="1" x14ac:dyDescent="0.25">
      <c r="A4" s="540"/>
      <c r="B4" s="541"/>
      <c r="C4" s="552">
        <f>'1. Sem'!$E$5</f>
        <v>46419</v>
      </c>
      <c r="D4" s="553">
        <f>'1. Sem'!$F$5</f>
        <v>46420</v>
      </c>
      <c r="E4" s="554">
        <f>'1. Sem'!$G$5</f>
        <v>46421</v>
      </c>
      <c r="F4" s="554">
        <f>'1. Sem'!$H$5</f>
        <v>46422</v>
      </c>
      <c r="G4" s="555">
        <f>'1. Sem'!$I$5</f>
        <v>46423</v>
      </c>
      <c r="H4" s="556">
        <f>'1. Sem'!$J$5</f>
        <v>46426</v>
      </c>
      <c r="I4" s="557">
        <f>'1. Sem'!$K$5</f>
        <v>46427</v>
      </c>
      <c r="J4" s="558">
        <f>'1. Sem'!$L$5</f>
        <v>46428</v>
      </c>
      <c r="K4" s="558">
        <f>'1. Sem'!$M$5</f>
        <v>46429</v>
      </c>
      <c r="L4" s="559">
        <f>'1. Sem'!$N$5</f>
        <v>46430</v>
      </c>
      <c r="M4" s="552">
        <f>'1. Sem'!$O$5</f>
        <v>46433</v>
      </c>
      <c r="N4" s="553">
        <f>'1. Sem'!$P$5</f>
        <v>46434</v>
      </c>
      <c r="O4" s="554">
        <f>'1. Sem'!$Q$5</f>
        <v>46435</v>
      </c>
      <c r="P4" s="554">
        <f>'1. Sem'!$R$5</f>
        <v>46436</v>
      </c>
      <c r="Q4" s="555">
        <f>'1. Sem'!$S$5</f>
        <v>46437</v>
      </c>
      <c r="R4" s="556">
        <f>'1. Sem'!$T$5</f>
        <v>46440</v>
      </c>
      <c r="S4" s="558">
        <f>'1. Sem'!$U$5</f>
        <v>46441</v>
      </c>
      <c r="T4" s="558">
        <f>'1. Sem'!$V$5</f>
        <v>46442</v>
      </c>
      <c r="U4" s="558">
        <f>'1. Sem'!$W$5</f>
        <v>46443</v>
      </c>
      <c r="V4" s="559">
        <f>'1. Sem'!$X$5</f>
        <v>46444</v>
      </c>
      <c r="W4" s="552">
        <f>'1. Sem'!$Y$5</f>
        <v>46447</v>
      </c>
      <c r="X4" s="554">
        <f>'1. Sem'!$Z$5</f>
        <v>46448</v>
      </c>
      <c r="Y4" s="554">
        <f>'1. Sem'!$AA$5</f>
        <v>46449</v>
      </c>
      <c r="Z4" s="554">
        <f>'1. Sem'!$AB$5</f>
        <v>46450</v>
      </c>
      <c r="AA4" s="555">
        <f>'1. Sem'!$AC$5</f>
        <v>46451</v>
      </c>
      <c r="AB4" s="556">
        <f>'1. Sem'!$AD$5</f>
        <v>46454</v>
      </c>
      <c r="AC4" s="558">
        <f>'1. Sem'!$AE$5</f>
        <v>46455</v>
      </c>
      <c r="AD4" s="558">
        <f>'1. Sem'!$AF$5</f>
        <v>46456</v>
      </c>
      <c r="AE4" s="558">
        <f>'1. Sem'!$AG$5</f>
        <v>46457</v>
      </c>
      <c r="AF4" s="559">
        <f>'1. Sem'!$AH$5</f>
        <v>46458</v>
      </c>
      <c r="AG4" s="552">
        <f>'1. Sem'!$AI$5</f>
        <v>46461</v>
      </c>
      <c r="AH4" s="554">
        <f>'1. Sem'!$AJ$5</f>
        <v>46462</v>
      </c>
      <c r="AI4" s="554">
        <f>'1. Sem'!$AK$5</f>
        <v>46463</v>
      </c>
      <c r="AJ4" s="554">
        <f>'1. Sem'!$AL$5</f>
        <v>46464</v>
      </c>
      <c r="AK4" s="555">
        <f>'1. Sem'!$AM$5</f>
        <v>46465</v>
      </c>
      <c r="AL4" s="556">
        <f>'1. Sem'!$AN$5</f>
        <v>46468</v>
      </c>
      <c r="AM4" s="558">
        <f>'1. Sem'!$AO$5</f>
        <v>46469</v>
      </c>
      <c r="AN4" s="558">
        <f>'1. Sem'!$AP$5</f>
        <v>46470</v>
      </c>
      <c r="AO4" s="558">
        <f>'1. Sem'!$AQ$5</f>
        <v>46471</v>
      </c>
      <c r="AP4" s="559">
        <f>'1. Sem'!$AR$5</f>
        <v>46472</v>
      </c>
      <c r="AQ4" s="552">
        <f>'1. Sem'!$AS$5</f>
        <v>46475</v>
      </c>
      <c r="AR4" s="554">
        <f>'1. Sem'!$AT$5</f>
        <v>46476</v>
      </c>
      <c r="AS4" s="554">
        <f>'1. Sem'!$AU$5</f>
        <v>46477</v>
      </c>
      <c r="AT4" s="554">
        <f>'1. Sem'!$AV$5</f>
        <v>46478</v>
      </c>
      <c r="AU4" s="560">
        <f>'1. Sem'!$AW$5</f>
        <v>46479</v>
      </c>
      <c r="AV4" s="556">
        <f>'1. Sem'!$AX$5</f>
        <v>46482</v>
      </c>
      <c r="AW4" s="558">
        <f>'1. Sem'!$AY$5</f>
        <v>46483</v>
      </c>
      <c r="AX4" s="558">
        <f>'1. Sem'!$AZ$5</f>
        <v>46484</v>
      </c>
      <c r="AY4" s="558">
        <f>'1. Sem'!$BA$5</f>
        <v>46485</v>
      </c>
      <c r="AZ4" s="561">
        <f>'1. Sem'!$BB$5</f>
        <v>46486</v>
      </c>
      <c r="BA4" s="552">
        <f>'1. Sem'!$BC$5</f>
        <v>46489</v>
      </c>
      <c r="BB4" s="554">
        <f>'1. Sem'!$BD$5</f>
        <v>46490</v>
      </c>
      <c r="BC4" s="554">
        <f>'1. Sem'!$BE$5</f>
        <v>46491</v>
      </c>
      <c r="BD4" s="554">
        <f>'1. Sem'!$BF$5</f>
        <v>46492</v>
      </c>
      <c r="BE4" s="560">
        <f>'1. Sem'!$BG$5</f>
        <v>46493</v>
      </c>
      <c r="BF4" s="556">
        <f>'1. Sem'!$BH$5</f>
        <v>46496</v>
      </c>
      <c r="BG4" s="558">
        <f>'1. Sem'!$BI$5</f>
        <v>46497</v>
      </c>
      <c r="BH4" s="558">
        <f>'1. Sem'!$BJ$5</f>
        <v>46498</v>
      </c>
      <c r="BI4" s="558">
        <f>'1. Sem'!$BK$5</f>
        <v>46499</v>
      </c>
      <c r="BJ4" s="561">
        <f>'1. Sem'!$BL$5</f>
        <v>46500</v>
      </c>
      <c r="BK4" s="552">
        <f>'1. Sem'!$BM$5</f>
        <v>46503</v>
      </c>
      <c r="BL4" s="554">
        <f>'1. Sem'!$BN$5</f>
        <v>46504</v>
      </c>
      <c r="BM4" s="554">
        <f>'1. Sem'!$BO$5</f>
        <v>46505</v>
      </c>
      <c r="BN4" s="554">
        <f>'1. Sem'!$BP$5</f>
        <v>46506</v>
      </c>
      <c r="BO4" s="560">
        <f>'1. Sem'!$BQ$5</f>
        <v>46507</v>
      </c>
      <c r="BP4" s="556">
        <f>'1. Sem'!$BR$5</f>
        <v>46510</v>
      </c>
      <c r="BQ4" s="558">
        <f>'1. Sem'!$BS$5</f>
        <v>46511</v>
      </c>
      <c r="BR4" s="558">
        <f>'1. Sem'!$BT$5</f>
        <v>46512</v>
      </c>
      <c r="BS4" s="558">
        <f>'1. Sem'!$BU$5</f>
        <v>46513</v>
      </c>
      <c r="BT4" s="561">
        <f>'1. Sem'!$BV$5</f>
        <v>46514</v>
      </c>
      <c r="BU4" s="552">
        <f>'1. Sem'!$BW$5</f>
        <v>46517</v>
      </c>
      <c r="BV4" s="554">
        <f>'1. Sem'!$BX$5</f>
        <v>46518</v>
      </c>
      <c r="BW4" s="554">
        <f>'1. Sem'!$BY$5</f>
        <v>46519</v>
      </c>
      <c r="BX4" s="554">
        <f>'1. Sem'!$BZ$5</f>
        <v>46520</v>
      </c>
      <c r="BY4" s="560">
        <f>'1. Sem'!$CA$5</f>
        <v>46521</v>
      </c>
      <c r="BZ4" s="556">
        <f>'1. Sem'!$CB$5</f>
        <v>46524</v>
      </c>
      <c r="CA4" s="558">
        <f>'1. Sem'!$CC$5</f>
        <v>46525</v>
      </c>
      <c r="CB4" s="558">
        <f>'1. Sem'!$CD$5</f>
        <v>46526</v>
      </c>
      <c r="CC4" s="558">
        <f>'1. Sem'!$CE$5</f>
        <v>46527</v>
      </c>
      <c r="CD4" s="561">
        <f>'1. Sem'!$CF$5</f>
        <v>46528</v>
      </c>
      <c r="CE4" s="552">
        <f>'1. Sem'!$CG$5</f>
        <v>46531</v>
      </c>
      <c r="CF4" s="554">
        <f>'1. Sem'!$CH$5</f>
        <v>46532</v>
      </c>
      <c r="CG4" s="554">
        <f>'1. Sem'!$CI$5</f>
        <v>46533</v>
      </c>
      <c r="CH4" s="554">
        <f>'1. Sem'!$CJ$5</f>
        <v>46534</v>
      </c>
      <c r="CI4" s="560">
        <f>'1. Sem'!$CK$5</f>
        <v>46535</v>
      </c>
      <c r="CJ4" s="556">
        <f>'1. Sem'!$CL$5</f>
        <v>46538</v>
      </c>
      <c r="CK4" s="558">
        <f>'1. Sem'!$CM$5</f>
        <v>46539</v>
      </c>
      <c r="CL4" s="558">
        <f>'1. Sem'!$CN$5</f>
        <v>46540</v>
      </c>
      <c r="CM4" s="558">
        <f>'1. Sem'!$CO$5</f>
        <v>46541</v>
      </c>
      <c r="CN4" s="561">
        <f>'1. Sem'!$CP$5</f>
        <v>46542</v>
      </c>
      <c r="CO4" s="552">
        <f>'1. Sem'!$CQ$5</f>
        <v>46545</v>
      </c>
      <c r="CP4" s="554">
        <f>'1. Sem'!$CR$5</f>
        <v>46546</v>
      </c>
      <c r="CQ4" s="554">
        <f>'1. Sem'!$CS$5</f>
        <v>46547</v>
      </c>
      <c r="CR4" s="554">
        <f>'1. Sem'!$CT$5</f>
        <v>46548</v>
      </c>
      <c r="CS4" s="555">
        <f>'1. Sem'!$CU$5</f>
        <v>46549</v>
      </c>
      <c r="CT4" s="556">
        <f>'1. Sem'!$CV$5</f>
        <v>46552</v>
      </c>
      <c r="CU4" s="558">
        <f>'1. Sem'!$CW$5</f>
        <v>46553</v>
      </c>
      <c r="CV4" s="558">
        <f>'1. Sem'!$CX$5</f>
        <v>46554</v>
      </c>
      <c r="CW4" s="558">
        <f>'1. Sem'!$CY$5</f>
        <v>46555</v>
      </c>
      <c r="CX4" s="559">
        <f>'1. Sem'!$CZ$5</f>
        <v>46556</v>
      </c>
      <c r="CY4" s="552">
        <f>'1. Sem'!$DA$5</f>
        <v>46559</v>
      </c>
      <c r="CZ4" s="554">
        <f>'1. Sem'!$DB$5</f>
        <v>46560</v>
      </c>
      <c r="DA4" s="554">
        <f>'1. Sem'!$DC$5</f>
        <v>46561</v>
      </c>
      <c r="DB4" s="554">
        <f>'1. Sem'!$DD$5</f>
        <v>46562</v>
      </c>
      <c r="DC4" s="555">
        <f>'1. Sem'!$DE$5</f>
        <v>46563</v>
      </c>
    </row>
    <row r="5" spans="1:107" ht="17" customHeight="1" thickBot="1" x14ac:dyDescent="0.25">
      <c r="A5" s="562"/>
      <c r="B5" s="562"/>
      <c r="C5" s="563"/>
      <c r="D5" s="563"/>
      <c r="E5" s="563"/>
      <c r="F5" s="563"/>
      <c r="G5" s="563"/>
      <c r="H5" s="563"/>
      <c r="I5" s="563"/>
      <c r="J5" s="563"/>
      <c r="K5" s="563"/>
      <c r="L5" s="563"/>
      <c r="M5" s="563"/>
      <c r="N5" s="563"/>
      <c r="O5" s="563"/>
      <c r="P5" s="563"/>
      <c r="Q5" s="563"/>
      <c r="R5" s="563"/>
      <c r="S5" s="563"/>
      <c r="T5" s="563"/>
      <c r="U5" s="563"/>
      <c r="V5" s="563"/>
      <c r="W5" s="563"/>
      <c r="X5" s="563"/>
      <c r="Y5" s="563"/>
      <c r="Z5" s="563"/>
      <c r="AA5" s="563"/>
      <c r="AB5" s="563"/>
      <c r="AC5" s="563"/>
      <c r="AD5" s="563"/>
      <c r="AE5" s="563"/>
      <c r="AF5" s="563"/>
      <c r="AG5" s="563"/>
      <c r="AH5" s="563"/>
      <c r="AI5" s="563"/>
      <c r="AJ5" s="563"/>
      <c r="AK5" s="563"/>
      <c r="AL5" s="563"/>
      <c r="AM5" s="563"/>
      <c r="AN5" s="563"/>
      <c r="AO5" s="563"/>
      <c r="AP5" s="563"/>
      <c r="AQ5" s="563"/>
      <c r="AR5" s="563"/>
      <c r="AS5" s="563"/>
      <c r="AT5" s="563"/>
      <c r="AU5" s="563"/>
      <c r="AV5" s="563"/>
      <c r="AW5" s="563"/>
      <c r="AX5" s="563"/>
      <c r="AY5" s="563"/>
      <c r="AZ5" s="563"/>
      <c r="BA5" s="563"/>
      <c r="BB5" s="563"/>
      <c r="BC5" s="563"/>
      <c r="BD5" s="563"/>
      <c r="BE5" s="563"/>
      <c r="BF5" s="563"/>
      <c r="BG5" s="563"/>
      <c r="BH5" s="563"/>
      <c r="BI5" s="563"/>
      <c r="BJ5" s="563"/>
      <c r="BK5" s="563"/>
      <c r="BL5" s="563"/>
      <c r="BM5" s="563"/>
      <c r="BN5" s="563"/>
      <c r="BO5" s="563"/>
      <c r="BP5" s="563"/>
      <c r="BQ5" s="563"/>
      <c r="BR5" s="563"/>
      <c r="BS5" s="563"/>
      <c r="BT5" s="563"/>
      <c r="BU5" s="564"/>
      <c r="BV5" s="563"/>
      <c r="BW5" s="563"/>
      <c r="BX5" s="563"/>
      <c r="BY5" s="563"/>
      <c r="BZ5" s="563"/>
      <c r="CA5" s="563"/>
      <c r="CB5" s="563"/>
      <c r="CC5" s="563"/>
      <c r="CD5" s="563"/>
      <c r="CE5" s="563"/>
      <c r="CF5" s="563"/>
      <c r="CG5" s="563"/>
      <c r="CH5" s="563"/>
      <c r="CI5" s="563"/>
      <c r="CJ5" s="563"/>
      <c r="CK5" s="563"/>
      <c r="CL5" s="563"/>
      <c r="CM5" s="563"/>
      <c r="CN5" s="565"/>
      <c r="CO5" s="563"/>
      <c r="CP5" s="563"/>
      <c r="CQ5" s="563"/>
      <c r="CR5" s="563"/>
      <c r="CS5" s="563"/>
      <c r="CT5" s="563"/>
      <c r="CU5" s="563"/>
      <c r="CV5" s="563"/>
      <c r="CW5" s="563"/>
      <c r="CX5" s="563"/>
      <c r="CY5" s="563"/>
      <c r="CZ5" s="563"/>
      <c r="DA5" s="563"/>
      <c r="DB5" s="563"/>
      <c r="DC5" s="563"/>
    </row>
    <row r="6" spans="1:107" ht="16" customHeight="1" x14ac:dyDescent="0.2">
      <c r="A6" s="566" t="s">
        <v>364</v>
      </c>
      <c r="B6" s="567" t="s">
        <v>7</v>
      </c>
      <c r="C6" s="568" t="str">
        <f>IF('1. Sem'!$E$7="","",'1. Sem'!$E$7)</f>
        <v/>
      </c>
      <c r="D6" s="569" t="str">
        <f>IF('1. Sem'!$F$7="","",'1. Sem'!$F$7)</f>
        <v/>
      </c>
      <c r="E6" s="569" t="str">
        <f>IF('1. Sem'!$G$7="","",'1. Sem'!$G$7)</f>
        <v/>
      </c>
      <c r="F6" s="569" t="str">
        <f>IF('1. Sem'!$H$7="","",'1. Sem'!$H$7)</f>
        <v/>
      </c>
      <c r="G6" s="570" t="str">
        <f>IF('1. Sem'!$I$7="","",'1. Sem'!$I$7)</f>
        <v/>
      </c>
      <c r="H6" s="571" t="str">
        <f>IF('1. Sem'!$J$7="","",'1. Sem'!$J$7)</f>
        <v/>
      </c>
      <c r="I6" s="572" t="str">
        <f>IF('1. Sem'!$K$7="","",'1. Sem'!$K$7)</f>
        <v/>
      </c>
      <c r="J6" s="572" t="str">
        <f>IF('1. Sem'!$L$7="","",'1. Sem'!$L$7)</f>
        <v/>
      </c>
      <c r="K6" s="572" t="str">
        <f>IF('1. Sem'!$M$7="","",'1. Sem'!$M$7)</f>
        <v/>
      </c>
      <c r="L6" s="573" t="str">
        <f>IF('1. Sem'!$N$7="","",'1. Sem'!$N$7)</f>
        <v/>
      </c>
      <c r="M6" s="574" t="str">
        <f>IF('1. Sem'!$O$7="","",'1. Sem'!$O$7)</f>
        <v/>
      </c>
      <c r="N6" s="569" t="str">
        <f>IF('1. Sem'!$P$7="","",'1. Sem'!$P$7)</f>
        <v/>
      </c>
      <c r="O6" s="569" t="str">
        <f>IF('1. Sem'!$Q$7="","",'1. Sem'!$Q$7)</f>
        <v/>
      </c>
      <c r="P6" s="569" t="str">
        <f>IF('1. Sem'!$R$7="","",'1. Sem'!$R$7)</f>
        <v/>
      </c>
      <c r="Q6" s="570" t="str">
        <f>IF('1. Sem'!$S$7="","",'1. Sem'!$S$7)</f>
        <v/>
      </c>
      <c r="R6" s="571" t="str">
        <f>IF('1. Sem'!$T$7="","",'1. Sem'!$T$7)</f>
        <v/>
      </c>
      <c r="S6" s="572" t="str">
        <f>IF('1. Sem'!$U$7="","",'1. Sem'!$U$7)</f>
        <v/>
      </c>
      <c r="T6" s="572" t="str">
        <f>IF('1. Sem'!$V$7="","",'1. Sem'!$V$7)</f>
        <v/>
      </c>
      <c r="U6" s="572" t="str">
        <f>IF('1. Sem'!$W$7="","",'1. Sem'!$W$7)</f>
        <v/>
      </c>
      <c r="V6" s="573" t="str">
        <f>IF('1. Sem'!$X$7="","",'1. Sem'!$X$7)</f>
        <v/>
      </c>
      <c r="W6" s="574" t="str">
        <f>IF('1. Sem'!$Y$7="","",'1. Sem'!$Y$7)</f>
        <v/>
      </c>
      <c r="X6" s="569" t="str">
        <f>IF('1. Sem'!$Z$7="","",'1. Sem'!$Z$7)</f>
        <v/>
      </c>
      <c r="Y6" s="569" t="str">
        <f>IF('1. Sem'!$AA$7="","",'1. Sem'!$AA$7)</f>
        <v/>
      </c>
      <c r="Z6" s="569" t="str">
        <f>IF('1. Sem'!$AB$7="","",'1. Sem'!$AB$7)</f>
        <v/>
      </c>
      <c r="AA6" s="570" t="str">
        <f>IF('1. Sem'!$AC$7="","",'1. Sem'!$AC$7)</f>
        <v/>
      </c>
      <c r="AB6" s="571" t="str">
        <f>IF('1. Sem'!$AD$7="","",'1. Sem'!$AD$7)</f>
        <v/>
      </c>
      <c r="AC6" s="572" t="str">
        <f>IF('1. Sem'!$AE$7="","",'1. Sem'!$AE$7)</f>
        <v/>
      </c>
      <c r="AD6" s="572" t="str">
        <f>IF('1. Sem'!$AF$7="","",'1. Sem'!$AF$7)</f>
        <v/>
      </c>
      <c r="AE6" s="572" t="str">
        <f>IF('1. Sem'!$AG$7="","",'1. Sem'!$AG$7)</f>
        <v/>
      </c>
      <c r="AF6" s="573" t="str">
        <f>IF('1. Sem'!$AH$7="","",'1. Sem'!$AH$7)</f>
        <v/>
      </c>
      <c r="AG6" s="574" t="str">
        <f>IF('1. Sem'!$AI$7="","",'1. Sem'!$AI$7)</f>
        <v/>
      </c>
      <c r="AH6" s="569" t="str">
        <f>IF('1. Sem'!$AJ$7="","",'1. Sem'!$AJ$7)</f>
        <v/>
      </c>
      <c r="AI6" s="569" t="str">
        <f>IF('1. Sem'!$AK$7="","",'1. Sem'!$AK$7)</f>
        <v/>
      </c>
      <c r="AJ6" s="569" t="str">
        <f>IF('1. Sem'!$AL$7="","",'1. Sem'!$AL$7)</f>
        <v/>
      </c>
      <c r="AK6" s="570" t="str">
        <f>IF('1. Sem'!$AM$7="","",'1. Sem'!$AM$7)</f>
        <v/>
      </c>
      <c r="AL6" s="578" t="str">
        <f>IF('1. Sem'!$AN$7="","",'1. Sem'!$AN$7)</f>
        <v/>
      </c>
      <c r="AM6" s="576" t="str">
        <f>IF('1. Sem'!$AO$7="","",'1. Sem'!$AO$7)</f>
        <v/>
      </c>
      <c r="AN6" s="576" t="str">
        <f>IF('1. Sem'!$AP$7="","",'1. Sem'!$AP$7)</f>
        <v/>
      </c>
      <c r="AO6" s="576" t="str">
        <f>IF('1. Sem'!$AQ$7="","",'1. Sem'!$AQ$7)</f>
        <v/>
      </c>
      <c r="AP6" s="577" t="str">
        <f>IF('1. Sem'!$AR$7="","",'1. Sem'!$AR$7)</f>
        <v/>
      </c>
      <c r="AQ6" s="575" t="str">
        <f>IF('1. Sem'!$AS$7="","",'1. Sem'!$AS$7)</f>
        <v/>
      </c>
      <c r="AR6" s="569" t="str">
        <f>IF('1. Sem'!$AT$7="","",'1. Sem'!$AT$7)</f>
        <v/>
      </c>
      <c r="AS6" s="569" t="str">
        <f>IF('1. Sem'!$AU$7="","",'1. Sem'!$AU$7)</f>
        <v/>
      </c>
      <c r="AT6" s="569" t="str">
        <f>IF('1. Sem'!$AV$7="","",'1. Sem'!$AV$7)</f>
        <v/>
      </c>
      <c r="AU6" s="570" t="str">
        <f>IF('1. Sem'!$AW$7="","",'1. Sem'!$AW$7)</f>
        <v/>
      </c>
      <c r="AV6" s="571" t="str">
        <f>IF('1. Sem'!$AX$7="","",'1. Sem'!$AX$7)</f>
        <v/>
      </c>
      <c r="AW6" s="572" t="str">
        <f>IF('1. Sem'!$AY$7="","",'1. Sem'!$AY$7)</f>
        <v/>
      </c>
      <c r="AX6" s="572" t="str">
        <f>IF('1. Sem'!$AZ$7="","",'1. Sem'!$AZ$7)</f>
        <v/>
      </c>
      <c r="AY6" s="572" t="str">
        <f>IF('1. Sem'!$BA$7="","",'1. Sem'!$BA$7)</f>
        <v/>
      </c>
      <c r="AZ6" s="573" t="str">
        <f>IF('1. Sem'!$BB$7="","",'1. Sem'!$BB$7)</f>
        <v/>
      </c>
      <c r="BA6" s="574" t="str">
        <f>IF('1. Sem'!$BC$7="","",'1. Sem'!$BC$7)</f>
        <v/>
      </c>
      <c r="BB6" s="569" t="str">
        <f>IF('1. Sem'!$BD$7="","",'1. Sem'!$BD$7)</f>
        <v/>
      </c>
      <c r="BC6" s="569" t="str">
        <f>IF('1. Sem'!$BE$7="","",'1. Sem'!$BE$7)</f>
        <v/>
      </c>
      <c r="BD6" s="569" t="str">
        <f>IF('1. Sem'!$BF$7="","",'1. Sem'!$BF$7)</f>
        <v/>
      </c>
      <c r="BE6" s="570" t="str">
        <f>IF('1. Sem'!$BG$7="","",'1. Sem'!$BG$7)</f>
        <v/>
      </c>
      <c r="BF6" s="571" t="str">
        <f>IF('1. Sem'!$BH$7="","",'1. Sem'!$BH$7)</f>
        <v/>
      </c>
      <c r="BG6" s="572" t="str">
        <f>IF('1. Sem'!$BI$7="","",'1. Sem'!$BI$7)</f>
        <v/>
      </c>
      <c r="BH6" s="572" t="str">
        <f>IF('1. Sem'!$BJ$7="","",'1. Sem'!$BJ$7)</f>
        <v/>
      </c>
      <c r="BI6" s="572" t="str">
        <f>IF('1. Sem'!$BK$7="","",'1. Sem'!$BK$7)</f>
        <v/>
      </c>
      <c r="BJ6" s="573" t="str">
        <f>IF('1. Sem'!$BL$7="","",'1. Sem'!$BL$7)</f>
        <v/>
      </c>
      <c r="BK6" s="574" t="str">
        <f>IF('1. Sem'!$BM$7="","",'1. Sem'!$BM$7)</f>
        <v/>
      </c>
      <c r="BL6" s="569" t="str">
        <f>IF('1. Sem'!$BN$7="","",'1. Sem'!$BN$7)</f>
        <v/>
      </c>
      <c r="BM6" s="569" t="str">
        <f>IF('1. Sem'!$BO$7="","",'1. Sem'!$BO$7)</f>
        <v/>
      </c>
      <c r="BN6" s="569" t="str">
        <f>IF('1. Sem'!$BP$7="","",'1. Sem'!$BP$7)</f>
        <v/>
      </c>
      <c r="BO6" s="570" t="str">
        <f>IF('1. Sem'!$BQ$7="","",'1. Sem'!$BQ$7)</f>
        <v/>
      </c>
      <c r="BP6" s="571" t="str">
        <f>IF('1. Sem'!$BR$7="","",'1. Sem'!$BR$7)</f>
        <v/>
      </c>
      <c r="BQ6" s="572" t="str">
        <f>IF('1. Sem'!$BS$7="","",'1. Sem'!$BS$7)</f>
        <v/>
      </c>
      <c r="BR6" s="572" t="str">
        <f>IF('1. Sem'!$BT$7="","",'1. Sem'!$BT$7)</f>
        <v/>
      </c>
      <c r="BS6" s="576" t="str">
        <f>IF('1. Sem'!$BU$7="","",'1. Sem'!$BU$7)</f>
        <v/>
      </c>
      <c r="BT6" s="577" t="str">
        <f>IF('1. Sem'!$BV$7="","",'1. Sem'!$BV$7)</f>
        <v/>
      </c>
      <c r="BU6" s="574" t="str">
        <f>IF('1. Sem'!$BW$7="","",'1. Sem'!$BW$7)</f>
        <v/>
      </c>
      <c r="BV6" s="569" t="str">
        <f>IF('1. Sem'!$BX$7="","",'1. Sem'!$BX$7)</f>
        <v/>
      </c>
      <c r="BW6" s="569" t="str">
        <f>IF('1. Sem'!$BY$7="","",'1. Sem'!$BY$7)</f>
        <v/>
      </c>
      <c r="BX6" s="569" t="str">
        <f>IF('1. Sem'!$BZ$7="","",'1. Sem'!$BZ$7)</f>
        <v/>
      </c>
      <c r="BY6" s="570" t="str">
        <f>IF('1. Sem'!$CA$7="","",'1. Sem'!$CA$7)</f>
        <v/>
      </c>
      <c r="BZ6" s="578" t="str">
        <f>IF('1. Sem'!$CB$7="","",'1. Sem'!$CB$7)</f>
        <v/>
      </c>
      <c r="CA6" s="572" t="str">
        <f>IF('1. Sem'!$CC$7="","",'1. Sem'!$CC$7)</f>
        <v/>
      </c>
      <c r="CB6" s="572" t="str">
        <f>IF('1. Sem'!$CD$7="","",'1. Sem'!$CD$7)</f>
        <v/>
      </c>
      <c r="CC6" s="572" t="str">
        <f>IF('1. Sem'!$CE$7="","",'1. Sem'!$CE$7)</f>
        <v/>
      </c>
      <c r="CD6" s="573" t="str">
        <f>IF('1. Sem'!$CF$7="","",'1. Sem'!$CF$7)</f>
        <v/>
      </c>
      <c r="CE6" s="574" t="str">
        <f>IF('1. Sem'!$CG$7="","",'1. Sem'!$CG$7)</f>
        <v/>
      </c>
      <c r="CF6" s="569" t="str">
        <f>IF('1. Sem'!$CH$7="","",'1. Sem'!$CH$7)</f>
        <v/>
      </c>
      <c r="CG6" s="569" t="str">
        <f>IF('1. Sem'!$CI$7="","",'1. Sem'!$CI$7)</f>
        <v/>
      </c>
      <c r="CH6" s="569" t="str">
        <f>IF('1. Sem'!$CJ$7="","",'1. Sem'!$CJ$7)</f>
        <v/>
      </c>
      <c r="CI6" s="570" t="str">
        <f>IF('1. Sem'!$CK$7="","",'1. Sem'!$CK$7)</f>
        <v/>
      </c>
      <c r="CJ6" s="571" t="str">
        <f>IF('1. Sem'!$CL$7="","",'1. Sem'!$CL$7)</f>
        <v/>
      </c>
      <c r="CK6" s="572" t="str">
        <f>IF('1. Sem'!$CM$7="","",'1. Sem'!$CM$7)</f>
        <v/>
      </c>
      <c r="CL6" s="572" t="str">
        <f>IF('1. Sem'!$CN$7="","",'1. Sem'!$CN$7)</f>
        <v/>
      </c>
      <c r="CM6" s="572" t="str">
        <f>IF('1. Sem'!$CO$7="","",'1. Sem'!$CO$7)</f>
        <v/>
      </c>
      <c r="CN6" s="573" t="str">
        <f>IF('1. Sem'!$CP$7="","",'1. Sem'!$CP$7)</f>
        <v/>
      </c>
      <c r="CO6" s="574" t="str">
        <f>IF('1. Sem'!$CQ$7="","",'1. Sem'!$CQ$7)</f>
        <v/>
      </c>
      <c r="CP6" s="569" t="str">
        <f>IF('1. Sem'!$CR$7="","",'1. Sem'!$CR$7)</f>
        <v/>
      </c>
      <c r="CQ6" s="569" t="str">
        <f>IF('1. Sem'!$CS$7="","",'1. Sem'!$CS$7)</f>
        <v/>
      </c>
      <c r="CR6" s="569" t="str">
        <f>IF('1. Sem'!$CT$7="","",'1. Sem'!$CT$7)</f>
        <v/>
      </c>
      <c r="CS6" s="570" t="str">
        <f>IF('1. Sem'!$CU$7="","",'1. Sem'!$CU$7)</f>
        <v/>
      </c>
      <c r="CT6" s="571" t="str">
        <f>IF('1. Sem'!$CV$7="","",'1. Sem'!$CV$7)</f>
        <v/>
      </c>
      <c r="CU6" s="572" t="str">
        <f>IF('1. Sem'!$CW$7="","",'1. Sem'!$CW$7)</f>
        <v/>
      </c>
      <c r="CV6" s="572" t="str">
        <f>IF('1. Sem'!$CX$7="","",'1. Sem'!$CX$7)</f>
        <v/>
      </c>
      <c r="CW6" s="572" t="str">
        <f>IF('1. Sem'!$CY$7="","",'1. Sem'!$CY$7)</f>
        <v/>
      </c>
      <c r="CX6" s="573" t="str">
        <f>IF('1. Sem'!$CZ$7="","",'1. Sem'!$CZ$7)</f>
        <v/>
      </c>
      <c r="CY6" s="574" t="str">
        <f>IF('1. Sem'!$DA$7="","",'1. Sem'!$DA$7)</f>
        <v/>
      </c>
      <c r="CZ6" s="569" t="str">
        <f>IF('1. Sem'!$DB$7="","",'1. Sem'!$DB$7)</f>
        <v/>
      </c>
      <c r="DA6" s="569" t="str">
        <f>IF('1. Sem'!$DC$7="","",'1. Sem'!$DC$7)</f>
        <v/>
      </c>
      <c r="DB6" s="569" t="str">
        <f>IF('1. Sem'!$DD$7="","",'1. Sem'!$DD$7)</f>
        <v/>
      </c>
      <c r="DC6" s="570" t="str">
        <f>IF('1. Sem'!$DE$7="","",'1. Sem'!$DE$7)</f>
        <v/>
      </c>
    </row>
    <row r="7" spans="1:107" ht="16" customHeight="1" x14ac:dyDescent="0.2">
      <c r="A7" s="566"/>
      <c r="B7" s="579" t="s">
        <v>15</v>
      </c>
      <c r="C7" s="580" t="str">
        <f>IF('1. Sem'!$E$8="","",'1. Sem'!$E$8)</f>
        <v/>
      </c>
      <c r="D7" s="581" t="str">
        <f>IF('1. Sem'!$F$8="","",'1. Sem'!$F$8)</f>
        <v/>
      </c>
      <c r="E7" s="581" t="str">
        <f>IF('1. Sem'!$G$8="","",'1. Sem'!$G$8)</f>
        <v/>
      </c>
      <c r="F7" s="581" t="str">
        <f>IF('1. Sem'!$H$8="","",'1. Sem'!$H$8)</f>
        <v/>
      </c>
      <c r="G7" s="582" t="str">
        <f>IF('1. Sem'!$I$8="","",'1. Sem'!$I$8)</f>
        <v/>
      </c>
      <c r="H7" s="583" t="str">
        <f>IF('1. Sem'!$J$8="","",'1. Sem'!$J$8)</f>
        <v/>
      </c>
      <c r="I7" s="584" t="str">
        <f>IF('1. Sem'!$K$8="","",'1. Sem'!$K$8)</f>
        <v/>
      </c>
      <c r="J7" s="584" t="str">
        <f>IF('1. Sem'!$L$8="","",'1. Sem'!$L$8)</f>
        <v/>
      </c>
      <c r="K7" s="584" t="str">
        <f>IF('1. Sem'!$M$8="","",'1. Sem'!$M$8)</f>
        <v/>
      </c>
      <c r="L7" s="585" t="str">
        <f>IF('1. Sem'!$N$8="","",'1. Sem'!$N$8)</f>
        <v/>
      </c>
      <c r="M7" s="586" t="str">
        <f>IF('1. Sem'!$O$8="","",'1. Sem'!$O$8)</f>
        <v/>
      </c>
      <c r="N7" s="581" t="str">
        <f>IF('1. Sem'!$P$8="","",'1. Sem'!$P$8)</f>
        <v/>
      </c>
      <c r="O7" s="581" t="str">
        <f>IF('1. Sem'!$Q$8="","",'1. Sem'!$Q$8)</f>
        <v/>
      </c>
      <c r="P7" s="581" t="str">
        <f>IF('1. Sem'!$R$8="","",'1. Sem'!$R$8)</f>
        <v/>
      </c>
      <c r="Q7" s="582" t="str">
        <f>IF('1. Sem'!$S$8="","",'1. Sem'!$S$8)</f>
        <v/>
      </c>
      <c r="R7" s="583" t="str">
        <f>IF('1. Sem'!$T$8="","",'1. Sem'!$T$8)</f>
        <v/>
      </c>
      <c r="S7" s="584" t="str">
        <f>IF('1. Sem'!$U$8="","",'1. Sem'!$U$8)</f>
        <v/>
      </c>
      <c r="T7" s="584" t="str">
        <f>IF('1. Sem'!$V$8="","",'1. Sem'!$V$8)</f>
        <v/>
      </c>
      <c r="U7" s="584" t="str">
        <f>IF('1. Sem'!$W$8="","",'1. Sem'!$W$8)</f>
        <v/>
      </c>
      <c r="V7" s="585" t="str">
        <f>IF('1. Sem'!$X$8="","",'1. Sem'!$X$8)</f>
        <v/>
      </c>
      <c r="W7" s="586" t="str">
        <f>IF('1. Sem'!$Y$8="","",'1. Sem'!$Y$8)</f>
        <v/>
      </c>
      <c r="X7" s="581" t="str">
        <f>IF('1. Sem'!$Z$8="","",'1. Sem'!$Z$8)</f>
        <v/>
      </c>
      <c r="Y7" s="581" t="str">
        <f>IF('1. Sem'!$AA$8="","",'1. Sem'!$AA$8)</f>
        <v/>
      </c>
      <c r="Z7" s="581" t="str">
        <f>IF('1. Sem'!$AB$8="","",'1. Sem'!$AB$8)</f>
        <v/>
      </c>
      <c r="AA7" s="582" t="str">
        <f>IF('1. Sem'!$AC$8="","",'1. Sem'!$AC$8)</f>
        <v/>
      </c>
      <c r="AB7" s="583" t="str">
        <f>IF('1. Sem'!$AD$8="","",'1. Sem'!$AD$8)</f>
        <v/>
      </c>
      <c r="AC7" s="584" t="str">
        <f>IF('1. Sem'!$AE$8="","",'1. Sem'!$AE$8)</f>
        <v/>
      </c>
      <c r="AD7" s="584" t="str">
        <f>IF('1. Sem'!$AF$8="","",'1. Sem'!$AF$8)</f>
        <v/>
      </c>
      <c r="AE7" s="584" t="str">
        <f>IF('1. Sem'!$AG$8="","",'1. Sem'!$AG$8)</f>
        <v/>
      </c>
      <c r="AF7" s="585" t="str">
        <f>IF('1. Sem'!$AH$8="","",'1. Sem'!$AH$8)</f>
        <v/>
      </c>
      <c r="AG7" s="586" t="str">
        <f>IF('1. Sem'!$AI$8="","",'1. Sem'!$AI$8)</f>
        <v/>
      </c>
      <c r="AH7" s="581" t="str">
        <f>IF('1. Sem'!$AJ$8="","",'1. Sem'!$AJ$8)</f>
        <v/>
      </c>
      <c r="AI7" s="581" t="str">
        <f>IF('1. Sem'!$AK$8="","",'1. Sem'!$AK$8)</f>
        <v/>
      </c>
      <c r="AJ7" s="581" t="str">
        <f>IF('1. Sem'!$AL$8="","",'1. Sem'!$AL$8)</f>
        <v/>
      </c>
      <c r="AK7" s="582" t="str">
        <f>IF('1. Sem'!$AM$8="","",'1. Sem'!$AM$8)</f>
        <v/>
      </c>
      <c r="AL7" s="590" t="str">
        <f>IF('1. Sem'!$AN$8="","",'1. Sem'!$AN$8)</f>
        <v/>
      </c>
      <c r="AM7" s="588" t="str">
        <f>IF('1. Sem'!$AO$8="","",'1. Sem'!$AO$8)</f>
        <v/>
      </c>
      <c r="AN7" s="588" t="str">
        <f>IF('1. Sem'!$AP$8="","",'1. Sem'!$AP$8)</f>
        <v/>
      </c>
      <c r="AO7" s="588" t="str">
        <f>IF('1. Sem'!$AQ$8="","",'1. Sem'!$AQ$8)</f>
        <v/>
      </c>
      <c r="AP7" s="589" t="str">
        <f>IF('1. Sem'!$AR$8="","",'1. Sem'!$AR$8)</f>
        <v/>
      </c>
      <c r="AQ7" s="587" t="str">
        <f>IF('1. Sem'!$AS$8="","",'1. Sem'!$AS$8)</f>
        <v/>
      </c>
      <c r="AR7" s="581" t="str">
        <f>IF('1. Sem'!$AT$8="","",'1. Sem'!$AT$8)</f>
        <v/>
      </c>
      <c r="AS7" s="581" t="str">
        <f>IF('1. Sem'!$AU$8="","",'1. Sem'!$AU$8)</f>
        <v/>
      </c>
      <c r="AT7" s="581" t="str">
        <f>IF('1. Sem'!$AV$8="","",'1. Sem'!$AV$8)</f>
        <v/>
      </c>
      <c r="AU7" s="582" t="str">
        <f>IF('1. Sem'!$AW$8="","",'1. Sem'!$AW$8)</f>
        <v/>
      </c>
      <c r="AV7" s="583" t="str">
        <f>IF('1. Sem'!$AX$8="","",'1. Sem'!$AX$8)</f>
        <v/>
      </c>
      <c r="AW7" s="584" t="str">
        <f>IF('1. Sem'!$AY$8="","",'1. Sem'!$AY$8)</f>
        <v/>
      </c>
      <c r="AX7" s="584" t="str">
        <f>IF('1. Sem'!$AZ$8="","",'1. Sem'!$AZ$8)</f>
        <v/>
      </c>
      <c r="AY7" s="584" t="str">
        <f>IF('1. Sem'!$BA$8="","",'1. Sem'!$BA$8)</f>
        <v/>
      </c>
      <c r="AZ7" s="585" t="str">
        <f>IF('1. Sem'!$BB$8="","",'1. Sem'!$BB$8)</f>
        <v/>
      </c>
      <c r="BA7" s="586" t="str">
        <f>IF('1. Sem'!$BC$8="","",'1. Sem'!$BC$8)</f>
        <v/>
      </c>
      <c r="BB7" s="581" t="str">
        <f>IF('1. Sem'!$BD$8="","",'1. Sem'!$BD$8)</f>
        <v/>
      </c>
      <c r="BC7" s="581" t="str">
        <f>IF('1. Sem'!$BE$8="","",'1. Sem'!$BE$8)</f>
        <v/>
      </c>
      <c r="BD7" s="581" t="str">
        <f>IF('1. Sem'!$BF$8="","",'1. Sem'!$BF$8)</f>
        <v/>
      </c>
      <c r="BE7" s="582" t="str">
        <f>IF('1. Sem'!$BG$8="","",'1. Sem'!$BG$8)</f>
        <v/>
      </c>
      <c r="BF7" s="583" t="str">
        <f>IF('1. Sem'!$BH$8="","",'1. Sem'!$BH$8)</f>
        <v/>
      </c>
      <c r="BG7" s="584" t="str">
        <f>IF('1. Sem'!$BI$8="","",'1. Sem'!$BI$8)</f>
        <v/>
      </c>
      <c r="BH7" s="584" t="str">
        <f>IF('1. Sem'!$BJ$8="","",'1. Sem'!$BJ$8)</f>
        <v/>
      </c>
      <c r="BI7" s="584" t="str">
        <f>IF('1. Sem'!$BK$8="","",'1. Sem'!$BK$8)</f>
        <v/>
      </c>
      <c r="BJ7" s="585" t="str">
        <f>IF('1. Sem'!$BL$8="","",'1. Sem'!$BL$8)</f>
        <v/>
      </c>
      <c r="BK7" s="586" t="str">
        <f>IF('1. Sem'!$BM$8="","",'1. Sem'!$BM$8)</f>
        <v/>
      </c>
      <c r="BL7" s="581" t="str">
        <f>IF('1. Sem'!$BN$8="","",'1. Sem'!$BN$8)</f>
        <v/>
      </c>
      <c r="BM7" s="581" t="str">
        <f>IF('1. Sem'!$BO$8="","",'1. Sem'!$BO$8)</f>
        <v/>
      </c>
      <c r="BN7" s="581" t="str">
        <f>IF('1. Sem'!$BP$8="","",'1. Sem'!$BP$8)</f>
        <v/>
      </c>
      <c r="BO7" s="582" t="str">
        <f>IF('1. Sem'!$BQ$8="","",'1. Sem'!$BQ$8)</f>
        <v/>
      </c>
      <c r="BP7" s="583" t="str">
        <f>IF('1. Sem'!$BR$8="","",'1. Sem'!$BR$8)</f>
        <v/>
      </c>
      <c r="BQ7" s="584" t="str">
        <f>IF('1. Sem'!$BS$8="","",'1. Sem'!$BS$8)</f>
        <v/>
      </c>
      <c r="BR7" s="584" t="str">
        <f>IF('1. Sem'!$BT$8="","",'1. Sem'!$BT$8)</f>
        <v/>
      </c>
      <c r="BS7" s="588" t="str">
        <f>IF('1. Sem'!$BU$8="","",'1. Sem'!$BU$8)</f>
        <v/>
      </c>
      <c r="BT7" s="589" t="str">
        <f>IF('1. Sem'!$BV$8="","",'1. Sem'!$BV$8)</f>
        <v/>
      </c>
      <c r="BU7" s="586" t="str">
        <f>IF('1. Sem'!$BW$8="","",'1. Sem'!$BW$8)</f>
        <v/>
      </c>
      <c r="BV7" s="581" t="str">
        <f>IF('1. Sem'!$BX$8="","",'1. Sem'!$BX$8)</f>
        <v/>
      </c>
      <c r="BW7" s="581" t="str">
        <f>IF('1. Sem'!$BY$8="","",'1. Sem'!$BY$8)</f>
        <v/>
      </c>
      <c r="BX7" s="581" t="str">
        <f>IF('1. Sem'!$BZ$8="","",'1. Sem'!$BZ$8)</f>
        <v/>
      </c>
      <c r="BY7" s="582" t="str">
        <f>IF('1. Sem'!$CA$8="","",'1. Sem'!$CA$8)</f>
        <v/>
      </c>
      <c r="BZ7" s="590" t="str">
        <f>IF('1. Sem'!$CB$8="","",'1. Sem'!$CB$8)</f>
        <v/>
      </c>
      <c r="CA7" s="584" t="str">
        <f>IF('1. Sem'!$CC$8="","",'1. Sem'!$CC$8)</f>
        <v/>
      </c>
      <c r="CB7" s="584" t="str">
        <f>IF('1. Sem'!$CD$8="","",'1. Sem'!$CD$8)</f>
        <v/>
      </c>
      <c r="CC7" s="584" t="str">
        <f>IF('1. Sem'!$CE$8="","",'1. Sem'!$CE$8)</f>
        <v/>
      </c>
      <c r="CD7" s="585" t="str">
        <f>IF('1. Sem'!$CF$8="","",'1. Sem'!$CF$8)</f>
        <v/>
      </c>
      <c r="CE7" s="586" t="str">
        <f>IF('1. Sem'!$CG$8="","",'1. Sem'!$CG$8)</f>
        <v/>
      </c>
      <c r="CF7" s="581" t="str">
        <f>IF('1. Sem'!$CH$8="","",'1. Sem'!$CH$8)</f>
        <v/>
      </c>
      <c r="CG7" s="581" t="str">
        <f>IF('1. Sem'!$CI$8="","",'1. Sem'!$CI$8)</f>
        <v/>
      </c>
      <c r="CH7" s="581" t="str">
        <f>IF('1. Sem'!$CJ$8="","",'1. Sem'!$CJ$8)</f>
        <v/>
      </c>
      <c r="CI7" s="582" t="str">
        <f>IF('1. Sem'!$CK$8="","",'1. Sem'!$CK$8)</f>
        <v/>
      </c>
      <c r="CJ7" s="583" t="str">
        <f>IF('1. Sem'!$CL$8="","",'1. Sem'!$CL$8)</f>
        <v/>
      </c>
      <c r="CK7" s="584" t="str">
        <f>IF('1. Sem'!$CM$8="","",'1. Sem'!$CM$8)</f>
        <v/>
      </c>
      <c r="CL7" s="584" t="str">
        <f>IF('1. Sem'!$CN$8="","",'1. Sem'!$CN$8)</f>
        <v/>
      </c>
      <c r="CM7" s="584" t="str">
        <f>IF('1. Sem'!$CO$8="","",'1. Sem'!$CO$8)</f>
        <v/>
      </c>
      <c r="CN7" s="585" t="str">
        <f>IF('1. Sem'!$CP$8="","",'1. Sem'!$CP$8)</f>
        <v/>
      </c>
      <c r="CO7" s="586" t="str">
        <f>IF('1. Sem'!$CQ$8="","",'1. Sem'!$CQ$8)</f>
        <v/>
      </c>
      <c r="CP7" s="581" t="str">
        <f>IF('1. Sem'!$CR$8="","",'1. Sem'!$CR$8)</f>
        <v/>
      </c>
      <c r="CQ7" s="581" t="str">
        <f>IF('1. Sem'!$CS$8="","",'1. Sem'!$CS$8)</f>
        <v/>
      </c>
      <c r="CR7" s="581" t="str">
        <f>IF('1. Sem'!$CT$8="","",'1. Sem'!$CT$8)</f>
        <v/>
      </c>
      <c r="CS7" s="582" t="str">
        <f>IF('1. Sem'!$CU$8="","",'1. Sem'!$CU$8)</f>
        <v/>
      </c>
      <c r="CT7" s="583" t="str">
        <f>IF('1. Sem'!$CV$8="","",'1. Sem'!$CV$8)</f>
        <v/>
      </c>
      <c r="CU7" s="584" t="str">
        <f>IF('1. Sem'!$CW$8="","",'1. Sem'!$CW$8)</f>
        <v/>
      </c>
      <c r="CV7" s="584" t="str">
        <f>IF('1. Sem'!$CX$8="","",'1. Sem'!$CX$8)</f>
        <v/>
      </c>
      <c r="CW7" s="584" t="str">
        <f>IF('1. Sem'!$CY$8="","",'1. Sem'!$CY$8)</f>
        <v/>
      </c>
      <c r="CX7" s="585" t="str">
        <f>IF('1. Sem'!$CZ$8="","",'1. Sem'!$CZ$8)</f>
        <v/>
      </c>
      <c r="CY7" s="586" t="str">
        <f>IF('1. Sem'!$DA$8="","",'1. Sem'!$DA$8)</f>
        <v/>
      </c>
      <c r="CZ7" s="581" t="str">
        <f>IF('1. Sem'!$DB$8="","",'1. Sem'!$DB$8)</f>
        <v/>
      </c>
      <c r="DA7" s="581" t="str">
        <f>IF('1. Sem'!$DC$8="","",'1. Sem'!$DC$8)</f>
        <v/>
      </c>
      <c r="DB7" s="581" t="str">
        <f>IF('1. Sem'!$DD$8="","",'1. Sem'!$DD$8)</f>
        <v/>
      </c>
      <c r="DC7" s="582" t="str">
        <f>IF('1. Sem'!$DE$8="","",'1. Sem'!$DE$8)</f>
        <v/>
      </c>
    </row>
    <row r="8" spans="1:107" ht="16" customHeight="1" x14ac:dyDescent="0.2">
      <c r="A8" s="566"/>
      <c r="B8" s="579" t="s">
        <v>16</v>
      </c>
      <c r="C8" s="591" t="str">
        <f>IF('1. Sem'!$E$9="","",'1. Sem'!$E$9)</f>
        <v/>
      </c>
      <c r="D8" s="581" t="str">
        <f>IF('1. Sem'!$F$9="","",'1. Sem'!$F$9)</f>
        <v/>
      </c>
      <c r="E8" s="581" t="str">
        <f>IF('1. Sem'!$G$9="","",'1. Sem'!$G$9)</f>
        <v/>
      </c>
      <c r="F8" s="581" t="str">
        <f>IF('1. Sem'!$H$9="","",'1. Sem'!$H$9)</f>
        <v/>
      </c>
      <c r="G8" s="582" t="str">
        <f>IF('1. Sem'!$I$9="","",'1. Sem'!$I$9)</f>
        <v/>
      </c>
      <c r="H8" s="583" t="str">
        <f>IF('1. Sem'!$J$9="","",'1. Sem'!$J$9)</f>
        <v/>
      </c>
      <c r="I8" s="584" t="str">
        <f>IF('1. Sem'!$K$9="","",'1. Sem'!$K$9)</f>
        <v/>
      </c>
      <c r="J8" s="584" t="str">
        <f>IF('1. Sem'!$L$9="","",'1. Sem'!$L$9)</f>
        <v/>
      </c>
      <c r="K8" s="584" t="str">
        <f>IF('1. Sem'!$M$9="","",'1. Sem'!$M$9)</f>
        <v/>
      </c>
      <c r="L8" s="592" t="str">
        <f>IF('1. Sem'!$N$9="","",'1. Sem'!$N$9)</f>
        <v/>
      </c>
      <c r="M8" s="593" t="str">
        <f>IF('1. Sem'!$O$9="","",'1. Sem'!$O$9)</f>
        <v/>
      </c>
      <c r="N8" s="581" t="str">
        <f>IF('1. Sem'!$P$9="","",'1. Sem'!$P$9)</f>
        <v/>
      </c>
      <c r="O8" s="581" t="str">
        <f>IF('1. Sem'!$Q$9="","",'1. Sem'!$Q$9)</f>
        <v/>
      </c>
      <c r="P8" s="581" t="str">
        <f>IF('1. Sem'!$R$9="","",'1. Sem'!$R$9)</f>
        <v/>
      </c>
      <c r="Q8" s="582" t="str">
        <f>IF('1. Sem'!$S$9="","",'1. Sem'!$S$9)</f>
        <v/>
      </c>
      <c r="R8" s="583" t="str">
        <f>IF('1. Sem'!$T$9="","",'1. Sem'!$T$9)</f>
        <v/>
      </c>
      <c r="S8" s="584" t="str">
        <f>IF('1. Sem'!$U$9="","",'1. Sem'!$U$9)</f>
        <v/>
      </c>
      <c r="T8" s="584" t="str">
        <f>IF('1. Sem'!$V$9="","",'1. Sem'!$V$9)</f>
        <v/>
      </c>
      <c r="U8" s="584" t="str">
        <f>IF('1. Sem'!$W$9="","",'1. Sem'!$W$9)</f>
        <v/>
      </c>
      <c r="V8" s="592" t="str">
        <f>IF('1. Sem'!$X$9="","",'1. Sem'!$X$9)</f>
        <v/>
      </c>
      <c r="W8" s="593" t="str">
        <f>IF('1. Sem'!$Y$9="","",'1. Sem'!$Y$9)</f>
        <v/>
      </c>
      <c r="X8" s="581" t="str">
        <f>IF('1. Sem'!$Z$9="","",'1. Sem'!$Z$9)</f>
        <v/>
      </c>
      <c r="Y8" s="581" t="str">
        <f>IF('1. Sem'!$AA$9="","",'1. Sem'!$AA$9)</f>
        <v/>
      </c>
      <c r="Z8" s="581" t="str">
        <f>IF('1. Sem'!$AB$9="","",'1. Sem'!$AB$9)</f>
        <v/>
      </c>
      <c r="AA8" s="582" t="str">
        <f>IF('1. Sem'!$AC$9="","",'1. Sem'!$AC$9)</f>
        <v/>
      </c>
      <c r="AB8" s="583" t="str">
        <f>IF('1. Sem'!$AD$9="","",'1. Sem'!$AD$9)</f>
        <v/>
      </c>
      <c r="AC8" s="584" t="str">
        <f>IF('1. Sem'!$AE$9="","",'1. Sem'!$AE$9)</f>
        <v/>
      </c>
      <c r="AD8" s="584" t="str">
        <f>IF('1. Sem'!$AF$9="","",'1. Sem'!$AF$9)</f>
        <v/>
      </c>
      <c r="AE8" s="584" t="str">
        <f>IF('1. Sem'!$AG$9="","",'1. Sem'!$AG$9)</f>
        <v/>
      </c>
      <c r="AF8" s="592" t="str">
        <f>IF('1. Sem'!$AH$9="","",'1. Sem'!$AH$9)</f>
        <v/>
      </c>
      <c r="AG8" s="593" t="str">
        <f>IF('1. Sem'!$AI$9="","",'1. Sem'!$AI$9)</f>
        <v/>
      </c>
      <c r="AH8" s="581" t="str">
        <f>IF('1. Sem'!$AJ$9="","",'1. Sem'!$AJ$9)</f>
        <v/>
      </c>
      <c r="AI8" s="581" t="str">
        <f>IF('1. Sem'!$AK$9="","",'1. Sem'!$AK$9)</f>
        <v/>
      </c>
      <c r="AJ8" s="581" t="str">
        <f>IF('1. Sem'!$AL$9="","",'1. Sem'!$AL$9)</f>
        <v/>
      </c>
      <c r="AK8" s="582" t="str">
        <f>IF('1. Sem'!$AM$9="","",'1. Sem'!$AM$9)</f>
        <v/>
      </c>
      <c r="AL8" s="590" t="str">
        <f>IF('1. Sem'!$AN$9="","",'1. Sem'!$AN$9)</f>
        <v/>
      </c>
      <c r="AM8" s="588" t="str">
        <f>IF('1. Sem'!$AO$9="","",'1. Sem'!$AO$9)</f>
        <v/>
      </c>
      <c r="AN8" s="588" t="str">
        <f>IF('1. Sem'!$AP$9="","",'1. Sem'!$AP$9)</f>
        <v/>
      </c>
      <c r="AO8" s="588" t="str">
        <f>IF('1. Sem'!$AQ$9="","",'1. Sem'!$AQ$9)</f>
        <v/>
      </c>
      <c r="AP8" s="595" t="str">
        <f>IF('1. Sem'!$AR$9="","",'1. Sem'!$AR$9)</f>
        <v/>
      </c>
      <c r="AQ8" s="594" t="str">
        <f>IF('1. Sem'!$AS$9="","",'1. Sem'!$AS$9)</f>
        <v/>
      </c>
      <c r="AR8" s="581" t="str">
        <f>IF('1. Sem'!$AT$9="","",'1. Sem'!$AT$9)</f>
        <v/>
      </c>
      <c r="AS8" s="581" t="str">
        <f>IF('1. Sem'!$AU$9="","",'1. Sem'!$AU$9)</f>
        <v/>
      </c>
      <c r="AT8" s="581" t="str">
        <f>IF('1. Sem'!$AV$9="","",'1. Sem'!$AV$9)</f>
        <v/>
      </c>
      <c r="AU8" s="582" t="str">
        <f>IF('1. Sem'!$AW$9="","",'1. Sem'!$AW$9)</f>
        <v/>
      </c>
      <c r="AV8" s="583" t="str">
        <f>IF('1. Sem'!$AX$9="","",'1. Sem'!$AX$9)</f>
        <v/>
      </c>
      <c r="AW8" s="584" t="str">
        <f>IF('1. Sem'!$AY$9="","",'1. Sem'!$AY$9)</f>
        <v/>
      </c>
      <c r="AX8" s="584" t="str">
        <f>IF('1. Sem'!$AZ$9="","",'1. Sem'!$AZ$9)</f>
        <v/>
      </c>
      <c r="AY8" s="584" t="str">
        <f>IF('1. Sem'!$BA$9="","",'1. Sem'!$BA$9)</f>
        <v/>
      </c>
      <c r="AZ8" s="592" t="str">
        <f>IF('1. Sem'!$BB$9="","",'1. Sem'!$BB$9)</f>
        <v/>
      </c>
      <c r="BA8" s="593" t="str">
        <f>IF('1. Sem'!$BC$9="","",'1. Sem'!$BC$9)</f>
        <v/>
      </c>
      <c r="BB8" s="581" t="str">
        <f>IF('1. Sem'!$BD$9="","",'1. Sem'!$BD$9)</f>
        <v/>
      </c>
      <c r="BC8" s="581" t="str">
        <f>IF('1. Sem'!$BE$9="","",'1. Sem'!$BE$9)</f>
        <v/>
      </c>
      <c r="BD8" s="581" t="str">
        <f>IF('1. Sem'!$BF$9="","",'1. Sem'!$BF$9)</f>
        <v/>
      </c>
      <c r="BE8" s="582" t="str">
        <f>IF('1. Sem'!$BG$9="","",'1. Sem'!$BG$9)</f>
        <v/>
      </c>
      <c r="BF8" s="583" t="str">
        <f>IF('1. Sem'!$BH$9="","",'1. Sem'!$BH$9)</f>
        <v/>
      </c>
      <c r="BG8" s="584" t="str">
        <f>IF('1. Sem'!$BI$9="","",'1. Sem'!$BI$9)</f>
        <v/>
      </c>
      <c r="BH8" s="584" t="str">
        <f>IF('1. Sem'!$BJ$9="","",'1. Sem'!$BJ$9)</f>
        <v/>
      </c>
      <c r="BI8" s="584" t="str">
        <f>IF('1. Sem'!$BK$9="","",'1. Sem'!$BK$9)</f>
        <v/>
      </c>
      <c r="BJ8" s="592" t="str">
        <f>IF('1. Sem'!$BL$9="","",'1. Sem'!$BL$9)</f>
        <v/>
      </c>
      <c r="BK8" s="593" t="str">
        <f>IF('1. Sem'!$BM$9="","",'1. Sem'!$BM$9)</f>
        <v/>
      </c>
      <c r="BL8" s="581" t="str">
        <f>IF('1. Sem'!$BN$9="","",'1. Sem'!$BN$9)</f>
        <v/>
      </c>
      <c r="BM8" s="581" t="str">
        <f>IF('1. Sem'!$BO$9="","",'1. Sem'!$BO$9)</f>
        <v/>
      </c>
      <c r="BN8" s="581" t="str">
        <f>IF('1. Sem'!$BP$9="","",'1. Sem'!$BP$9)</f>
        <v/>
      </c>
      <c r="BO8" s="582" t="str">
        <f>IF('1. Sem'!$BQ$9="","",'1. Sem'!$BQ$9)</f>
        <v/>
      </c>
      <c r="BP8" s="583" t="str">
        <f>IF('1. Sem'!$BR$9="","",'1. Sem'!$BR$9)</f>
        <v/>
      </c>
      <c r="BQ8" s="584" t="str">
        <f>IF('1. Sem'!$BS$9="","",'1. Sem'!$BS$9)</f>
        <v/>
      </c>
      <c r="BR8" s="584" t="str">
        <f>IF('1. Sem'!$BT$9="","",'1. Sem'!$BT$9)</f>
        <v/>
      </c>
      <c r="BS8" s="588" t="str">
        <f>IF('1. Sem'!$BU$9="","",'1. Sem'!$BU$9)</f>
        <v/>
      </c>
      <c r="BT8" s="595" t="str">
        <f>IF('1. Sem'!$BV$9="","",'1. Sem'!$BV$9)</f>
        <v/>
      </c>
      <c r="BU8" s="593" t="str">
        <f>IF('1. Sem'!$BW$9="","",'1. Sem'!$BW$9)</f>
        <v/>
      </c>
      <c r="BV8" s="581" t="str">
        <f>IF('1. Sem'!$BX$9="","",'1. Sem'!$BX$9)</f>
        <v/>
      </c>
      <c r="BW8" s="581" t="str">
        <f>IF('1. Sem'!$BY$9="","",'1. Sem'!$BY$9)</f>
        <v/>
      </c>
      <c r="BX8" s="581" t="str">
        <f>IF('1. Sem'!$BZ$9="","",'1. Sem'!$BZ$9)</f>
        <v/>
      </c>
      <c r="BY8" s="582" t="str">
        <f>IF('1. Sem'!$CA$9="","",'1. Sem'!$CA$9)</f>
        <v/>
      </c>
      <c r="BZ8" s="590" t="str">
        <f>IF('1. Sem'!$CB$9="","",'1. Sem'!$CB$9)</f>
        <v/>
      </c>
      <c r="CA8" s="584" t="str">
        <f>IF('1. Sem'!$CC$9="","",'1. Sem'!$CC$9)</f>
        <v/>
      </c>
      <c r="CB8" s="584" t="str">
        <f>IF('1. Sem'!$CD$9="","",'1. Sem'!$CD$9)</f>
        <v/>
      </c>
      <c r="CC8" s="584" t="str">
        <f>IF('1. Sem'!$CE$9="","",'1. Sem'!$CE$9)</f>
        <v/>
      </c>
      <c r="CD8" s="592" t="str">
        <f>IF('1. Sem'!$CF$9="","",'1. Sem'!$CF$9)</f>
        <v/>
      </c>
      <c r="CE8" s="593" t="str">
        <f>IF('1. Sem'!$CG$9="","",'1. Sem'!$CG$9)</f>
        <v/>
      </c>
      <c r="CF8" s="581" t="str">
        <f>IF('1. Sem'!$CH$9="","",'1. Sem'!$CH$9)</f>
        <v/>
      </c>
      <c r="CG8" s="581" t="str">
        <f>IF('1. Sem'!$CI$9="","",'1. Sem'!$CI$9)</f>
        <v/>
      </c>
      <c r="CH8" s="581" t="str">
        <f>IF('1. Sem'!$CJ$9="","",'1. Sem'!$CJ$9)</f>
        <v/>
      </c>
      <c r="CI8" s="582" t="str">
        <f>IF('1. Sem'!$CK$9="","",'1. Sem'!$CK$9)</f>
        <v/>
      </c>
      <c r="CJ8" s="583" t="str">
        <f>IF('1. Sem'!$CL$9="","",'1. Sem'!$CL$9)</f>
        <v/>
      </c>
      <c r="CK8" s="584" t="str">
        <f>IF('1. Sem'!$CM$9="","",'1. Sem'!$CM$9)</f>
        <v/>
      </c>
      <c r="CL8" s="584" t="str">
        <f>IF('1. Sem'!$CN$9="","",'1. Sem'!$CN$9)</f>
        <v/>
      </c>
      <c r="CM8" s="584" t="str">
        <f>IF('1. Sem'!$CO$9="","",'1. Sem'!$CO$9)</f>
        <v/>
      </c>
      <c r="CN8" s="592" t="str">
        <f>IF('1. Sem'!$CP$9="","",'1. Sem'!$CP$9)</f>
        <v/>
      </c>
      <c r="CO8" s="593" t="str">
        <f>IF('1. Sem'!$CQ$9="","",'1. Sem'!$CQ$9)</f>
        <v/>
      </c>
      <c r="CP8" s="581" t="str">
        <f>IF('1. Sem'!$CR$9="","",'1. Sem'!$CR$9)</f>
        <v/>
      </c>
      <c r="CQ8" s="581" t="str">
        <f>IF('1. Sem'!$CS$9="","",'1. Sem'!$CS$9)</f>
        <v/>
      </c>
      <c r="CR8" s="581" t="str">
        <f>IF('1. Sem'!$CT$9="","",'1. Sem'!$CT$9)</f>
        <v/>
      </c>
      <c r="CS8" s="582" t="str">
        <f>IF('1. Sem'!$CU$9="","",'1. Sem'!$CU$9)</f>
        <v/>
      </c>
      <c r="CT8" s="583" t="str">
        <f>IF('1. Sem'!$CV$9="","",'1. Sem'!$CV$9)</f>
        <v/>
      </c>
      <c r="CU8" s="584" t="str">
        <f>IF('1. Sem'!$CW$9="","",'1. Sem'!$CW$9)</f>
        <v/>
      </c>
      <c r="CV8" s="584" t="str">
        <f>IF('1. Sem'!$CX$9="","",'1. Sem'!$CX$9)</f>
        <v/>
      </c>
      <c r="CW8" s="584" t="str">
        <f>IF('1. Sem'!$CY$9="","",'1. Sem'!$CY$9)</f>
        <v/>
      </c>
      <c r="CX8" s="592" t="str">
        <f>IF('1. Sem'!$CZ$9="","",'1. Sem'!$CZ$9)</f>
        <v/>
      </c>
      <c r="CY8" s="593" t="str">
        <f>IF('1. Sem'!$DA$9="","",'1. Sem'!$DA$9)</f>
        <v/>
      </c>
      <c r="CZ8" s="581" t="str">
        <f>IF('1. Sem'!$DB$9="","",'1. Sem'!$DB$9)</f>
        <v/>
      </c>
      <c r="DA8" s="581" t="str">
        <f>IF('1. Sem'!$DC$9="","",'1. Sem'!$DC$9)</f>
        <v/>
      </c>
      <c r="DB8" s="581" t="str">
        <f>IF('1. Sem'!$DD$9="","",'1. Sem'!$DD$9)</f>
        <v/>
      </c>
      <c r="DC8" s="582" t="str">
        <f>IF('1. Sem'!$DE$9="","",'1. Sem'!$DE$9)</f>
        <v/>
      </c>
    </row>
    <row r="9" spans="1:107" ht="17" customHeight="1" thickBot="1" x14ac:dyDescent="0.25">
      <c r="A9" s="566"/>
      <c r="B9" s="579" t="s">
        <v>17</v>
      </c>
      <c r="C9" s="591" t="str">
        <f>IF('1. Sem'!$E$10="","",'1. Sem'!$E$10)</f>
        <v/>
      </c>
      <c r="D9" s="581" t="str">
        <f>IF('1. Sem'!$F$10="","",'1. Sem'!$F$10)</f>
        <v/>
      </c>
      <c r="E9" s="581" t="str">
        <f>IF('1. Sem'!$G$10="","",'1. Sem'!$G$10)</f>
        <v/>
      </c>
      <c r="F9" s="581" t="str">
        <f>IF('1. Sem'!$H$10="","",'1. Sem'!$H$10)</f>
        <v/>
      </c>
      <c r="G9" s="582" t="str">
        <f>IF('1. Sem'!$I$10="","",'1. Sem'!$I$10)</f>
        <v/>
      </c>
      <c r="H9" s="583" t="str">
        <f>IF('1. Sem'!$J$10="","",'1. Sem'!$J$10)</f>
        <v/>
      </c>
      <c r="I9" s="584" t="str">
        <f>IF('1. Sem'!$K$10="","",'1. Sem'!$K$10)</f>
        <v/>
      </c>
      <c r="J9" s="584" t="str">
        <f>IF('1. Sem'!$L$10="","",'1. Sem'!$L$10)</f>
        <v/>
      </c>
      <c r="K9" s="584" t="str">
        <f>IF('1. Sem'!$M$10="","",'1. Sem'!$M$10)</f>
        <v/>
      </c>
      <c r="L9" s="592" t="str">
        <f>IF('1. Sem'!$N$10="","",'1. Sem'!$N$10)</f>
        <v/>
      </c>
      <c r="M9" s="593" t="str">
        <f>IF('1. Sem'!$O$10="","",'1. Sem'!$O$10)</f>
        <v/>
      </c>
      <c r="N9" s="581" t="str">
        <f>IF('1. Sem'!$P$10="","",'1. Sem'!$P$10)</f>
        <v/>
      </c>
      <c r="O9" s="581" t="str">
        <f>IF('1. Sem'!$Q$10="","",'1. Sem'!$Q$10)</f>
        <v/>
      </c>
      <c r="P9" s="581" t="str">
        <f>IF('1. Sem'!$R$10="","",'1. Sem'!$R$10)</f>
        <v/>
      </c>
      <c r="Q9" s="582" t="str">
        <f>IF('1. Sem'!$S$10="","",'1. Sem'!$S$10)</f>
        <v/>
      </c>
      <c r="R9" s="583" t="str">
        <f>IF('1. Sem'!$T$10="","",'1. Sem'!$T$10)</f>
        <v/>
      </c>
      <c r="S9" s="584" t="str">
        <f>IF('1. Sem'!$U$10="","",'1. Sem'!$U$10)</f>
        <v/>
      </c>
      <c r="T9" s="584" t="str">
        <f>IF('1. Sem'!$V$10="","",'1. Sem'!$V$10)</f>
        <v/>
      </c>
      <c r="U9" s="584" t="str">
        <f>IF('1. Sem'!$W$10="","",'1. Sem'!$W$10)</f>
        <v/>
      </c>
      <c r="V9" s="592" t="str">
        <f>IF('1. Sem'!$X$10="","",'1. Sem'!$X$10)</f>
        <v/>
      </c>
      <c r="W9" s="593" t="str">
        <f>IF('1. Sem'!$Y$10="","",'1. Sem'!$Y$10)</f>
        <v/>
      </c>
      <c r="X9" s="581" t="str">
        <f>IF('1. Sem'!$Z$10="","",'1. Sem'!$Z$10)</f>
        <v/>
      </c>
      <c r="Y9" s="581" t="str">
        <f>IF('1. Sem'!$AA$10="","",'1. Sem'!$AA$10)</f>
        <v/>
      </c>
      <c r="Z9" s="581" t="str">
        <f>IF('1. Sem'!$AB$10="","",'1. Sem'!$AB$10)</f>
        <v/>
      </c>
      <c r="AA9" s="582" t="str">
        <f>IF('1. Sem'!$AC$10="","",'1. Sem'!$AC$10)</f>
        <v/>
      </c>
      <c r="AB9" s="583" t="str">
        <f>IF('1. Sem'!$AD$10="","",'1. Sem'!$AD$10)</f>
        <v/>
      </c>
      <c r="AC9" s="584" t="str">
        <f>IF('1. Sem'!$AE$10="","",'1. Sem'!$AE$10)</f>
        <v/>
      </c>
      <c r="AD9" s="584" t="str">
        <f>IF('1. Sem'!$AF$10="","",'1. Sem'!$AF$10)</f>
        <v/>
      </c>
      <c r="AE9" s="584" t="str">
        <f>IF('1. Sem'!$AG$10="","",'1. Sem'!$AG$10)</f>
        <v/>
      </c>
      <c r="AF9" s="592" t="str">
        <f>IF('1. Sem'!$AH$10="","",'1. Sem'!$AH$10)</f>
        <v/>
      </c>
      <c r="AG9" s="593" t="str">
        <f>IF('1. Sem'!$AI$10="","",'1. Sem'!$AI$10)</f>
        <v/>
      </c>
      <c r="AH9" s="581" t="str">
        <f>IF('1. Sem'!$AJ$10="","",'1. Sem'!$AJ$10)</f>
        <v/>
      </c>
      <c r="AI9" s="581" t="str">
        <f>IF('1. Sem'!$AK$10="","",'1. Sem'!$AK$10)</f>
        <v/>
      </c>
      <c r="AJ9" s="581" t="str">
        <f>IF('1. Sem'!$AL$10="","",'1. Sem'!$AL$10)</f>
        <v/>
      </c>
      <c r="AK9" s="582" t="str">
        <f>IF('1. Sem'!$AM$10="","",'1. Sem'!$AM$10)</f>
        <v/>
      </c>
      <c r="AL9" s="590" t="str">
        <f>IF('1. Sem'!$AN$10="","",'1. Sem'!$AN$10)</f>
        <v/>
      </c>
      <c r="AM9" s="588" t="str">
        <f>IF('1. Sem'!$AO$10="","",'1. Sem'!$AO$10)</f>
        <v/>
      </c>
      <c r="AN9" s="588" t="str">
        <f>IF('1. Sem'!$AP$10="","",'1. Sem'!$AP$10)</f>
        <v/>
      </c>
      <c r="AO9" s="588" t="str">
        <f>IF('1. Sem'!$AQ$10="","",'1. Sem'!$AQ$10)</f>
        <v/>
      </c>
      <c r="AP9" s="595" t="str">
        <f>IF('1. Sem'!$AR$10="","",'1. Sem'!$AR$10)</f>
        <v/>
      </c>
      <c r="AQ9" s="594" t="str">
        <f>IF('1. Sem'!$AS$10="","",'1. Sem'!$AS$10)</f>
        <v/>
      </c>
      <c r="AR9" s="581" t="str">
        <f>IF('1. Sem'!$AT$10="","",'1. Sem'!$AT$10)</f>
        <v/>
      </c>
      <c r="AS9" s="581" t="str">
        <f>IF('1. Sem'!$AU$10="","",'1. Sem'!$AU$10)</f>
        <v/>
      </c>
      <c r="AT9" s="581" t="str">
        <f>IF('1. Sem'!$AV$10="","",'1. Sem'!$AV$10)</f>
        <v/>
      </c>
      <c r="AU9" s="582" t="str">
        <f>IF('1. Sem'!$AW$10="","",'1. Sem'!$AW$10)</f>
        <v/>
      </c>
      <c r="AV9" s="583" t="str">
        <f>IF('1. Sem'!$AX$10="","",'1. Sem'!$AX$10)</f>
        <v/>
      </c>
      <c r="AW9" s="584" t="str">
        <f>IF('1. Sem'!$AY$10="","",'1. Sem'!$AY$10)</f>
        <v/>
      </c>
      <c r="AX9" s="584" t="str">
        <f>IF('1. Sem'!$AZ$10="","",'1. Sem'!$AZ$10)</f>
        <v/>
      </c>
      <c r="AY9" s="584" t="str">
        <f>IF('1. Sem'!$BA$10="","",'1. Sem'!$BA$10)</f>
        <v/>
      </c>
      <c r="AZ9" s="592" t="str">
        <f>IF('1. Sem'!$BB$10="","",'1. Sem'!$BB$10)</f>
        <v/>
      </c>
      <c r="BA9" s="593" t="str">
        <f>IF('1. Sem'!$BC$10="","",'1. Sem'!$BC$10)</f>
        <v/>
      </c>
      <c r="BB9" s="581" t="str">
        <f>IF('1. Sem'!$BD$10="","",'1. Sem'!$BD$10)</f>
        <v/>
      </c>
      <c r="BC9" s="581" t="str">
        <f>IF('1. Sem'!$BE$10="","",'1. Sem'!$BE$10)</f>
        <v/>
      </c>
      <c r="BD9" s="581" t="str">
        <f>IF('1. Sem'!$BF$10="","",'1. Sem'!$BF$10)</f>
        <v/>
      </c>
      <c r="BE9" s="582" t="str">
        <f>IF('1. Sem'!$BG$10="","",'1. Sem'!$BG$10)</f>
        <v/>
      </c>
      <c r="BF9" s="583" t="str">
        <f>IF('1. Sem'!$BH$10="","",'1. Sem'!$BH$10)</f>
        <v/>
      </c>
      <c r="BG9" s="584" t="str">
        <f>IF('1. Sem'!$BI$10="","",'1. Sem'!$BI$10)</f>
        <v/>
      </c>
      <c r="BH9" s="584" t="str">
        <f>IF('1. Sem'!$BJ$10="","",'1. Sem'!$BJ$10)</f>
        <v/>
      </c>
      <c r="BI9" s="584" t="str">
        <f>IF('1. Sem'!$BK$10="","",'1. Sem'!$BK$10)</f>
        <v/>
      </c>
      <c r="BJ9" s="592" t="str">
        <f>IF('1. Sem'!$BL$10="","",'1. Sem'!$BL$10)</f>
        <v/>
      </c>
      <c r="BK9" s="593" t="str">
        <f>IF('1. Sem'!$BM$10="","",'1. Sem'!$BM$10)</f>
        <v/>
      </c>
      <c r="BL9" s="581" t="str">
        <f>IF('1. Sem'!$BN$10="","",'1. Sem'!$BN$10)</f>
        <v/>
      </c>
      <c r="BM9" s="581" t="str">
        <f>IF('1. Sem'!$BO$10="","",'1. Sem'!$BO$10)</f>
        <v/>
      </c>
      <c r="BN9" s="581" t="str">
        <f>IF('1. Sem'!$BP$10="","",'1. Sem'!$BP$10)</f>
        <v/>
      </c>
      <c r="BO9" s="582" t="str">
        <f>IF('1. Sem'!$BQ$10="","",'1. Sem'!$BQ$10)</f>
        <v/>
      </c>
      <c r="BP9" s="583" t="str">
        <f>IF('1. Sem'!$BR$10="","",'1. Sem'!$BR$10)</f>
        <v/>
      </c>
      <c r="BQ9" s="584" t="str">
        <f>IF('1. Sem'!$BS$10="","",'1. Sem'!$BS$10)</f>
        <v/>
      </c>
      <c r="BR9" s="584" t="str">
        <f>IF('1. Sem'!$BT$10="","",'1. Sem'!$BT$10)</f>
        <v/>
      </c>
      <c r="BS9" s="588" t="str">
        <f>IF('1. Sem'!$BU$10="","",'1. Sem'!$BU$10)</f>
        <v/>
      </c>
      <c r="BT9" s="595" t="str">
        <f>IF('1. Sem'!$BV$10="","",'1. Sem'!$BV$10)</f>
        <v/>
      </c>
      <c r="BU9" s="593" t="str">
        <f>IF('1. Sem'!$BW$10="","",'1. Sem'!$BW$10)</f>
        <v/>
      </c>
      <c r="BV9" s="581" t="str">
        <f>IF('1. Sem'!$BX$10="","",'1. Sem'!$BX$10)</f>
        <v/>
      </c>
      <c r="BW9" s="581" t="str">
        <f>IF('1. Sem'!$BY$10="","",'1. Sem'!$BY$10)</f>
        <v/>
      </c>
      <c r="BX9" s="581" t="str">
        <f>IF('1. Sem'!$BZ$10="","",'1. Sem'!$BZ$10)</f>
        <v/>
      </c>
      <c r="BY9" s="582" t="str">
        <f>IF('1. Sem'!$CA$10="","",'1. Sem'!$CA$10)</f>
        <v/>
      </c>
      <c r="BZ9" s="590" t="str">
        <f>IF('1. Sem'!$CB$10="","",'1. Sem'!$CB$10)</f>
        <v/>
      </c>
      <c r="CA9" s="584" t="str">
        <f>IF('1. Sem'!$CC$10="","",'1. Sem'!$CC$10)</f>
        <v/>
      </c>
      <c r="CB9" s="584" t="str">
        <f>IF('1. Sem'!$CD$10="","",'1. Sem'!$CD$10)</f>
        <v/>
      </c>
      <c r="CC9" s="584" t="str">
        <f>IF('1. Sem'!$CE$10="","",'1. Sem'!$CE$10)</f>
        <v/>
      </c>
      <c r="CD9" s="592" t="str">
        <f>IF('1. Sem'!$CF$10="","",'1. Sem'!$CF$10)</f>
        <v/>
      </c>
      <c r="CE9" s="593" t="str">
        <f>IF('1. Sem'!$CG$10="","",'1. Sem'!$CG$10)</f>
        <v/>
      </c>
      <c r="CF9" s="581" t="str">
        <f>IF('1. Sem'!$CH$10="","",'1. Sem'!$CH$10)</f>
        <v/>
      </c>
      <c r="CG9" s="581" t="str">
        <f>IF('1. Sem'!$CI$10="","",'1. Sem'!$CI$10)</f>
        <v/>
      </c>
      <c r="CH9" s="581" t="str">
        <f>IF('1. Sem'!$CJ$10="","",'1. Sem'!$CJ$10)</f>
        <v/>
      </c>
      <c r="CI9" s="582" t="str">
        <f>IF('1. Sem'!$CK$10="","",'1. Sem'!$CK$10)</f>
        <v/>
      </c>
      <c r="CJ9" s="583" t="str">
        <f>IF('1. Sem'!$CL$10="","",'1. Sem'!$CL$10)</f>
        <v/>
      </c>
      <c r="CK9" s="584" t="str">
        <f>IF('1. Sem'!$CM$10="","",'1. Sem'!$CM$10)</f>
        <v/>
      </c>
      <c r="CL9" s="584" t="str">
        <f>IF('1. Sem'!$CN$10="","",'1. Sem'!$CN$10)</f>
        <v/>
      </c>
      <c r="CM9" s="584" t="str">
        <f>IF('1. Sem'!$CO$10="","",'1. Sem'!$CO$10)</f>
        <v/>
      </c>
      <c r="CN9" s="592" t="str">
        <f>IF('1. Sem'!$CP$10="","",'1. Sem'!$CP$10)</f>
        <v/>
      </c>
      <c r="CO9" s="593" t="str">
        <f>IF('1. Sem'!$CQ$10="","",'1. Sem'!$CQ$10)</f>
        <v/>
      </c>
      <c r="CP9" s="581" t="str">
        <f>IF('1. Sem'!$CR$10="","",'1. Sem'!$CR$10)</f>
        <v/>
      </c>
      <c r="CQ9" s="581" t="str">
        <f>IF('1. Sem'!$CS$10="","",'1. Sem'!$CS$10)</f>
        <v/>
      </c>
      <c r="CR9" s="581" t="str">
        <f>IF('1. Sem'!$CT$10="","",'1. Sem'!$CT$10)</f>
        <v/>
      </c>
      <c r="CS9" s="582" t="str">
        <f>IF('1. Sem'!$CU$10="","",'1. Sem'!$CU$10)</f>
        <v/>
      </c>
      <c r="CT9" s="583" t="str">
        <f>IF('1. Sem'!$CV$10="","",'1. Sem'!$CV$10)</f>
        <v/>
      </c>
      <c r="CU9" s="584" t="str">
        <f>IF('1. Sem'!$CW$10="","",'1. Sem'!$CW$10)</f>
        <v/>
      </c>
      <c r="CV9" s="584" t="str">
        <f>IF('1. Sem'!$CX$10="","",'1. Sem'!$CX$10)</f>
        <v/>
      </c>
      <c r="CW9" s="584" t="str">
        <f>IF('1. Sem'!$CY$10="","",'1. Sem'!$CY$10)</f>
        <v/>
      </c>
      <c r="CX9" s="592" t="str">
        <f>IF('1. Sem'!$CZ$10="","",'1. Sem'!$CZ$10)</f>
        <v/>
      </c>
      <c r="CY9" s="593" t="str">
        <f>IF('1. Sem'!$DA$10="","",'1. Sem'!$DA$10)</f>
        <v/>
      </c>
      <c r="CZ9" s="581" t="str">
        <f>IF('1. Sem'!$DB$10="","",'1. Sem'!$DB$10)</f>
        <v/>
      </c>
      <c r="DA9" s="581" t="str">
        <f>IF('1. Sem'!$DC$10="","",'1. Sem'!$DC$10)</f>
        <v/>
      </c>
      <c r="DB9" s="581" t="str">
        <f>IF('1. Sem'!$DD$10="","",'1. Sem'!$DD$10)</f>
        <v/>
      </c>
      <c r="DC9" s="582" t="str">
        <f>IF('1. Sem'!$DE$10="","",'1. Sem'!$DE$10)</f>
        <v/>
      </c>
    </row>
    <row r="10" spans="1:107" ht="17" customHeight="1" thickBot="1" x14ac:dyDescent="0.25">
      <c r="A10" s="566"/>
      <c r="B10" s="579" t="s">
        <v>18</v>
      </c>
      <c r="C10" s="596" t="str">
        <f>IF('1. Sem'!$E$11="","",'1. Sem'!$E$11)</f>
        <v/>
      </c>
      <c r="D10" s="597" t="str">
        <f>IF('1. Sem'!$F$11="","",'1. Sem'!$F$11)</f>
        <v/>
      </c>
      <c r="E10" s="597" t="str">
        <f>IF('1. Sem'!$G$11="","",'1. Sem'!$G$11)</f>
        <v/>
      </c>
      <c r="F10" s="597" t="str">
        <f>IF('1. Sem'!$H$11="","",'1. Sem'!$H$11)</f>
        <v/>
      </c>
      <c r="G10" s="598" t="str">
        <f>IF('1. Sem'!$I$11="","",'1. Sem'!$I$11)</f>
        <v/>
      </c>
      <c r="H10" s="599" t="str">
        <f>IF('1. Sem'!$J$11="","",'1. Sem'!$J$11)</f>
        <v/>
      </c>
      <c r="I10" s="600" t="str">
        <f>IF('1. Sem'!$K$11="","",'1. Sem'!$K$11)</f>
        <v/>
      </c>
      <c r="J10" s="600" t="str">
        <f>IF('1. Sem'!$L$11="","",'1. Sem'!$L$11)</f>
        <v/>
      </c>
      <c r="K10" s="600" t="str">
        <f>IF('1. Sem'!$M$11="","",'1. Sem'!$M$11)</f>
        <v/>
      </c>
      <c r="L10" s="601" t="str">
        <f>IF('1. Sem'!$N$11="","",'1. Sem'!$N$11)</f>
        <v/>
      </c>
      <c r="M10" s="596" t="str">
        <f>IF('1. Sem'!$O$11="","",'1. Sem'!$O$11)</f>
        <v/>
      </c>
      <c r="N10" s="597" t="str">
        <f>IF('1. Sem'!$P$11="","",'1. Sem'!$P$11)</f>
        <v/>
      </c>
      <c r="O10" s="597" t="str">
        <f>IF('1. Sem'!$Q$11="","",'1. Sem'!$Q$11)</f>
        <v/>
      </c>
      <c r="P10" s="597" t="str">
        <f>IF('1. Sem'!$R$11="","",'1. Sem'!$R$11)</f>
        <v/>
      </c>
      <c r="Q10" s="598" t="str">
        <f>IF('1. Sem'!$S$11="","",'1. Sem'!$S$11)</f>
        <v/>
      </c>
      <c r="R10" s="599" t="str">
        <f>IF('1. Sem'!$T$11="","",'1. Sem'!$T$11)</f>
        <v/>
      </c>
      <c r="S10" s="600" t="str">
        <f>IF('1. Sem'!$U$11="","",'1. Sem'!$U$11)</f>
        <v/>
      </c>
      <c r="T10" s="600" t="str">
        <f>IF('1. Sem'!$V$11="","",'1. Sem'!$V$11)</f>
        <v/>
      </c>
      <c r="U10" s="600" t="str">
        <f>IF('1. Sem'!$W$11="","",'1. Sem'!$W$11)</f>
        <v/>
      </c>
      <c r="V10" s="601" t="str">
        <f>IF('1. Sem'!$X$11="","",'1. Sem'!$X$11)</f>
        <v/>
      </c>
      <c r="W10" s="596" t="str">
        <f>IF('1. Sem'!$Y$11="","",'1. Sem'!$Y$11)</f>
        <v/>
      </c>
      <c r="X10" s="597" t="str">
        <f>IF('1. Sem'!$Z$11="","",'1. Sem'!$Z$11)</f>
        <v/>
      </c>
      <c r="Y10" s="597" t="str">
        <f>IF('1. Sem'!$AA$11="","",'1. Sem'!$AA$11)</f>
        <v/>
      </c>
      <c r="Z10" s="597" t="str">
        <f>IF('1. Sem'!$AB$11="","",'1. Sem'!$AB$11)</f>
        <v/>
      </c>
      <c r="AA10" s="598" t="str">
        <f>IF('1. Sem'!$AC$11="","",'1. Sem'!$AC$11)</f>
        <v/>
      </c>
      <c r="AB10" s="599" t="str">
        <f>IF('1. Sem'!$AD$11="","",'1. Sem'!$AD$11)</f>
        <v/>
      </c>
      <c r="AC10" s="600" t="str">
        <f>IF('1. Sem'!$AE$11="","",'1. Sem'!$AE$11)</f>
        <v/>
      </c>
      <c r="AD10" s="600" t="str">
        <f>IF('1. Sem'!$AF$11="","",'1. Sem'!$AF$11)</f>
        <v/>
      </c>
      <c r="AE10" s="600" t="str">
        <f>IF('1. Sem'!$AG$11="","",'1. Sem'!$AG$11)</f>
        <v/>
      </c>
      <c r="AF10" s="601" t="str">
        <f>IF('1. Sem'!$AH$11="","",'1. Sem'!$AH$11)</f>
        <v/>
      </c>
      <c r="AG10" s="596" t="str">
        <f>IF('1. Sem'!$AI$11="","",'1. Sem'!$AI$11)</f>
        <v/>
      </c>
      <c r="AH10" s="597" t="str">
        <f>IF('1. Sem'!$AJ$11="","",'1. Sem'!$AJ$11)</f>
        <v/>
      </c>
      <c r="AI10" s="597" t="str">
        <f>IF('1. Sem'!$AK$11="","",'1. Sem'!$AK$11)</f>
        <v/>
      </c>
      <c r="AJ10" s="597" t="str">
        <f>IF('1. Sem'!$AL$11="","",'1. Sem'!$AL$11)</f>
        <v/>
      </c>
      <c r="AK10" s="598" t="str">
        <f>IF('1. Sem'!$AM$11="","",'1. Sem'!$AM$11)</f>
        <v/>
      </c>
      <c r="AL10" s="605" t="str">
        <f>IF('1. Sem'!$AN$11="","",'1. Sem'!$AN$11)</f>
        <v/>
      </c>
      <c r="AM10" s="603" t="str">
        <f>IF('1. Sem'!$AO$11="","",'1. Sem'!$AO$11)</f>
        <v/>
      </c>
      <c r="AN10" s="603" t="str">
        <f>IF('1. Sem'!$AP$11="","",'1. Sem'!$AP$11)</f>
        <v/>
      </c>
      <c r="AO10" s="603" t="str">
        <f>IF('1. Sem'!$AQ$11="","",'1. Sem'!$AQ$11)</f>
        <v/>
      </c>
      <c r="AP10" s="604" t="str">
        <f>IF('1. Sem'!$AR$11="","",'1. Sem'!$AR$11)</f>
        <v/>
      </c>
      <c r="AQ10" s="602" t="str">
        <f>IF('1. Sem'!$AS$11="","",'1. Sem'!$AS$11)</f>
        <v/>
      </c>
      <c r="AR10" s="597" t="str">
        <f>IF('1. Sem'!$AT$11="","",'1. Sem'!$AT$11)</f>
        <v/>
      </c>
      <c r="AS10" s="597" t="str">
        <f>IF('1. Sem'!$AU$11="","",'1. Sem'!$AU$11)</f>
        <v/>
      </c>
      <c r="AT10" s="597" t="str">
        <f>IF('1. Sem'!$AV$11="","",'1. Sem'!$AV$11)</f>
        <v/>
      </c>
      <c r="AU10" s="598" t="str">
        <f>IF('1. Sem'!$AW$11="","",'1. Sem'!$AW$11)</f>
        <v/>
      </c>
      <c r="AV10" s="599" t="str">
        <f>IF('1. Sem'!$AX$11="","",'1. Sem'!$AX$11)</f>
        <v/>
      </c>
      <c r="AW10" s="600" t="str">
        <f>IF('1. Sem'!$AY$11="","",'1. Sem'!$AY$11)</f>
        <v/>
      </c>
      <c r="AX10" s="600" t="str">
        <f>IF('1. Sem'!$AZ$11="","",'1. Sem'!$AZ$11)</f>
        <v/>
      </c>
      <c r="AY10" s="600" t="str">
        <f>IF('1. Sem'!$BA$11="","",'1. Sem'!$BA$11)</f>
        <v/>
      </c>
      <c r="AZ10" s="601" t="str">
        <f>IF('1. Sem'!$BB$11="","",'1. Sem'!$BB$11)</f>
        <v/>
      </c>
      <c r="BA10" s="596" t="str">
        <f>IF('1. Sem'!$BC$11="","",'1. Sem'!$BC$11)</f>
        <v/>
      </c>
      <c r="BB10" s="597" t="str">
        <f>IF('1. Sem'!$BD$11="","",'1. Sem'!$BD$11)</f>
        <v/>
      </c>
      <c r="BC10" s="597" t="str">
        <f>IF('1. Sem'!$BE$11="","",'1. Sem'!$BE$11)</f>
        <v/>
      </c>
      <c r="BD10" s="597" t="str">
        <f>IF('1. Sem'!$BF$11="","",'1. Sem'!$BF$11)</f>
        <v/>
      </c>
      <c r="BE10" s="598" t="str">
        <f>IF('1. Sem'!$BG$11="","",'1. Sem'!$BG$11)</f>
        <v/>
      </c>
      <c r="BF10" s="599" t="str">
        <f>IF('1. Sem'!$BH$11="","",'1. Sem'!$BH$11)</f>
        <v/>
      </c>
      <c r="BG10" s="600" t="str">
        <f>IF('1. Sem'!$BI$11="","",'1. Sem'!$BI$11)</f>
        <v/>
      </c>
      <c r="BH10" s="600" t="str">
        <f>IF('1. Sem'!$BJ$11="","",'1. Sem'!$BJ$11)</f>
        <v/>
      </c>
      <c r="BI10" s="600" t="str">
        <f>IF('1. Sem'!$BK$11="","",'1. Sem'!$BK$11)</f>
        <v/>
      </c>
      <c r="BJ10" s="601" t="str">
        <f>IF('1. Sem'!$BL$11="","",'1. Sem'!$BL$11)</f>
        <v/>
      </c>
      <c r="BK10" s="596" t="str">
        <f>IF('1. Sem'!$BM$11="","",'1. Sem'!$BM$11)</f>
        <v/>
      </c>
      <c r="BL10" s="597" t="str">
        <f>IF('1. Sem'!$BN$11="","",'1. Sem'!$BN$11)</f>
        <v/>
      </c>
      <c r="BM10" s="597" t="str">
        <f>IF('1. Sem'!$BO$11="","",'1. Sem'!$BO$11)</f>
        <v/>
      </c>
      <c r="BN10" s="597" t="str">
        <f>IF('1. Sem'!$BP$11="","",'1. Sem'!$BP$11)</f>
        <v/>
      </c>
      <c r="BO10" s="598" t="str">
        <f>IF('1. Sem'!$BQ$11="","",'1. Sem'!$BQ$11)</f>
        <v/>
      </c>
      <c r="BP10" s="599" t="str">
        <f>IF('1. Sem'!$BR$11="","",'1. Sem'!$BR$11)</f>
        <v/>
      </c>
      <c r="BQ10" s="600" t="str">
        <f>IF('1. Sem'!$BS$11="","",'1. Sem'!$BS$11)</f>
        <v/>
      </c>
      <c r="BR10" s="600" t="str">
        <f>IF('1. Sem'!$BT$11="","",'1. Sem'!$BT$11)</f>
        <v/>
      </c>
      <c r="BS10" s="603" t="str">
        <f>IF('1. Sem'!$BU$11="","",'1. Sem'!$BU$11)</f>
        <v/>
      </c>
      <c r="BT10" s="604" t="str">
        <f>IF('1. Sem'!$BV$11="","",'1. Sem'!$BV$11)</f>
        <v/>
      </c>
      <c r="BU10" s="596" t="str">
        <f>IF('1. Sem'!$BW$11="","",'1. Sem'!$BW$11)</f>
        <v/>
      </c>
      <c r="BV10" s="597" t="str">
        <f>IF('1. Sem'!$BX$11="","",'1. Sem'!$BX$11)</f>
        <v/>
      </c>
      <c r="BW10" s="597" t="str">
        <f>IF('1. Sem'!$BY$11="","",'1. Sem'!$BY$11)</f>
        <v/>
      </c>
      <c r="BX10" s="597" t="str">
        <f>IF('1. Sem'!$BZ$11="","",'1. Sem'!$BZ$11)</f>
        <v/>
      </c>
      <c r="BY10" s="598" t="str">
        <f>IF('1. Sem'!$CA$11="","",'1. Sem'!$CA$11)</f>
        <v/>
      </c>
      <c r="BZ10" s="605" t="str">
        <f>IF('1. Sem'!$CB$11="","",'1. Sem'!$CB$11)</f>
        <v/>
      </c>
      <c r="CA10" s="600" t="str">
        <f>IF('1. Sem'!$CC$11="","",'1. Sem'!$CC$11)</f>
        <v/>
      </c>
      <c r="CB10" s="600" t="str">
        <f>IF('1. Sem'!$CD$11="","",'1. Sem'!$CD$11)</f>
        <v/>
      </c>
      <c r="CC10" s="600" t="str">
        <f>IF('1. Sem'!$CE$11="","",'1. Sem'!$CE$11)</f>
        <v/>
      </c>
      <c r="CD10" s="601" t="str">
        <f>IF('1. Sem'!$CF$11="","",'1. Sem'!$CF$11)</f>
        <v/>
      </c>
      <c r="CE10" s="596" t="str">
        <f>IF('1. Sem'!$CG$11="","",'1. Sem'!$CG$11)</f>
        <v/>
      </c>
      <c r="CF10" s="597" t="str">
        <f>IF('1. Sem'!$CH$11="","",'1. Sem'!$CH$11)</f>
        <v/>
      </c>
      <c r="CG10" s="597" t="str">
        <f>IF('1. Sem'!$CI$11="","",'1. Sem'!$CI$11)</f>
        <v/>
      </c>
      <c r="CH10" s="597" t="str">
        <f>IF('1. Sem'!$CJ$11="","",'1. Sem'!$CJ$11)</f>
        <v/>
      </c>
      <c r="CI10" s="598" t="str">
        <f>IF('1. Sem'!$CK$11="","",'1. Sem'!$CK$11)</f>
        <v/>
      </c>
      <c r="CJ10" s="599" t="str">
        <f>IF('1. Sem'!$CL$11="","",'1. Sem'!$CL$11)</f>
        <v/>
      </c>
      <c r="CK10" s="600" t="str">
        <f>IF('1. Sem'!$CM$11="","",'1. Sem'!$CM$11)</f>
        <v/>
      </c>
      <c r="CL10" s="600" t="str">
        <f>IF('1. Sem'!$CN$11="","",'1. Sem'!$CN$11)</f>
        <v/>
      </c>
      <c r="CM10" s="600" t="str">
        <f>IF('1. Sem'!$CO$11="","",'1. Sem'!$CO$11)</f>
        <v/>
      </c>
      <c r="CN10" s="601" t="str">
        <f>IF('1. Sem'!$CP$11="","",'1. Sem'!$CP$11)</f>
        <v/>
      </c>
      <c r="CO10" s="596" t="str">
        <f>IF('1. Sem'!$CQ$11="","",'1. Sem'!$CQ$11)</f>
        <v/>
      </c>
      <c r="CP10" s="597" t="str">
        <f>IF('1. Sem'!$CR$11="","",'1. Sem'!$CR$11)</f>
        <v/>
      </c>
      <c r="CQ10" s="597" t="str">
        <f>IF('1. Sem'!$CS$11="","",'1. Sem'!$CS$11)</f>
        <v/>
      </c>
      <c r="CR10" s="597" t="str">
        <f>IF('1. Sem'!$CT$11="","",'1. Sem'!$CT$11)</f>
        <v/>
      </c>
      <c r="CS10" s="598" t="str">
        <f>IF('1. Sem'!$CU$11="","",'1. Sem'!$CU$11)</f>
        <v/>
      </c>
      <c r="CT10" s="599" t="str">
        <f>IF('1. Sem'!$CV$11="","",'1. Sem'!$CV$11)</f>
        <v/>
      </c>
      <c r="CU10" s="600" t="str">
        <f>IF('1. Sem'!$CW$11="","",'1. Sem'!$CW$11)</f>
        <v/>
      </c>
      <c r="CV10" s="600" t="str">
        <f>IF('1. Sem'!$CX$11="","",'1. Sem'!$CX$11)</f>
        <v/>
      </c>
      <c r="CW10" s="600" t="str">
        <f>IF('1. Sem'!$CY$11="","",'1. Sem'!$CY$11)</f>
        <v/>
      </c>
      <c r="CX10" s="601" t="str">
        <f>IF('1. Sem'!$CZ$11="","",'1. Sem'!$CZ$11)</f>
        <v/>
      </c>
      <c r="CY10" s="596" t="str">
        <f>IF('1. Sem'!$DA$11="","",'1. Sem'!$DA$11)</f>
        <v/>
      </c>
      <c r="CZ10" s="597" t="str">
        <f>IF('1. Sem'!$DB$11="","",'1. Sem'!$DB$11)</f>
        <v/>
      </c>
      <c r="DA10" s="597" t="str">
        <f>IF('1. Sem'!$DC$11="","",'1. Sem'!$DC$11)</f>
        <v/>
      </c>
      <c r="DB10" s="597" t="str">
        <f>IF('1. Sem'!$DD$11="","",'1. Sem'!$DD$11)</f>
        <v/>
      </c>
      <c r="DC10" s="598" t="str">
        <f>IF('1. Sem'!$DE$11="","",'1. Sem'!$DE$11)</f>
        <v/>
      </c>
    </row>
    <row r="11" spans="1:107" ht="16" customHeight="1" x14ac:dyDescent="0.2">
      <c r="A11" s="566"/>
      <c r="B11" s="579" t="s">
        <v>19</v>
      </c>
      <c r="C11" s="568" t="str">
        <f>IF('1. Sem'!$E$12="","",'1. Sem'!$E$12)</f>
        <v/>
      </c>
      <c r="D11" s="569" t="str">
        <f>IF('1. Sem'!$F$12="","",'1. Sem'!$F$12)</f>
        <v/>
      </c>
      <c r="E11" s="576" t="str">
        <f>IF('1. Sem'!$G$12="","",'1. Sem'!$G$12)</f>
        <v/>
      </c>
      <c r="F11" s="569" t="str">
        <f>IF('1. Sem'!$H$12="","",'1. Sem'!$H$12)</f>
        <v/>
      </c>
      <c r="G11" s="570" t="str">
        <f>IF('1. Sem'!$I$12="","",'1. Sem'!$I$12)</f>
        <v/>
      </c>
      <c r="H11" s="571" t="str">
        <f>IF('1. Sem'!$J$12="","",'1. Sem'!$J$12)</f>
        <v/>
      </c>
      <c r="I11" s="572" t="str">
        <f>IF('1. Sem'!$K$12="","",'1. Sem'!$K$12)</f>
        <v/>
      </c>
      <c r="J11" s="576" t="str">
        <f>IF('1. Sem'!$L$12="","",'1. Sem'!$L$12)</f>
        <v/>
      </c>
      <c r="K11" s="572" t="str">
        <f>IF('1. Sem'!$M$12="","",'1. Sem'!$M$12)</f>
        <v/>
      </c>
      <c r="L11" s="573" t="str">
        <f>IF('1. Sem'!$N$12="","",'1. Sem'!$N$12)</f>
        <v/>
      </c>
      <c r="M11" s="574" t="str">
        <f>IF('1. Sem'!$O$12="","",'1. Sem'!$O$12)</f>
        <v/>
      </c>
      <c r="N11" s="569" t="str">
        <f>IF('1. Sem'!$P$12="","",'1. Sem'!$P$12)</f>
        <v/>
      </c>
      <c r="O11" s="576" t="str">
        <f>IF('1. Sem'!$Q$12="","",'1. Sem'!$Q$12)</f>
        <v/>
      </c>
      <c r="P11" s="569" t="str">
        <f>IF('1. Sem'!$R$12="","",'1. Sem'!$R$12)</f>
        <v/>
      </c>
      <c r="Q11" s="570" t="str">
        <f>IF('1. Sem'!$S$12="","",'1. Sem'!$S$12)</f>
        <v/>
      </c>
      <c r="R11" s="571" t="str">
        <f>IF('1. Sem'!$T$12="","",'1. Sem'!$T$12)</f>
        <v/>
      </c>
      <c r="S11" s="572" t="str">
        <f>IF('1. Sem'!$U$12="","",'1. Sem'!$U$12)</f>
        <v/>
      </c>
      <c r="T11" s="576" t="str">
        <f>IF('1. Sem'!$V$12="","",'1. Sem'!$V$12)</f>
        <v/>
      </c>
      <c r="U11" s="572" t="str">
        <f>IF('1. Sem'!$W$12="","",'1. Sem'!$W$12)</f>
        <v/>
      </c>
      <c r="V11" s="573" t="str">
        <f>IF('1. Sem'!$X$12="","",'1. Sem'!$X$12)</f>
        <v/>
      </c>
      <c r="W11" s="574" t="str">
        <f>IF('1. Sem'!$Y$12="","",'1. Sem'!$Y$12)</f>
        <v/>
      </c>
      <c r="X11" s="569" t="str">
        <f>IF('1. Sem'!$Z$12="","",'1. Sem'!$Z$12)</f>
        <v/>
      </c>
      <c r="Y11" s="576" t="str">
        <f>IF('1. Sem'!$AA$12="","",'1. Sem'!$AA$12)</f>
        <v/>
      </c>
      <c r="Z11" s="569" t="str">
        <f>IF('1. Sem'!$AB$12="","",'1. Sem'!$AB$12)</f>
        <v/>
      </c>
      <c r="AA11" s="570" t="str">
        <f>IF('1. Sem'!$AC$12="","",'1. Sem'!$AC$12)</f>
        <v/>
      </c>
      <c r="AB11" s="571" t="str">
        <f>IF('1. Sem'!$AD$12="","",'1. Sem'!$AD$12)</f>
        <v/>
      </c>
      <c r="AC11" s="572" t="str">
        <f>IF('1. Sem'!$AE$12="","",'1. Sem'!$AE$12)</f>
        <v/>
      </c>
      <c r="AD11" s="576" t="str">
        <f>IF('1. Sem'!$AF$12="","",'1. Sem'!$AF$12)</f>
        <v/>
      </c>
      <c r="AE11" s="572" t="str">
        <f>IF('1. Sem'!$AG$12="","",'1. Sem'!$AG$12)</f>
        <v/>
      </c>
      <c r="AF11" s="573" t="str">
        <f>IF('1. Sem'!$AH$12="","",'1. Sem'!$AH$12)</f>
        <v/>
      </c>
      <c r="AG11" s="574" t="str">
        <f>IF('1. Sem'!$AI$12="","",'1. Sem'!$AI$12)</f>
        <v/>
      </c>
      <c r="AH11" s="569" t="str">
        <f>IF('1. Sem'!$AJ$12="","",'1. Sem'!$AJ$12)</f>
        <v/>
      </c>
      <c r="AI11" s="576" t="str">
        <f>IF('1. Sem'!$AK$12="","",'1. Sem'!$AK$12)</f>
        <v/>
      </c>
      <c r="AJ11" s="569" t="str">
        <f>IF('1. Sem'!$AL$12="","",'1. Sem'!$AL$12)</f>
        <v/>
      </c>
      <c r="AK11" s="570" t="str">
        <f>IF('1. Sem'!$AM$12="","",'1. Sem'!$AM$12)</f>
        <v/>
      </c>
      <c r="AL11" s="578" t="str">
        <f>IF('1. Sem'!$AN$12="","",'1. Sem'!$AN$12)</f>
        <v/>
      </c>
      <c r="AM11" s="576" t="str">
        <f>IF('1. Sem'!$AO$12="","",'1. Sem'!$AO$12)</f>
        <v/>
      </c>
      <c r="AN11" s="576" t="str">
        <f>IF('1. Sem'!$AP$12="","",'1. Sem'!$AP$12)</f>
        <v/>
      </c>
      <c r="AO11" s="576" t="str">
        <f>IF('1. Sem'!$AQ$12="","",'1. Sem'!$AQ$12)</f>
        <v/>
      </c>
      <c r="AP11" s="577" t="str">
        <f>IF('1. Sem'!$AR$12="","",'1. Sem'!$AR$12)</f>
        <v/>
      </c>
      <c r="AQ11" s="575" t="str">
        <f>IF('1. Sem'!$AS$12="","",'1. Sem'!$AS$12)</f>
        <v/>
      </c>
      <c r="AR11" s="569" t="str">
        <f>IF('1. Sem'!$AT$12="","",'1. Sem'!$AT$12)</f>
        <v/>
      </c>
      <c r="AS11" s="576" t="str">
        <f>IF('1. Sem'!$AU$12="","",'1. Sem'!$AU$12)</f>
        <v/>
      </c>
      <c r="AT11" s="569" t="str">
        <f>IF('1. Sem'!$AV$12="","",'1. Sem'!$AV$12)</f>
        <v/>
      </c>
      <c r="AU11" s="570" t="str">
        <f>IF('1. Sem'!$AW$12="","",'1. Sem'!$AW$12)</f>
        <v/>
      </c>
      <c r="AV11" s="571" t="str">
        <f>IF('1. Sem'!$AX$12="","",'1. Sem'!$AX$12)</f>
        <v/>
      </c>
      <c r="AW11" s="572" t="str">
        <f>IF('1. Sem'!$AY$12="","",'1. Sem'!$AY$12)</f>
        <v/>
      </c>
      <c r="AX11" s="576" t="str">
        <f>IF('1. Sem'!$AZ$12="","",'1. Sem'!$AZ$12)</f>
        <v/>
      </c>
      <c r="AY11" s="572" t="str">
        <f>IF('1. Sem'!$BA$12="","",'1. Sem'!$BA$12)</f>
        <v/>
      </c>
      <c r="AZ11" s="573" t="str">
        <f>IF('1. Sem'!$BB$12="","",'1. Sem'!$BB$12)</f>
        <v/>
      </c>
      <c r="BA11" s="574" t="str">
        <f>IF('1. Sem'!$BC$12="","",'1. Sem'!$BC$12)</f>
        <v/>
      </c>
      <c r="BB11" s="569" t="str">
        <f>IF('1. Sem'!$BD$12="","",'1. Sem'!$BD$12)</f>
        <v/>
      </c>
      <c r="BC11" s="576" t="str">
        <f>IF('1. Sem'!$BE$12="","",'1. Sem'!$BE$12)</f>
        <v/>
      </c>
      <c r="BD11" s="569" t="str">
        <f>IF('1. Sem'!$BF$12="","",'1. Sem'!$BF$12)</f>
        <v/>
      </c>
      <c r="BE11" s="570" t="str">
        <f>IF('1. Sem'!$BG$12="","",'1. Sem'!$BG$12)</f>
        <v/>
      </c>
      <c r="BF11" s="571" t="str">
        <f>IF('1. Sem'!$BH$12="","",'1. Sem'!$BH$12)</f>
        <v/>
      </c>
      <c r="BG11" s="572" t="str">
        <f>IF('1. Sem'!$BI$12="","",'1. Sem'!$BI$12)</f>
        <v/>
      </c>
      <c r="BH11" s="576" t="str">
        <f>IF('1. Sem'!$BJ$12="","",'1. Sem'!$BJ$12)</f>
        <v/>
      </c>
      <c r="BI11" s="572" t="str">
        <f>IF('1. Sem'!$BK$12="","",'1. Sem'!$BK$12)</f>
        <v/>
      </c>
      <c r="BJ11" s="573" t="str">
        <f>IF('1. Sem'!$BL$12="","",'1. Sem'!$BL$12)</f>
        <v/>
      </c>
      <c r="BK11" s="574" t="str">
        <f>IF('1. Sem'!$BM$12="","",'1. Sem'!$BM$12)</f>
        <v/>
      </c>
      <c r="BL11" s="569" t="str">
        <f>IF('1. Sem'!$BN$12="","",'1. Sem'!$BN$12)</f>
        <v/>
      </c>
      <c r="BM11" s="576" t="str">
        <f>IF('1. Sem'!$BO$12="","",'1. Sem'!$BO$12)</f>
        <v/>
      </c>
      <c r="BN11" s="569" t="str">
        <f>IF('1. Sem'!$BP$12="","",'1. Sem'!$BP$12)</f>
        <v/>
      </c>
      <c r="BO11" s="570" t="str">
        <f>IF('1. Sem'!$BQ$12="","",'1. Sem'!$BQ$12)</f>
        <v/>
      </c>
      <c r="BP11" s="571" t="str">
        <f>IF('1. Sem'!$BR$12="","",'1. Sem'!$BR$12)</f>
        <v/>
      </c>
      <c r="BQ11" s="572" t="str">
        <f>IF('1. Sem'!$BS$12="","",'1. Sem'!$BS$12)</f>
        <v/>
      </c>
      <c r="BR11" s="576" t="str">
        <f>IF('1. Sem'!$BT$12="","",'1. Sem'!$BT$12)</f>
        <v/>
      </c>
      <c r="BS11" s="576" t="str">
        <f>IF('1. Sem'!$BU$12="","",'1. Sem'!$BU$12)</f>
        <v/>
      </c>
      <c r="BT11" s="577" t="str">
        <f>IF('1. Sem'!$BV$12="","",'1. Sem'!$BV$12)</f>
        <v/>
      </c>
      <c r="BU11" s="574" t="str">
        <f>IF('1. Sem'!$BW$12="","",'1. Sem'!$BW$12)</f>
        <v/>
      </c>
      <c r="BV11" s="569" t="str">
        <f>IF('1. Sem'!$BX$12="","",'1. Sem'!$BX$12)</f>
        <v/>
      </c>
      <c r="BW11" s="576" t="str">
        <f>IF('1. Sem'!$BY$12="","",'1. Sem'!$BY$12)</f>
        <v/>
      </c>
      <c r="BX11" s="569" t="str">
        <f>IF('1. Sem'!$BZ$12="","",'1. Sem'!$BZ$12)</f>
        <v/>
      </c>
      <c r="BY11" s="570" t="str">
        <f>IF('1. Sem'!$CA$12="","",'1. Sem'!$CA$12)</f>
        <v/>
      </c>
      <c r="BZ11" s="578" t="str">
        <f>IF('1. Sem'!$CB$12="","",'1. Sem'!$CB$12)</f>
        <v/>
      </c>
      <c r="CA11" s="572" t="str">
        <f>IF('1. Sem'!$CC$12="","",'1. Sem'!$CC$12)</f>
        <v/>
      </c>
      <c r="CB11" s="576" t="str">
        <f>IF('1. Sem'!$CD$12="","",'1. Sem'!$CD$12)</f>
        <v/>
      </c>
      <c r="CC11" s="572" t="str">
        <f>IF('1. Sem'!$CE$12="","",'1. Sem'!$CE$12)</f>
        <v/>
      </c>
      <c r="CD11" s="573" t="str">
        <f>IF('1. Sem'!$CF$12="","",'1. Sem'!$CF$12)</f>
        <v/>
      </c>
      <c r="CE11" s="574" t="str">
        <f>IF('1. Sem'!$CG$12="","",'1. Sem'!$CG$12)</f>
        <v/>
      </c>
      <c r="CF11" s="569" t="str">
        <f>IF('1. Sem'!$CH$12="","",'1. Sem'!$CH$12)</f>
        <v/>
      </c>
      <c r="CG11" s="576" t="str">
        <f>IF('1. Sem'!$CI$12="","",'1. Sem'!$CI$12)</f>
        <v/>
      </c>
      <c r="CH11" s="569" t="str">
        <f>IF('1. Sem'!$CJ$12="","",'1. Sem'!$CJ$12)</f>
        <v/>
      </c>
      <c r="CI11" s="570" t="str">
        <f>IF('1. Sem'!$CK$12="","",'1. Sem'!$CK$12)</f>
        <v/>
      </c>
      <c r="CJ11" s="571" t="str">
        <f>IF('1. Sem'!$CL$12="","",'1. Sem'!$CL$12)</f>
        <v/>
      </c>
      <c r="CK11" s="572" t="str">
        <f>IF('1. Sem'!$CM$12="","",'1. Sem'!$CM$12)</f>
        <v/>
      </c>
      <c r="CL11" s="576" t="str">
        <f>IF('1. Sem'!$CN$12="","",'1. Sem'!$CN$12)</f>
        <v/>
      </c>
      <c r="CM11" s="572" t="str">
        <f>IF('1. Sem'!$CO$12="","",'1. Sem'!$CO$12)</f>
        <v/>
      </c>
      <c r="CN11" s="573" t="str">
        <f>IF('1. Sem'!$CP$12="","",'1. Sem'!$CP$12)</f>
        <v/>
      </c>
      <c r="CO11" s="574" t="str">
        <f>IF('1. Sem'!$CQ$12="","",'1. Sem'!$CQ$12)</f>
        <v/>
      </c>
      <c r="CP11" s="569" t="str">
        <f>IF('1. Sem'!$CR$12="","",'1. Sem'!$CR$12)</f>
        <v/>
      </c>
      <c r="CQ11" s="576" t="str">
        <f>IF('1. Sem'!$CS$12="","",'1. Sem'!$CS$12)</f>
        <v/>
      </c>
      <c r="CR11" s="569" t="str">
        <f>IF('1. Sem'!$CT$12="","",'1. Sem'!$CT$12)</f>
        <v/>
      </c>
      <c r="CS11" s="570" t="str">
        <f>IF('1. Sem'!$CU$12="","",'1. Sem'!$CU$12)</f>
        <v/>
      </c>
      <c r="CT11" s="571" t="str">
        <f>IF('1. Sem'!$CV$12="","",'1. Sem'!$CV$12)</f>
        <v/>
      </c>
      <c r="CU11" s="572" t="str">
        <f>IF('1. Sem'!$CW$12="","",'1. Sem'!$CW$12)</f>
        <v/>
      </c>
      <c r="CV11" s="576" t="str">
        <f>IF('1. Sem'!$CX$12="","",'1. Sem'!$CX$12)</f>
        <v/>
      </c>
      <c r="CW11" s="572" t="str">
        <f>IF('1. Sem'!$CY$12="","",'1. Sem'!$CY$12)</f>
        <v/>
      </c>
      <c r="CX11" s="573" t="str">
        <f>IF('1. Sem'!$CZ$12="","",'1. Sem'!$CZ$12)</f>
        <v/>
      </c>
      <c r="CY11" s="574" t="str">
        <f>IF('1. Sem'!$DA$12="","",'1. Sem'!$DA$12)</f>
        <v/>
      </c>
      <c r="CZ11" s="569" t="str">
        <f>IF('1. Sem'!$DB$12="","",'1. Sem'!$DB$12)</f>
        <v/>
      </c>
      <c r="DA11" s="576" t="str">
        <f>IF('1. Sem'!$DC$12="","",'1. Sem'!$DC$12)</f>
        <v/>
      </c>
      <c r="DB11" s="569" t="str">
        <f>IF('1. Sem'!$DD$12="","",'1. Sem'!$DD$12)</f>
        <v/>
      </c>
      <c r="DC11" s="570" t="str">
        <f>IF('1. Sem'!$DE$12="","",'1. Sem'!$DE$12)</f>
        <v/>
      </c>
    </row>
    <row r="12" spans="1:107" ht="16" customHeight="1" x14ac:dyDescent="0.2">
      <c r="A12" s="566"/>
      <c r="B12" s="579" t="s">
        <v>21</v>
      </c>
      <c r="C12" s="580" t="str">
        <f>IF('1. Sem'!$E$13="","",'1. Sem'!$E$13)</f>
        <v/>
      </c>
      <c r="D12" s="581" t="str">
        <f>IF('1. Sem'!$F$13="","",'1. Sem'!$F$13)</f>
        <v/>
      </c>
      <c r="E12" s="588" t="str">
        <f>IF('1. Sem'!$G$13="","",'1. Sem'!$G$13)</f>
        <v/>
      </c>
      <c r="F12" s="581" t="str">
        <f>IF('1. Sem'!$H$13="","",'1. Sem'!$H$13)</f>
        <v/>
      </c>
      <c r="G12" s="582" t="str">
        <f>IF('1. Sem'!$I$13="","",'1. Sem'!$I$13)</f>
        <v/>
      </c>
      <c r="H12" s="583" t="str">
        <f>IF('1. Sem'!$J$13="","",'1. Sem'!$J$13)</f>
        <v/>
      </c>
      <c r="I12" s="584" t="str">
        <f>IF('1. Sem'!$K$13="","",'1. Sem'!$K$13)</f>
        <v/>
      </c>
      <c r="J12" s="588" t="str">
        <f>IF('1. Sem'!$L$13="","",'1. Sem'!$L$13)</f>
        <v/>
      </c>
      <c r="K12" s="584" t="str">
        <f>IF('1. Sem'!$M$13="","",'1. Sem'!$M$13)</f>
        <v/>
      </c>
      <c r="L12" s="585" t="str">
        <f>IF('1. Sem'!$N$13="","",'1. Sem'!$N$13)</f>
        <v/>
      </c>
      <c r="M12" s="586" t="str">
        <f>IF('1. Sem'!$O$13="","",'1. Sem'!$O$13)</f>
        <v/>
      </c>
      <c r="N12" s="581" t="str">
        <f>IF('1. Sem'!$P$13="","",'1. Sem'!$P$13)</f>
        <v/>
      </c>
      <c r="O12" s="588" t="str">
        <f>IF('1. Sem'!$Q$13="","",'1. Sem'!$Q$13)</f>
        <v/>
      </c>
      <c r="P12" s="581" t="str">
        <f>IF('1. Sem'!$R$13="","",'1. Sem'!$R$13)</f>
        <v/>
      </c>
      <c r="Q12" s="582" t="str">
        <f>IF('1. Sem'!$S$13="","",'1. Sem'!$S$13)</f>
        <v/>
      </c>
      <c r="R12" s="583" t="str">
        <f>IF('1. Sem'!$T$13="","",'1. Sem'!$T$13)</f>
        <v/>
      </c>
      <c r="S12" s="584" t="str">
        <f>IF('1. Sem'!$U$13="","",'1. Sem'!$U$13)</f>
        <v/>
      </c>
      <c r="T12" s="588" t="str">
        <f>IF('1. Sem'!$V$13="","",'1. Sem'!$V$13)</f>
        <v/>
      </c>
      <c r="U12" s="584" t="str">
        <f>IF('1. Sem'!$W$13="","",'1. Sem'!$W$13)</f>
        <v/>
      </c>
      <c r="V12" s="585" t="str">
        <f>IF('1. Sem'!$X$13="","",'1. Sem'!$X$13)</f>
        <v/>
      </c>
      <c r="W12" s="586" t="str">
        <f>IF('1. Sem'!$Y$13="","",'1. Sem'!$Y$13)</f>
        <v/>
      </c>
      <c r="X12" s="581" t="str">
        <f>IF('1. Sem'!$Z$13="","",'1. Sem'!$Z$13)</f>
        <v/>
      </c>
      <c r="Y12" s="588" t="str">
        <f>IF('1. Sem'!$AA$13="","",'1. Sem'!$AA$13)</f>
        <v/>
      </c>
      <c r="Z12" s="581" t="str">
        <f>IF('1. Sem'!$AB$13="","",'1. Sem'!$AB$13)</f>
        <v/>
      </c>
      <c r="AA12" s="582" t="str">
        <f>IF('1. Sem'!$AC$13="","",'1. Sem'!$AC$13)</f>
        <v/>
      </c>
      <c r="AB12" s="583" t="str">
        <f>IF('1. Sem'!$AD$13="","",'1. Sem'!$AD$13)</f>
        <v/>
      </c>
      <c r="AC12" s="584" t="str">
        <f>IF('1. Sem'!$AE$13="","",'1. Sem'!$AE$13)</f>
        <v/>
      </c>
      <c r="AD12" s="588" t="str">
        <f>IF('1. Sem'!$AF$13="","",'1. Sem'!$AF$13)</f>
        <v/>
      </c>
      <c r="AE12" s="584" t="str">
        <f>IF('1. Sem'!$AG$13="","",'1. Sem'!$AG$13)</f>
        <v/>
      </c>
      <c r="AF12" s="585" t="str">
        <f>IF('1. Sem'!$AH$13="","",'1. Sem'!$AH$13)</f>
        <v/>
      </c>
      <c r="AG12" s="586" t="str">
        <f>IF('1. Sem'!$AI$13="","",'1. Sem'!$AI$13)</f>
        <v/>
      </c>
      <c r="AH12" s="581" t="str">
        <f>IF('1. Sem'!$AJ$13="","",'1. Sem'!$AJ$13)</f>
        <v/>
      </c>
      <c r="AI12" s="588" t="str">
        <f>IF('1. Sem'!$AK$13="","",'1. Sem'!$AK$13)</f>
        <v/>
      </c>
      <c r="AJ12" s="581" t="str">
        <f>IF('1. Sem'!$AL$13="","",'1. Sem'!$AL$13)</f>
        <v/>
      </c>
      <c r="AK12" s="582" t="str">
        <f>IF('1. Sem'!$AM$13="","",'1. Sem'!$AM$13)</f>
        <v/>
      </c>
      <c r="AL12" s="590" t="str">
        <f>IF('1. Sem'!$AN$13="","",'1. Sem'!$AN$13)</f>
        <v/>
      </c>
      <c r="AM12" s="588" t="str">
        <f>IF('1. Sem'!$AO$13="","",'1. Sem'!$AO$13)</f>
        <v/>
      </c>
      <c r="AN12" s="588" t="str">
        <f>IF('1. Sem'!$AP$13="","",'1. Sem'!$AP$13)</f>
        <v/>
      </c>
      <c r="AO12" s="588" t="str">
        <f>IF('1. Sem'!$AQ$13="","",'1. Sem'!$AQ$13)</f>
        <v/>
      </c>
      <c r="AP12" s="589" t="str">
        <f>IF('1. Sem'!$AR$13="","",'1. Sem'!$AR$13)</f>
        <v/>
      </c>
      <c r="AQ12" s="587" t="str">
        <f>IF('1. Sem'!$AS$13="","",'1. Sem'!$AS$13)</f>
        <v/>
      </c>
      <c r="AR12" s="581" t="str">
        <f>IF('1. Sem'!$AT$13="","",'1. Sem'!$AT$13)</f>
        <v/>
      </c>
      <c r="AS12" s="588" t="str">
        <f>IF('1. Sem'!$AU$13="","",'1. Sem'!$AU$13)</f>
        <v/>
      </c>
      <c r="AT12" s="581" t="str">
        <f>IF('1. Sem'!$AV$13="","",'1. Sem'!$AV$13)</f>
        <v/>
      </c>
      <c r="AU12" s="582" t="str">
        <f>IF('1. Sem'!$AW$13="","",'1. Sem'!$AW$13)</f>
        <v/>
      </c>
      <c r="AV12" s="583" t="str">
        <f>IF('1. Sem'!$AX$13="","",'1. Sem'!$AX$13)</f>
        <v/>
      </c>
      <c r="AW12" s="584" t="str">
        <f>IF('1. Sem'!$AY$13="","",'1. Sem'!$AY$13)</f>
        <v/>
      </c>
      <c r="AX12" s="588" t="str">
        <f>IF('1. Sem'!$AZ$13="","",'1. Sem'!$AZ$13)</f>
        <v/>
      </c>
      <c r="AY12" s="584" t="str">
        <f>IF('1. Sem'!$BA$13="","",'1. Sem'!$BA$13)</f>
        <v/>
      </c>
      <c r="AZ12" s="585" t="str">
        <f>IF('1. Sem'!$BB$13="","",'1. Sem'!$BB$13)</f>
        <v/>
      </c>
      <c r="BA12" s="586" t="str">
        <f>IF('1. Sem'!$BC$13="","",'1. Sem'!$BC$13)</f>
        <v/>
      </c>
      <c r="BB12" s="581" t="str">
        <f>IF('1. Sem'!$BD$13="","",'1. Sem'!$BD$13)</f>
        <v/>
      </c>
      <c r="BC12" s="588" t="str">
        <f>IF('1. Sem'!$BE$13="","",'1. Sem'!$BE$13)</f>
        <v/>
      </c>
      <c r="BD12" s="581" t="str">
        <f>IF('1. Sem'!$BF$13="","",'1. Sem'!$BF$13)</f>
        <v/>
      </c>
      <c r="BE12" s="582" t="str">
        <f>IF('1. Sem'!$BG$13="","",'1. Sem'!$BG$13)</f>
        <v/>
      </c>
      <c r="BF12" s="583" t="str">
        <f>IF('1. Sem'!$BH$13="","",'1. Sem'!$BH$13)</f>
        <v/>
      </c>
      <c r="BG12" s="584" t="str">
        <f>IF('1. Sem'!$BI$13="","",'1. Sem'!$BI$13)</f>
        <v/>
      </c>
      <c r="BH12" s="588" t="str">
        <f>IF('1. Sem'!$BJ$13="","",'1. Sem'!$BJ$13)</f>
        <v/>
      </c>
      <c r="BI12" s="584" t="str">
        <f>IF('1. Sem'!$BK$13="","",'1. Sem'!$BK$13)</f>
        <v/>
      </c>
      <c r="BJ12" s="585" t="str">
        <f>IF('1. Sem'!$BL$13="","",'1. Sem'!$BL$13)</f>
        <v/>
      </c>
      <c r="BK12" s="586" t="str">
        <f>IF('1. Sem'!$BM$13="","",'1. Sem'!$BM$13)</f>
        <v/>
      </c>
      <c r="BL12" s="581" t="str">
        <f>IF('1. Sem'!$BN$13="","",'1. Sem'!$BN$13)</f>
        <v/>
      </c>
      <c r="BM12" s="588" t="str">
        <f>IF('1. Sem'!$BO$13="","",'1. Sem'!$BO$13)</f>
        <v/>
      </c>
      <c r="BN12" s="581" t="str">
        <f>IF('1. Sem'!$BP$13="","",'1. Sem'!$BP$13)</f>
        <v/>
      </c>
      <c r="BO12" s="582" t="str">
        <f>IF('1. Sem'!$BQ$13="","",'1. Sem'!$BQ$13)</f>
        <v/>
      </c>
      <c r="BP12" s="583" t="str">
        <f>IF('1. Sem'!$BR$13="","",'1. Sem'!$BR$13)</f>
        <v/>
      </c>
      <c r="BQ12" s="584" t="str">
        <f>IF('1. Sem'!$BS$13="","",'1. Sem'!$BS$13)</f>
        <v/>
      </c>
      <c r="BR12" s="588" t="str">
        <f>IF('1. Sem'!$BT$13="","",'1. Sem'!$BT$13)</f>
        <v/>
      </c>
      <c r="BS12" s="588" t="str">
        <f>IF('1. Sem'!$BU$13="","",'1. Sem'!$BU$13)</f>
        <v/>
      </c>
      <c r="BT12" s="589" t="str">
        <f>IF('1. Sem'!$BV$13="","",'1. Sem'!$BV$13)</f>
        <v/>
      </c>
      <c r="BU12" s="586" t="str">
        <f>IF('1. Sem'!$BW$13="","",'1. Sem'!$BW$13)</f>
        <v/>
      </c>
      <c r="BV12" s="581" t="str">
        <f>IF('1. Sem'!$BX$13="","",'1. Sem'!$BX$13)</f>
        <v/>
      </c>
      <c r="BW12" s="588" t="str">
        <f>IF('1. Sem'!$BY$13="","",'1. Sem'!$BY$13)</f>
        <v/>
      </c>
      <c r="BX12" s="581" t="str">
        <f>IF('1. Sem'!$BZ$13="","",'1. Sem'!$BZ$13)</f>
        <v/>
      </c>
      <c r="BY12" s="582" t="str">
        <f>IF('1. Sem'!$CA$13="","",'1. Sem'!$CA$13)</f>
        <v/>
      </c>
      <c r="BZ12" s="590" t="str">
        <f>IF('1. Sem'!$CB$13="","",'1. Sem'!$CB$13)</f>
        <v/>
      </c>
      <c r="CA12" s="584" t="str">
        <f>IF('1. Sem'!$CC$13="","",'1. Sem'!$CC$13)</f>
        <v/>
      </c>
      <c r="CB12" s="588" t="str">
        <f>IF('1. Sem'!$CD$13="","",'1. Sem'!$CD$13)</f>
        <v/>
      </c>
      <c r="CC12" s="584" t="str">
        <f>IF('1. Sem'!$CE$13="","",'1. Sem'!$CE$13)</f>
        <v/>
      </c>
      <c r="CD12" s="585" t="str">
        <f>IF('1. Sem'!$CF$13="","",'1. Sem'!$CF$13)</f>
        <v/>
      </c>
      <c r="CE12" s="586" t="str">
        <f>IF('1. Sem'!$CG$13="","",'1. Sem'!$CG$13)</f>
        <v/>
      </c>
      <c r="CF12" s="581" t="str">
        <f>IF('1. Sem'!$CH$13="","",'1. Sem'!$CH$13)</f>
        <v/>
      </c>
      <c r="CG12" s="588" t="str">
        <f>IF('1. Sem'!$CI$13="","",'1. Sem'!$CI$13)</f>
        <v/>
      </c>
      <c r="CH12" s="581" t="str">
        <f>IF('1. Sem'!$CJ$13="","",'1. Sem'!$CJ$13)</f>
        <v/>
      </c>
      <c r="CI12" s="582" t="str">
        <f>IF('1. Sem'!$CK$13="","",'1. Sem'!$CK$13)</f>
        <v/>
      </c>
      <c r="CJ12" s="583" t="str">
        <f>IF('1. Sem'!$CL$13="","",'1. Sem'!$CL$13)</f>
        <v/>
      </c>
      <c r="CK12" s="584" t="str">
        <f>IF('1. Sem'!$CM$13="","",'1. Sem'!$CM$13)</f>
        <v/>
      </c>
      <c r="CL12" s="588" t="str">
        <f>IF('1. Sem'!$CN$13="","",'1. Sem'!$CN$13)</f>
        <v/>
      </c>
      <c r="CM12" s="584" t="str">
        <f>IF('1. Sem'!$CO$13="","",'1. Sem'!$CO$13)</f>
        <v/>
      </c>
      <c r="CN12" s="585" t="str">
        <f>IF('1. Sem'!$CP$13="","",'1. Sem'!$CP$13)</f>
        <v/>
      </c>
      <c r="CO12" s="586" t="str">
        <f>IF('1. Sem'!$CQ$13="","",'1. Sem'!$CQ$13)</f>
        <v/>
      </c>
      <c r="CP12" s="581" t="str">
        <f>IF('1. Sem'!$CR$13="","",'1. Sem'!$CR$13)</f>
        <v/>
      </c>
      <c r="CQ12" s="588" t="str">
        <f>IF('1. Sem'!$CS$13="","",'1. Sem'!$CS$13)</f>
        <v/>
      </c>
      <c r="CR12" s="581" t="str">
        <f>IF('1. Sem'!$CT$13="","",'1. Sem'!$CT$13)</f>
        <v/>
      </c>
      <c r="CS12" s="582" t="str">
        <f>IF('1. Sem'!$CU$13="","",'1. Sem'!$CU$13)</f>
        <v/>
      </c>
      <c r="CT12" s="583" t="str">
        <f>IF('1. Sem'!$CV$13="","",'1. Sem'!$CV$13)</f>
        <v/>
      </c>
      <c r="CU12" s="584" t="str">
        <f>IF('1. Sem'!$CW$13="","",'1. Sem'!$CW$13)</f>
        <v/>
      </c>
      <c r="CV12" s="588" t="str">
        <f>IF('1. Sem'!$CX$13="","",'1. Sem'!$CX$13)</f>
        <v/>
      </c>
      <c r="CW12" s="584" t="str">
        <f>IF('1. Sem'!$CY$13="","",'1. Sem'!$CY$13)</f>
        <v/>
      </c>
      <c r="CX12" s="585" t="str">
        <f>IF('1. Sem'!$CZ$13="","",'1. Sem'!$CZ$13)</f>
        <v/>
      </c>
      <c r="CY12" s="586" t="str">
        <f>IF('1. Sem'!$DA$13="","",'1. Sem'!$DA$13)</f>
        <v/>
      </c>
      <c r="CZ12" s="581" t="str">
        <f>IF('1. Sem'!$DB$13="","",'1. Sem'!$DB$13)</f>
        <v/>
      </c>
      <c r="DA12" s="588" t="str">
        <f>IF('1. Sem'!$DC$13="","",'1. Sem'!$DC$13)</f>
        <v/>
      </c>
      <c r="DB12" s="581" t="str">
        <f>IF('1. Sem'!$DD$13="","",'1. Sem'!$DD$13)</f>
        <v/>
      </c>
      <c r="DC12" s="582" t="str">
        <f>IF('1. Sem'!$DE$13="","",'1. Sem'!$DE$13)</f>
        <v/>
      </c>
    </row>
    <row r="13" spans="1:107" ht="16" customHeight="1" x14ac:dyDescent="0.2">
      <c r="A13" s="566"/>
      <c r="B13" s="579" t="s">
        <v>22</v>
      </c>
      <c r="C13" s="591" t="str">
        <f>IF('1. Sem'!$E$14="","",'1. Sem'!$E$14)</f>
        <v/>
      </c>
      <c r="D13" s="581" t="str">
        <f>IF('1. Sem'!$F$14="","",'1. Sem'!$F$14)</f>
        <v/>
      </c>
      <c r="E13" s="588" t="str">
        <f>IF('1. Sem'!$G$14="","",'1. Sem'!$G$14)</f>
        <v/>
      </c>
      <c r="F13" s="581" t="str">
        <f>IF('1. Sem'!$H$14="","",'1. Sem'!$H$14)</f>
        <v/>
      </c>
      <c r="G13" s="582" t="str">
        <f>IF('1. Sem'!$I$14="","",'1. Sem'!$I$14)</f>
        <v/>
      </c>
      <c r="H13" s="583" t="str">
        <f>IF('1. Sem'!$J$14="","",'1. Sem'!$J$14)</f>
        <v/>
      </c>
      <c r="I13" s="584" t="str">
        <f>IF('1. Sem'!$K$14="","",'1. Sem'!$K$14)</f>
        <v/>
      </c>
      <c r="J13" s="588" t="str">
        <f>IF('1. Sem'!$L$14="","",'1. Sem'!$L$14)</f>
        <v/>
      </c>
      <c r="K13" s="584" t="str">
        <f>IF('1. Sem'!$M$14="","",'1. Sem'!$M$14)</f>
        <v/>
      </c>
      <c r="L13" s="592" t="str">
        <f>IF('1. Sem'!$N$14="","",'1. Sem'!$N$14)</f>
        <v/>
      </c>
      <c r="M13" s="593" t="str">
        <f>IF('1. Sem'!$O$14="","",'1. Sem'!$O$14)</f>
        <v/>
      </c>
      <c r="N13" s="581" t="str">
        <f>IF('1. Sem'!$P$14="","",'1. Sem'!$P$14)</f>
        <v/>
      </c>
      <c r="O13" s="588" t="str">
        <f>IF('1. Sem'!$Q$14="","",'1. Sem'!$Q$14)</f>
        <v/>
      </c>
      <c r="P13" s="581" t="str">
        <f>IF('1. Sem'!$R$14="","",'1. Sem'!$R$14)</f>
        <v/>
      </c>
      <c r="Q13" s="582" t="str">
        <f>IF('1. Sem'!$S$14="","",'1. Sem'!$S$14)</f>
        <v/>
      </c>
      <c r="R13" s="583" t="str">
        <f>IF('1. Sem'!$T$14="","",'1. Sem'!$T$14)</f>
        <v/>
      </c>
      <c r="S13" s="584" t="str">
        <f>IF('1. Sem'!$U$14="","",'1. Sem'!$U$14)</f>
        <v/>
      </c>
      <c r="T13" s="588" t="str">
        <f>IF('1. Sem'!$V$14="","",'1. Sem'!$V$14)</f>
        <v/>
      </c>
      <c r="U13" s="584" t="str">
        <f>IF('1. Sem'!$W$14="","",'1. Sem'!$W$14)</f>
        <v/>
      </c>
      <c r="V13" s="592" t="str">
        <f>IF('1. Sem'!$X$14="","",'1. Sem'!$X$14)</f>
        <v/>
      </c>
      <c r="W13" s="593" t="str">
        <f>IF('1. Sem'!$Y$14="","",'1. Sem'!$Y$14)</f>
        <v/>
      </c>
      <c r="X13" s="581" t="str">
        <f>IF('1. Sem'!$Z$14="","",'1. Sem'!$Z$14)</f>
        <v/>
      </c>
      <c r="Y13" s="588" t="str">
        <f>IF('1. Sem'!$AA$14="","",'1. Sem'!$AA$14)</f>
        <v/>
      </c>
      <c r="Z13" s="581" t="str">
        <f>IF('1. Sem'!$AB$14="","",'1. Sem'!$AB$14)</f>
        <v/>
      </c>
      <c r="AA13" s="582" t="str">
        <f>IF('1. Sem'!$AC$14="","",'1. Sem'!$AC$14)</f>
        <v/>
      </c>
      <c r="AB13" s="583" t="str">
        <f>IF('1. Sem'!$AD$14="","",'1. Sem'!$AD$14)</f>
        <v/>
      </c>
      <c r="AC13" s="584" t="str">
        <f>IF('1. Sem'!$AE$14="","",'1. Sem'!$AE$14)</f>
        <v/>
      </c>
      <c r="AD13" s="588" t="str">
        <f>IF('1. Sem'!$AF$14="","",'1. Sem'!$AF$14)</f>
        <v/>
      </c>
      <c r="AE13" s="584" t="str">
        <f>IF('1. Sem'!$AG$14="","",'1. Sem'!$AG$14)</f>
        <v/>
      </c>
      <c r="AF13" s="592" t="str">
        <f>IF('1. Sem'!$AH$14="","",'1. Sem'!$AH$14)</f>
        <v/>
      </c>
      <c r="AG13" s="593" t="str">
        <f>IF('1. Sem'!$AI$14="","",'1. Sem'!$AI$14)</f>
        <v/>
      </c>
      <c r="AH13" s="581" t="str">
        <f>IF('1. Sem'!$AJ$14="","",'1. Sem'!$AJ$14)</f>
        <v/>
      </c>
      <c r="AI13" s="588" t="str">
        <f>IF('1. Sem'!$AK$14="","",'1. Sem'!$AK$14)</f>
        <v/>
      </c>
      <c r="AJ13" s="581" t="str">
        <f>IF('1. Sem'!$AL$14="","",'1. Sem'!$AL$14)</f>
        <v/>
      </c>
      <c r="AK13" s="582" t="str">
        <f>IF('1. Sem'!$AM$14="","",'1. Sem'!$AM$14)</f>
        <v/>
      </c>
      <c r="AL13" s="590" t="str">
        <f>IF('1. Sem'!$AN$14="","",'1. Sem'!$AN$14)</f>
        <v/>
      </c>
      <c r="AM13" s="588" t="str">
        <f>IF('1. Sem'!$AO$14="","",'1. Sem'!$AO$14)</f>
        <v/>
      </c>
      <c r="AN13" s="588" t="str">
        <f>IF('1. Sem'!$AP$14="","",'1. Sem'!$AP$14)</f>
        <v/>
      </c>
      <c r="AO13" s="588" t="str">
        <f>IF('1. Sem'!$AQ$14="","",'1. Sem'!$AQ$14)</f>
        <v/>
      </c>
      <c r="AP13" s="595" t="str">
        <f>IF('1. Sem'!$AR$14="","",'1. Sem'!$AR$14)</f>
        <v/>
      </c>
      <c r="AQ13" s="594" t="str">
        <f>IF('1. Sem'!$AS$14="","",'1. Sem'!$AS$14)</f>
        <v/>
      </c>
      <c r="AR13" s="581" t="str">
        <f>IF('1. Sem'!$AT$14="","",'1. Sem'!$AT$14)</f>
        <v/>
      </c>
      <c r="AS13" s="588" t="str">
        <f>IF('1. Sem'!$AU$14="","",'1. Sem'!$AU$14)</f>
        <v/>
      </c>
      <c r="AT13" s="581" t="str">
        <f>IF('1. Sem'!$AV$14="","",'1. Sem'!$AV$14)</f>
        <v/>
      </c>
      <c r="AU13" s="582" t="str">
        <f>IF('1. Sem'!$AW$14="","",'1. Sem'!$AW$14)</f>
        <v/>
      </c>
      <c r="AV13" s="583" t="str">
        <f>IF('1. Sem'!$AX$14="","",'1. Sem'!$AX$14)</f>
        <v/>
      </c>
      <c r="AW13" s="584" t="str">
        <f>IF('1. Sem'!$AY$14="","",'1. Sem'!$AY$14)</f>
        <v/>
      </c>
      <c r="AX13" s="588" t="str">
        <f>IF('1. Sem'!$AZ$14="","",'1. Sem'!$AZ$14)</f>
        <v/>
      </c>
      <c r="AY13" s="584" t="str">
        <f>IF('1. Sem'!$BA$14="","",'1. Sem'!$BA$14)</f>
        <v/>
      </c>
      <c r="AZ13" s="592" t="str">
        <f>IF('1. Sem'!$BB$14="","",'1. Sem'!$BB$14)</f>
        <v/>
      </c>
      <c r="BA13" s="593" t="str">
        <f>IF('1. Sem'!$BC$14="","",'1. Sem'!$BC$14)</f>
        <v/>
      </c>
      <c r="BB13" s="581" t="str">
        <f>IF('1. Sem'!$BD$14="","",'1. Sem'!$BD$14)</f>
        <v/>
      </c>
      <c r="BC13" s="588" t="str">
        <f>IF('1. Sem'!$BE$14="","",'1. Sem'!$BE$14)</f>
        <v/>
      </c>
      <c r="BD13" s="581" t="str">
        <f>IF('1. Sem'!$BF$14="","",'1. Sem'!$BF$14)</f>
        <v/>
      </c>
      <c r="BE13" s="582" t="str">
        <f>IF('1. Sem'!$BG$14="","",'1. Sem'!$BG$14)</f>
        <v/>
      </c>
      <c r="BF13" s="583" t="str">
        <f>IF('1. Sem'!$BH$14="","",'1. Sem'!$BH$14)</f>
        <v/>
      </c>
      <c r="BG13" s="584" t="str">
        <f>IF('1. Sem'!$BI$14="","",'1. Sem'!$BI$14)</f>
        <v/>
      </c>
      <c r="BH13" s="588" t="str">
        <f>IF('1. Sem'!$BJ$14="","",'1. Sem'!$BJ$14)</f>
        <v/>
      </c>
      <c r="BI13" s="584" t="str">
        <f>IF('1. Sem'!$BK$14="","",'1. Sem'!$BK$14)</f>
        <v/>
      </c>
      <c r="BJ13" s="592" t="str">
        <f>IF('1. Sem'!$BL$14="","",'1. Sem'!$BL$14)</f>
        <v/>
      </c>
      <c r="BK13" s="593" t="str">
        <f>IF('1. Sem'!$BM$14="","",'1. Sem'!$BM$14)</f>
        <v/>
      </c>
      <c r="BL13" s="581" t="str">
        <f>IF('1. Sem'!$BN$14="","",'1. Sem'!$BN$14)</f>
        <v/>
      </c>
      <c r="BM13" s="588" t="str">
        <f>IF('1. Sem'!$BO$14="","",'1. Sem'!$BO$14)</f>
        <v/>
      </c>
      <c r="BN13" s="581" t="str">
        <f>IF('1. Sem'!$BP$14="","",'1. Sem'!$BP$14)</f>
        <v/>
      </c>
      <c r="BO13" s="582" t="str">
        <f>IF('1. Sem'!$BQ$14="","",'1. Sem'!$BQ$14)</f>
        <v/>
      </c>
      <c r="BP13" s="583" t="str">
        <f>IF('1. Sem'!$BR$14="","",'1. Sem'!$BR$14)</f>
        <v/>
      </c>
      <c r="BQ13" s="584" t="str">
        <f>IF('1. Sem'!$BS$14="","",'1. Sem'!$BS$14)</f>
        <v/>
      </c>
      <c r="BR13" s="588" t="str">
        <f>IF('1. Sem'!$BT$14="","",'1. Sem'!$BT$14)</f>
        <v/>
      </c>
      <c r="BS13" s="588" t="str">
        <f>IF('1. Sem'!$BU$14="","",'1. Sem'!$BU$14)</f>
        <v/>
      </c>
      <c r="BT13" s="595" t="str">
        <f>IF('1. Sem'!$BV$14="","",'1. Sem'!$BV$14)</f>
        <v/>
      </c>
      <c r="BU13" s="593" t="str">
        <f>IF('1. Sem'!$BW$14="","",'1. Sem'!$BW$14)</f>
        <v/>
      </c>
      <c r="BV13" s="581" t="str">
        <f>IF('1. Sem'!$BX$14="","",'1. Sem'!$BX$14)</f>
        <v/>
      </c>
      <c r="BW13" s="588" t="str">
        <f>IF('1. Sem'!$BY$14="","",'1. Sem'!$BY$14)</f>
        <v/>
      </c>
      <c r="BX13" s="581" t="str">
        <f>IF('1. Sem'!$BZ$14="","",'1. Sem'!$BZ$14)</f>
        <v/>
      </c>
      <c r="BY13" s="582" t="str">
        <f>IF('1. Sem'!$CA$14="","",'1. Sem'!$CA$14)</f>
        <v/>
      </c>
      <c r="BZ13" s="590" t="str">
        <f>IF('1. Sem'!$CB$14="","",'1. Sem'!$CB$14)</f>
        <v/>
      </c>
      <c r="CA13" s="584" t="str">
        <f>IF('1. Sem'!$CC$14="","",'1. Sem'!$CC$14)</f>
        <v/>
      </c>
      <c r="CB13" s="588" t="str">
        <f>IF('1. Sem'!$CD$14="","",'1. Sem'!$CD$14)</f>
        <v/>
      </c>
      <c r="CC13" s="584" t="str">
        <f>IF('1. Sem'!$CE$14="","",'1. Sem'!$CE$14)</f>
        <v/>
      </c>
      <c r="CD13" s="592" t="str">
        <f>IF('1. Sem'!$CF$14="","",'1. Sem'!$CF$14)</f>
        <v/>
      </c>
      <c r="CE13" s="593" t="str">
        <f>IF('1. Sem'!$CG$14="","",'1. Sem'!$CG$14)</f>
        <v/>
      </c>
      <c r="CF13" s="581" t="str">
        <f>IF('1. Sem'!$CH$14="","",'1. Sem'!$CH$14)</f>
        <v/>
      </c>
      <c r="CG13" s="588" t="str">
        <f>IF('1. Sem'!$CI$14="","",'1. Sem'!$CI$14)</f>
        <v/>
      </c>
      <c r="CH13" s="581" t="str">
        <f>IF('1. Sem'!$CJ$14="","",'1. Sem'!$CJ$14)</f>
        <v/>
      </c>
      <c r="CI13" s="582" t="str">
        <f>IF('1. Sem'!$CK$14="","",'1. Sem'!$CK$14)</f>
        <v/>
      </c>
      <c r="CJ13" s="583" t="str">
        <f>IF('1. Sem'!$CL$14="","",'1. Sem'!$CL$14)</f>
        <v/>
      </c>
      <c r="CK13" s="584" t="str">
        <f>IF('1. Sem'!$CM$14="","",'1. Sem'!$CM$14)</f>
        <v/>
      </c>
      <c r="CL13" s="588" t="str">
        <f>IF('1. Sem'!$CN$14="","",'1. Sem'!$CN$14)</f>
        <v/>
      </c>
      <c r="CM13" s="584" t="str">
        <f>IF('1. Sem'!$CO$14="","",'1. Sem'!$CO$14)</f>
        <v/>
      </c>
      <c r="CN13" s="592" t="str">
        <f>IF('1. Sem'!$CP$14="","",'1. Sem'!$CP$14)</f>
        <v/>
      </c>
      <c r="CO13" s="593" t="str">
        <f>IF('1. Sem'!$CQ$14="","",'1. Sem'!$CQ$14)</f>
        <v/>
      </c>
      <c r="CP13" s="581" t="str">
        <f>IF('1. Sem'!$CR$14="","",'1. Sem'!$CR$14)</f>
        <v/>
      </c>
      <c r="CQ13" s="588" t="str">
        <f>IF('1. Sem'!$CS$14="","",'1. Sem'!$CS$14)</f>
        <v/>
      </c>
      <c r="CR13" s="581" t="str">
        <f>IF('1. Sem'!$CT$14="","",'1. Sem'!$CT$14)</f>
        <v/>
      </c>
      <c r="CS13" s="582" t="str">
        <f>IF('1. Sem'!$CU$14="","",'1. Sem'!$CU$14)</f>
        <v/>
      </c>
      <c r="CT13" s="583" t="str">
        <f>IF('1. Sem'!$CV$14="","",'1. Sem'!$CV$14)</f>
        <v/>
      </c>
      <c r="CU13" s="584" t="str">
        <f>IF('1. Sem'!$CW$14="","",'1. Sem'!$CW$14)</f>
        <v/>
      </c>
      <c r="CV13" s="588" t="str">
        <f>IF('1. Sem'!$CX$14="","",'1. Sem'!$CX$14)</f>
        <v/>
      </c>
      <c r="CW13" s="584" t="str">
        <f>IF('1. Sem'!$CY$14="","",'1. Sem'!$CY$14)</f>
        <v/>
      </c>
      <c r="CX13" s="592" t="str">
        <f>IF('1. Sem'!$CZ$14="","",'1. Sem'!$CZ$14)</f>
        <v/>
      </c>
      <c r="CY13" s="593" t="str">
        <f>IF('1. Sem'!$DA$14="","",'1. Sem'!$DA$14)</f>
        <v/>
      </c>
      <c r="CZ13" s="581" t="str">
        <f>IF('1. Sem'!$DB$14="","",'1. Sem'!$DB$14)</f>
        <v/>
      </c>
      <c r="DA13" s="588" t="str">
        <f>IF('1. Sem'!$DC$14="","",'1. Sem'!$DC$14)</f>
        <v/>
      </c>
      <c r="DB13" s="581" t="str">
        <f>IF('1. Sem'!$DD$14="","",'1. Sem'!$DD$14)</f>
        <v/>
      </c>
      <c r="DC13" s="582" t="str">
        <f>IF('1. Sem'!$DE$14="","",'1. Sem'!$DE$14)</f>
        <v/>
      </c>
    </row>
    <row r="14" spans="1:107" ht="17" customHeight="1" thickBot="1" x14ac:dyDescent="0.25">
      <c r="A14" s="566"/>
      <c r="B14" s="579" t="s">
        <v>23</v>
      </c>
      <c r="C14" s="606" t="str">
        <f>IF('1. Sem'!$E$15="","",'1. Sem'!$E$15)</f>
        <v/>
      </c>
      <c r="D14" s="607" t="str">
        <f>IF('1. Sem'!$F$15="","",'1. Sem'!$F$15)</f>
        <v/>
      </c>
      <c r="E14" s="608" t="str">
        <f>IF('1. Sem'!$G$15="","",'1. Sem'!$G$15)</f>
        <v/>
      </c>
      <c r="F14" s="607" t="str">
        <f>IF('1. Sem'!$H$15="","",'1. Sem'!$H$15)</f>
        <v/>
      </c>
      <c r="G14" s="609" t="str">
        <f>IF('1. Sem'!$I$15="","",'1. Sem'!$I$15)</f>
        <v/>
      </c>
      <c r="H14" s="610" t="str">
        <f>IF('1. Sem'!$J$15="","",'1. Sem'!$J$15)</f>
        <v/>
      </c>
      <c r="I14" s="611" t="str">
        <f>IF('1. Sem'!$K$15="","",'1. Sem'!$K$15)</f>
        <v/>
      </c>
      <c r="J14" s="608" t="str">
        <f>IF('1. Sem'!$L$15="","",'1. Sem'!$L$15)</f>
        <v/>
      </c>
      <c r="K14" s="611" t="str">
        <f>IF('1. Sem'!$M$15="","",'1. Sem'!$M$15)</f>
        <v/>
      </c>
      <c r="L14" s="612" t="str">
        <f>IF('1. Sem'!$N$15="","",'1. Sem'!$N$15)</f>
        <v/>
      </c>
      <c r="M14" s="613" t="str">
        <f>IF('1. Sem'!$O$15="","",'1. Sem'!$O$15)</f>
        <v/>
      </c>
      <c r="N14" s="607" t="str">
        <f>IF('1. Sem'!$P$15="","",'1. Sem'!$P$15)</f>
        <v/>
      </c>
      <c r="O14" s="608" t="str">
        <f>IF('1. Sem'!$Q$15="","",'1. Sem'!$Q$15)</f>
        <v/>
      </c>
      <c r="P14" s="607" t="str">
        <f>IF('1. Sem'!$R$15="","",'1. Sem'!$R$15)</f>
        <v/>
      </c>
      <c r="Q14" s="609" t="str">
        <f>IF('1. Sem'!$S$15="","",'1. Sem'!$S$15)</f>
        <v/>
      </c>
      <c r="R14" s="610" t="str">
        <f>IF('1. Sem'!$T$15="","",'1. Sem'!$T$15)</f>
        <v/>
      </c>
      <c r="S14" s="611" t="str">
        <f>IF('1. Sem'!$U$15="","",'1. Sem'!$U$15)</f>
        <v/>
      </c>
      <c r="T14" s="608" t="str">
        <f>IF('1. Sem'!$V$15="","",'1. Sem'!$V$15)</f>
        <v/>
      </c>
      <c r="U14" s="611" t="str">
        <f>IF('1. Sem'!$W$15="","",'1. Sem'!$W$15)</f>
        <v/>
      </c>
      <c r="V14" s="612" t="str">
        <f>IF('1. Sem'!$X$15="","",'1. Sem'!$X$15)</f>
        <v/>
      </c>
      <c r="W14" s="613" t="str">
        <f>IF('1. Sem'!$Y$15="","",'1. Sem'!$Y$15)</f>
        <v/>
      </c>
      <c r="X14" s="607" t="str">
        <f>IF('1. Sem'!$Z$15="","",'1. Sem'!$Z$15)</f>
        <v/>
      </c>
      <c r="Y14" s="608" t="str">
        <f>IF('1. Sem'!$AA$15="","",'1. Sem'!$AA$15)</f>
        <v/>
      </c>
      <c r="Z14" s="607" t="str">
        <f>IF('1. Sem'!$AB$15="","",'1. Sem'!$AB$15)</f>
        <v/>
      </c>
      <c r="AA14" s="609" t="str">
        <f>IF('1. Sem'!$AC$15="","",'1. Sem'!$AC$15)</f>
        <v/>
      </c>
      <c r="AB14" s="610" t="str">
        <f>IF('1. Sem'!$AD$15="","",'1. Sem'!$AD$15)</f>
        <v/>
      </c>
      <c r="AC14" s="611" t="str">
        <f>IF('1. Sem'!$AE$15="","",'1. Sem'!$AE$15)</f>
        <v/>
      </c>
      <c r="AD14" s="608" t="str">
        <f>IF('1. Sem'!$AF$15="","",'1. Sem'!$AF$15)</f>
        <v/>
      </c>
      <c r="AE14" s="611" t="str">
        <f>IF('1. Sem'!$AG$15="","",'1. Sem'!$AG$15)</f>
        <v/>
      </c>
      <c r="AF14" s="612" t="str">
        <f>IF('1. Sem'!$AH$15="","",'1. Sem'!$AH$15)</f>
        <v/>
      </c>
      <c r="AG14" s="613" t="str">
        <f>IF('1. Sem'!$AI$15="","",'1. Sem'!$AI$15)</f>
        <v/>
      </c>
      <c r="AH14" s="607" t="str">
        <f>IF('1. Sem'!$AJ$15="","",'1. Sem'!$AJ$15)</f>
        <v/>
      </c>
      <c r="AI14" s="608" t="str">
        <f>IF('1. Sem'!$AK$15="","",'1. Sem'!$AK$15)</f>
        <v/>
      </c>
      <c r="AJ14" s="607" t="str">
        <f>IF('1. Sem'!$AL$15="","",'1. Sem'!$AL$15)</f>
        <v/>
      </c>
      <c r="AK14" s="609" t="str">
        <f>IF('1. Sem'!$AM$15="","",'1. Sem'!$AM$15)</f>
        <v/>
      </c>
      <c r="AL14" s="616" t="str">
        <f>IF('1. Sem'!$AN$15="","",'1. Sem'!$AN$15)</f>
        <v/>
      </c>
      <c r="AM14" s="608" t="str">
        <f>IF('1. Sem'!$AO$15="","",'1. Sem'!$AO$15)</f>
        <v/>
      </c>
      <c r="AN14" s="608" t="str">
        <f>IF('1. Sem'!$AP$15="","",'1. Sem'!$AP$15)</f>
        <v/>
      </c>
      <c r="AO14" s="608" t="str">
        <f>IF('1. Sem'!$AQ$15="","",'1. Sem'!$AQ$15)</f>
        <v/>
      </c>
      <c r="AP14" s="615" t="str">
        <f>IF('1. Sem'!$AR$15="","",'1. Sem'!$AR$15)</f>
        <v/>
      </c>
      <c r="AQ14" s="614" t="str">
        <f>IF('1. Sem'!$AS$15="","",'1. Sem'!$AS$15)</f>
        <v/>
      </c>
      <c r="AR14" s="607" t="str">
        <f>IF('1. Sem'!$AT$15="","",'1. Sem'!$AT$15)</f>
        <v/>
      </c>
      <c r="AS14" s="608" t="str">
        <f>IF('1. Sem'!$AU$15="","",'1. Sem'!$AU$15)</f>
        <v/>
      </c>
      <c r="AT14" s="607" t="str">
        <f>IF('1. Sem'!$AV$15="","",'1. Sem'!$AV$15)</f>
        <v/>
      </c>
      <c r="AU14" s="609" t="str">
        <f>IF('1. Sem'!$AW$15="","",'1. Sem'!$AW$15)</f>
        <v/>
      </c>
      <c r="AV14" s="610" t="str">
        <f>IF('1. Sem'!$AX$15="","",'1. Sem'!$AX$15)</f>
        <v/>
      </c>
      <c r="AW14" s="611" t="str">
        <f>IF('1. Sem'!$AY$15="","",'1. Sem'!$AY$15)</f>
        <v/>
      </c>
      <c r="AX14" s="608" t="str">
        <f>IF('1. Sem'!$AZ$15="","",'1. Sem'!$AZ$15)</f>
        <v/>
      </c>
      <c r="AY14" s="611" t="str">
        <f>IF('1. Sem'!$BA$15="","",'1. Sem'!$BA$15)</f>
        <v/>
      </c>
      <c r="AZ14" s="612" t="str">
        <f>IF('1. Sem'!$BB$15="","",'1. Sem'!$BB$15)</f>
        <v/>
      </c>
      <c r="BA14" s="613" t="str">
        <f>IF('1. Sem'!$BC$15="","",'1. Sem'!$BC$15)</f>
        <v/>
      </c>
      <c r="BB14" s="607" t="str">
        <f>IF('1. Sem'!$BD$15="","",'1. Sem'!$BD$15)</f>
        <v/>
      </c>
      <c r="BC14" s="608" t="str">
        <f>IF('1. Sem'!$BE$15="","",'1. Sem'!$BE$15)</f>
        <v/>
      </c>
      <c r="BD14" s="607" t="str">
        <f>IF('1. Sem'!$BF$15="","",'1. Sem'!$BF$15)</f>
        <v/>
      </c>
      <c r="BE14" s="609" t="str">
        <f>IF('1. Sem'!$BG$15="","",'1. Sem'!$BG$15)</f>
        <v/>
      </c>
      <c r="BF14" s="610" t="str">
        <f>IF('1. Sem'!$BH$15="","",'1. Sem'!$BH$15)</f>
        <v/>
      </c>
      <c r="BG14" s="611" t="str">
        <f>IF('1. Sem'!$BI$15="","",'1. Sem'!$BI$15)</f>
        <v/>
      </c>
      <c r="BH14" s="608" t="str">
        <f>IF('1. Sem'!$BJ$15="","",'1. Sem'!$BJ$15)</f>
        <v/>
      </c>
      <c r="BI14" s="611" t="str">
        <f>IF('1. Sem'!$BK$15="","",'1. Sem'!$BK$15)</f>
        <v/>
      </c>
      <c r="BJ14" s="612" t="str">
        <f>IF('1. Sem'!$BL$15="","",'1. Sem'!$BL$15)</f>
        <v/>
      </c>
      <c r="BK14" s="613" t="str">
        <f>IF('1. Sem'!$BM$15="","",'1. Sem'!$BM$15)</f>
        <v/>
      </c>
      <c r="BL14" s="607" t="str">
        <f>IF('1. Sem'!$BN$15="","",'1. Sem'!$BN$15)</f>
        <v/>
      </c>
      <c r="BM14" s="608" t="str">
        <f>IF('1. Sem'!$BO$15="","",'1. Sem'!$BO$15)</f>
        <v/>
      </c>
      <c r="BN14" s="607" t="str">
        <f>IF('1. Sem'!$BP$15="","",'1. Sem'!$BP$15)</f>
        <v/>
      </c>
      <c r="BO14" s="609" t="str">
        <f>IF('1. Sem'!$BQ$15="","",'1. Sem'!$BQ$15)</f>
        <v/>
      </c>
      <c r="BP14" s="610" t="str">
        <f>IF('1. Sem'!$BR$15="","",'1. Sem'!$BR$15)</f>
        <v/>
      </c>
      <c r="BQ14" s="611" t="str">
        <f>IF('1. Sem'!$BS$15="","",'1. Sem'!$BS$15)</f>
        <v/>
      </c>
      <c r="BR14" s="608" t="str">
        <f>IF('1. Sem'!$BT$15="","",'1. Sem'!$BT$15)</f>
        <v/>
      </c>
      <c r="BS14" s="608" t="str">
        <f>IF('1. Sem'!$BU$15="","",'1. Sem'!$BU$15)</f>
        <v/>
      </c>
      <c r="BT14" s="615" t="str">
        <f>IF('1. Sem'!$BV$15="","",'1. Sem'!$BV$15)</f>
        <v/>
      </c>
      <c r="BU14" s="613" t="str">
        <f>IF('1. Sem'!$BW$15="","",'1. Sem'!$BW$15)</f>
        <v/>
      </c>
      <c r="BV14" s="607" t="str">
        <f>IF('1. Sem'!$BX$15="","",'1. Sem'!$BX$15)</f>
        <v/>
      </c>
      <c r="BW14" s="608" t="str">
        <f>IF('1. Sem'!$BY$15="","",'1. Sem'!$BY$15)</f>
        <v/>
      </c>
      <c r="BX14" s="607" t="str">
        <f>IF('1. Sem'!$BZ$15="","",'1. Sem'!$BZ$15)</f>
        <v/>
      </c>
      <c r="BY14" s="609" t="str">
        <f>IF('1. Sem'!$CA$15="","",'1. Sem'!$CA$15)</f>
        <v/>
      </c>
      <c r="BZ14" s="616" t="str">
        <f>IF('1. Sem'!$CB$15="","",'1. Sem'!$CB$15)</f>
        <v/>
      </c>
      <c r="CA14" s="611" t="str">
        <f>IF('1. Sem'!$CC$15="","",'1. Sem'!$CC$15)</f>
        <v/>
      </c>
      <c r="CB14" s="608" t="str">
        <f>IF('1. Sem'!$CD$15="","",'1. Sem'!$CD$15)</f>
        <v/>
      </c>
      <c r="CC14" s="611" t="str">
        <f>IF('1. Sem'!$CE$15="","",'1. Sem'!$CE$15)</f>
        <v/>
      </c>
      <c r="CD14" s="612" t="str">
        <f>IF('1. Sem'!$CF$15="","",'1. Sem'!$CF$15)</f>
        <v/>
      </c>
      <c r="CE14" s="613" t="str">
        <f>IF('1. Sem'!$CG$15="","",'1. Sem'!$CG$15)</f>
        <v/>
      </c>
      <c r="CF14" s="607" t="str">
        <f>IF('1. Sem'!$CH$15="","",'1. Sem'!$CH$15)</f>
        <v/>
      </c>
      <c r="CG14" s="608" t="str">
        <f>IF('1. Sem'!$CI$15="","",'1. Sem'!$CI$15)</f>
        <v/>
      </c>
      <c r="CH14" s="607" t="str">
        <f>IF('1. Sem'!$CJ$15="","",'1. Sem'!$CJ$15)</f>
        <v/>
      </c>
      <c r="CI14" s="609" t="str">
        <f>IF('1. Sem'!$CK$15="","",'1. Sem'!$CK$15)</f>
        <v/>
      </c>
      <c r="CJ14" s="610" t="str">
        <f>IF('1. Sem'!$CL$15="","",'1. Sem'!$CL$15)</f>
        <v/>
      </c>
      <c r="CK14" s="611" t="str">
        <f>IF('1. Sem'!$CM$15="","",'1. Sem'!$CM$15)</f>
        <v/>
      </c>
      <c r="CL14" s="608" t="str">
        <f>IF('1. Sem'!$CN$15="","",'1. Sem'!$CN$15)</f>
        <v/>
      </c>
      <c r="CM14" s="611" t="str">
        <f>IF('1. Sem'!$CO$15="","",'1. Sem'!$CO$15)</f>
        <v/>
      </c>
      <c r="CN14" s="612" t="str">
        <f>IF('1. Sem'!$CP$15="","",'1. Sem'!$CP$15)</f>
        <v/>
      </c>
      <c r="CO14" s="613" t="str">
        <f>IF('1. Sem'!$CQ$15="","",'1. Sem'!$CQ$15)</f>
        <v/>
      </c>
      <c r="CP14" s="607" t="str">
        <f>IF('1. Sem'!$CR$15="","",'1. Sem'!$CR$15)</f>
        <v/>
      </c>
      <c r="CQ14" s="608" t="str">
        <f>IF('1. Sem'!$CS$15="","",'1. Sem'!$CS$15)</f>
        <v/>
      </c>
      <c r="CR14" s="607" t="str">
        <f>IF('1. Sem'!$CT$15="","",'1. Sem'!$CT$15)</f>
        <v/>
      </c>
      <c r="CS14" s="609" t="str">
        <f>IF('1. Sem'!$CU$15="","",'1. Sem'!$CU$15)</f>
        <v/>
      </c>
      <c r="CT14" s="610" t="str">
        <f>IF('1. Sem'!$CV$15="","",'1. Sem'!$CV$15)</f>
        <v/>
      </c>
      <c r="CU14" s="611" t="str">
        <f>IF('1. Sem'!$CW$15="","",'1. Sem'!$CW$15)</f>
        <v/>
      </c>
      <c r="CV14" s="608" t="str">
        <f>IF('1. Sem'!$CX$15="","",'1. Sem'!$CX$15)</f>
        <v/>
      </c>
      <c r="CW14" s="611" t="str">
        <f>IF('1. Sem'!$CY$15="","",'1. Sem'!$CY$15)</f>
        <v/>
      </c>
      <c r="CX14" s="612" t="str">
        <f>IF('1. Sem'!$CZ$15="","",'1. Sem'!$CZ$15)</f>
        <v/>
      </c>
      <c r="CY14" s="613" t="str">
        <f>IF('1. Sem'!$DA$15="","",'1. Sem'!$DA$15)</f>
        <v/>
      </c>
      <c r="CZ14" s="607" t="str">
        <f>IF('1. Sem'!$DB$15="","",'1. Sem'!$DB$15)</f>
        <v/>
      </c>
      <c r="DA14" s="608" t="str">
        <f>IF('1. Sem'!$DC$15="","",'1. Sem'!$DC$15)</f>
        <v/>
      </c>
      <c r="DB14" s="607" t="str">
        <f>IF('1. Sem'!$DD$15="","",'1. Sem'!$DD$15)</f>
        <v/>
      </c>
      <c r="DC14" s="609" t="str">
        <f>IF('1. Sem'!$DE$15="","",'1. Sem'!$DE$15)</f>
        <v/>
      </c>
    </row>
    <row r="15" spans="1:107" ht="16" customHeight="1" x14ac:dyDescent="0.2">
      <c r="A15" s="566"/>
      <c r="B15" s="579" t="s">
        <v>24</v>
      </c>
      <c r="C15" s="617" t="str">
        <f>IF('1. Sem'!$E$16="","",'1. Sem'!$E$16)</f>
        <v/>
      </c>
      <c r="D15" s="618" t="str">
        <f>IF('1. Sem'!$F$16="","",'1. Sem'!$F$16)</f>
        <v/>
      </c>
      <c r="E15" s="618" t="str">
        <f>IF('1. Sem'!$G$16="","",'1. Sem'!$G$16)</f>
        <v/>
      </c>
      <c r="F15" s="618" t="str">
        <f>IF('1. Sem'!$H$16="","",'1. Sem'!$H$16)</f>
        <v/>
      </c>
      <c r="G15" s="619" t="str">
        <f>IF('1. Sem'!$I$16="","",'1. Sem'!$I$16)</f>
        <v/>
      </c>
      <c r="H15" s="620" t="str">
        <f>IF('1. Sem'!$J$16="","",'1. Sem'!$J$16)</f>
        <v/>
      </c>
      <c r="I15" s="621" t="str">
        <f>IF('1. Sem'!$K$16="","",'1. Sem'!$K$16)</f>
        <v/>
      </c>
      <c r="J15" s="621" t="str">
        <f>IF('1. Sem'!$L$16="","",'1. Sem'!$L$16)</f>
        <v/>
      </c>
      <c r="K15" s="621" t="str">
        <f>IF('1. Sem'!$M$16="","",'1. Sem'!$M$16)</f>
        <v/>
      </c>
      <c r="L15" s="622" t="str">
        <f>IF('1. Sem'!$N$16="","",'1. Sem'!$N$16)</f>
        <v/>
      </c>
      <c r="M15" s="617" t="str">
        <f>IF('1. Sem'!$O$16="","",'1. Sem'!$O$16)</f>
        <v/>
      </c>
      <c r="N15" s="618" t="str">
        <f>IF('1. Sem'!$P$16="","",'1. Sem'!$P$16)</f>
        <v/>
      </c>
      <c r="O15" s="618" t="str">
        <f>IF('1. Sem'!$Q$16="","",'1. Sem'!$Q$16)</f>
        <v/>
      </c>
      <c r="P15" s="618" t="str">
        <f>IF('1. Sem'!$R$16="","",'1. Sem'!$R$16)</f>
        <v/>
      </c>
      <c r="Q15" s="619" t="str">
        <f>IF('1. Sem'!$S$16="","",'1. Sem'!$S$16)</f>
        <v/>
      </c>
      <c r="R15" s="620" t="str">
        <f>IF('1. Sem'!$T$16="","",'1. Sem'!$T$16)</f>
        <v/>
      </c>
      <c r="S15" s="621" t="str">
        <f>IF('1. Sem'!$U$16="","",'1. Sem'!$U$16)</f>
        <v/>
      </c>
      <c r="T15" s="621" t="str">
        <f>IF('1. Sem'!$V$16="","",'1. Sem'!$V$16)</f>
        <v/>
      </c>
      <c r="U15" s="621" t="str">
        <f>IF('1. Sem'!$W$16="","",'1. Sem'!$W$16)</f>
        <v/>
      </c>
      <c r="V15" s="622" t="str">
        <f>IF('1. Sem'!$X$16="","",'1. Sem'!$X$16)</f>
        <v/>
      </c>
      <c r="W15" s="617" t="str">
        <f>IF('1. Sem'!$Y$16="","",'1. Sem'!$Y$16)</f>
        <v/>
      </c>
      <c r="X15" s="618" t="str">
        <f>IF('1. Sem'!$Z$16="","",'1. Sem'!$Z$16)</f>
        <v/>
      </c>
      <c r="Y15" s="618" t="str">
        <f>IF('1. Sem'!$AA$16="","",'1. Sem'!$AA$16)</f>
        <v/>
      </c>
      <c r="Z15" s="618" t="str">
        <f>IF('1. Sem'!$AB$16="","",'1. Sem'!$AB$16)</f>
        <v/>
      </c>
      <c r="AA15" s="619" t="str">
        <f>IF('1. Sem'!$AC$16="","",'1. Sem'!$AC$16)</f>
        <v/>
      </c>
      <c r="AB15" s="620" t="str">
        <f>IF('1. Sem'!$AD$16="","",'1. Sem'!$AD$16)</f>
        <v/>
      </c>
      <c r="AC15" s="621" t="str">
        <f>IF('1. Sem'!$AE$16="","",'1. Sem'!$AE$16)</f>
        <v/>
      </c>
      <c r="AD15" s="621" t="str">
        <f>IF('1. Sem'!$AF$16="","",'1. Sem'!$AF$16)</f>
        <v/>
      </c>
      <c r="AE15" s="621" t="str">
        <f>IF('1. Sem'!$AG$16="","",'1. Sem'!$AG$16)</f>
        <v/>
      </c>
      <c r="AF15" s="622" t="str">
        <f>IF('1. Sem'!$AH$16="","",'1. Sem'!$AH$16)</f>
        <v/>
      </c>
      <c r="AG15" s="617" t="str">
        <f>IF('1. Sem'!$AI$16="","",'1. Sem'!$AI$16)</f>
        <v/>
      </c>
      <c r="AH15" s="618" t="str">
        <f>IF('1. Sem'!$AJ$16="","",'1. Sem'!$AJ$16)</f>
        <v/>
      </c>
      <c r="AI15" s="618" t="str">
        <f>IF('1. Sem'!$AK$16="","",'1. Sem'!$AK$16)</f>
        <v/>
      </c>
      <c r="AJ15" s="618" t="str">
        <f>IF('1. Sem'!$AL$16="","",'1. Sem'!$AL$16)</f>
        <v/>
      </c>
      <c r="AK15" s="619" t="str">
        <f>IF('1. Sem'!$AM$16="","",'1. Sem'!$AM$16)</f>
        <v/>
      </c>
      <c r="AL15" s="620" t="str">
        <f>IF('1. Sem'!$AN$16="","",'1. Sem'!$AN$16)</f>
        <v/>
      </c>
      <c r="AM15" s="621" t="str">
        <f>IF('1. Sem'!$AO$16="","",'1. Sem'!$AO$16)</f>
        <v/>
      </c>
      <c r="AN15" s="621" t="str">
        <f>IF('1. Sem'!$AP$16="","",'1. Sem'!$AP$16)</f>
        <v/>
      </c>
      <c r="AO15" s="621" t="str">
        <f>IF('1. Sem'!$AQ$16="","",'1. Sem'!$AQ$16)</f>
        <v/>
      </c>
      <c r="AP15" s="622" t="str">
        <f>IF('1. Sem'!$AR$16="","",'1. Sem'!$AR$16)</f>
        <v/>
      </c>
      <c r="AQ15" s="617" t="str">
        <f>IF('1. Sem'!$AS$16="","",'1. Sem'!$AS$16)</f>
        <v/>
      </c>
      <c r="AR15" s="618" t="str">
        <f>IF('1. Sem'!$AT$16="","",'1. Sem'!$AT$16)</f>
        <v/>
      </c>
      <c r="AS15" s="618" t="str">
        <f>IF('1. Sem'!$AU$16="","",'1. Sem'!$AU$16)</f>
        <v/>
      </c>
      <c r="AT15" s="618" t="str">
        <f>IF('1. Sem'!$AV$16="","",'1. Sem'!$AV$16)</f>
        <v/>
      </c>
      <c r="AU15" s="619" t="str">
        <f>IF('1. Sem'!$AW$16="","",'1. Sem'!$AW$16)</f>
        <v/>
      </c>
      <c r="AV15" s="620" t="str">
        <f>IF('1. Sem'!$AX$16="","",'1. Sem'!$AX$16)</f>
        <v/>
      </c>
      <c r="AW15" s="621" t="str">
        <f>IF('1. Sem'!$AY$16="","",'1. Sem'!$AY$16)</f>
        <v/>
      </c>
      <c r="AX15" s="621" t="str">
        <f>IF('1. Sem'!$AZ$16="","",'1. Sem'!$AZ$16)</f>
        <v/>
      </c>
      <c r="AY15" s="621" t="str">
        <f>IF('1. Sem'!$BA$16="","",'1. Sem'!$BA$16)</f>
        <v/>
      </c>
      <c r="AZ15" s="622" t="str">
        <f>IF('1. Sem'!$BB$16="","",'1. Sem'!$BB$16)</f>
        <v/>
      </c>
      <c r="BA15" s="617" t="str">
        <f>IF('1. Sem'!$BC$16="","",'1. Sem'!$BC$16)</f>
        <v/>
      </c>
      <c r="BB15" s="618" t="str">
        <f>IF('1. Sem'!$BD$16="","",'1. Sem'!$BD$16)</f>
        <v/>
      </c>
      <c r="BC15" s="618" t="str">
        <f>IF('1. Sem'!$BE$16="","",'1. Sem'!$BE$16)</f>
        <v/>
      </c>
      <c r="BD15" s="618" t="str">
        <f>IF('1. Sem'!$BF$16="","",'1. Sem'!$BF$16)</f>
        <v/>
      </c>
      <c r="BE15" s="619" t="str">
        <f>IF('1. Sem'!$BG$16="","",'1. Sem'!$BG$16)</f>
        <v/>
      </c>
      <c r="BF15" s="620" t="str">
        <f>IF('1. Sem'!$BH$16="","",'1. Sem'!$BH$16)</f>
        <v/>
      </c>
      <c r="BG15" s="621" t="str">
        <f>IF('1. Sem'!$BI$16="","",'1. Sem'!$BI$16)</f>
        <v/>
      </c>
      <c r="BH15" s="621" t="str">
        <f>IF('1. Sem'!$BJ$16="","",'1. Sem'!$BJ$16)</f>
        <v/>
      </c>
      <c r="BI15" s="621" t="str">
        <f>IF('1. Sem'!$BK$16="","",'1. Sem'!$BK$16)</f>
        <v/>
      </c>
      <c r="BJ15" s="622" t="str">
        <f>IF('1. Sem'!$BL$16="","",'1. Sem'!$BL$16)</f>
        <v/>
      </c>
      <c r="BK15" s="617" t="str">
        <f>IF('1. Sem'!$BM$16="","",'1. Sem'!$BM$16)</f>
        <v/>
      </c>
      <c r="BL15" s="618" t="str">
        <f>IF('1. Sem'!$BN$16="","",'1. Sem'!$BN$16)</f>
        <v/>
      </c>
      <c r="BM15" s="618" t="str">
        <f>IF('1. Sem'!$BO$16="","",'1. Sem'!$BO$16)</f>
        <v/>
      </c>
      <c r="BN15" s="618" t="str">
        <f>IF('1. Sem'!$BP$16="","",'1. Sem'!$BP$16)</f>
        <v/>
      </c>
      <c r="BO15" s="619" t="str">
        <f>IF('1. Sem'!$BQ$16="","",'1. Sem'!$BQ$16)</f>
        <v/>
      </c>
      <c r="BP15" s="620" t="str">
        <f>IF('1. Sem'!$BR$16="","",'1. Sem'!$BR$16)</f>
        <v/>
      </c>
      <c r="BQ15" s="621" t="str">
        <f>IF('1. Sem'!$BS$16="","",'1. Sem'!$BS$16)</f>
        <v/>
      </c>
      <c r="BR15" s="621" t="str">
        <f>IF('1. Sem'!$BT$16="","",'1. Sem'!$BT$16)</f>
        <v/>
      </c>
      <c r="BS15" s="621" t="str">
        <f>IF('1. Sem'!$BU$16="","",'1. Sem'!$BU$16)</f>
        <v/>
      </c>
      <c r="BT15" s="622" t="str">
        <f>IF('1. Sem'!$BV$16="","",'1. Sem'!$BV$16)</f>
        <v/>
      </c>
      <c r="BU15" s="617" t="str">
        <f>IF('1. Sem'!$BW$16="","",'1. Sem'!$BW$16)</f>
        <v/>
      </c>
      <c r="BV15" s="618" t="str">
        <f>IF('1. Sem'!$BX$16="","",'1. Sem'!$BX$16)</f>
        <v/>
      </c>
      <c r="BW15" s="618" t="str">
        <f>IF('1. Sem'!$BY$16="","",'1. Sem'!$BY$16)</f>
        <v/>
      </c>
      <c r="BX15" s="618" t="str">
        <f>IF('1. Sem'!$BZ$16="","",'1. Sem'!$BZ$16)</f>
        <v/>
      </c>
      <c r="BY15" s="619" t="str">
        <f>IF('1. Sem'!$CA$16="","",'1. Sem'!$CA$16)</f>
        <v/>
      </c>
      <c r="BZ15" s="620" t="str">
        <f>IF('1. Sem'!$CB$16="","",'1. Sem'!$CB$16)</f>
        <v/>
      </c>
      <c r="CA15" s="621" t="str">
        <f>IF('1. Sem'!$CC$16="","",'1. Sem'!$CC$16)</f>
        <v/>
      </c>
      <c r="CB15" s="621" t="str">
        <f>IF('1. Sem'!$CD$16="","",'1. Sem'!$CD$16)</f>
        <v/>
      </c>
      <c r="CC15" s="621" t="str">
        <f>IF('1. Sem'!$CE$16="","",'1. Sem'!$CE$16)</f>
        <v/>
      </c>
      <c r="CD15" s="622" t="str">
        <f>IF('1. Sem'!$CF$16="","",'1. Sem'!$CF$16)</f>
        <v/>
      </c>
      <c r="CE15" s="617" t="str">
        <f>IF('1. Sem'!$CG$16="","",'1. Sem'!$CG$16)</f>
        <v/>
      </c>
      <c r="CF15" s="618" t="str">
        <f>IF('1. Sem'!$CH$16="","",'1. Sem'!$CH$16)</f>
        <v/>
      </c>
      <c r="CG15" s="618" t="str">
        <f>IF('1. Sem'!$CI$16="","",'1. Sem'!$CI$16)</f>
        <v/>
      </c>
      <c r="CH15" s="618" t="str">
        <f>IF('1. Sem'!$CJ$16="","",'1. Sem'!$CJ$16)</f>
        <v/>
      </c>
      <c r="CI15" s="619" t="str">
        <f>IF('1. Sem'!$CK$16="","",'1. Sem'!$CK$16)</f>
        <v/>
      </c>
      <c r="CJ15" s="620" t="str">
        <f>IF('1. Sem'!$CL$16="","",'1. Sem'!$CL$16)</f>
        <v/>
      </c>
      <c r="CK15" s="621" t="str">
        <f>IF('1. Sem'!$CM$16="","",'1. Sem'!$CM$16)</f>
        <v/>
      </c>
      <c r="CL15" s="621" t="str">
        <f>IF('1. Sem'!$CN$16="","",'1. Sem'!$CN$16)</f>
        <v/>
      </c>
      <c r="CM15" s="621" t="str">
        <f>IF('1. Sem'!$CO$16="","",'1. Sem'!$CO$16)</f>
        <v/>
      </c>
      <c r="CN15" s="622" t="str">
        <f>IF('1. Sem'!$CP$16="","",'1. Sem'!$CP$16)</f>
        <v/>
      </c>
      <c r="CO15" s="617" t="str">
        <f>IF('1. Sem'!$CQ$16="","",'1. Sem'!$CQ$16)</f>
        <v/>
      </c>
      <c r="CP15" s="618" t="str">
        <f>IF('1. Sem'!$CR$16="","",'1. Sem'!$CR$16)</f>
        <v/>
      </c>
      <c r="CQ15" s="618" t="str">
        <f>IF('1. Sem'!$CS$16="","",'1. Sem'!$CS$16)</f>
        <v/>
      </c>
      <c r="CR15" s="618" t="str">
        <f>IF('1. Sem'!$CT$16="","",'1. Sem'!$CT$16)</f>
        <v/>
      </c>
      <c r="CS15" s="619" t="str">
        <f>IF('1. Sem'!$CU$16="","",'1. Sem'!$CU$16)</f>
        <v/>
      </c>
      <c r="CT15" s="620" t="str">
        <f>IF('1. Sem'!$CV$16="","",'1. Sem'!$CV$16)</f>
        <v/>
      </c>
      <c r="CU15" s="621" t="str">
        <f>IF('1. Sem'!$CW$16="","",'1. Sem'!$CW$16)</f>
        <v/>
      </c>
      <c r="CV15" s="621" t="str">
        <f>IF('1. Sem'!$CX$16="","",'1. Sem'!$CX$16)</f>
        <v/>
      </c>
      <c r="CW15" s="621" t="str">
        <f>IF('1. Sem'!$CY$16="","",'1. Sem'!$CY$16)</f>
        <v/>
      </c>
      <c r="CX15" s="622" t="str">
        <f>IF('1. Sem'!$CZ$16="","",'1. Sem'!$CZ$16)</f>
        <v/>
      </c>
      <c r="CY15" s="617" t="str">
        <f>IF('1. Sem'!$DA$16="","",'1. Sem'!$DA$16)</f>
        <v/>
      </c>
      <c r="CZ15" s="618" t="str">
        <f>IF('1. Sem'!$DB$16="","",'1. Sem'!$DB$16)</f>
        <v/>
      </c>
      <c r="DA15" s="618" t="str">
        <f>IF('1. Sem'!$DC$16="","",'1. Sem'!$DC$16)</f>
        <v/>
      </c>
      <c r="DB15" s="618" t="str">
        <f>IF('1. Sem'!$DD$16="","",'1. Sem'!$DD$16)</f>
        <v/>
      </c>
      <c r="DC15" s="619" t="str">
        <f>IF('1. Sem'!$DE$16="","",'1. Sem'!$DE$16)</f>
        <v/>
      </c>
    </row>
    <row r="16" spans="1:107" ht="16" customHeight="1" x14ac:dyDescent="0.2">
      <c r="A16" s="566"/>
      <c r="B16" s="579" t="s">
        <v>30</v>
      </c>
      <c r="C16" s="623" t="str">
        <f>IF('1. Sem'!$E$17="","",'1. Sem'!$E$17)</f>
        <v/>
      </c>
      <c r="D16" s="624" t="str">
        <f>IF('1. Sem'!$F$17="","",'1. Sem'!$F$17)</f>
        <v/>
      </c>
      <c r="E16" s="624" t="str">
        <f>IF('1. Sem'!$G$17="","",'1. Sem'!$G$17)</f>
        <v/>
      </c>
      <c r="F16" s="624" t="str">
        <f>IF('1. Sem'!$H$17="","",'1. Sem'!$H$17)</f>
        <v/>
      </c>
      <c r="G16" s="625" t="str">
        <f>IF('1. Sem'!$I$17="","",'1. Sem'!$I$17)</f>
        <v/>
      </c>
      <c r="H16" s="626" t="str">
        <f>IF('1. Sem'!$J$17="","",'1. Sem'!$J$17)</f>
        <v/>
      </c>
      <c r="I16" s="627" t="str">
        <f>IF('1. Sem'!$K$17="","",'1. Sem'!$K$17)</f>
        <v/>
      </c>
      <c r="J16" s="627" t="str">
        <f>IF('1. Sem'!$L$17="","",'1. Sem'!$L$17)</f>
        <v/>
      </c>
      <c r="K16" s="627" t="str">
        <f>IF('1. Sem'!$M$17="","",'1. Sem'!$M$17)</f>
        <v/>
      </c>
      <c r="L16" s="628" t="str">
        <f>IF('1. Sem'!$N$17="","",'1. Sem'!$N$17)</f>
        <v/>
      </c>
      <c r="M16" s="623" t="str">
        <f>IF('1. Sem'!$O$17="","",'1. Sem'!$O$17)</f>
        <v/>
      </c>
      <c r="N16" s="624" t="str">
        <f>IF('1. Sem'!$P$17="","",'1. Sem'!$P$17)</f>
        <v/>
      </c>
      <c r="O16" s="624" t="str">
        <f>IF('1. Sem'!$Q$17="","",'1. Sem'!$Q$17)</f>
        <v/>
      </c>
      <c r="P16" s="624" t="str">
        <f>IF('1. Sem'!$R$17="","",'1. Sem'!$R$17)</f>
        <v/>
      </c>
      <c r="Q16" s="625" t="str">
        <f>IF('1. Sem'!$S$17="","",'1. Sem'!$S$17)</f>
        <v/>
      </c>
      <c r="R16" s="626" t="str">
        <f>IF('1. Sem'!$T$17="","",'1. Sem'!$T$17)</f>
        <v/>
      </c>
      <c r="S16" s="627" t="str">
        <f>IF('1. Sem'!$U$17="","",'1. Sem'!$U$17)</f>
        <v/>
      </c>
      <c r="T16" s="627" t="str">
        <f>IF('1. Sem'!$V$17="","",'1. Sem'!$V$17)</f>
        <v/>
      </c>
      <c r="U16" s="627" t="str">
        <f>IF('1. Sem'!$W$17="","",'1. Sem'!$W$17)</f>
        <v/>
      </c>
      <c r="V16" s="628" t="str">
        <f>IF('1. Sem'!$X$17="","",'1. Sem'!$X$17)</f>
        <v/>
      </c>
      <c r="W16" s="623" t="str">
        <f>IF('1. Sem'!$Y$17="","",'1. Sem'!$Y$17)</f>
        <v/>
      </c>
      <c r="X16" s="624" t="str">
        <f>IF('1. Sem'!$Z$17="","",'1. Sem'!$Z$17)</f>
        <v/>
      </c>
      <c r="Y16" s="624" t="str">
        <f>IF('1. Sem'!$AA$17="","",'1. Sem'!$AA$17)</f>
        <v/>
      </c>
      <c r="Z16" s="624" t="str">
        <f>IF('1. Sem'!$AB$17="","",'1. Sem'!$AB$17)</f>
        <v/>
      </c>
      <c r="AA16" s="625" t="str">
        <f>IF('1. Sem'!$AC$17="","",'1. Sem'!$AC$17)</f>
        <v/>
      </c>
      <c r="AB16" s="626" t="str">
        <f>IF('1. Sem'!$AD$17="","",'1. Sem'!$AD$17)</f>
        <v/>
      </c>
      <c r="AC16" s="627" t="str">
        <f>IF('1. Sem'!$AE$17="","",'1. Sem'!$AE$17)</f>
        <v/>
      </c>
      <c r="AD16" s="627" t="str">
        <f>IF('1. Sem'!$AF$17="","",'1. Sem'!$AF$17)</f>
        <v/>
      </c>
      <c r="AE16" s="627" t="str">
        <f>IF('1. Sem'!$AG$17="","",'1. Sem'!$AG$17)</f>
        <v/>
      </c>
      <c r="AF16" s="628" t="str">
        <f>IF('1. Sem'!$AH$17="","",'1. Sem'!$AH$17)</f>
        <v/>
      </c>
      <c r="AG16" s="623" t="str">
        <f>IF('1. Sem'!$AI$17="","",'1. Sem'!$AI$17)</f>
        <v/>
      </c>
      <c r="AH16" s="624" t="str">
        <f>IF('1. Sem'!$AJ$17="","",'1. Sem'!$AJ$17)</f>
        <v/>
      </c>
      <c r="AI16" s="624" t="str">
        <f>IF('1. Sem'!$AK$17="","",'1. Sem'!$AK$17)</f>
        <v/>
      </c>
      <c r="AJ16" s="624" t="str">
        <f>IF('1. Sem'!$AL$17="","",'1. Sem'!$AL$17)</f>
        <v/>
      </c>
      <c r="AK16" s="625" t="str">
        <f>IF('1. Sem'!$AM$17="","",'1. Sem'!$AM$17)</f>
        <v/>
      </c>
      <c r="AL16" s="626" t="str">
        <f>IF('1. Sem'!$AN$17="","",'1. Sem'!$AN$17)</f>
        <v/>
      </c>
      <c r="AM16" s="627" t="str">
        <f>IF('1. Sem'!$AO$17="","",'1. Sem'!$AO$17)</f>
        <v/>
      </c>
      <c r="AN16" s="627" t="str">
        <f>IF('1. Sem'!$AP$17="","",'1. Sem'!$AP$17)</f>
        <v/>
      </c>
      <c r="AO16" s="627" t="str">
        <f>IF('1. Sem'!$AQ$17="","",'1. Sem'!$AQ$17)</f>
        <v/>
      </c>
      <c r="AP16" s="628" t="str">
        <f>IF('1. Sem'!$AR$17="","",'1. Sem'!$AR$17)</f>
        <v/>
      </c>
      <c r="AQ16" s="623" t="str">
        <f>IF('1. Sem'!$AS$17="","",'1. Sem'!$AS$17)</f>
        <v/>
      </c>
      <c r="AR16" s="624" t="str">
        <f>IF('1. Sem'!$AT$17="","",'1. Sem'!$AT$17)</f>
        <v/>
      </c>
      <c r="AS16" s="624" t="str">
        <f>IF('1. Sem'!$AU$17="","",'1. Sem'!$AU$17)</f>
        <v/>
      </c>
      <c r="AT16" s="624" t="str">
        <f>IF('1. Sem'!$AV$17="","",'1. Sem'!$AV$17)</f>
        <v/>
      </c>
      <c r="AU16" s="625" t="str">
        <f>IF('1. Sem'!$AW$17="","",'1. Sem'!$AW$17)</f>
        <v/>
      </c>
      <c r="AV16" s="626" t="str">
        <f>IF('1. Sem'!$AX$17="","",'1. Sem'!$AX$17)</f>
        <v/>
      </c>
      <c r="AW16" s="627" t="str">
        <f>IF('1. Sem'!$AY$17="","",'1. Sem'!$AY$17)</f>
        <v/>
      </c>
      <c r="AX16" s="627" t="str">
        <f>IF('1. Sem'!$AZ$17="","",'1. Sem'!$AZ$17)</f>
        <v/>
      </c>
      <c r="AY16" s="627" t="str">
        <f>IF('1. Sem'!$BA$17="","",'1. Sem'!$BA$17)</f>
        <v/>
      </c>
      <c r="AZ16" s="628" t="str">
        <f>IF('1. Sem'!$BB$17="","",'1. Sem'!$BB$17)</f>
        <v/>
      </c>
      <c r="BA16" s="623" t="str">
        <f>IF('1. Sem'!$BC$17="","",'1. Sem'!$BC$17)</f>
        <v/>
      </c>
      <c r="BB16" s="624" t="str">
        <f>IF('1. Sem'!$BD$17="","",'1. Sem'!$BD$17)</f>
        <v/>
      </c>
      <c r="BC16" s="624" t="str">
        <f>IF('1. Sem'!$BE$17="","",'1. Sem'!$BE$17)</f>
        <v/>
      </c>
      <c r="BD16" s="624" t="str">
        <f>IF('1. Sem'!$BF$17="","",'1. Sem'!$BF$17)</f>
        <v/>
      </c>
      <c r="BE16" s="625" t="str">
        <f>IF('1. Sem'!$BG$17="","",'1. Sem'!$BG$17)</f>
        <v/>
      </c>
      <c r="BF16" s="626" t="str">
        <f>IF('1. Sem'!$BH$17="","",'1. Sem'!$BH$17)</f>
        <v/>
      </c>
      <c r="BG16" s="627" t="str">
        <f>IF('1. Sem'!$BI$17="","",'1. Sem'!$BI$17)</f>
        <v/>
      </c>
      <c r="BH16" s="627" t="str">
        <f>IF('1. Sem'!$BJ$17="","",'1. Sem'!$BJ$17)</f>
        <v/>
      </c>
      <c r="BI16" s="627" t="str">
        <f>IF('1. Sem'!$BK$17="","",'1. Sem'!$BK$17)</f>
        <v/>
      </c>
      <c r="BJ16" s="628" t="str">
        <f>IF('1. Sem'!$BL$17="","",'1. Sem'!$BL$17)</f>
        <v/>
      </c>
      <c r="BK16" s="623" t="str">
        <f>IF('1. Sem'!$BM$17="","",'1. Sem'!$BM$17)</f>
        <v/>
      </c>
      <c r="BL16" s="624" t="str">
        <f>IF('1. Sem'!$BN$17="","",'1. Sem'!$BN$17)</f>
        <v/>
      </c>
      <c r="BM16" s="624" t="str">
        <f>IF('1. Sem'!$BO$17="","",'1. Sem'!$BO$17)</f>
        <v/>
      </c>
      <c r="BN16" s="624" t="str">
        <f>IF('1. Sem'!$BP$17="","",'1. Sem'!$BP$17)</f>
        <v/>
      </c>
      <c r="BO16" s="625" t="str">
        <f>IF('1. Sem'!$BQ$17="","",'1. Sem'!$BQ$17)</f>
        <v/>
      </c>
      <c r="BP16" s="626" t="str">
        <f>IF('1. Sem'!$BR$17="","",'1. Sem'!$BR$17)</f>
        <v/>
      </c>
      <c r="BQ16" s="627" t="str">
        <f>IF('1. Sem'!$BS$17="","",'1. Sem'!$BS$17)</f>
        <v/>
      </c>
      <c r="BR16" s="627" t="str">
        <f>IF('1. Sem'!$BT$17="","",'1. Sem'!$BT$17)</f>
        <v/>
      </c>
      <c r="BS16" s="627" t="str">
        <f>IF('1. Sem'!$BU$17="","",'1. Sem'!$BU$17)</f>
        <v/>
      </c>
      <c r="BT16" s="628" t="str">
        <f>IF('1. Sem'!$BV$17="","",'1. Sem'!$BV$17)</f>
        <v/>
      </c>
      <c r="BU16" s="623" t="str">
        <f>IF('1. Sem'!$BW$17="","",'1. Sem'!$BW$17)</f>
        <v/>
      </c>
      <c r="BV16" s="624" t="str">
        <f>IF('1. Sem'!$BX$17="","",'1. Sem'!$BX$17)</f>
        <v/>
      </c>
      <c r="BW16" s="624" t="str">
        <f>IF('1. Sem'!$BY$17="","",'1. Sem'!$BY$17)</f>
        <v/>
      </c>
      <c r="BX16" s="624" t="str">
        <f>IF('1. Sem'!$BZ$17="","",'1. Sem'!$BZ$17)</f>
        <v/>
      </c>
      <c r="BY16" s="625" t="str">
        <f>IF('1. Sem'!$CA$17="","",'1. Sem'!$CA$17)</f>
        <v/>
      </c>
      <c r="BZ16" s="626" t="str">
        <f>IF('1. Sem'!$CB$17="","",'1. Sem'!$CB$17)</f>
        <v/>
      </c>
      <c r="CA16" s="627" t="str">
        <f>IF('1. Sem'!$CC$17="","",'1. Sem'!$CC$17)</f>
        <v/>
      </c>
      <c r="CB16" s="627" t="str">
        <f>IF('1. Sem'!$CD$17="","",'1. Sem'!$CD$17)</f>
        <v/>
      </c>
      <c r="CC16" s="627" t="str">
        <f>IF('1. Sem'!$CE$17="","",'1. Sem'!$CE$17)</f>
        <v/>
      </c>
      <c r="CD16" s="628" t="str">
        <f>IF('1. Sem'!$CF$17="","",'1. Sem'!$CF$17)</f>
        <v/>
      </c>
      <c r="CE16" s="623" t="str">
        <f>IF('1. Sem'!$CG$17="","",'1. Sem'!$CG$17)</f>
        <v/>
      </c>
      <c r="CF16" s="624" t="str">
        <f>IF('1. Sem'!$CH$17="","",'1. Sem'!$CH$17)</f>
        <v/>
      </c>
      <c r="CG16" s="624" t="str">
        <f>IF('1. Sem'!$CI$17="","",'1. Sem'!$CI$17)</f>
        <v/>
      </c>
      <c r="CH16" s="624" t="str">
        <f>IF('1. Sem'!$CJ$17="","",'1. Sem'!$CJ$17)</f>
        <v/>
      </c>
      <c r="CI16" s="625" t="str">
        <f>IF('1. Sem'!$CK$17="","",'1. Sem'!$CK$17)</f>
        <v/>
      </c>
      <c r="CJ16" s="626" t="str">
        <f>IF('1. Sem'!$CL$17="","",'1. Sem'!$CL$17)</f>
        <v/>
      </c>
      <c r="CK16" s="627" t="str">
        <f>IF('1. Sem'!$CM$17="","",'1. Sem'!$CM$17)</f>
        <v/>
      </c>
      <c r="CL16" s="627" t="str">
        <f>IF('1. Sem'!$CN$17="","",'1. Sem'!$CN$17)</f>
        <v/>
      </c>
      <c r="CM16" s="627" t="str">
        <f>IF('1. Sem'!$CO$17="","",'1. Sem'!$CO$17)</f>
        <v/>
      </c>
      <c r="CN16" s="628" t="str">
        <f>IF('1. Sem'!$CP$17="","",'1. Sem'!$CP$17)</f>
        <v/>
      </c>
      <c r="CO16" s="623" t="str">
        <f>IF('1. Sem'!$CQ$17="","",'1. Sem'!$CQ$17)</f>
        <v/>
      </c>
      <c r="CP16" s="624" t="str">
        <f>IF('1. Sem'!$CR$17="","",'1. Sem'!$CR$17)</f>
        <v/>
      </c>
      <c r="CQ16" s="624" t="str">
        <f>IF('1. Sem'!$CS$17="","",'1. Sem'!$CS$17)</f>
        <v/>
      </c>
      <c r="CR16" s="624" t="str">
        <f>IF('1. Sem'!$CT$17="","",'1. Sem'!$CT$17)</f>
        <v/>
      </c>
      <c r="CS16" s="625" t="str">
        <f>IF('1. Sem'!$CU$17="","",'1. Sem'!$CU$17)</f>
        <v/>
      </c>
      <c r="CT16" s="626" t="str">
        <f>IF('1. Sem'!$CV$17="","",'1. Sem'!$CV$17)</f>
        <v/>
      </c>
      <c r="CU16" s="627" t="str">
        <f>IF('1. Sem'!$CW$17="","",'1. Sem'!$CW$17)</f>
        <v/>
      </c>
      <c r="CV16" s="627" t="str">
        <f>IF('1. Sem'!$CX$17="","",'1. Sem'!$CX$17)</f>
        <v/>
      </c>
      <c r="CW16" s="627" t="str">
        <f>IF('1. Sem'!$CY$17="","",'1. Sem'!$CY$17)</f>
        <v/>
      </c>
      <c r="CX16" s="628" t="str">
        <f>IF('1. Sem'!$CZ$17="","",'1. Sem'!$CZ$17)</f>
        <v/>
      </c>
      <c r="CY16" s="623" t="str">
        <f>IF('1. Sem'!$DA$17="","",'1. Sem'!$DA$17)</f>
        <v/>
      </c>
      <c r="CZ16" s="624" t="str">
        <f>IF('1. Sem'!$DB$17="","",'1. Sem'!$DB$17)</f>
        <v/>
      </c>
      <c r="DA16" s="624" t="str">
        <f>IF('1. Sem'!$DC$17="","",'1. Sem'!$DC$17)</f>
        <v/>
      </c>
      <c r="DB16" s="624" t="str">
        <f>IF('1. Sem'!$DD$17="","",'1. Sem'!$DD$17)</f>
        <v/>
      </c>
      <c r="DC16" s="625" t="str">
        <f>IF('1. Sem'!$DE$17="","",'1. Sem'!$DE$17)</f>
        <v/>
      </c>
    </row>
    <row r="17" spans="1:107" ht="16" customHeight="1" x14ac:dyDescent="0.2">
      <c r="A17" s="566"/>
      <c r="B17" s="579" t="s">
        <v>31</v>
      </c>
      <c r="C17" s="623" t="str">
        <f>IF('1. Sem'!$E$18="","",'1. Sem'!$E$18)</f>
        <v/>
      </c>
      <c r="D17" s="624" t="str">
        <f>IF('1. Sem'!$F$18="","",'1. Sem'!$F$18)</f>
        <v/>
      </c>
      <c r="E17" s="624" t="str">
        <f>IF('1. Sem'!$G$18="","",'1. Sem'!$G$18)</f>
        <v/>
      </c>
      <c r="F17" s="624" t="str">
        <f>IF('1. Sem'!$H$18="","",'1. Sem'!$H$18)</f>
        <v/>
      </c>
      <c r="G17" s="625" t="str">
        <f>IF('1. Sem'!$I$18="","",'1. Sem'!$I$18)</f>
        <v/>
      </c>
      <c r="H17" s="626" t="str">
        <f>IF('1. Sem'!$J$18="","",'1. Sem'!$J$18)</f>
        <v/>
      </c>
      <c r="I17" s="627" t="str">
        <f>IF('1. Sem'!$K$18="","",'1. Sem'!$K$18)</f>
        <v/>
      </c>
      <c r="J17" s="627" t="str">
        <f>IF('1. Sem'!$L$18="","",'1. Sem'!$L$18)</f>
        <v/>
      </c>
      <c r="K17" s="627" t="str">
        <f>IF('1. Sem'!$M$18="","",'1. Sem'!$M$18)</f>
        <v/>
      </c>
      <c r="L17" s="628" t="str">
        <f>IF('1. Sem'!$N$18="","",'1. Sem'!$N$18)</f>
        <v/>
      </c>
      <c r="M17" s="623" t="str">
        <f>IF('1. Sem'!$O$18="","",'1. Sem'!$O$18)</f>
        <v/>
      </c>
      <c r="N17" s="624" t="str">
        <f>IF('1. Sem'!$P$18="","",'1. Sem'!$P$18)</f>
        <v/>
      </c>
      <c r="O17" s="624" t="str">
        <f>IF('1. Sem'!$Q$18="","",'1. Sem'!$Q$18)</f>
        <v/>
      </c>
      <c r="P17" s="624" t="str">
        <f>IF('1. Sem'!$R$18="","",'1. Sem'!$R$18)</f>
        <v/>
      </c>
      <c r="Q17" s="625" t="str">
        <f>IF('1. Sem'!$S$18="","",'1. Sem'!$S$18)</f>
        <v/>
      </c>
      <c r="R17" s="626" t="str">
        <f>IF('1. Sem'!$T$18="","",'1. Sem'!$T$18)</f>
        <v/>
      </c>
      <c r="S17" s="627" t="str">
        <f>IF('1. Sem'!$U$18="","",'1. Sem'!$U$18)</f>
        <v/>
      </c>
      <c r="T17" s="627" t="str">
        <f>IF('1. Sem'!$V$18="","",'1. Sem'!$V$18)</f>
        <v/>
      </c>
      <c r="U17" s="627" t="str">
        <f>IF('1. Sem'!$W$18="","",'1. Sem'!$W$18)</f>
        <v/>
      </c>
      <c r="V17" s="628" t="str">
        <f>IF('1. Sem'!$X$18="","",'1. Sem'!$X$18)</f>
        <v/>
      </c>
      <c r="W17" s="623" t="str">
        <f>IF('1. Sem'!$Y$18="","",'1. Sem'!$Y$18)</f>
        <v/>
      </c>
      <c r="X17" s="624" t="str">
        <f>IF('1. Sem'!$Z$18="","",'1. Sem'!$Z$18)</f>
        <v/>
      </c>
      <c r="Y17" s="624" t="str">
        <f>IF('1. Sem'!$AA$18="","",'1. Sem'!$AA$18)</f>
        <v/>
      </c>
      <c r="Z17" s="624" t="str">
        <f>IF('1. Sem'!$AB$18="","",'1. Sem'!$AB$18)</f>
        <v/>
      </c>
      <c r="AA17" s="625" t="str">
        <f>IF('1. Sem'!$AC$18="","",'1. Sem'!$AC$18)</f>
        <v/>
      </c>
      <c r="AB17" s="626" t="str">
        <f>IF('1. Sem'!$AD$18="","",'1. Sem'!$AD$18)</f>
        <v/>
      </c>
      <c r="AC17" s="627" t="str">
        <f>IF('1. Sem'!$AE$18="","",'1. Sem'!$AE$18)</f>
        <v/>
      </c>
      <c r="AD17" s="627" t="str">
        <f>IF('1. Sem'!$AF$18="","",'1. Sem'!$AF$18)</f>
        <v/>
      </c>
      <c r="AE17" s="627" t="str">
        <f>IF('1. Sem'!$AG$18="","",'1. Sem'!$AG$18)</f>
        <v/>
      </c>
      <c r="AF17" s="628" t="str">
        <f>IF('1. Sem'!$AH$18="","",'1. Sem'!$AH$18)</f>
        <v/>
      </c>
      <c r="AG17" s="623" t="str">
        <f>IF('1. Sem'!$AI$18="","",'1. Sem'!$AI$18)</f>
        <v/>
      </c>
      <c r="AH17" s="624" t="str">
        <f>IF('1. Sem'!$AJ$18="","",'1. Sem'!$AJ$18)</f>
        <v/>
      </c>
      <c r="AI17" s="624" t="str">
        <f>IF('1. Sem'!$AK$18="","",'1. Sem'!$AK$18)</f>
        <v/>
      </c>
      <c r="AJ17" s="624" t="str">
        <f>IF('1. Sem'!$AL$18="","",'1. Sem'!$AL$18)</f>
        <v/>
      </c>
      <c r="AK17" s="625" t="str">
        <f>IF('1. Sem'!$AM$18="","",'1. Sem'!$AM$18)</f>
        <v/>
      </c>
      <c r="AL17" s="626" t="str">
        <f>IF('1. Sem'!$AN$18="","",'1. Sem'!$AN$18)</f>
        <v/>
      </c>
      <c r="AM17" s="627" t="str">
        <f>IF('1. Sem'!$AO$18="","",'1. Sem'!$AO$18)</f>
        <v/>
      </c>
      <c r="AN17" s="627" t="str">
        <f>IF('1. Sem'!$AP$18="","",'1. Sem'!$AP$18)</f>
        <v/>
      </c>
      <c r="AO17" s="627" t="str">
        <f>IF('1. Sem'!$AQ$18="","",'1. Sem'!$AQ$18)</f>
        <v/>
      </c>
      <c r="AP17" s="628" t="str">
        <f>IF('1. Sem'!$AR$18="","",'1. Sem'!$AR$18)</f>
        <v/>
      </c>
      <c r="AQ17" s="623" t="str">
        <f>IF('1. Sem'!$AS$18="","",'1. Sem'!$AS$18)</f>
        <v/>
      </c>
      <c r="AR17" s="624" t="str">
        <f>IF('1. Sem'!$AT$18="","",'1. Sem'!$AT$18)</f>
        <v/>
      </c>
      <c r="AS17" s="624" t="str">
        <f>IF('1. Sem'!$AU$18="","",'1. Sem'!$AU$18)</f>
        <v/>
      </c>
      <c r="AT17" s="624" t="str">
        <f>IF('1. Sem'!$AV$18="","",'1. Sem'!$AV$18)</f>
        <v/>
      </c>
      <c r="AU17" s="625" t="str">
        <f>IF('1. Sem'!$AW$18="","",'1. Sem'!$AW$18)</f>
        <v/>
      </c>
      <c r="AV17" s="626" t="str">
        <f>IF('1. Sem'!$AX$18="","",'1. Sem'!$AX$18)</f>
        <v/>
      </c>
      <c r="AW17" s="627" t="str">
        <f>IF('1. Sem'!$AY$18="","",'1. Sem'!$AY$18)</f>
        <v/>
      </c>
      <c r="AX17" s="627" t="str">
        <f>IF('1. Sem'!$AZ$18="","",'1. Sem'!$AZ$18)</f>
        <v/>
      </c>
      <c r="AY17" s="627" t="str">
        <f>IF('1. Sem'!$BA$18="","",'1. Sem'!$BA$18)</f>
        <v/>
      </c>
      <c r="AZ17" s="628" t="str">
        <f>IF('1. Sem'!$BB$18="","",'1. Sem'!$BB$18)</f>
        <v/>
      </c>
      <c r="BA17" s="623" t="str">
        <f>IF('1. Sem'!$BC$18="","",'1. Sem'!$BC$18)</f>
        <v/>
      </c>
      <c r="BB17" s="624" t="str">
        <f>IF('1. Sem'!$BD$18="","",'1. Sem'!$BD$18)</f>
        <v/>
      </c>
      <c r="BC17" s="624" t="str">
        <f>IF('1. Sem'!$BE$18="","",'1. Sem'!$BE$18)</f>
        <v/>
      </c>
      <c r="BD17" s="624" t="str">
        <f>IF('1. Sem'!$BF$18="","",'1. Sem'!$BF$18)</f>
        <v/>
      </c>
      <c r="BE17" s="625" t="str">
        <f>IF('1. Sem'!$BG$18="","",'1. Sem'!$BG$18)</f>
        <v/>
      </c>
      <c r="BF17" s="626" t="str">
        <f>IF('1. Sem'!$BH$18="","",'1. Sem'!$BH$18)</f>
        <v/>
      </c>
      <c r="BG17" s="627" t="str">
        <f>IF('1. Sem'!$BI$18="","",'1. Sem'!$BI$18)</f>
        <v/>
      </c>
      <c r="BH17" s="627" t="str">
        <f>IF('1. Sem'!$BJ$18="","",'1. Sem'!$BJ$18)</f>
        <v/>
      </c>
      <c r="BI17" s="627" t="str">
        <f>IF('1. Sem'!$BK$18="","",'1. Sem'!$BK$18)</f>
        <v/>
      </c>
      <c r="BJ17" s="628" t="str">
        <f>IF('1. Sem'!$BL$18="","",'1. Sem'!$BL$18)</f>
        <v/>
      </c>
      <c r="BK17" s="623" t="str">
        <f>IF('1. Sem'!$BM$18="","",'1. Sem'!$BM$18)</f>
        <v/>
      </c>
      <c r="BL17" s="624" t="str">
        <f>IF('1. Sem'!$BN$18="","",'1. Sem'!$BN$18)</f>
        <v/>
      </c>
      <c r="BM17" s="624" t="str">
        <f>IF('1. Sem'!$BO$18="","",'1. Sem'!$BO$18)</f>
        <v/>
      </c>
      <c r="BN17" s="624" t="str">
        <f>IF('1. Sem'!$BP$18="","",'1. Sem'!$BP$18)</f>
        <v/>
      </c>
      <c r="BO17" s="625" t="str">
        <f>IF('1. Sem'!$BQ$18="","",'1. Sem'!$BQ$18)</f>
        <v/>
      </c>
      <c r="BP17" s="626" t="str">
        <f>IF('1. Sem'!$BR$18="","",'1. Sem'!$BR$18)</f>
        <v/>
      </c>
      <c r="BQ17" s="627" t="str">
        <f>IF('1. Sem'!$BS$18="","",'1. Sem'!$BS$18)</f>
        <v/>
      </c>
      <c r="BR17" s="627" t="str">
        <f>IF('1. Sem'!$BT$18="","",'1. Sem'!$BT$18)</f>
        <v/>
      </c>
      <c r="BS17" s="627" t="str">
        <f>IF('1. Sem'!$BU$18="","",'1. Sem'!$BU$18)</f>
        <v/>
      </c>
      <c r="BT17" s="628" t="str">
        <f>IF('1. Sem'!$BV$18="","",'1. Sem'!$BV$18)</f>
        <v/>
      </c>
      <c r="BU17" s="623" t="str">
        <f>IF('1. Sem'!$BW$18="","",'1. Sem'!$BW$18)</f>
        <v/>
      </c>
      <c r="BV17" s="624" t="str">
        <f>IF('1. Sem'!$BX$18="","",'1. Sem'!$BX$18)</f>
        <v/>
      </c>
      <c r="BW17" s="624" t="str">
        <f>IF('1. Sem'!$BY$18="","",'1. Sem'!$BY$18)</f>
        <v/>
      </c>
      <c r="BX17" s="624" t="str">
        <f>IF('1. Sem'!$BZ$18="","",'1. Sem'!$BZ$18)</f>
        <v/>
      </c>
      <c r="BY17" s="625" t="str">
        <f>IF('1. Sem'!$CA$18="","",'1. Sem'!$CA$18)</f>
        <v/>
      </c>
      <c r="BZ17" s="626" t="str">
        <f>IF('1. Sem'!$CB$18="","",'1. Sem'!$CB$18)</f>
        <v/>
      </c>
      <c r="CA17" s="627" t="str">
        <f>IF('1. Sem'!$CC$18="","",'1. Sem'!$CC$18)</f>
        <v/>
      </c>
      <c r="CB17" s="627" t="str">
        <f>IF('1. Sem'!$CD$18="","",'1. Sem'!$CD$18)</f>
        <v/>
      </c>
      <c r="CC17" s="627" t="str">
        <f>IF('1. Sem'!$CE$18="","",'1. Sem'!$CE$18)</f>
        <v/>
      </c>
      <c r="CD17" s="628" t="str">
        <f>IF('1. Sem'!$CF$18="","",'1. Sem'!$CF$18)</f>
        <v/>
      </c>
      <c r="CE17" s="623" t="str">
        <f>IF('1. Sem'!$CG$18="","",'1. Sem'!$CG$18)</f>
        <v/>
      </c>
      <c r="CF17" s="624" t="str">
        <f>IF('1. Sem'!$CH$18="","",'1. Sem'!$CH$18)</f>
        <v/>
      </c>
      <c r="CG17" s="624" t="str">
        <f>IF('1. Sem'!$CI$18="","",'1. Sem'!$CI$18)</f>
        <v/>
      </c>
      <c r="CH17" s="624" t="str">
        <f>IF('1. Sem'!$CJ$18="","",'1. Sem'!$CJ$18)</f>
        <v/>
      </c>
      <c r="CI17" s="625" t="str">
        <f>IF('1. Sem'!$CK$18="","",'1. Sem'!$CK$18)</f>
        <v/>
      </c>
      <c r="CJ17" s="626" t="str">
        <f>IF('1. Sem'!$CL$18="","",'1. Sem'!$CL$18)</f>
        <v/>
      </c>
      <c r="CK17" s="627" t="str">
        <f>IF('1. Sem'!$CM$18="","",'1. Sem'!$CM$18)</f>
        <v/>
      </c>
      <c r="CL17" s="627" t="str">
        <f>IF('1. Sem'!$CN$18="","",'1. Sem'!$CN$18)</f>
        <v/>
      </c>
      <c r="CM17" s="627" t="str">
        <f>IF('1. Sem'!$CO$18="","",'1. Sem'!$CO$18)</f>
        <v/>
      </c>
      <c r="CN17" s="628" t="str">
        <f>IF('1. Sem'!$CP$18="","",'1. Sem'!$CP$18)</f>
        <v/>
      </c>
      <c r="CO17" s="623" t="str">
        <f>IF('1. Sem'!$CQ$18="","",'1. Sem'!$CQ$18)</f>
        <v/>
      </c>
      <c r="CP17" s="624" t="str">
        <f>IF('1. Sem'!$CR$18="","",'1. Sem'!$CR$18)</f>
        <v/>
      </c>
      <c r="CQ17" s="624" t="str">
        <f>IF('1. Sem'!$CS$18="","",'1. Sem'!$CS$18)</f>
        <v/>
      </c>
      <c r="CR17" s="624" t="str">
        <f>IF('1. Sem'!$CT$18="","",'1. Sem'!$CT$18)</f>
        <v/>
      </c>
      <c r="CS17" s="625" t="str">
        <f>IF('1. Sem'!$CU$18="","",'1. Sem'!$CU$18)</f>
        <v/>
      </c>
      <c r="CT17" s="626" t="str">
        <f>IF('1. Sem'!$CV$18="","",'1. Sem'!$CV$18)</f>
        <v/>
      </c>
      <c r="CU17" s="627" t="str">
        <f>IF('1. Sem'!$CW$18="","",'1. Sem'!$CW$18)</f>
        <v/>
      </c>
      <c r="CV17" s="627" t="str">
        <f>IF('1. Sem'!$CX$18="","",'1. Sem'!$CX$18)</f>
        <v/>
      </c>
      <c r="CW17" s="627" t="str">
        <f>IF('1. Sem'!$CY$18="","",'1. Sem'!$CY$18)</f>
        <v/>
      </c>
      <c r="CX17" s="628" t="str">
        <f>IF('1. Sem'!$CZ$18="","",'1. Sem'!$CZ$18)</f>
        <v/>
      </c>
      <c r="CY17" s="623" t="str">
        <f>IF('1. Sem'!$DA$18="","",'1. Sem'!$DA$18)</f>
        <v/>
      </c>
      <c r="CZ17" s="624" t="str">
        <f>IF('1. Sem'!$DB$18="","",'1. Sem'!$DB$18)</f>
        <v/>
      </c>
      <c r="DA17" s="624" t="str">
        <f>IF('1. Sem'!$DC$18="","",'1. Sem'!$DC$18)</f>
        <v/>
      </c>
      <c r="DB17" s="624" t="str">
        <f>IF('1. Sem'!$DD$18="","",'1. Sem'!$DD$18)</f>
        <v/>
      </c>
      <c r="DC17" s="625" t="str">
        <f>IF('1. Sem'!$DE$18="","",'1. Sem'!$DE$18)</f>
        <v/>
      </c>
    </row>
    <row r="18" spans="1:107" ht="16" customHeight="1" x14ac:dyDescent="0.2">
      <c r="A18" s="566"/>
      <c r="B18" s="579" t="s">
        <v>32</v>
      </c>
      <c r="C18" s="623" t="str">
        <f>IF('1. Sem'!$E$19="","",'1. Sem'!$E$19)</f>
        <v/>
      </c>
      <c r="D18" s="624" t="str">
        <f>IF('1. Sem'!$F$19="","",'1. Sem'!$F$19)</f>
        <v/>
      </c>
      <c r="E18" s="624" t="str">
        <f>IF('1. Sem'!$G$19="","",'1. Sem'!$G$19)</f>
        <v/>
      </c>
      <c r="F18" s="624" t="str">
        <f>IF('1. Sem'!$H$19="","",'1. Sem'!$H$19)</f>
        <v/>
      </c>
      <c r="G18" s="625" t="str">
        <f>IF('1. Sem'!$I$19="","",'1. Sem'!$I$19)</f>
        <v/>
      </c>
      <c r="H18" s="626" t="str">
        <f>IF('1. Sem'!$J$19="","",'1. Sem'!$J$19)</f>
        <v/>
      </c>
      <c r="I18" s="627" t="str">
        <f>IF('1. Sem'!$K$19="","",'1. Sem'!$K$19)</f>
        <v/>
      </c>
      <c r="J18" s="627" t="str">
        <f>IF('1. Sem'!$L$19="","",'1. Sem'!$L$19)</f>
        <v/>
      </c>
      <c r="K18" s="627" t="str">
        <f>IF('1. Sem'!$M$19="","",'1. Sem'!$M$19)</f>
        <v/>
      </c>
      <c r="L18" s="628" t="str">
        <f>IF('1. Sem'!$N$19="","",'1. Sem'!$N$19)</f>
        <v/>
      </c>
      <c r="M18" s="623" t="str">
        <f>IF('1. Sem'!$O$19="","",'1. Sem'!$O$19)</f>
        <v/>
      </c>
      <c r="N18" s="624" t="str">
        <f>IF('1. Sem'!$P$19="","",'1. Sem'!$P$19)</f>
        <v/>
      </c>
      <c r="O18" s="624" t="str">
        <f>IF('1. Sem'!$Q$19="","",'1. Sem'!$Q$19)</f>
        <v/>
      </c>
      <c r="P18" s="624" t="str">
        <f>IF('1. Sem'!$R$19="","",'1. Sem'!$R$19)</f>
        <v/>
      </c>
      <c r="Q18" s="625" t="str">
        <f>IF('1. Sem'!$S$19="","",'1. Sem'!$S$19)</f>
        <v/>
      </c>
      <c r="R18" s="626" t="str">
        <f>IF('1. Sem'!$T$19="","",'1. Sem'!$T$19)</f>
        <v/>
      </c>
      <c r="S18" s="627" t="str">
        <f>IF('1. Sem'!$U$19="","",'1. Sem'!$U$19)</f>
        <v/>
      </c>
      <c r="T18" s="627" t="str">
        <f>IF('1. Sem'!$V$19="","",'1. Sem'!$V$19)</f>
        <v/>
      </c>
      <c r="U18" s="627" t="str">
        <f>IF('1. Sem'!$W$19="","",'1. Sem'!$W$19)</f>
        <v/>
      </c>
      <c r="V18" s="628" t="str">
        <f>IF('1. Sem'!$X$19="","",'1. Sem'!$X$19)</f>
        <v/>
      </c>
      <c r="W18" s="623" t="str">
        <f>IF('1. Sem'!$Y$19="","",'1. Sem'!$Y$19)</f>
        <v/>
      </c>
      <c r="X18" s="624" t="str">
        <f>IF('1. Sem'!$Z$19="","",'1. Sem'!$Z$19)</f>
        <v/>
      </c>
      <c r="Y18" s="624" t="str">
        <f>IF('1. Sem'!$AA$19="","",'1. Sem'!$AA$19)</f>
        <v/>
      </c>
      <c r="Z18" s="624" t="str">
        <f>IF('1. Sem'!$AB$19="","",'1. Sem'!$AB$19)</f>
        <v/>
      </c>
      <c r="AA18" s="625" t="str">
        <f>IF('1. Sem'!$AC$19="","",'1. Sem'!$AC$19)</f>
        <v/>
      </c>
      <c r="AB18" s="626" t="str">
        <f>IF('1. Sem'!$AD$19="","",'1. Sem'!$AD$19)</f>
        <v/>
      </c>
      <c r="AC18" s="627" t="str">
        <f>IF('1. Sem'!$AE$19="","",'1. Sem'!$AE$19)</f>
        <v/>
      </c>
      <c r="AD18" s="627" t="str">
        <f>IF('1. Sem'!$AF$19="","",'1. Sem'!$AF$19)</f>
        <v/>
      </c>
      <c r="AE18" s="627" t="str">
        <f>IF('1. Sem'!$AG$19="","",'1. Sem'!$AG$19)</f>
        <v/>
      </c>
      <c r="AF18" s="628" t="str">
        <f>IF('1. Sem'!$AH$19="","",'1. Sem'!$AH$19)</f>
        <v/>
      </c>
      <c r="AG18" s="623" t="str">
        <f>IF('1. Sem'!$AI$19="","",'1. Sem'!$AI$19)</f>
        <v/>
      </c>
      <c r="AH18" s="624" t="str">
        <f>IF('1. Sem'!$AJ$19="","",'1. Sem'!$AJ$19)</f>
        <v/>
      </c>
      <c r="AI18" s="624" t="str">
        <f>IF('1. Sem'!$AK$19="","",'1. Sem'!$AK$19)</f>
        <v/>
      </c>
      <c r="AJ18" s="624" t="str">
        <f>IF('1. Sem'!$AL$19="","",'1. Sem'!$AL$19)</f>
        <v/>
      </c>
      <c r="AK18" s="625" t="str">
        <f>IF('1. Sem'!$AM$19="","",'1. Sem'!$AM$19)</f>
        <v/>
      </c>
      <c r="AL18" s="626" t="str">
        <f>IF('1. Sem'!$AN$19="","",'1. Sem'!$AN$19)</f>
        <v/>
      </c>
      <c r="AM18" s="627" t="str">
        <f>IF('1. Sem'!$AO$19="","",'1. Sem'!$AO$19)</f>
        <v/>
      </c>
      <c r="AN18" s="627" t="str">
        <f>IF('1. Sem'!$AP$19="","",'1. Sem'!$AP$19)</f>
        <v/>
      </c>
      <c r="AO18" s="627" t="str">
        <f>IF('1. Sem'!$AQ$19="","",'1. Sem'!$AQ$19)</f>
        <v/>
      </c>
      <c r="AP18" s="628" t="str">
        <f>IF('1. Sem'!$AR$19="","",'1. Sem'!$AR$19)</f>
        <v/>
      </c>
      <c r="AQ18" s="623" t="str">
        <f>IF('1. Sem'!$AS$19="","",'1. Sem'!$AS$19)</f>
        <v/>
      </c>
      <c r="AR18" s="624" t="str">
        <f>IF('1. Sem'!$AT$19="","",'1. Sem'!$AT$19)</f>
        <v/>
      </c>
      <c r="AS18" s="624" t="str">
        <f>IF('1. Sem'!$AU$19="","",'1. Sem'!$AU$19)</f>
        <v/>
      </c>
      <c r="AT18" s="624" t="str">
        <f>IF('1. Sem'!$AV$19="","",'1. Sem'!$AV$19)</f>
        <v/>
      </c>
      <c r="AU18" s="625" t="str">
        <f>IF('1. Sem'!$AW$19="","",'1. Sem'!$AW$19)</f>
        <v/>
      </c>
      <c r="AV18" s="626" t="str">
        <f>IF('1. Sem'!$AX$19="","",'1. Sem'!$AX$19)</f>
        <v/>
      </c>
      <c r="AW18" s="627" t="str">
        <f>IF('1. Sem'!$AY$19="","",'1. Sem'!$AY$19)</f>
        <v/>
      </c>
      <c r="AX18" s="627" t="str">
        <f>IF('1. Sem'!$AZ$19="","",'1. Sem'!$AZ$19)</f>
        <v/>
      </c>
      <c r="AY18" s="627" t="str">
        <f>IF('1. Sem'!$BA$19="","",'1. Sem'!$BA$19)</f>
        <v/>
      </c>
      <c r="AZ18" s="628" t="str">
        <f>IF('1. Sem'!$BB$19="","",'1. Sem'!$BB$19)</f>
        <v/>
      </c>
      <c r="BA18" s="623" t="str">
        <f>IF('1. Sem'!$BC$19="","",'1. Sem'!$BC$19)</f>
        <v/>
      </c>
      <c r="BB18" s="624" t="str">
        <f>IF('1. Sem'!$BD$19="","",'1. Sem'!$BD$19)</f>
        <v/>
      </c>
      <c r="BC18" s="624" t="str">
        <f>IF('1. Sem'!$BE$19="","",'1. Sem'!$BE$19)</f>
        <v/>
      </c>
      <c r="BD18" s="624" t="str">
        <f>IF('1. Sem'!$BF$19="","",'1. Sem'!$BF$19)</f>
        <v/>
      </c>
      <c r="BE18" s="625" t="str">
        <f>IF('1. Sem'!$BG$19="","",'1. Sem'!$BG$19)</f>
        <v/>
      </c>
      <c r="BF18" s="626" t="str">
        <f>IF('1. Sem'!$BH$19="","",'1. Sem'!$BH$19)</f>
        <v/>
      </c>
      <c r="BG18" s="627" t="str">
        <f>IF('1. Sem'!$BI$19="","",'1. Sem'!$BI$19)</f>
        <v/>
      </c>
      <c r="BH18" s="627" t="str">
        <f>IF('1. Sem'!$BJ$19="","",'1. Sem'!$BJ$19)</f>
        <v/>
      </c>
      <c r="BI18" s="627" t="str">
        <f>IF('1. Sem'!$BK$19="","",'1. Sem'!$BK$19)</f>
        <v/>
      </c>
      <c r="BJ18" s="628" t="str">
        <f>IF('1. Sem'!$BL$19="","",'1. Sem'!$BL$19)</f>
        <v/>
      </c>
      <c r="BK18" s="623" t="str">
        <f>IF('1. Sem'!$BM$19="","",'1. Sem'!$BM$19)</f>
        <v/>
      </c>
      <c r="BL18" s="624" t="str">
        <f>IF('1. Sem'!$BN$19="","",'1. Sem'!$BN$19)</f>
        <v/>
      </c>
      <c r="BM18" s="624" t="str">
        <f>IF('1. Sem'!$BO$19="","",'1. Sem'!$BO$19)</f>
        <v/>
      </c>
      <c r="BN18" s="624" t="str">
        <f>IF('1. Sem'!$BP$19="","",'1. Sem'!$BP$19)</f>
        <v/>
      </c>
      <c r="BO18" s="625" t="str">
        <f>IF('1. Sem'!$BQ$19="","",'1. Sem'!$BQ$19)</f>
        <v/>
      </c>
      <c r="BP18" s="626" t="str">
        <f>IF('1. Sem'!$BR$19="","",'1. Sem'!$BR$19)</f>
        <v/>
      </c>
      <c r="BQ18" s="627" t="str">
        <f>IF('1. Sem'!$BS$19="","",'1. Sem'!$BS$19)</f>
        <v/>
      </c>
      <c r="BR18" s="627" t="str">
        <f>IF('1. Sem'!$BT$19="","",'1. Sem'!$BT$19)</f>
        <v/>
      </c>
      <c r="BS18" s="627" t="str">
        <f>IF('1. Sem'!$BU$19="","",'1. Sem'!$BU$19)</f>
        <v/>
      </c>
      <c r="BT18" s="628" t="str">
        <f>IF('1. Sem'!$BV$19="","",'1. Sem'!$BV$19)</f>
        <v/>
      </c>
      <c r="BU18" s="623" t="str">
        <f>IF('1. Sem'!$BW$19="","",'1. Sem'!$BW$19)</f>
        <v/>
      </c>
      <c r="BV18" s="624" t="str">
        <f>IF('1. Sem'!$BX$19="","",'1. Sem'!$BX$19)</f>
        <v/>
      </c>
      <c r="BW18" s="624" t="str">
        <f>IF('1. Sem'!$BY$19="","",'1. Sem'!$BY$19)</f>
        <v/>
      </c>
      <c r="BX18" s="624" t="str">
        <f>IF('1. Sem'!$BZ$19="","",'1. Sem'!$BZ$19)</f>
        <v/>
      </c>
      <c r="BY18" s="625" t="str">
        <f>IF('1. Sem'!$CA$19="","",'1. Sem'!$CA$19)</f>
        <v/>
      </c>
      <c r="BZ18" s="626" t="str">
        <f>IF('1. Sem'!$CB$19="","",'1. Sem'!$CB$19)</f>
        <v/>
      </c>
      <c r="CA18" s="627" t="str">
        <f>IF('1. Sem'!$CC$19="","",'1. Sem'!$CC$19)</f>
        <v/>
      </c>
      <c r="CB18" s="627" t="str">
        <f>IF('1. Sem'!$CD$19="","",'1. Sem'!$CD$19)</f>
        <v/>
      </c>
      <c r="CC18" s="627" t="str">
        <f>IF('1. Sem'!$CE$19="","",'1. Sem'!$CE$19)</f>
        <v/>
      </c>
      <c r="CD18" s="628" t="str">
        <f>IF('1. Sem'!$CF$19="","",'1. Sem'!$CF$19)</f>
        <v/>
      </c>
      <c r="CE18" s="623" t="str">
        <f>IF('1. Sem'!$CG$19="","",'1. Sem'!$CG$19)</f>
        <v/>
      </c>
      <c r="CF18" s="624" t="str">
        <f>IF('1. Sem'!$CH$19="","",'1. Sem'!$CH$19)</f>
        <v/>
      </c>
      <c r="CG18" s="624" t="str">
        <f>IF('1. Sem'!$CI$19="","",'1. Sem'!$CI$19)</f>
        <v/>
      </c>
      <c r="CH18" s="624" t="str">
        <f>IF('1. Sem'!$CJ$19="","",'1. Sem'!$CJ$19)</f>
        <v/>
      </c>
      <c r="CI18" s="625" t="str">
        <f>IF('1. Sem'!$CK$19="","",'1. Sem'!$CK$19)</f>
        <v/>
      </c>
      <c r="CJ18" s="626" t="str">
        <f>IF('1. Sem'!$CL$19="","",'1. Sem'!$CL$19)</f>
        <v/>
      </c>
      <c r="CK18" s="627" t="str">
        <f>IF('1. Sem'!$CM$19="","",'1. Sem'!$CM$19)</f>
        <v/>
      </c>
      <c r="CL18" s="627" t="str">
        <f>IF('1. Sem'!$CN$19="","",'1. Sem'!$CN$19)</f>
        <v/>
      </c>
      <c r="CM18" s="627" t="str">
        <f>IF('1. Sem'!$CO$19="","",'1. Sem'!$CO$19)</f>
        <v/>
      </c>
      <c r="CN18" s="628" t="str">
        <f>IF('1. Sem'!$CP$19="","",'1. Sem'!$CP$19)</f>
        <v/>
      </c>
      <c r="CO18" s="623" t="str">
        <f>IF('1. Sem'!$CQ$19="","",'1. Sem'!$CQ$19)</f>
        <v/>
      </c>
      <c r="CP18" s="624" t="str">
        <f>IF('1. Sem'!$CR$19="","",'1. Sem'!$CR$19)</f>
        <v/>
      </c>
      <c r="CQ18" s="624" t="str">
        <f>IF('1. Sem'!$CS$19="","",'1. Sem'!$CS$19)</f>
        <v/>
      </c>
      <c r="CR18" s="624" t="str">
        <f>IF('1. Sem'!$CT$19="","",'1. Sem'!$CT$19)</f>
        <v/>
      </c>
      <c r="CS18" s="625" t="str">
        <f>IF('1. Sem'!$CU$19="","",'1. Sem'!$CU$19)</f>
        <v/>
      </c>
      <c r="CT18" s="626" t="str">
        <f>IF('1. Sem'!$CV$19="","",'1. Sem'!$CV$19)</f>
        <v/>
      </c>
      <c r="CU18" s="627" t="str">
        <f>IF('1. Sem'!$CW$19="","",'1. Sem'!$CW$19)</f>
        <v/>
      </c>
      <c r="CV18" s="627" t="str">
        <f>IF('1. Sem'!$CX$19="","",'1. Sem'!$CX$19)</f>
        <v/>
      </c>
      <c r="CW18" s="627" t="str">
        <f>IF('1. Sem'!$CY$19="","",'1. Sem'!$CY$19)</f>
        <v/>
      </c>
      <c r="CX18" s="628" t="str">
        <f>IF('1. Sem'!$CZ$19="","",'1. Sem'!$CZ$19)</f>
        <v/>
      </c>
      <c r="CY18" s="623" t="str">
        <f>IF('1. Sem'!$DA$19="","",'1. Sem'!$DA$19)</f>
        <v/>
      </c>
      <c r="CZ18" s="624" t="str">
        <f>IF('1. Sem'!$DB$19="","",'1. Sem'!$DB$19)</f>
        <v/>
      </c>
      <c r="DA18" s="624" t="str">
        <f>IF('1. Sem'!$DC$19="","",'1. Sem'!$DC$19)</f>
        <v/>
      </c>
      <c r="DB18" s="624" t="str">
        <f>IF('1. Sem'!$DD$19="","",'1. Sem'!$DD$19)</f>
        <v/>
      </c>
      <c r="DC18" s="625" t="str">
        <f>IF('1. Sem'!$DE$19="","",'1. Sem'!$DE$19)</f>
        <v/>
      </c>
    </row>
    <row r="19" spans="1:107" ht="16" customHeight="1" x14ac:dyDescent="0.2">
      <c r="A19" s="566"/>
      <c r="B19" s="579" t="s">
        <v>33</v>
      </c>
      <c r="C19" s="623" t="str">
        <f>IF('1. Sem'!$E$20="","",'1. Sem'!$E$20)</f>
        <v/>
      </c>
      <c r="D19" s="624" t="str">
        <f>IF('1. Sem'!$F$20="","",'1. Sem'!$F$20)</f>
        <v/>
      </c>
      <c r="E19" s="624" t="str">
        <f>IF('1. Sem'!$G$20="","",'1. Sem'!$G$20)</f>
        <v/>
      </c>
      <c r="F19" s="624" t="str">
        <f>IF('1. Sem'!$H$20="","",'1. Sem'!$H$20)</f>
        <v/>
      </c>
      <c r="G19" s="625" t="str">
        <f>IF('1. Sem'!$I$20="","",'1. Sem'!$I$20)</f>
        <v/>
      </c>
      <c r="H19" s="626" t="str">
        <f>IF('1. Sem'!$J$20="","",'1. Sem'!$J$20)</f>
        <v/>
      </c>
      <c r="I19" s="627" t="str">
        <f>IF('1. Sem'!$K$20="","",'1. Sem'!$K$20)</f>
        <v/>
      </c>
      <c r="J19" s="627" t="str">
        <f>IF('1. Sem'!$L$20="","",'1. Sem'!$L$20)</f>
        <v/>
      </c>
      <c r="K19" s="627" t="str">
        <f>IF('1. Sem'!$M$20="","",'1. Sem'!$M$20)</f>
        <v/>
      </c>
      <c r="L19" s="628" t="str">
        <f>IF('1. Sem'!$N$20="","",'1. Sem'!$N$20)</f>
        <v/>
      </c>
      <c r="M19" s="623" t="str">
        <f>IF('1. Sem'!$O$20="","",'1. Sem'!$O$20)</f>
        <v/>
      </c>
      <c r="N19" s="624" t="str">
        <f>IF('1. Sem'!$P$20="","",'1. Sem'!$P$20)</f>
        <v/>
      </c>
      <c r="O19" s="624" t="str">
        <f>IF('1. Sem'!$Q$20="","",'1. Sem'!$Q$20)</f>
        <v/>
      </c>
      <c r="P19" s="624" t="str">
        <f>IF('1. Sem'!$R$20="","",'1. Sem'!$R$20)</f>
        <v/>
      </c>
      <c r="Q19" s="625" t="str">
        <f>IF('1. Sem'!$S$20="","",'1. Sem'!$S$20)</f>
        <v/>
      </c>
      <c r="R19" s="626" t="str">
        <f>IF('1. Sem'!$T$20="","",'1. Sem'!$T$20)</f>
        <v/>
      </c>
      <c r="S19" s="627" t="str">
        <f>IF('1. Sem'!$U$20="","",'1. Sem'!$U$20)</f>
        <v/>
      </c>
      <c r="T19" s="627" t="str">
        <f>IF('1. Sem'!$V$20="","",'1. Sem'!$V$20)</f>
        <v/>
      </c>
      <c r="U19" s="627" t="str">
        <f>IF('1. Sem'!$W$20="","",'1. Sem'!$W$20)</f>
        <v/>
      </c>
      <c r="V19" s="628" t="str">
        <f>IF('1. Sem'!$X$20="","",'1. Sem'!$X$20)</f>
        <v/>
      </c>
      <c r="W19" s="623" t="str">
        <f>IF('1. Sem'!$Y$20="","",'1. Sem'!$Y$20)</f>
        <v/>
      </c>
      <c r="X19" s="624" t="str">
        <f>IF('1. Sem'!$Z$20="","",'1. Sem'!$Z$20)</f>
        <v/>
      </c>
      <c r="Y19" s="624" t="str">
        <f>IF('1. Sem'!$AA$20="","",'1. Sem'!$AA$20)</f>
        <v/>
      </c>
      <c r="Z19" s="624" t="str">
        <f>IF('1. Sem'!$AB$20="","",'1. Sem'!$AB$20)</f>
        <v/>
      </c>
      <c r="AA19" s="625" t="str">
        <f>IF('1. Sem'!$AC$20="","",'1. Sem'!$AC$20)</f>
        <v/>
      </c>
      <c r="AB19" s="626" t="str">
        <f>IF('1. Sem'!$AD$20="","",'1. Sem'!$AD$20)</f>
        <v/>
      </c>
      <c r="AC19" s="627" t="str">
        <f>IF('1. Sem'!$AE$20="","",'1. Sem'!$AE$20)</f>
        <v/>
      </c>
      <c r="AD19" s="627" t="str">
        <f>IF('1. Sem'!$AF$20="","",'1. Sem'!$AF$20)</f>
        <v/>
      </c>
      <c r="AE19" s="627" t="str">
        <f>IF('1. Sem'!$AG$20="","",'1. Sem'!$AG$20)</f>
        <v/>
      </c>
      <c r="AF19" s="628" t="str">
        <f>IF('1. Sem'!$AH$20="","",'1. Sem'!$AH$20)</f>
        <v/>
      </c>
      <c r="AG19" s="623" t="str">
        <f>IF('1. Sem'!$AI$20="","",'1. Sem'!$AI$20)</f>
        <v/>
      </c>
      <c r="AH19" s="624" t="str">
        <f>IF('1. Sem'!$AJ$20="","",'1. Sem'!$AJ$20)</f>
        <v/>
      </c>
      <c r="AI19" s="624" t="str">
        <f>IF('1. Sem'!$AK$20="","",'1. Sem'!$AK$20)</f>
        <v/>
      </c>
      <c r="AJ19" s="624" t="str">
        <f>IF('1. Sem'!$AL$20="","",'1. Sem'!$AL$20)</f>
        <v/>
      </c>
      <c r="AK19" s="625" t="str">
        <f>IF('1. Sem'!$AM$20="","",'1. Sem'!$AM$20)</f>
        <v/>
      </c>
      <c r="AL19" s="626" t="str">
        <f>IF('1. Sem'!$AN$20="","",'1. Sem'!$AN$20)</f>
        <v/>
      </c>
      <c r="AM19" s="627" t="str">
        <f>IF('1. Sem'!$AO$20="","",'1. Sem'!$AO$20)</f>
        <v/>
      </c>
      <c r="AN19" s="627" t="str">
        <f>IF('1. Sem'!$AP$20="","",'1. Sem'!$AP$20)</f>
        <v/>
      </c>
      <c r="AO19" s="627" t="str">
        <f>IF('1. Sem'!$AQ$20="","",'1. Sem'!$AQ$20)</f>
        <v/>
      </c>
      <c r="AP19" s="628" t="str">
        <f>IF('1. Sem'!$AR$20="","",'1. Sem'!$AR$20)</f>
        <v/>
      </c>
      <c r="AQ19" s="623" t="str">
        <f>IF('1. Sem'!$AS$20="","",'1. Sem'!$AS$20)</f>
        <v/>
      </c>
      <c r="AR19" s="624" t="str">
        <f>IF('1. Sem'!$AT$20="","",'1. Sem'!$AT$20)</f>
        <v/>
      </c>
      <c r="AS19" s="624" t="str">
        <f>IF('1. Sem'!$AU$20="","",'1. Sem'!$AU$20)</f>
        <v/>
      </c>
      <c r="AT19" s="624" t="str">
        <f>IF('1. Sem'!$AV$20="","",'1. Sem'!$AV$20)</f>
        <v/>
      </c>
      <c r="AU19" s="625" t="str">
        <f>IF('1. Sem'!$AW$20="","",'1. Sem'!$AW$20)</f>
        <v/>
      </c>
      <c r="AV19" s="626" t="str">
        <f>IF('1. Sem'!$AX$20="","",'1. Sem'!$AX$20)</f>
        <v/>
      </c>
      <c r="AW19" s="627" t="str">
        <f>IF('1. Sem'!$AY$20="","",'1. Sem'!$AY$20)</f>
        <v/>
      </c>
      <c r="AX19" s="627" t="str">
        <f>IF('1. Sem'!$AZ$20="","",'1. Sem'!$AZ$20)</f>
        <v/>
      </c>
      <c r="AY19" s="627" t="str">
        <f>IF('1. Sem'!$BA$20="","",'1. Sem'!$BA$20)</f>
        <v/>
      </c>
      <c r="AZ19" s="628" t="str">
        <f>IF('1. Sem'!$BB$20="","",'1. Sem'!$BB$20)</f>
        <v/>
      </c>
      <c r="BA19" s="623" t="str">
        <f>IF('1. Sem'!$BC$20="","",'1. Sem'!$BC$20)</f>
        <v/>
      </c>
      <c r="BB19" s="624" t="str">
        <f>IF('1. Sem'!$BD$20="","",'1. Sem'!$BD$20)</f>
        <v/>
      </c>
      <c r="BC19" s="624" t="str">
        <f>IF('1. Sem'!$BE$20="","",'1. Sem'!$BE$20)</f>
        <v/>
      </c>
      <c r="BD19" s="624" t="str">
        <f>IF('1. Sem'!$BF$20="","",'1. Sem'!$BF$20)</f>
        <v/>
      </c>
      <c r="BE19" s="625" t="str">
        <f>IF('1. Sem'!$BG$20="","",'1. Sem'!$BG$20)</f>
        <v/>
      </c>
      <c r="BF19" s="626" t="str">
        <f>IF('1. Sem'!$BH$20="","",'1. Sem'!$BH$20)</f>
        <v/>
      </c>
      <c r="BG19" s="627" t="str">
        <f>IF('1. Sem'!$BI$20="","",'1. Sem'!$BI$20)</f>
        <v/>
      </c>
      <c r="BH19" s="627" t="str">
        <f>IF('1. Sem'!$BJ$20="","",'1. Sem'!$BJ$20)</f>
        <v/>
      </c>
      <c r="BI19" s="627" t="str">
        <f>IF('1. Sem'!$BK$20="","",'1. Sem'!$BK$20)</f>
        <v/>
      </c>
      <c r="BJ19" s="628" t="str">
        <f>IF('1. Sem'!$BL$20="","",'1. Sem'!$BL$20)</f>
        <v/>
      </c>
      <c r="BK19" s="623" t="str">
        <f>IF('1. Sem'!$BM$20="","",'1. Sem'!$BM$20)</f>
        <v/>
      </c>
      <c r="BL19" s="624" t="str">
        <f>IF('1. Sem'!$BN$20="","",'1. Sem'!$BN$20)</f>
        <v/>
      </c>
      <c r="BM19" s="624" t="str">
        <f>IF('1. Sem'!$BO$20="","",'1. Sem'!$BO$20)</f>
        <v/>
      </c>
      <c r="BN19" s="624" t="str">
        <f>IF('1. Sem'!$BP$20="","",'1. Sem'!$BP$20)</f>
        <v/>
      </c>
      <c r="BO19" s="625" t="str">
        <f>IF('1. Sem'!$BQ$20="","",'1. Sem'!$BQ$20)</f>
        <v/>
      </c>
      <c r="BP19" s="626" t="str">
        <f>IF('1. Sem'!$BR$20="","",'1. Sem'!$BR$20)</f>
        <v/>
      </c>
      <c r="BQ19" s="627" t="str">
        <f>IF('1. Sem'!$BS$20="","",'1. Sem'!$BS$20)</f>
        <v/>
      </c>
      <c r="BR19" s="627" t="str">
        <f>IF('1. Sem'!$BT$20="","",'1. Sem'!$BT$20)</f>
        <v/>
      </c>
      <c r="BS19" s="627" t="str">
        <f>IF('1. Sem'!$BU$20="","",'1. Sem'!$BU$20)</f>
        <v/>
      </c>
      <c r="BT19" s="628" t="str">
        <f>IF('1. Sem'!$BV$20="","",'1. Sem'!$BV$20)</f>
        <v/>
      </c>
      <c r="BU19" s="623" t="str">
        <f>IF('1. Sem'!$BW$20="","",'1. Sem'!$BW$20)</f>
        <v/>
      </c>
      <c r="BV19" s="624" t="str">
        <f>IF('1. Sem'!$BX$20="","",'1. Sem'!$BX$20)</f>
        <v/>
      </c>
      <c r="BW19" s="624" t="str">
        <f>IF('1. Sem'!$BY$20="","",'1. Sem'!$BY$20)</f>
        <v/>
      </c>
      <c r="BX19" s="624" t="str">
        <f>IF('1. Sem'!$BZ$20="","",'1. Sem'!$BZ$20)</f>
        <v/>
      </c>
      <c r="BY19" s="625" t="str">
        <f>IF('1. Sem'!$CA$20="","",'1. Sem'!$CA$20)</f>
        <v/>
      </c>
      <c r="BZ19" s="626" t="str">
        <f>IF('1. Sem'!$CB$20="","",'1. Sem'!$CB$20)</f>
        <v/>
      </c>
      <c r="CA19" s="627" t="str">
        <f>IF('1. Sem'!$CC$20="","",'1. Sem'!$CC$20)</f>
        <v/>
      </c>
      <c r="CB19" s="627" t="str">
        <f>IF('1. Sem'!$CD$20="","",'1. Sem'!$CD$20)</f>
        <v/>
      </c>
      <c r="CC19" s="627" t="str">
        <f>IF('1. Sem'!$CE$20="","",'1. Sem'!$CE$20)</f>
        <v/>
      </c>
      <c r="CD19" s="628" t="str">
        <f>IF('1. Sem'!$CF$20="","",'1. Sem'!$CF$20)</f>
        <v/>
      </c>
      <c r="CE19" s="623" t="str">
        <f>IF('1. Sem'!$CG$20="","",'1. Sem'!$CG$20)</f>
        <v/>
      </c>
      <c r="CF19" s="624" t="str">
        <f>IF('1. Sem'!$CH$20="","",'1. Sem'!$CH$20)</f>
        <v/>
      </c>
      <c r="CG19" s="624" t="str">
        <f>IF('1. Sem'!$CI$20="","",'1. Sem'!$CI$20)</f>
        <v/>
      </c>
      <c r="CH19" s="624" t="str">
        <f>IF('1. Sem'!$CJ$20="","",'1. Sem'!$CJ$20)</f>
        <v/>
      </c>
      <c r="CI19" s="625" t="str">
        <f>IF('1. Sem'!$CK$20="","",'1. Sem'!$CK$20)</f>
        <v/>
      </c>
      <c r="CJ19" s="626" t="str">
        <f>IF('1. Sem'!$CL$20="","",'1. Sem'!$CL$20)</f>
        <v/>
      </c>
      <c r="CK19" s="627" t="str">
        <f>IF('1. Sem'!$CM$20="","",'1. Sem'!$CM$20)</f>
        <v/>
      </c>
      <c r="CL19" s="627" t="str">
        <f>IF('1. Sem'!$CN$20="","",'1. Sem'!$CN$20)</f>
        <v/>
      </c>
      <c r="CM19" s="627" t="str">
        <f>IF('1. Sem'!$CO$20="","",'1. Sem'!$CO$20)</f>
        <v/>
      </c>
      <c r="CN19" s="628" t="str">
        <f>IF('1. Sem'!$CP$20="","",'1. Sem'!$CP$20)</f>
        <v/>
      </c>
      <c r="CO19" s="623" t="str">
        <f>IF('1. Sem'!$CQ$20="","",'1. Sem'!$CQ$20)</f>
        <v/>
      </c>
      <c r="CP19" s="624" t="str">
        <f>IF('1. Sem'!$CR$20="","",'1. Sem'!$CR$20)</f>
        <v/>
      </c>
      <c r="CQ19" s="624" t="str">
        <f>IF('1. Sem'!$CS$20="","",'1. Sem'!$CS$20)</f>
        <v/>
      </c>
      <c r="CR19" s="624" t="str">
        <f>IF('1. Sem'!$CT$20="","",'1. Sem'!$CT$20)</f>
        <v/>
      </c>
      <c r="CS19" s="625" t="str">
        <f>IF('1. Sem'!$CU$20="","",'1. Sem'!$CU$20)</f>
        <v/>
      </c>
      <c r="CT19" s="626" t="str">
        <f>IF('1. Sem'!$CV$20="","",'1. Sem'!$CV$20)</f>
        <v/>
      </c>
      <c r="CU19" s="627" t="str">
        <f>IF('1. Sem'!$CW$20="","",'1. Sem'!$CW$20)</f>
        <v/>
      </c>
      <c r="CV19" s="627" t="str">
        <f>IF('1. Sem'!$CX$20="","",'1. Sem'!$CX$20)</f>
        <v/>
      </c>
      <c r="CW19" s="627" t="str">
        <f>IF('1. Sem'!$CY$20="","",'1. Sem'!$CY$20)</f>
        <v/>
      </c>
      <c r="CX19" s="628" t="str">
        <f>IF('1. Sem'!$CZ$20="","",'1. Sem'!$CZ$20)</f>
        <v/>
      </c>
      <c r="CY19" s="623" t="str">
        <f>IF('1. Sem'!$DA$20="","",'1. Sem'!$DA$20)</f>
        <v/>
      </c>
      <c r="CZ19" s="624" t="str">
        <f>IF('1. Sem'!$DB$20="","",'1. Sem'!$DB$20)</f>
        <v/>
      </c>
      <c r="DA19" s="624" t="str">
        <f>IF('1. Sem'!$DC$20="","",'1. Sem'!$DC$20)</f>
        <v/>
      </c>
      <c r="DB19" s="624" t="str">
        <f>IF('1. Sem'!$DD$20="","",'1. Sem'!$DD$20)</f>
        <v/>
      </c>
      <c r="DC19" s="625" t="str">
        <f>IF('1. Sem'!$DE$20="","",'1. Sem'!$DE$20)</f>
        <v/>
      </c>
    </row>
    <row r="20" spans="1:107" ht="17" customHeight="1" thickBot="1" x14ac:dyDescent="0.25">
      <c r="A20" s="566"/>
      <c r="B20" s="629" t="s">
        <v>34</v>
      </c>
      <c r="C20" s="630" t="str">
        <f>IF('1. Sem'!$E$21="","",'1. Sem'!$E$21)</f>
        <v/>
      </c>
      <c r="D20" s="631" t="str">
        <f>IF('1. Sem'!$F$21="","",'1. Sem'!$F$21)</f>
        <v/>
      </c>
      <c r="E20" s="631" t="str">
        <f>IF('1. Sem'!$G$21="","",'1. Sem'!$G$21)</f>
        <v/>
      </c>
      <c r="F20" s="631" t="str">
        <f>IF('1. Sem'!$H$21="","",'1. Sem'!$H$21)</f>
        <v/>
      </c>
      <c r="G20" s="632" t="str">
        <f>IF('1. Sem'!$I$21="","",'1. Sem'!$I$21)</f>
        <v/>
      </c>
      <c r="H20" s="633" t="str">
        <f>IF('1. Sem'!$J$21="","",'1. Sem'!$J$21)</f>
        <v/>
      </c>
      <c r="I20" s="634" t="str">
        <f>IF('1. Sem'!$K$21="","",'1. Sem'!$K$21)</f>
        <v/>
      </c>
      <c r="J20" s="634" t="str">
        <f>IF('1. Sem'!$L$21="","",'1. Sem'!$L$21)</f>
        <v/>
      </c>
      <c r="K20" s="634" t="str">
        <f>IF('1. Sem'!$M$21="","",'1. Sem'!$M$21)</f>
        <v/>
      </c>
      <c r="L20" s="635" t="str">
        <f>IF('1. Sem'!$N$21="","",'1. Sem'!$N$21)</f>
        <v/>
      </c>
      <c r="M20" s="630" t="str">
        <f>IF('1. Sem'!$O$21="","",'1. Sem'!$O$21)</f>
        <v/>
      </c>
      <c r="N20" s="631" t="str">
        <f>IF('1. Sem'!$P$21="","",'1. Sem'!$P$21)</f>
        <v/>
      </c>
      <c r="O20" s="631" t="str">
        <f>IF('1. Sem'!$Q$21="","",'1. Sem'!$Q$21)</f>
        <v/>
      </c>
      <c r="P20" s="631" t="str">
        <f>IF('1. Sem'!$R$21="","",'1. Sem'!$R$21)</f>
        <v/>
      </c>
      <c r="Q20" s="632" t="str">
        <f>IF('1. Sem'!$S$21="","",'1. Sem'!$S$21)</f>
        <v/>
      </c>
      <c r="R20" s="633" t="str">
        <f>IF('1. Sem'!$T$21="","",'1. Sem'!$T$21)</f>
        <v/>
      </c>
      <c r="S20" s="634" t="str">
        <f>IF('1. Sem'!$U$21="","",'1. Sem'!$U$21)</f>
        <v/>
      </c>
      <c r="T20" s="634" t="str">
        <f>IF('1. Sem'!$V$21="","",'1. Sem'!$V$21)</f>
        <v/>
      </c>
      <c r="U20" s="634" t="str">
        <f>IF('1. Sem'!$W$21="","",'1. Sem'!$W$21)</f>
        <v/>
      </c>
      <c r="V20" s="635" t="str">
        <f>IF('1. Sem'!$X$21="","",'1. Sem'!$X$21)</f>
        <v/>
      </c>
      <c r="W20" s="630" t="str">
        <f>IF('1. Sem'!$Y$21="","",'1. Sem'!$Y$21)</f>
        <v/>
      </c>
      <c r="X20" s="631" t="str">
        <f>IF('1. Sem'!$Z$21="","",'1. Sem'!$Z$21)</f>
        <v/>
      </c>
      <c r="Y20" s="631" t="str">
        <f>IF('1. Sem'!$AA$21="","",'1. Sem'!$AA$21)</f>
        <v/>
      </c>
      <c r="Z20" s="631" t="str">
        <f>IF('1. Sem'!$AB$21="","",'1. Sem'!$AB$21)</f>
        <v/>
      </c>
      <c r="AA20" s="632" t="str">
        <f>IF('1. Sem'!$AC$21="","",'1. Sem'!$AC$21)</f>
        <v/>
      </c>
      <c r="AB20" s="633" t="str">
        <f>IF('1. Sem'!$AD$21="","",'1. Sem'!$AD$21)</f>
        <v/>
      </c>
      <c r="AC20" s="634" t="str">
        <f>IF('1. Sem'!$AE$21="","",'1. Sem'!$AE$21)</f>
        <v/>
      </c>
      <c r="AD20" s="634" t="str">
        <f>IF('1. Sem'!$AF$21="","",'1. Sem'!$AF$21)</f>
        <v/>
      </c>
      <c r="AE20" s="634" t="str">
        <f>IF('1. Sem'!$AG$21="","",'1. Sem'!$AG$21)</f>
        <v/>
      </c>
      <c r="AF20" s="635" t="str">
        <f>IF('1. Sem'!$AH$21="","",'1. Sem'!$AH$21)</f>
        <v/>
      </c>
      <c r="AG20" s="630" t="str">
        <f>IF('1. Sem'!$AI$21="","",'1. Sem'!$AI$21)</f>
        <v/>
      </c>
      <c r="AH20" s="631" t="str">
        <f>IF('1. Sem'!$AJ$21="","",'1. Sem'!$AJ$21)</f>
        <v/>
      </c>
      <c r="AI20" s="631" t="str">
        <f>IF('1. Sem'!$AK$21="","",'1. Sem'!$AK$21)</f>
        <v/>
      </c>
      <c r="AJ20" s="631" t="str">
        <f>IF('1. Sem'!$AL$21="","",'1. Sem'!$AL$21)</f>
        <v/>
      </c>
      <c r="AK20" s="632" t="str">
        <f>IF('1. Sem'!$AM$21="","",'1. Sem'!$AM$21)</f>
        <v/>
      </c>
      <c r="AL20" s="633" t="str">
        <f>IF('1. Sem'!$AN$21="","",'1. Sem'!$AN$21)</f>
        <v/>
      </c>
      <c r="AM20" s="634" t="str">
        <f>IF('1. Sem'!$AO$21="","",'1. Sem'!$AO$21)</f>
        <v/>
      </c>
      <c r="AN20" s="634" t="str">
        <f>IF('1. Sem'!$AP$21="","",'1. Sem'!$AP$21)</f>
        <v/>
      </c>
      <c r="AO20" s="634" t="str">
        <f>IF('1. Sem'!$AQ$21="","",'1. Sem'!$AQ$21)</f>
        <v/>
      </c>
      <c r="AP20" s="635" t="str">
        <f>IF('1. Sem'!$AR$21="","",'1. Sem'!$AR$21)</f>
        <v/>
      </c>
      <c r="AQ20" s="630" t="str">
        <f>IF('1. Sem'!$AS$21="","",'1. Sem'!$AS$21)</f>
        <v/>
      </c>
      <c r="AR20" s="631" t="str">
        <f>IF('1. Sem'!$AT$21="","",'1. Sem'!$AT$21)</f>
        <v/>
      </c>
      <c r="AS20" s="631" t="str">
        <f>IF('1. Sem'!$AU$21="","",'1. Sem'!$AU$21)</f>
        <v/>
      </c>
      <c r="AT20" s="631" t="str">
        <f>IF('1. Sem'!$AV$21="","",'1. Sem'!$AV$21)</f>
        <v/>
      </c>
      <c r="AU20" s="632" t="str">
        <f>IF('1. Sem'!$AW$21="","",'1. Sem'!$AW$21)</f>
        <v/>
      </c>
      <c r="AV20" s="633" t="str">
        <f>IF('1. Sem'!$AX$21="","",'1. Sem'!$AX$21)</f>
        <v/>
      </c>
      <c r="AW20" s="634" t="str">
        <f>IF('1. Sem'!$AY$21="","",'1. Sem'!$AY$21)</f>
        <v/>
      </c>
      <c r="AX20" s="634" t="str">
        <f>IF('1. Sem'!$AZ$21="","",'1. Sem'!$AZ$21)</f>
        <v/>
      </c>
      <c r="AY20" s="634" t="str">
        <f>IF('1. Sem'!$BA$21="","",'1. Sem'!$BA$21)</f>
        <v/>
      </c>
      <c r="AZ20" s="635" t="str">
        <f>IF('1. Sem'!$BB$21="","",'1. Sem'!$BB$21)</f>
        <v/>
      </c>
      <c r="BA20" s="630" t="str">
        <f>IF('1. Sem'!$BC$21="","",'1. Sem'!$BC$21)</f>
        <v/>
      </c>
      <c r="BB20" s="631" t="str">
        <f>IF('1. Sem'!$BD$21="","",'1. Sem'!$BD$21)</f>
        <v/>
      </c>
      <c r="BC20" s="631" t="str">
        <f>IF('1. Sem'!$BE$21="","",'1. Sem'!$BE$21)</f>
        <v/>
      </c>
      <c r="BD20" s="631" t="str">
        <f>IF('1. Sem'!$BF$21="","",'1. Sem'!$BF$21)</f>
        <v/>
      </c>
      <c r="BE20" s="632" t="str">
        <f>IF('1. Sem'!$BG$21="","",'1. Sem'!$BG$21)</f>
        <v/>
      </c>
      <c r="BF20" s="633" t="str">
        <f>IF('1. Sem'!$BH$21="","",'1. Sem'!$BH$21)</f>
        <v/>
      </c>
      <c r="BG20" s="634" t="str">
        <f>IF('1. Sem'!$BI$21="","",'1. Sem'!$BI$21)</f>
        <v/>
      </c>
      <c r="BH20" s="634" t="str">
        <f>IF('1. Sem'!$BJ$21="","",'1. Sem'!$BJ$21)</f>
        <v/>
      </c>
      <c r="BI20" s="634" t="str">
        <f>IF('1. Sem'!$BK$21="","",'1. Sem'!$BK$21)</f>
        <v/>
      </c>
      <c r="BJ20" s="635" t="str">
        <f>IF('1. Sem'!$BL$21="","",'1. Sem'!$BL$21)</f>
        <v/>
      </c>
      <c r="BK20" s="630" t="str">
        <f>IF('1. Sem'!$BM$21="","",'1. Sem'!$BM$21)</f>
        <v/>
      </c>
      <c r="BL20" s="631" t="str">
        <f>IF('1. Sem'!$BN$21="","",'1. Sem'!$BN$21)</f>
        <v/>
      </c>
      <c r="BM20" s="631" t="str">
        <f>IF('1. Sem'!$BO$21="","",'1. Sem'!$BO$21)</f>
        <v/>
      </c>
      <c r="BN20" s="631" t="str">
        <f>IF('1. Sem'!$BP$21="","",'1. Sem'!$BP$21)</f>
        <v/>
      </c>
      <c r="BO20" s="632" t="str">
        <f>IF('1. Sem'!$BQ$21="","",'1. Sem'!$BQ$21)</f>
        <v/>
      </c>
      <c r="BP20" s="633" t="str">
        <f>IF('1. Sem'!$BR$21="","",'1. Sem'!$BR$21)</f>
        <v/>
      </c>
      <c r="BQ20" s="634" t="str">
        <f>IF('1. Sem'!$BS$21="","",'1. Sem'!$BS$21)</f>
        <v/>
      </c>
      <c r="BR20" s="634" t="str">
        <f>IF('1. Sem'!$BT$21="","",'1. Sem'!$BT$21)</f>
        <v/>
      </c>
      <c r="BS20" s="634" t="str">
        <f>IF('1. Sem'!$BU$21="","",'1. Sem'!$BU$21)</f>
        <v/>
      </c>
      <c r="BT20" s="635" t="str">
        <f>IF('1. Sem'!$BV$21="","",'1. Sem'!$BV$21)</f>
        <v/>
      </c>
      <c r="BU20" s="630" t="str">
        <f>IF('1. Sem'!$BW$21="","",'1. Sem'!$BW$21)</f>
        <v/>
      </c>
      <c r="BV20" s="631" t="str">
        <f>IF('1. Sem'!$BX$21="","",'1. Sem'!$BX$21)</f>
        <v/>
      </c>
      <c r="BW20" s="631" t="str">
        <f>IF('1. Sem'!$BY$21="","",'1. Sem'!$BY$21)</f>
        <v/>
      </c>
      <c r="BX20" s="631" t="str">
        <f>IF('1. Sem'!$BZ$21="","",'1. Sem'!$BZ$21)</f>
        <v/>
      </c>
      <c r="BY20" s="632" t="str">
        <f>IF('1. Sem'!$CA$21="","",'1. Sem'!$CA$21)</f>
        <v/>
      </c>
      <c r="BZ20" s="633" t="str">
        <f>IF('1. Sem'!$CB$21="","",'1. Sem'!$CB$21)</f>
        <v/>
      </c>
      <c r="CA20" s="634" t="str">
        <f>IF('1. Sem'!$CC$21="","",'1. Sem'!$CC$21)</f>
        <v/>
      </c>
      <c r="CB20" s="634" t="str">
        <f>IF('1. Sem'!$CD$21="","",'1. Sem'!$CD$21)</f>
        <v/>
      </c>
      <c r="CC20" s="634" t="str">
        <f>IF('1. Sem'!$CE$21="","",'1. Sem'!$CE$21)</f>
        <v/>
      </c>
      <c r="CD20" s="635" t="str">
        <f>IF('1. Sem'!$CF$21="","",'1. Sem'!$CF$21)</f>
        <v/>
      </c>
      <c r="CE20" s="630" t="str">
        <f>IF('1. Sem'!$CG$21="","",'1. Sem'!$CG$21)</f>
        <v/>
      </c>
      <c r="CF20" s="631" t="str">
        <f>IF('1. Sem'!$CH$21="","",'1. Sem'!$CH$21)</f>
        <v/>
      </c>
      <c r="CG20" s="631" t="str">
        <f>IF('1. Sem'!$CI$21="","",'1. Sem'!$CI$21)</f>
        <v/>
      </c>
      <c r="CH20" s="631" t="str">
        <f>IF('1. Sem'!$CJ$21="","",'1. Sem'!$CJ$21)</f>
        <v/>
      </c>
      <c r="CI20" s="632" t="str">
        <f>IF('1. Sem'!$CK$21="","",'1. Sem'!$CK$21)</f>
        <v/>
      </c>
      <c r="CJ20" s="633" t="str">
        <f>IF('1. Sem'!$CL$21="","",'1. Sem'!$CL$21)</f>
        <v/>
      </c>
      <c r="CK20" s="634" t="str">
        <f>IF('1. Sem'!$CM$21="","",'1. Sem'!$CM$21)</f>
        <v/>
      </c>
      <c r="CL20" s="634" t="str">
        <f>IF('1. Sem'!$CN$21="","",'1. Sem'!$CN$21)</f>
        <v/>
      </c>
      <c r="CM20" s="634" t="str">
        <f>IF('1. Sem'!$CO$21="","",'1. Sem'!$CO$21)</f>
        <v/>
      </c>
      <c r="CN20" s="635" t="str">
        <f>IF('1. Sem'!$CP$21="","",'1. Sem'!$CP$21)</f>
        <v/>
      </c>
      <c r="CO20" s="630" t="str">
        <f>IF('1. Sem'!$CQ$21="","",'1. Sem'!$CQ$21)</f>
        <v/>
      </c>
      <c r="CP20" s="631" t="str">
        <f>IF('1. Sem'!$CR$21="","",'1. Sem'!$CR$21)</f>
        <v/>
      </c>
      <c r="CQ20" s="631" t="str">
        <f>IF('1. Sem'!$CS$21="","",'1. Sem'!$CS$21)</f>
        <v/>
      </c>
      <c r="CR20" s="631" t="str">
        <f>IF('1. Sem'!$CT$21="","",'1. Sem'!$CT$21)</f>
        <v/>
      </c>
      <c r="CS20" s="632" t="str">
        <f>IF('1. Sem'!$CU$21="","",'1. Sem'!$CU$21)</f>
        <v/>
      </c>
      <c r="CT20" s="633" t="str">
        <f>IF('1. Sem'!$CV$21="","",'1. Sem'!$CV$21)</f>
        <v/>
      </c>
      <c r="CU20" s="634" t="str">
        <f>IF('1. Sem'!$CW$21="","",'1. Sem'!$CW$21)</f>
        <v/>
      </c>
      <c r="CV20" s="634" t="str">
        <f>IF('1. Sem'!$CX$21="","",'1. Sem'!$CX$21)</f>
        <v/>
      </c>
      <c r="CW20" s="634" t="str">
        <f>IF('1. Sem'!$CY$21="","",'1. Sem'!$CY$21)</f>
        <v/>
      </c>
      <c r="CX20" s="635" t="str">
        <f>IF('1. Sem'!$CZ$21="","",'1. Sem'!$CZ$21)</f>
        <v/>
      </c>
      <c r="CY20" s="630" t="str">
        <f>IF('1. Sem'!$DA$21="","",'1. Sem'!$DA$21)</f>
        <v/>
      </c>
      <c r="CZ20" s="631" t="str">
        <f>IF('1. Sem'!$DB$21="","",'1. Sem'!$DB$21)</f>
        <v/>
      </c>
      <c r="DA20" s="631" t="str">
        <f>IF('1. Sem'!$DC$21="","",'1. Sem'!$DC$21)</f>
        <v/>
      </c>
      <c r="DB20" s="631" t="str">
        <f>IF('1. Sem'!$DD$21="","",'1. Sem'!$DD$21)</f>
        <v/>
      </c>
      <c r="DC20" s="632" t="str">
        <f>IF('1. Sem'!$DE$21="","",'1. Sem'!$DE$21)</f>
        <v/>
      </c>
    </row>
    <row r="21" spans="1:107" ht="17" thickBot="1" x14ac:dyDescent="0.25">
      <c r="A21" s="562"/>
      <c r="B21" s="562"/>
      <c r="C21" s="563"/>
      <c r="D21" s="563"/>
      <c r="E21" s="563"/>
      <c r="F21" s="563"/>
      <c r="G21" s="563"/>
      <c r="H21" s="563"/>
      <c r="I21" s="563"/>
      <c r="J21" s="563"/>
      <c r="K21" s="563"/>
      <c r="L21" s="563"/>
      <c r="M21" s="563"/>
      <c r="N21" s="563"/>
      <c r="O21" s="563"/>
      <c r="P21" s="563"/>
      <c r="Q21" s="563"/>
      <c r="R21" s="563"/>
      <c r="S21" s="563"/>
      <c r="T21" s="563"/>
      <c r="U21" s="563"/>
      <c r="V21" s="563"/>
      <c r="W21" s="563"/>
      <c r="X21" s="563"/>
      <c r="Y21" s="563"/>
      <c r="Z21" s="563"/>
      <c r="AA21" s="563"/>
      <c r="AB21" s="563"/>
      <c r="AC21" s="563"/>
      <c r="AD21" s="563"/>
      <c r="AE21" s="563"/>
      <c r="AF21" s="563"/>
      <c r="AG21" s="563"/>
      <c r="AH21" s="563"/>
      <c r="AI21" s="563"/>
      <c r="AJ21" s="563"/>
      <c r="AK21" s="563"/>
      <c r="AL21" s="563"/>
      <c r="AM21" s="563"/>
      <c r="AN21" s="563"/>
      <c r="AO21" s="563"/>
      <c r="AP21" s="563"/>
      <c r="AQ21" s="563"/>
      <c r="AR21" s="563"/>
      <c r="AS21" s="563"/>
      <c r="AT21" s="563"/>
      <c r="AU21" s="563"/>
      <c r="AV21" s="563"/>
      <c r="AW21" s="563"/>
      <c r="AX21" s="563"/>
      <c r="AY21" s="563"/>
      <c r="AZ21" s="563"/>
      <c r="BA21" s="563"/>
      <c r="BB21" s="563"/>
      <c r="BC21" s="563"/>
      <c r="BD21" s="563"/>
      <c r="BE21" s="563"/>
      <c r="BF21" s="563"/>
      <c r="BG21" s="563"/>
      <c r="BH21" s="563"/>
      <c r="BI21" s="563"/>
      <c r="BJ21" s="563"/>
      <c r="BK21" s="563"/>
      <c r="BL21" s="563"/>
      <c r="BM21" s="563"/>
      <c r="BN21" s="563"/>
      <c r="BO21" s="563"/>
      <c r="BP21" s="563"/>
      <c r="BQ21" s="563"/>
      <c r="BR21" s="563"/>
      <c r="BS21" s="563"/>
      <c r="BT21" s="563"/>
      <c r="BU21" s="564"/>
      <c r="BV21" s="563"/>
      <c r="BW21" s="563"/>
      <c r="BX21" s="563"/>
      <c r="BY21" s="563"/>
      <c r="BZ21" s="563"/>
      <c r="CA21" s="563"/>
      <c r="CB21" s="563"/>
      <c r="CC21" s="563"/>
      <c r="CD21" s="563"/>
      <c r="CE21" s="563"/>
      <c r="CF21" s="563"/>
      <c r="CG21" s="563"/>
      <c r="CH21" s="563"/>
      <c r="CI21" s="563"/>
      <c r="CJ21" s="563"/>
      <c r="CK21" s="563"/>
      <c r="CL21" s="563"/>
      <c r="CM21" s="563"/>
      <c r="CN21" s="565"/>
      <c r="CO21" s="563"/>
      <c r="CP21" s="563"/>
      <c r="CQ21" s="563"/>
      <c r="CR21" s="563"/>
      <c r="CS21" s="563"/>
      <c r="CT21" s="563"/>
      <c r="CU21" s="563"/>
      <c r="CV21" s="563"/>
      <c r="CW21" s="563"/>
      <c r="CX21" s="563"/>
      <c r="CY21" s="563"/>
      <c r="CZ21" s="563"/>
      <c r="DA21" s="563"/>
      <c r="DB21" s="563"/>
      <c r="DC21" s="563"/>
    </row>
    <row r="22" spans="1:107" ht="16" customHeight="1" x14ac:dyDescent="0.2">
      <c r="A22" s="566" t="s">
        <v>371</v>
      </c>
      <c r="B22" s="567" t="s">
        <v>7</v>
      </c>
      <c r="C22" s="568" t="str">
        <f>IF('2. Sem'!$E$7="","",'2. Sem'!$E$7)</f>
        <v/>
      </c>
      <c r="D22" s="569" t="str">
        <f>IF('2. Sem'!$F$7="","",'2. Sem'!$F$7)</f>
        <v/>
      </c>
      <c r="E22" s="569" t="str">
        <f>IF('2. Sem'!$G$7="","",'2. Sem'!$G$7)</f>
        <v/>
      </c>
      <c r="F22" s="569" t="str">
        <f>IF('2. Sem'!$H$7="","",'2. Sem'!$H$7)</f>
        <v/>
      </c>
      <c r="G22" s="570" t="str">
        <f>IF('2. Sem'!$I$7="","",'2. Sem'!$I$7)</f>
        <v/>
      </c>
      <c r="H22" s="571" t="str">
        <f>IF('2. Sem'!$J$7="","",'2. Sem'!$J$7)</f>
        <v/>
      </c>
      <c r="I22" s="572" t="str">
        <f>IF('2. Sem'!$K$7="","",'2. Sem'!$K$7)</f>
        <v/>
      </c>
      <c r="J22" s="572" t="str">
        <f>IF('2. Sem'!$L$7="","",'2. Sem'!$L$7)</f>
        <v/>
      </c>
      <c r="K22" s="572" t="str">
        <f>IF('2. Sem'!$M$7="","",'2. Sem'!$M$7)</f>
        <v/>
      </c>
      <c r="L22" s="573" t="str">
        <f>IF('2. Sem'!$N$7="","",'2. Sem'!$N$7)</f>
        <v/>
      </c>
      <c r="M22" s="574" t="str">
        <f>IF('2. Sem'!$O$7="","",'2. Sem'!$O$7)</f>
        <v/>
      </c>
      <c r="N22" s="569" t="str">
        <f>IF('2. Sem'!$P$7="","",'2. Sem'!$P$7)</f>
        <v/>
      </c>
      <c r="O22" s="569" t="str">
        <f>IF('2. Sem'!$Q$7="","",'2. Sem'!$Q$7)</f>
        <v/>
      </c>
      <c r="P22" s="569" t="str">
        <f>IF('2. Sem'!$R$7="","",'2. Sem'!$R$7)</f>
        <v/>
      </c>
      <c r="Q22" s="570" t="str">
        <f>IF('2. Sem'!$S$7="","",'2. Sem'!$S$7)</f>
        <v/>
      </c>
      <c r="R22" s="571" t="str">
        <f>IF('2. Sem'!$T$7="","",'2. Sem'!$T$7)</f>
        <v/>
      </c>
      <c r="S22" s="572" t="str">
        <f>IF('2. Sem'!$U$7="","",'2. Sem'!$U$7)</f>
        <v/>
      </c>
      <c r="T22" s="572" t="str">
        <f>IF('2. Sem'!$V$7="","",'2. Sem'!$V$7)</f>
        <v/>
      </c>
      <c r="U22" s="572" t="str">
        <f>IF('2. Sem'!$W$7="","",'2. Sem'!$W$7)</f>
        <v/>
      </c>
      <c r="V22" s="573" t="str">
        <f>IF('2. Sem'!$X$7="","",'2. Sem'!$X$7)</f>
        <v/>
      </c>
      <c r="W22" s="574" t="str">
        <f>IF('2. Sem'!$Y$7="","",'2. Sem'!$Y$7)</f>
        <v/>
      </c>
      <c r="X22" s="569" t="str">
        <f>IF('2. Sem'!$Z$7="","",'2. Sem'!$Z$7)</f>
        <v/>
      </c>
      <c r="Y22" s="569" t="str">
        <f>IF('2. Sem'!$AA$7="","",'2. Sem'!$AA$7)</f>
        <v/>
      </c>
      <c r="Z22" s="569" t="str">
        <f>IF('2. Sem'!$AB$7="","",'2. Sem'!$AB$7)</f>
        <v/>
      </c>
      <c r="AA22" s="570" t="str">
        <f>IF('2. Sem'!$AC$7="","",'2. Sem'!$AC$7)</f>
        <v/>
      </c>
      <c r="AB22" s="571" t="str">
        <f>IF('2. Sem'!$AD$7="","",'2. Sem'!$AD$7)</f>
        <v/>
      </c>
      <c r="AC22" s="572" t="str">
        <f>IF('2. Sem'!$AE$7="","",'2. Sem'!$AE$7)</f>
        <v/>
      </c>
      <c r="AD22" s="572" t="str">
        <f>IF('2. Sem'!$AF$7="","",'2. Sem'!$AF$7)</f>
        <v/>
      </c>
      <c r="AE22" s="572" t="str">
        <f>IF('2. Sem'!$AG$7="","",'2. Sem'!$AG$7)</f>
        <v/>
      </c>
      <c r="AF22" s="573" t="str">
        <f>IF('2. Sem'!$AH$7="","",'2. Sem'!$AH$7)</f>
        <v/>
      </c>
      <c r="AG22" s="574" t="str">
        <f>IF('2. Sem'!$AI$7="","",'2. Sem'!$AI$7)</f>
        <v/>
      </c>
      <c r="AH22" s="569" t="str">
        <f>IF('2. Sem'!$AJ$7="","",'2. Sem'!$AJ$7)</f>
        <v/>
      </c>
      <c r="AI22" s="569" t="str">
        <f>IF('2. Sem'!$AK$7="","",'2. Sem'!$AK$7)</f>
        <v/>
      </c>
      <c r="AJ22" s="569" t="str">
        <f>IF('2. Sem'!$AL$7="","",'2. Sem'!$AL$7)</f>
        <v/>
      </c>
      <c r="AK22" s="570" t="str">
        <f>IF('2. Sem'!$AM$7="","",'2. Sem'!$AM$7)</f>
        <v/>
      </c>
      <c r="AL22" s="578" t="str">
        <f>IF('2. Sem'!$AN$7="","",'2. Sem'!$AN$7)</f>
        <v/>
      </c>
      <c r="AM22" s="576" t="str">
        <f>IF('2. Sem'!$AO$7="","",'2. Sem'!$AO$7)</f>
        <v/>
      </c>
      <c r="AN22" s="576" t="str">
        <f>IF('2. Sem'!$AP$7="","",'2. Sem'!$AP$7)</f>
        <v/>
      </c>
      <c r="AO22" s="576" t="str">
        <f>IF('2. Sem'!$AQ$7="","",'2. Sem'!$AQ$7)</f>
        <v/>
      </c>
      <c r="AP22" s="577" t="str">
        <f>IF('2. Sem'!$AR$7="","",'2. Sem'!$AR$7)</f>
        <v/>
      </c>
      <c r="AQ22" s="575" t="str">
        <f>IF('2. Sem'!$AS$7="","",'2. Sem'!$AS$7)</f>
        <v/>
      </c>
      <c r="AR22" s="569" t="str">
        <f>IF('2. Sem'!$AT$7="","",'2. Sem'!$AT$7)</f>
        <v/>
      </c>
      <c r="AS22" s="569" t="str">
        <f>IF('2. Sem'!$AU$7="","",'2. Sem'!$AU$7)</f>
        <v/>
      </c>
      <c r="AT22" s="569" t="str">
        <f>IF('2. Sem'!$AV$7="","",'2. Sem'!$AV$7)</f>
        <v/>
      </c>
      <c r="AU22" s="570" t="str">
        <f>IF('2. Sem'!$AW$7="","",'2. Sem'!$AW$7)</f>
        <v/>
      </c>
      <c r="AV22" s="571" t="str">
        <f>IF('2. Sem'!$AX$7="","",'2. Sem'!$AX$7)</f>
        <v/>
      </c>
      <c r="AW22" s="572" t="str">
        <f>IF('2. Sem'!$AY$7="","",'2. Sem'!$AY$7)</f>
        <v/>
      </c>
      <c r="AX22" s="572" t="str">
        <f>IF('2. Sem'!$AZ$7="","",'2. Sem'!$AZ$7)</f>
        <v/>
      </c>
      <c r="AY22" s="572" t="str">
        <f>IF('2. Sem'!$BA$7="","",'2. Sem'!$BA$7)</f>
        <v/>
      </c>
      <c r="AZ22" s="573" t="str">
        <f>IF('2. Sem'!$BB$7="","",'2. Sem'!$BB$7)</f>
        <v/>
      </c>
      <c r="BA22" s="574" t="str">
        <f>IF('2. Sem'!$BC$7="","",'2. Sem'!$BC$7)</f>
        <v/>
      </c>
      <c r="BB22" s="569" t="str">
        <f>IF('2. Sem'!$BD$7="","",'2. Sem'!$BD$7)</f>
        <v/>
      </c>
      <c r="BC22" s="569" t="str">
        <f>IF('2. Sem'!$BE$7="","",'2. Sem'!$BE$7)</f>
        <v/>
      </c>
      <c r="BD22" s="569" t="str">
        <f>IF('2. Sem'!$BF$7="","",'2. Sem'!$BF$7)</f>
        <v/>
      </c>
      <c r="BE22" s="570" t="str">
        <f>IF('2. Sem'!$BG$7="","",'2. Sem'!$BG$7)</f>
        <v/>
      </c>
      <c r="BF22" s="571" t="str">
        <f>IF('2. Sem'!$BH$7="","",'2. Sem'!$BH$7)</f>
        <v/>
      </c>
      <c r="BG22" s="572" t="str">
        <f>IF('2. Sem'!$BI$7="","",'2. Sem'!$BI$7)</f>
        <v/>
      </c>
      <c r="BH22" s="572" t="str">
        <f>IF('2. Sem'!$BJ$7="","",'2. Sem'!$BJ$7)</f>
        <v/>
      </c>
      <c r="BI22" s="572" t="str">
        <f>IF('2. Sem'!$BK$7="","",'2. Sem'!$BK$7)</f>
        <v/>
      </c>
      <c r="BJ22" s="573" t="str">
        <f>IF('2. Sem'!$BL$7="","",'2. Sem'!$BL$7)</f>
        <v/>
      </c>
      <c r="BK22" s="574" t="str">
        <f>IF('2. Sem'!$BM$7="","",'2. Sem'!$BM$7)</f>
        <v/>
      </c>
      <c r="BL22" s="569" t="str">
        <f>IF('2. Sem'!$BN$7="","",'2. Sem'!$BN$7)</f>
        <v/>
      </c>
      <c r="BM22" s="569" t="str">
        <f>IF('2. Sem'!$BO$7="","",'2. Sem'!$BO$7)</f>
        <v/>
      </c>
      <c r="BN22" s="569" t="str">
        <f>IF('2. Sem'!$BP$7="","",'2. Sem'!$BP$7)</f>
        <v/>
      </c>
      <c r="BO22" s="570" t="str">
        <f>IF('2. Sem'!$BQ$7="","",'2. Sem'!$BQ$7)</f>
        <v/>
      </c>
      <c r="BP22" s="571" t="str">
        <f>IF('2. Sem'!$BR$7="","",'2. Sem'!$BR$7)</f>
        <v/>
      </c>
      <c r="BQ22" s="572" t="str">
        <f>IF('2. Sem'!$BS$7="","",'2. Sem'!$BS$7)</f>
        <v/>
      </c>
      <c r="BR22" s="572" t="str">
        <f>IF('2. Sem'!$BT$7="","",'2. Sem'!$BT$7)</f>
        <v/>
      </c>
      <c r="BS22" s="576" t="str">
        <f>IF('2. Sem'!$BU$7="","",'2. Sem'!$BU$7)</f>
        <v/>
      </c>
      <c r="BT22" s="577" t="str">
        <f>IF('2. Sem'!$BV$7="","",'2. Sem'!$BV$7)</f>
        <v/>
      </c>
      <c r="BU22" s="574" t="str">
        <f>IF('2. Sem'!$BW$7="","",'2. Sem'!$BW$7)</f>
        <v/>
      </c>
      <c r="BV22" s="569" t="str">
        <f>IF('2. Sem'!$BX$7="","",'2. Sem'!$BX$7)</f>
        <v/>
      </c>
      <c r="BW22" s="569" t="str">
        <f>IF('2. Sem'!$BY$7="","",'2. Sem'!$BY$7)</f>
        <v/>
      </c>
      <c r="BX22" s="569" t="str">
        <f>IF('2. Sem'!$BZ$7="","",'2. Sem'!$BZ$7)</f>
        <v/>
      </c>
      <c r="BY22" s="570" t="str">
        <f>IF('2. Sem'!$CA$7="","",'2. Sem'!$CA$7)</f>
        <v/>
      </c>
      <c r="BZ22" s="578" t="str">
        <f>IF('2. Sem'!$CB$7="","",'2. Sem'!$CB$7)</f>
        <v/>
      </c>
      <c r="CA22" s="572" t="str">
        <f>IF('2. Sem'!$CC$7="","",'2. Sem'!$CC$7)</f>
        <v/>
      </c>
      <c r="CB22" s="572" t="str">
        <f>IF('2. Sem'!$CD$7="","",'2. Sem'!$CD$7)</f>
        <v/>
      </c>
      <c r="CC22" s="572" t="str">
        <f>IF('2. Sem'!$CE$7="","",'2. Sem'!$CE$7)</f>
        <v/>
      </c>
      <c r="CD22" s="573" t="str">
        <f>IF('2. Sem'!$CF$7="","",'2. Sem'!$CF$7)</f>
        <v/>
      </c>
      <c r="CE22" s="574" t="str">
        <f>IF('2. Sem'!$CG$7="","",'2. Sem'!$CG$7)</f>
        <v/>
      </c>
      <c r="CF22" s="569" t="str">
        <f>IF('2. Sem'!$CH$7="","",'2. Sem'!$CH$7)</f>
        <v/>
      </c>
      <c r="CG22" s="569" t="str">
        <f>IF('2. Sem'!$CI$7="","",'2. Sem'!$CI$7)</f>
        <v/>
      </c>
      <c r="CH22" s="569" t="str">
        <f>IF('2. Sem'!$CJ$7="","",'2. Sem'!$CJ$7)</f>
        <v/>
      </c>
      <c r="CI22" s="570" t="str">
        <f>IF('2. Sem'!$CK$7="","",'2. Sem'!$CK$7)</f>
        <v/>
      </c>
      <c r="CJ22" s="571" t="str">
        <f>IF('2. Sem'!$CL$7="","",'2. Sem'!$CL$7)</f>
        <v/>
      </c>
      <c r="CK22" s="572" t="str">
        <f>IF('2. Sem'!$CM$7="","",'2. Sem'!$CM$7)</f>
        <v/>
      </c>
      <c r="CL22" s="572" t="str">
        <f>IF('2. Sem'!$CN$7="","",'2. Sem'!$CN$7)</f>
        <v/>
      </c>
      <c r="CM22" s="572" t="str">
        <f>IF('2. Sem'!$CO$7="","",'2. Sem'!$CO$7)</f>
        <v/>
      </c>
      <c r="CN22" s="573" t="str">
        <f>IF('2. Sem'!$CP$7="","",'2. Sem'!$CP$7)</f>
        <v/>
      </c>
      <c r="CO22" s="574" t="str">
        <f>IF('2. Sem'!$CQ$7="","",'2. Sem'!$CQ$7)</f>
        <v/>
      </c>
      <c r="CP22" s="569" t="str">
        <f>IF('2. Sem'!$CR$7="","",'2. Sem'!$CR$7)</f>
        <v/>
      </c>
      <c r="CQ22" s="569" t="str">
        <f>IF('2. Sem'!$CS$7="","",'2. Sem'!$CS$7)</f>
        <v/>
      </c>
      <c r="CR22" s="569" t="str">
        <f>IF('2. Sem'!$CT$7="","",'2. Sem'!$CT$7)</f>
        <v/>
      </c>
      <c r="CS22" s="570" t="str">
        <f>IF('2. Sem'!$CU$7="","",'2. Sem'!$CU$7)</f>
        <v/>
      </c>
      <c r="CT22" s="571" t="str">
        <f>IF('2. Sem'!$CV$7="","",'2. Sem'!$CV$7)</f>
        <v/>
      </c>
      <c r="CU22" s="572" t="str">
        <f>IF('2. Sem'!$CW$7="","",'2. Sem'!$CW$7)</f>
        <v/>
      </c>
      <c r="CV22" s="572" t="str">
        <f>IF('2. Sem'!$CX$7="","",'2. Sem'!$CX$7)</f>
        <v/>
      </c>
      <c r="CW22" s="572" t="str">
        <f>IF('2. Sem'!$CY$7="","",'2. Sem'!$CY$7)</f>
        <v/>
      </c>
      <c r="CX22" s="573" t="str">
        <f>IF('2. Sem'!$CZ$7="","",'2. Sem'!$CZ$7)</f>
        <v/>
      </c>
      <c r="CY22" s="574" t="str">
        <f>IF('2. Sem'!$DA$7="","",'2. Sem'!$DA$7)</f>
        <v/>
      </c>
      <c r="CZ22" s="569" t="str">
        <f>IF('2. Sem'!$DB$7="","",'2. Sem'!$DB$7)</f>
        <v/>
      </c>
      <c r="DA22" s="569" t="str">
        <f>IF('2. Sem'!$DC$7="","",'2. Sem'!$DC$7)</f>
        <v/>
      </c>
      <c r="DB22" s="569" t="str">
        <f>IF('2. Sem'!$DD$7="","",'2. Sem'!$DD$7)</f>
        <v/>
      </c>
      <c r="DC22" s="570" t="str">
        <f>IF('2. Sem'!$DE$7="","",'2. Sem'!$DE$7)</f>
        <v/>
      </c>
    </row>
    <row r="23" spans="1:107" ht="16" customHeight="1" x14ac:dyDescent="0.2">
      <c r="A23" s="566"/>
      <c r="B23" s="579" t="s">
        <v>15</v>
      </c>
      <c r="C23" s="580" t="str">
        <f>IF('2. Sem'!$E$8="","",'2. Sem'!$E$8)</f>
        <v/>
      </c>
      <c r="D23" s="581" t="str">
        <f>IF('2. Sem'!$F$8="","",'2. Sem'!$F$8)</f>
        <v/>
      </c>
      <c r="E23" s="581" t="str">
        <f>IF('2. Sem'!$G$8="","",'2. Sem'!$G$8)</f>
        <v/>
      </c>
      <c r="F23" s="581" t="str">
        <f>IF('2. Sem'!$H$8="","",'2. Sem'!$H$8)</f>
        <v/>
      </c>
      <c r="G23" s="582" t="str">
        <f>IF('2. Sem'!$I$8="","",'2. Sem'!$I$8)</f>
        <v/>
      </c>
      <c r="H23" s="583" t="str">
        <f>IF('2. Sem'!$J$8="","",'2. Sem'!$J$8)</f>
        <v/>
      </c>
      <c r="I23" s="584" t="str">
        <f>IF('2. Sem'!$K$8="","",'2. Sem'!$K$8)</f>
        <v/>
      </c>
      <c r="J23" s="584" t="str">
        <f>IF('2. Sem'!$L$8="","",'2. Sem'!$L$8)</f>
        <v/>
      </c>
      <c r="K23" s="584" t="str">
        <f>IF('2. Sem'!$M$8="","",'2. Sem'!$M$8)</f>
        <v/>
      </c>
      <c r="L23" s="585" t="str">
        <f>IF('2. Sem'!$N$8="","",'2. Sem'!$N$8)</f>
        <v/>
      </c>
      <c r="M23" s="586" t="str">
        <f>IF('2. Sem'!$O$8="","",'2. Sem'!$O$8)</f>
        <v/>
      </c>
      <c r="N23" s="581" t="str">
        <f>IF('2. Sem'!$P$8="","",'2. Sem'!$P$8)</f>
        <v/>
      </c>
      <c r="O23" s="581" t="str">
        <f>IF('2. Sem'!$Q$8="","",'2. Sem'!$Q$8)</f>
        <v/>
      </c>
      <c r="P23" s="581" t="str">
        <f>IF('2. Sem'!$R$8="","",'2. Sem'!$R$8)</f>
        <v/>
      </c>
      <c r="Q23" s="582" t="str">
        <f>IF('2. Sem'!$S$8="","",'2. Sem'!$S$8)</f>
        <v/>
      </c>
      <c r="R23" s="583" t="str">
        <f>IF('2. Sem'!$T$8="","",'2. Sem'!$T$8)</f>
        <v/>
      </c>
      <c r="S23" s="584" t="str">
        <f>IF('2. Sem'!$U$8="","",'2. Sem'!$U$8)</f>
        <v/>
      </c>
      <c r="T23" s="584" t="str">
        <f>IF('2. Sem'!$V$8="","",'2. Sem'!$V$8)</f>
        <v/>
      </c>
      <c r="U23" s="584" t="str">
        <f>IF('2. Sem'!$W$8="","",'2. Sem'!$W$8)</f>
        <v/>
      </c>
      <c r="V23" s="585" t="str">
        <f>IF('2. Sem'!$X$8="","",'2. Sem'!$X$8)</f>
        <v/>
      </c>
      <c r="W23" s="586" t="str">
        <f>IF('2. Sem'!$Y$8="","",'2. Sem'!$Y$8)</f>
        <v/>
      </c>
      <c r="X23" s="581" t="str">
        <f>IF('2. Sem'!$Z$8="","",'2. Sem'!$Z$8)</f>
        <v/>
      </c>
      <c r="Y23" s="581" t="str">
        <f>IF('2. Sem'!$AA$8="","",'2. Sem'!$AA$8)</f>
        <v/>
      </c>
      <c r="Z23" s="581" t="str">
        <f>IF('2. Sem'!$AB$8="","",'2. Sem'!$AB$8)</f>
        <v/>
      </c>
      <c r="AA23" s="582" t="str">
        <f>IF('2. Sem'!$AC$8="","",'2. Sem'!$AC$8)</f>
        <v/>
      </c>
      <c r="AB23" s="583" t="str">
        <f>IF('2. Sem'!$AD$8="","",'2. Sem'!$AD$8)</f>
        <v/>
      </c>
      <c r="AC23" s="584" t="str">
        <f>IF('2. Sem'!$AE$8="","",'2. Sem'!$AE$8)</f>
        <v/>
      </c>
      <c r="AD23" s="584" t="str">
        <f>IF('2. Sem'!$AF$8="","",'2. Sem'!$AF$8)</f>
        <v/>
      </c>
      <c r="AE23" s="584" t="str">
        <f>IF('2. Sem'!$AG$8="","",'2. Sem'!$AG$8)</f>
        <v/>
      </c>
      <c r="AF23" s="585" t="str">
        <f>IF('2. Sem'!$AH$8="","",'2. Sem'!$AH$8)</f>
        <v/>
      </c>
      <c r="AG23" s="586" t="str">
        <f>IF('2. Sem'!$AI$8="","",'2. Sem'!$AI$8)</f>
        <v/>
      </c>
      <c r="AH23" s="581" t="str">
        <f>IF('2. Sem'!$AJ$8="","",'2. Sem'!$AJ$8)</f>
        <v/>
      </c>
      <c r="AI23" s="581" t="str">
        <f>IF('2. Sem'!$AK$8="","",'2. Sem'!$AK$8)</f>
        <v/>
      </c>
      <c r="AJ23" s="581" t="str">
        <f>IF('2. Sem'!$AL$8="","",'2. Sem'!$AL$8)</f>
        <v/>
      </c>
      <c r="AK23" s="582" t="str">
        <f>IF('2. Sem'!$AM$8="","",'2. Sem'!$AM$8)</f>
        <v/>
      </c>
      <c r="AL23" s="590" t="str">
        <f>IF('2. Sem'!$AN$8="","",'2. Sem'!$AN$8)</f>
        <v/>
      </c>
      <c r="AM23" s="588" t="str">
        <f>IF('2. Sem'!$AO$8="","",'2. Sem'!$AO$8)</f>
        <v/>
      </c>
      <c r="AN23" s="588" t="str">
        <f>IF('2. Sem'!$AP$8="","",'2. Sem'!$AP$8)</f>
        <v/>
      </c>
      <c r="AO23" s="588" t="str">
        <f>IF('2. Sem'!$AQ$8="","",'2. Sem'!$AQ$8)</f>
        <v/>
      </c>
      <c r="AP23" s="589" t="str">
        <f>IF('2. Sem'!$AR$8="","",'2. Sem'!$AR$8)</f>
        <v/>
      </c>
      <c r="AQ23" s="587" t="str">
        <f>IF('2. Sem'!$AS$8="","",'2. Sem'!$AS$8)</f>
        <v/>
      </c>
      <c r="AR23" s="581" t="str">
        <f>IF('2. Sem'!$AT$8="","",'2. Sem'!$AT$8)</f>
        <v/>
      </c>
      <c r="AS23" s="581" t="str">
        <f>IF('2. Sem'!$AU$8="","",'2. Sem'!$AU$8)</f>
        <v/>
      </c>
      <c r="AT23" s="581" t="str">
        <f>IF('2. Sem'!$AV$8="","",'2. Sem'!$AV$8)</f>
        <v/>
      </c>
      <c r="AU23" s="582" t="str">
        <f>IF('2. Sem'!$AW$8="","",'2. Sem'!$AW$8)</f>
        <v/>
      </c>
      <c r="AV23" s="583" t="str">
        <f>IF('2. Sem'!$AX$8="","",'2. Sem'!$AX$8)</f>
        <v/>
      </c>
      <c r="AW23" s="584" t="str">
        <f>IF('2. Sem'!$AY$8="","",'2. Sem'!$AY$8)</f>
        <v/>
      </c>
      <c r="AX23" s="584" t="str">
        <f>IF('2. Sem'!$AZ$8="","",'2. Sem'!$AZ$8)</f>
        <v/>
      </c>
      <c r="AY23" s="584" t="str">
        <f>IF('2. Sem'!$BA$8="","",'2. Sem'!$BA$8)</f>
        <v/>
      </c>
      <c r="AZ23" s="585" t="str">
        <f>IF('2. Sem'!$BB$8="","",'2. Sem'!$BB$8)</f>
        <v/>
      </c>
      <c r="BA23" s="586" t="str">
        <f>IF('2. Sem'!$BC$8="","",'2. Sem'!$BC$8)</f>
        <v/>
      </c>
      <c r="BB23" s="581" t="str">
        <f>IF('2. Sem'!$BD$8="","",'2. Sem'!$BD$8)</f>
        <v/>
      </c>
      <c r="BC23" s="581" t="str">
        <f>IF('2. Sem'!$BE$8="","",'2. Sem'!$BE$8)</f>
        <v/>
      </c>
      <c r="BD23" s="581" t="str">
        <f>IF('2. Sem'!$BF$8="","",'2. Sem'!$BF$8)</f>
        <v/>
      </c>
      <c r="BE23" s="582" t="str">
        <f>IF('2. Sem'!$BG$8="","",'2. Sem'!$BG$8)</f>
        <v/>
      </c>
      <c r="BF23" s="583" t="str">
        <f>IF('2. Sem'!$BH$8="","",'2. Sem'!$BH$8)</f>
        <v/>
      </c>
      <c r="BG23" s="584" t="str">
        <f>IF('2. Sem'!$BI$8="","",'2. Sem'!$BI$8)</f>
        <v/>
      </c>
      <c r="BH23" s="584" t="str">
        <f>IF('2. Sem'!$BJ$8="","",'2. Sem'!$BJ$8)</f>
        <v/>
      </c>
      <c r="BI23" s="584" t="str">
        <f>IF('2. Sem'!$BK$8="","",'2. Sem'!$BK$8)</f>
        <v/>
      </c>
      <c r="BJ23" s="585" t="str">
        <f>IF('2. Sem'!$BL$8="","",'2. Sem'!$BL$8)</f>
        <v/>
      </c>
      <c r="BK23" s="586" t="str">
        <f>IF('2. Sem'!$BM$8="","",'2. Sem'!$BM$8)</f>
        <v/>
      </c>
      <c r="BL23" s="581" t="str">
        <f>IF('2. Sem'!$BN$8="","",'2. Sem'!$BN$8)</f>
        <v/>
      </c>
      <c r="BM23" s="581" t="str">
        <f>IF('2. Sem'!$BO$8="","",'2. Sem'!$BO$8)</f>
        <v/>
      </c>
      <c r="BN23" s="581" t="str">
        <f>IF('2. Sem'!$BP$8="","",'2. Sem'!$BP$8)</f>
        <v/>
      </c>
      <c r="BO23" s="582" t="str">
        <f>IF('2. Sem'!$BQ$8="","",'2. Sem'!$BQ$8)</f>
        <v/>
      </c>
      <c r="BP23" s="583" t="str">
        <f>IF('2. Sem'!$BR$8="","",'2. Sem'!$BR$8)</f>
        <v/>
      </c>
      <c r="BQ23" s="584" t="str">
        <f>IF('2. Sem'!$BS$8="","",'2. Sem'!$BS$8)</f>
        <v/>
      </c>
      <c r="BR23" s="584" t="str">
        <f>IF('2. Sem'!$BT$8="","",'2. Sem'!$BT$8)</f>
        <v/>
      </c>
      <c r="BS23" s="588" t="str">
        <f>IF('2. Sem'!$BU$8="","",'2. Sem'!$BU$8)</f>
        <v/>
      </c>
      <c r="BT23" s="589" t="str">
        <f>IF('2. Sem'!$BV$8="","",'2. Sem'!$BV$8)</f>
        <v/>
      </c>
      <c r="BU23" s="586" t="str">
        <f>IF('2. Sem'!$BW$8="","",'2. Sem'!$BW$8)</f>
        <v/>
      </c>
      <c r="BV23" s="581" t="str">
        <f>IF('2. Sem'!$BX$8="","",'2. Sem'!$BX$8)</f>
        <v/>
      </c>
      <c r="BW23" s="581" t="str">
        <f>IF('2. Sem'!$BY$8="","",'2. Sem'!$BY$8)</f>
        <v/>
      </c>
      <c r="BX23" s="581" t="str">
        <f>IF('2. Sem'!$BZ$8="","",'2. Sem'!$BZ$8)</f>
        <v/>
      </c>
      <c r="BY23" s="582" t="str">
        <f>IF('2. Sem'!$CA$8="","",'2. Sem'!$CA$8)</f>
        <v/>
      </c>
      <c r="BZ23" s="590" t="str">
        <f>IF('2. Sem'!$CB$8="","",'2. Sem'!$CB$8)</f>
        <v/>
      </c>
      <c r="CA23" s="584" t="str">
        <f>IF('2. Sem'!$CC$8="","",'2. Sem'!$CC$8)</f>
        <v/>
      </c>
      <c r="CB23" s="584" t="str">
        <f>IF('2. Sem'!$CD$8="","",'2. Sem'!$CD$8)</f>
        <v/>
      </c>
      <c r="CC23" s="584" t="str">
        <f>IF('2. Sem'!$CE$8="","",'2. Sem'!$CE$8)</f>
        <v/>
      </c>
      <c r="CD23" s="585" t="str">
        <f>IF('2. Sem'!$CF$8="","",'2. Sem'!$CF$8)</f>
        <v/>
      </c>
      <c r="CE23" s="586" t="str">
        <f>IF('2. Sem'!$CG$8="","",'2. Sem'!$CG$8)</f>
        <v/>
      </c>
      <c r="CF23" s="581" t="str">
        <f>IF('2. Sem'!$CH$8="","",'2. Sem'!$CH$8)</f>
        <v/>
      </c>
      <c r="CG23" s="581" t="str">
        <f>IF('2. Sem'!$CI$8="","",'2. Sem'!$CI$8)</f>
        <v/>
      </c>
      <c r="CH23" s="581" t="str">
        <f>IF('2. Sem'!$CJ$8="","",'2. Sem'!$CJ$8)</f>
        <v/>
      </c>
      <c r="CI23" s="582" t="str">
        <f>IF('2. Sem'!$CK$8="","",'2. Sem'!$CK$8)</f>
        <v/>
      </c>
      <c r="CJ23" s="583" t="str">
        <f>IF('2. Sem'!$CL$8="","",'2. Sem'!$CL$8)</f>
        <v/>
      </c>
      <c r="CK23" s="584" t="str">
        <f>IF('2. Sem'!$CM$8="","",'2. Sem'!$CM$8)</f>
        <v/>
      </c>
      <c r="CL23" s="584" t="str">
        <f>IF('2. Sem'!$CN$8="","",'2. Sem'!$CN$8)</f>
        <v/>
      </c>
      <c r="CM23" s="584" t="str">
        <f>IF('2. Sem'!$CO$8="","",'2. Sem'!$CO$8)</f>
        <v/>
      </c>
      <c r="CN23" s="585" t="str">
        <f>IF('2. Sem'!$CP$8="","",'2. Sem'!$CP$8)</f>
        <v/>
      </c>
      <c r="CO23" s="586" t="str">
        <f>IF('2. Sem'!$CQ$8="","",'2. Sem'!$CQ$8)</f>
        <v/>
      </c>
      <c r="CP23" s="581" t="str">
        <f>IF('2. Sem'!$CR$8="","",'2. Sem'!$CR$8)</f>
        <v/>
      </c>
      <c r="CQ23" s="581" t="str">
        <f>IF('2. Sem'!$CS$8="","",'2. Sem'!$CS$8)</f>
        <v/>
      </c>
      <c r="CR23" s="581" t="str">
        <f>IF('2. Sem'!$CT$8="","",'2. Sem'!$CT$8)</f>
        <v/>
      </c>
      <c r="CS23" s="582" t="str">
        <f>IF('2. Sem'!$CU$8="","",'2. Sem'!$CU$8)</f>
        <v/>
      </c>
      <c r="CT23" s="583" t="str">
        <f>IF('2. Sem'!$CV$8="","",'2. Sem'!$CV$8)</f>
        <v/>
      </c>
      <c r="CU23" s="584" t="str">
        <f>IF('2. Sem'!$CW$8="","",'2. Sem'!$CW$8)</f>
        <v/>
      </c>
      <c r="CV23" s="584" t="str">
        <f>IF('2. Sem'!$CX$8="","",'2. Sem'!$CX$8)</f>
        <v/>
      </c>
      <c r="CW23" s="584" t="str">
        <f>IF('2. Sem'!$CY$8="","",'2. Sem'!$CY$8)</f>
        <v/>
      </c>
      <c r="CX23" s="585" t="str">
        <f>IF('2. Sem'!$CZ$8="","",'2. Sem'!$CZ$8)</f>
        <v/>
      </c>
      <c r="CY23" s="586" t="str">
        <f>IF('2. Sem'!$DA$8="","",'2. Sem'!$DA$8)</f>
        <v/>
      </c>
      <c r="CZ23" s="581" t="str">
        <f>IF('2. Sem'!$DB$8="","",'2. Sem'!$DB$8)</f>
        <v/>
      </c>
      <c r="DA23" s="581" t="str">
        <f>IF('2. Sem'!$DC$8="","",'2. Sem'!$DC$8)</f>
        <v/>
      </c>
      <c r="DB23" s="581" t="str">
        <f>IF('2. Sem'!$DD$8="","",'2. Sem'!$DD$8)</f>
        <v/>
      </c>
      <c r="DC23" s="582" t="str">
        <f>IF('2. Sem'!$DE$8="","",'2. Sem'!$DE$8)</f>
        <v/>
      </c>
    </row>
    <row r="24" spans="1:107" ht="16" customHeight="1" x14ac:dyDescent="0.2">
      <c r="A24" s="566"/>
      <c r="B24" s="579" t="s">
        <v>16</v>
      </c>
      <c r="C24" s="591" t="str">
        <f>IF('2. Sem'!$E$9="","",'2. Sem'!$E$9)</f>
        <v/>
      </c>
      <c r="D24" s="581" t="str">
        <f>IF('2. Sem'!$F$9="","",'2. Sem'!$F$9)</f>
        <v/>
      </c>
      <c r="E24" s="581" t="str">
        <f>IF('2. Sem'!$G$9="","",'2. Sem'!$G$9)</f>
        <v/>
      </c>
      <c r="F24" s="581" t="str">
        <f>IF('2. Sem'!$H$9="","",'2. Sem'!$H$9)</f>
        <v/>
      </c>
      <c r="G24" s="582" t="str">
        <f>IF('2. Sem'!$I$9="","",'2. Sem'!$I$9)</f>
        <v/>
      </c>
      <c r="H24" s="583" t="str">
        <f>IF('2. Sem'!$J$9="","",'2. Sem'!$J$9)</f>
        <v/>
      </c>
      <c r="I24" s="584" t="str">
        <f>IF('2. Sem'!$K$9="","",'2. Sem'!$K$9)</f>
        <v/>
      </c>
      <c r="J24" s="584" t="str">
        <f>IF('2. Sem'!$L$9="","",'2. Sem'!$L$9)</f>
        <v/>
      </c>
      <c r="K24" s="584" t="str">
        <f>IF('2. Sem'!$M$9="","",'2. Sem'!$M$9)</f>
        <v/>
      </c>
      <c r="L24" s="592" t="str">
        <f>IF('2. Sem'!$N$9="","",'2. Sem'!$N$9)</f>
        <v/>
      </c>
      <c r="M24" s="593" t="str">
        <f>IF('2. Sem'!$O$9="","",'2. Sem'!$O$9)</f>
        <v/>
      </c>
      <c r="N24" s="581" t="str">
        <f>IF('2. Sem'!$P$9="","",'2. Sem'!$P$9)</f>
        <v/>
      </c>
      <c r="O24" s="581" t="str">
        <f>IF('2. Sem'!$Q$9="","",'2. Sem'!$Q$9)</f>
        <v/>
      </c>
      <c r="P24" s="581" t="str">
        <f>IF('2. Sem'!$R$9="","",'2. Sem'!$R$9)</f>
        <v/>
      </c>
      <c r="Q24" s="582" t="str">
        <f>IF('2. Sem'!$S$9="","",'2. Sem'!$S$9)</f>
        <v/>
      </c>
      <c r="R24" s="583" t="str">
        <f>IF('2. Sem'!$T$9="","",'2. Sem'!$T$9)</f>
        <v/>
      </c>
      <c r="S24" s="584" t="str">
        <f>IF('2. Sem'!$U$9="","",'2. Sem'!$U$9)</f>
        <v/>
      </c>
      <c r="T24" s="584" t="str">
        <f>IF('2. Sem'!$V$9="","",'2. Sem'!$V$9)</f>
        <v/>
      </c>
      <c r="U24" s="584" t="str">
        <f>IF('2. Sem'!$W$9="","",'2. Sem'!$W$9)</f>
        <v/>
      </c>
      <c r="V24" s="592" t="str">
        <f>IF('2. Sem'!$X$9="","",'2. Sem'!$X$9)</f>
        <v/>
      </c>
      <c r="W24" s="593" t="str">
        <f>IF('2. Sem'!$Y$9="","",'2. Sem'!$Y$9)</f>
        <v/>
      </c>
      <c r="X24" s="581" t="str">
        <f>IF('2. Sem'!$Z$9="","",'2. Sem'!$Z$9)</f>
        <v/>
      </c>
      <c r="Y24" s="581" t="str">
        <f>IF('2. Sem'!$AA$9="","",'2. Sem'!$AA$9)</f>
        <v/>
      </c>
      <c r="Z24" s="581" t="str">
        <f>IF('2. Sem'!$AB$9="","",'2. Sem'!$AB$9)</f>
        <v/>
      </c>
      <c r="AA24" s="582" t="str">
        <f>IF('2. Sem'!$AC$9="","",'2. Sem'!$AC$9)</f>
        <v/>
      </c>
      <c r="AB24" s="583" t="str">
        <f>IF('2. Sem'!$AD$9="","",'2. Sem'!$AD$9)</f>
        <v/>
      </c>
      <c r="AC24" s="584" t="str">
        <f>IF('2. Sem'!$AE$9="","",'2. Sem'!$AE$9)</f>
        <v/>
      </c>
      <c r="AD24" s="584" t="str">
        <f>IF('2. Sem'!$AF$9="","",'2. Sem'!$AF$9)</f>
        <v/>
      </c>
      <c r="AE24" s="584" t="str">
        <f>IF('2. Sem'!$AG$9="","",'2. Sem'!$AG$9)</f>
        <v/>
      </c>
      <c r="AF24" s="592" t="str">
        <f>IF('2. Sem'!$AH$9="","",'2. Sem'!$AH$9)</f>
        <v/>
      </c>
      <c r="AG24" s="593" t="str">
        <f>IF('2. Sem'!$AI$9="","",'2. Sem'!$AI$9)</f>
        <v/>
      </c>
      <c r="AH24" s="581" t="str">
        <f>IF('2. Sem'!$AJ$9="","",'2. Sem'!$AJ$9)</f>
        <v/>
      </c>
      <c r="AI24" s="581" t="str">
        <f>IF('2. Sem'!$AK$9="","",'2. Sem'!$AK$9)</f>
        <v/>
      </c>
      <c r="AJ24" s="581" t="str">
        <f>IF('2. Sem'!$AL$9="","",'2. Sem'!$AL$9)</f>
        <v/>
      </c>
      <c r="AK24" s="582" t="str">
        <f>IF('2. Sem'!$AM$9="","",'2. Sem'!$AM$9)</f>
        <v/>
      </c>
      <c r="AL24" s="590" t="str">
        <f>IF('2. Sem'!$AN$9="","",'2. Sem'!$AN$9)</f>
        <v/>
      </c>
      <c r="AM24" s="588" t="str">
        <f>IF('2. Sem'!$AO$9="","",'2. Sem'!$AO$9)</f>
        <v/>
      </c>
      <c r="AN24" s="588" t="str">
        <f>IF('2. Sem'!$AP$9="","",'2. Sem'!$AP$9)</f>
        <v/>
      </c>
      <c r="AO24" s="588" t="str">
        <f>IF('2. Sem'!$AQ$9="","",'2. Sem'!$AQ$9)</f>
        <v/>
      </c>
      <c r="AP24" s="595" t="str">
        <f>IF('2. Sem'!$AR$9="","",'2. Sem'!$AR$9)</f>
        <v/>
      </c>
      <c r="AQ24" s="594" t="str">
        <f>IF('2. Sem'!$AS$9="","",'2. Sem'!$AS$9)</f>
        <v/>
      </c>
      <c r="AR24" s="581" t="str">
        <f>IF('2. Sem'!$AT$9="","",'2. Sem'!$AT$9)</f>
        <v/>
      </c>
      <c r="AS24" s="581" t="str">
        <f>IF('2. Sem'!$AU$9="","",'2. Sem'!$AU$9)</f>
        <v/>
      </c>
      <c r="AT24" s="581" t="str">
        <f>IF('2. Sem'!$AV$9="","",'2. Sem'!$AV$9)</f>
        <v/>
      </c>
      <c r="AU24" s="582" t="str">
        <f>IF('2. Sem'!$AW$9="","",'2. Sem'!$AW$9)</f>
        <v/>
      </c>
      <c r="AV24" s="583" t="str">
        <f>IF('2. Sem'!$AX$9="","",'2. Sem'!$AX$9)</f>
        <v/>
      </c>
      <c r="AW24" s="584" t="str">
        <f>IF('2. Sem'!$AY$9="","",'2. Sem'!$AY$9)</f>
        <v/>
      </c>
      <c r="AX24" s="584" t="str">
        <f>IF('2. Sem'!$AZ$9="","",'2. Sem'!$AZ$9)</f>
        <v/>
      </c>
      <c r="AY24" s="584" t="str">
        <f>IF('2. Sem'!$BA$9="","",'2. Sem'!$BA$9)</f>
        <v/>
      </c>
      <c r="AZ24" s="592" t="str">
        <f>IF('2. Sem'!$BB$9="","",'2. Sem'!$BB$9)</f>
        <v/>
      </c>
      <c r="BA24" s="593" t="str">
        <f>IF('2. Sem'!$BC$9="","",'2. Sem'!$BC$9)</f>
        <v/>
      </c>
      <c r="BB24" s="581" t="str">
        <f>IF('2. Sem'!$BD$9="","",'2. Sem'!$BD$9)</f>
        <v/>
      </c>
      <c r="BC24" s="581" t="str">
        <f>IF('2. Sem'!$BE$9="","",'2. Sem'!$BE$9)</f>
        <v/>
      </c>
      <c r="BD24" s="581" t="str">
        <f>IF('2. Sem'!$BF$9="","",'2. Sem'!$BF$9)</f>
        <v/>
      </c>
      <c r="BE24" s="582" t="str">
        <f>IF('2. Sem'!$BG$9="","",'2. Sem'!$BG$9)</f>
        <v/>
      </c>
      <c r="BF24" s="583" t="str">
        <f>IF('2. Sem'!$BH$9="","",'2. Sem'!$BH$9)</f>
        <v/>
      </c>
      <c r="BG24" s="584" t="str">
        <f>IF('2. Sem'!$BI$9="","",'2. Sem'!$BI$9)</f>
        <v/>
      </c>
      <c r="BH24" s="584" t="str">
        <f>IF('2. Sem'!$BJ$9="","",'2. Sem'!$BJ$9)</f>
        <v/>
      </c>
      <c r="BI24" s="584" t="str">
        <f>IF('2. Sem'!$BK$9="","",'2. Sem'!$BK$9)</f>
        <v/>
      </c>
      <c r="BJ24" s="592" t="str">
        <f>IF('2. Sem'!$BL$9="","",'2. Sem'!$BL$9)</f>
        <v/>
      </c>
      <c r="BK24" s="593" t="str">
        <f>IF('2. Sem'!$BM$9="","",'2. Sem'!$BM$9)</f>
        <v/>
      </c>
      <c r="BL24" s="581" t="str">
        <f>IF('2. Sem'!$BN$9="","",'2. Sem'!$BN$9)</f>
        <v/>
      </c>
      <c r="BM24" s="581" t="str">
        <f>IF('2. Sem'!$BO$9="","",'2. Sem'!$BO$9)</f>
        <v/>
      </c>
      <c r="BN24" s="581" t="str">
        <f>IF('2. Sem'!$BP$9="","",'2. Sem'!$BP$9)</f>
        <v/>
      </c>
      <c r="BO24" s="582" t="str">
        <f>IF('2. Sem'!$BQ$9="","",'2. Sem'!$BQ$9)</f>
        <v/>
      </c>
      <c r="BP24" s="583" t="str">
        <f>IF('2. Sem'!$BR$9="","",'2. Sem'!$BR$9)</f>
        <v/>
      </c>
      <c r="BQ24" s="584" t="str">
        <f>IF('2. Sem'!$BS$9="","",'2. Sem'!$BS$9)</f>
        <v/>
      </c>
      <c r="BR24" s="584" t="str">
        <f>IF('2. Sem'!$BT$9="","",'2. Sem'!$BT$9)</f>
        <v/>
      </c>
      <c r="BS24" s="588" t="str">
        <f>IF('2. Sem'!$BU$9="","",'2. Sem'!$BU$9)</f>
        <v/>
      </c>
      <c r="BT24" s="595" t="str">
        <f>IF('2. Sem'!$BV$9="","",'2. Sem'!$BV$9)</f>
        <v/>
      </c>
      <c r="BU24" s="593" t="str">
        <f>IF('2. Sem'!$BW$9="","",'2. Sem'!$BW$9)</f>
        <v/>
      </c>
      <c r="BV24" s="581" t="str">
        <f>IF('2. Sem'!$BX$9="","",'2. Sem'!$BX$9)</f>
        <v/>
      </c>
      <c r="BW24" s="581" t="str">
        <f>IF('2. Sem'!$BY$9="","",'2. Sem'!$BY$9)</f>
        <v/>
      </c>
      <c r="BX24" s="581" t="str">
        <f>IF('2. Sem'!$BZ$9="","",'2. Sem'!$BZ$9)</f>
        <v/>
      </c>
      <c r="BY24" s="582" t="str">
        <f>IF('2. Sem'!$CA$9="","",'2. Sem'!$CA$9)</f>
        <v/>
      </c>
      <c r="BZ24" s="590" t="str">
        <f>IF('2. Sem'!$CB$9="","",'2. Sem'!$CB$9)</f>
        <v/>
      </c>
      <c r="CA24" s="584" t="str">
        <f>IF('2. Sem'!$CC$9="","",'2. Sem'!$CC$9)</f>
        <v/>
      </c>
      <c r="CB24" s="584" t="str">
        <f>IF('2. Sem'!$CD$9="","",'2. Sem'!$CD$9)</f>
        <v/>
      </c>
      <c r="CC24" s="584" t="str">
        <f>IF('2. Sem'!$CE$9="","",'2. Sem'!$CE$9)</f>
        <v/>
      </c>
      <c r="CD24" s="592" t="str">
        <f>IF('2. Sem'!$CF$9="","",'2. Sem'!$CF$9)</f>
        <v/>
      </c>
      <c r="CE24" s="593" t="str">
        <f>IF('2. Sem'!$CG$9="","",'2. Sem'!$CG$9)</f>
        <v/>
      </c>
      <c r="CF24" s="581" t="str">
        <f>IF('2. Sem'!$CH$9="","",'2. Sem'!$CH$9)</f>
        <v/>
      </c>
      <c r="CG24" s="581" t="str">
        <f>IF('2. Sem'!$CI$9="","",'2. Sem'!$CI$9)</f>
        <v/>
      </c>
      <c r="CH24" s="581" t="str">
        <f>IF('2. Sem'!$CJ$9="","",'2. Sem'!$CJ$9)</f>
        <v/>
      </c>
      <c r="CI24" s="582" t="str">
        <f>IF('2. Sem'!$CK$9="","",'2. Sem'!$CK$9)</f>
        <v/>
      </c>
      <c r="CJ24" s="583" t="str">
        <f>IF('2. Sem'!$CL$9="","",'2. Sem'!$CL$9)</f>
        <v/>
      </c>
      <c r="CK24" s="584" t="str">
        <f>IF('2. Sem'!$CM$9="","",'2. Sem'!$CM$9)</f>
        <v/>
      </c>
      <c r="CL24" s="584" t="str">
        <f>IF('2. Sem'!$CN$9="","",'2. Sem'!$CN$9)</f>
        <v/>
      </c>
      <c r="CM24" s="584" t="str">
        <f>IF('2. Sem'!$CO$9="","",'2. Sem'!$CO$9)</f>
        <v/>
      </c>
      <c r="CN24" s="592" t="str">
        <f>IF('2. Sem'!$CP$9="","",'2. Sem'!$CP$9)</f>
        <v/>
      </c>
      <c r="CO24" s="593" t="str">
        <f>IF('2. Sem'!$CQ$9="","",'2. Sem'!$CQ$9)</f>
        <v/>
      </c>
      <c r="CP24" s="581" t="str">
        <f>IF('2. Sem'!$CR$9="","",'2. Sem'!$CR$9)</f>
        <v/>
      </c>
      <c r="CQ24" s="581" t="str">
        <f>IF('2. Sem'!$CS$9="","",'2. Sem'!$CS$9)</f>
        <v/>
      </c>
      <c r="CR24" s="581" t="str">
        <f>IF('2. Sem'!$CT$9="","",'2. Sem'!$CT$9)</f>
        <v/>
      </c>
      <c r="CS24" s="582" t="str">
        <f>IF('2. Sem'!$CU$9="","",'2. Sem'!$CU$9)</f>
        <v/>
      </c>
      <c r="CT24" s="583" t="str">
        <f>IF('2. Sem'!$CV$9="","",'2. Sem'!$CV$9)</f>
        <v/>
      </c>
      <c r="CU24" s="584" t="str">
        <f>IF('2. Sem'!$CW$9="","",'2. Sem'!$CW$9)</f>
        <v/>
      </c>
      <c r="CV24" s="584" t="str">
        <f>IF('2. Sem'!$CX$9="","",'2. Sem'!$CX$9)</f>
        <v/>
      </c>
      <c r="CW24" s="584" t="str">
        <f>IF('2. Sem'!$CY$9="","",'2. Sem'!$CY$9)</f>
        <v/>
      </c>
      <c r="CX24" s="592" t="str">
        <f>IF('2. Sem'!$CZ$9="","",'2. Sem'!$CZ$9)</f>
        <v/>
      </c>
      <c r="CY24" s="593" t="str">
        <f>IF('2. Sem'!$DA$9="","",'2. Sem'!$DA$9)</f>
        <v/>
      </c>
      <c r="CZ24" s="581" t="str">
        <f>IF('2. Sem'!$DB$9="","",'2. Sem'!$DB$9)</f>
        <v/>
      </c>
      <c r="DA24" s="581" t="str">
        <f>IF('2. Sem'!$DC$9="","",'2. Sem'!$DC$9)</f>
        <v/>
      </c>
      <c r="DB24" s="581" t="str">
        <f>IF('2. Sem'!$DD$9="","",'2. Sem'!$DD$9)</f>
        <v/>
      </c>
      <c r="DC24" s="582" t="str">
        <f>IF('2. Sem'!$DE$9="","",'2. Sem'!$DE$9)</f>
        <v/>
      </c>
    </row>
    <row r="25" spans="1:107" ht="17" customHeight="1" thickBot="1" x14ac:dyDescent="0.25">
      <c r="A25" s="566"/>
      <c r="B25" s="579" t="s">
        <v>17</v>
      </c>
      <c r="C25" s="591" t="str">
        <f>IF('2. Sem'!$E$10="","",'2. Sem'!$E$10)</f>
        <v/>
      </c>
      <c r="D25" s="581" t="str">
        <f>IF('2. Sem'!$F$10="","",'2. Sem'!$F$10)</f>
        <v/>
      </c>
      <c r="E25" s="581" t="str">
        <f>IF('2. Sem'!$G$10="","",'2. Sem'!$G$10)</f>
        <v/>
      </c>
      <c r="F25" s="581" t="str">
        <f>IF('2. Sem'!$H$10="","",'2. Sem'!$H$10)</f>
        <v/>
      </c>
      <c r="G25" s="582" t="str">
        <f>IF('2. Sem'!$I$10="","",'2. Sem'!$I$10)</f>
        <v/>
      </c>
      <c r="H25" s="583" t="str">
        <f>IF('2. Sem'!$J$10="","",'2. Sem'!$J$10)</f>
        <v/>
      </c>
      <c r="I25" s="584" t="str">
        <f>IF('2. Sem'!$K$10="","",'2. Sem'!$K$10)</f>
        <v/>
      </c>
      <c r="J25" s="584" t="str">
        <f>IF('2. Sem'!$L$10="","",'2. Sem'!$L$10)</f>
        <v/>
      </c>
      <c r="K25" s="584" t="str">
        <f>IF('2. Sem'!$M$10="","",'2. Sem'!$M$10)</f>
        <v/>
      </c>
      <c r="L25" s="592" t="str">
        <f>IF('2. Sem'!$N$10="","",'2. Sem'!$N$10)</f>
        <v/>
      </c>
      <c r="M25" s="593" t="str">
        <f>IF('2. Sem'!$O$10="","",'2. Sem'!$O$10)</f>
        <v/>
      </c>
      <c r="N25" s="581" t="str">
        <f>IF('2. Sem'!$P$10="","",'2. Sem'!$P$10)</f>
        <v/>
      </c>
      <c r="O25" s="581" t="str">
        <f>IF('2. Sem'!$Q$10="","",'2. Sem'!$Q$10)</f>
        <v/>
      </c>
      <c r="P25" s="581" t="str">
        <f>IF('2. Sem'!$R$10="","",'2. Sem'!$R$10)</f>
        <v/>
      </c>
      <c r="Q25" s="582" t="str">
        <f>IF('2. Sem'!$S$10="","",'2. Sem'!$S$10)</f>
        <v/>
      </c>
      <c r="R25" s="583" t="str">
        <f>IF('2. Sem'!$T$10="","",'2. Sem'!$T$10)</f>
        <v/>
      </c>
      <c r="S25" s="584" t="str">
        <f>IF('2. Sem'!$U$10="","",'2. Sem'!$U$10)</f>
        <v/>
      </c>
      <c r="T25" s="584" t="str">
        <f>IF('2. Sem'!$V$10="","",'2. Sem'!$V$10)</f>
        <v/>
      </c>
      <c r="U25" s="584" t="str">
        <f>IF('2. Sem'!$W$10="","",'2. Sem'!$W$10)</f>
        <v/>
      </c>
      <c r="V25" s="592" t="str">
        <f>IF('2. Sem'!$X$10="","",'2. Sem'!$X$10)</f>
        <v/>
      </c>
      <c r="W25" s="593" t="str">
        <f>IF('2. Sem'!$Y$10="","",'2. Sem'!$Y$10)</f>
        <v/>
      </c>
      <c r="X25" s="581" t="str">
        <f>IF('2. Sem'!$Z$10="","",'2. Sem'!$Z$10)</f>
        <v/>
      </c>
      <c r="Y25" s="581" t="str">
        <f>IF('2. Sem'!$AA$10="","",'2. Sem'!$AA$10)</f>
        <v/>
      </c>
      <c r="Z25" s="581" t="str">
        <f>IF('2. Sem'!$AB$10="","",'2. Sem'!$AB$10)</f>
        <v/>
      </c>
      <c r="AA25" s="582" t="str">
        <f>IF('2. Sem'!$AC$10="","",'2. Sem'!$AC$10)</f>
        <v/>
      </c>
      <c r="AB25" s="583" t="str">
        <f>IF('2. Sem'!$AD$10="","",'2. Sem'!$AD$10)</f>
        <v/>
      </c>
      <c r="AC25" s="584" t="str">
        <f>IF('2. Sem'!$AE$10="","",'2. Sem'!$AE$10)</f>
        <v/>
      </c>
      <c r="AD25" s="584" t="str">
        <f>IF('2. Sem'!$AF$10="","",'2. Sem'!$AF$10)</f>
        <v/>
      </c>
      <c r="AE25" s="584" t="str">
        <f>IF('2. Sem'!$AG$10="","",'2. Sem'!$AG$10)</f>
        <v/>
      </c>
      <c r="AF25" s="592" t="str">
        <f>IF('2. Sem'!$AH$10="","",'2. Sem'!$AH$10)</f>
        <v/>
      </c>
      <c r="AG25" s="593" t="str">
        <f>IF('2. Sem'!$AI$10="","",'2. Sem'!$AI$10)</f>
        <v/>
      </c>
      <c r="AH25" s="581" t="str">
        <f>IF('2. Sem'!$AJ$10="","",'2. Sem'!$AJ$10)</f>
        <v/>
      </c>
      <c r="AI25" s="581" t="str">
        <f>IF('2. Sem'!$AK$10="","",'2. Sem'!$AK$10)</f>
        <v/>
      </c>
      <c r="AJ25" s="581" t="str">
        <f>IF('2. Sem'!$AL$10="","",'2. Sem'!$AL$10)</f>
        <v/>
      </c>
      <c r="AK25" s="582" t="str">
        <f>IF('2. Sem'!$AM$10="","",'2. Sem'!$AM$10)</f>
        <v/>
      </c>
      <c r="AL25" s="590" t="str">
        <f>IF('2. Sem'!$AN$10="","",'2. Sem'!$AN$10)</f>
        <v/>
      </c>
      <c r="AM25" s="588" t="str">
        <f>IF('2. Sem'!$AO$10="","",'2. Sem'!$AO$10)</f>
        <v/>
      </c>
      <c r="AN25" s="588" t="str">
        <f>IF('2. Sem'!$AP$10="","",'2. Sem'!$AP$10)</f>
        <v/>
      </c>
      <c r="AO25" s="588" t="str">
        <f>IF('2. Sem'!$AQ$10="","",'2. Sem'!$AQ$10)</f>
        <v/>
      </c>
      <c r="AP25" s="595" t="str">
        <f>IF('2. Sem'!$AR$10="","",'2. Sem'!$AR$10)</f>
        <v/>
      </c>
      <c r="AQ25" s="594" t="str">
        <f>IF('2. Sem'!$AS$10="","",'2. Sem'!$AS$10)</f>
        <v/>
      </c>
      <c r="AR25" s="581" t="str">
        <f>IF('2. Sem'!$AT$10="","",'2. Sem'!$AT$10)</f>
        <v/>
      </c>
      <c r="AS25" s="581" t="str">
        <f>IF('2. Sem'!$AU$10="","",'2. Sem'!$AU$10)</f>
        <v/>
      </c>
      <c r="AT25" s="581" t="str">
        <f>IF('2. Sem'!$AV$10="","",'2. Sem'!$AV$10)</f>
        <v/>
      </c>
      <c r="AU25" s="582" t="str">
        <f>IF('2. Sem'!$AW$10="","",'2. Sem'!$AW$10)</f>
        <v/>
      </c>
      <c r="AV25" s="583" t="str">
        <f>IF('2. Sem'!$AX$10="","",'2. Sem'!$AX$10)</f>
        <v/>
      </c>
      <c r="AW25" s="584" t="str">
        <f>IF('2. Sem'!$AY$10="","",'2. Sem'!$AY$10)</f>
        <v/>
      </c>
      <c r="AX25" s="584" t="str">
        <f>IF('2. Sem'!$AZ$10="","",'2. Sem'!$AZ$10)</f>
        <v/>
      </c>
      <c r="AY25" s="584" t="str">
        <f>IF('2. Sem'!$BA$10="","",'2. Sem'!$BA$10)</f>
        <v/>
      </c>
      <c r="AZ25" s="592" t="str">
        <f>IF('2. Sem'!$BB$10="","",'2. Sem'!$BB$10)</f>
        <v/>
      </c>
      <c r="BA25" s="593" t="str">
        <f>IF('2. Sem'!$BC$10="","",'2. Sem'!$BC$10)</f>
        <v/>
      </c>
      <c r="BB25" s="581" t="str">
        <f>IF('2. Sem'!$BD$10="","",'2. Sem'!$BD$10)</f>
        <v/>
      </c>
      <c r="BC25" s="581" t="str">
        <f>IF('2. Sem'!$BE$10="","",'2. Sem'!$BE$10)</f>
        <v/>
      </c>
      <c r="BD25" s="581" t="str">
        <f>IF('2. Sem'!$BF$10="","",'2. Sem'!$BF$10)</f>
        <v/>
      </c>
      <c r="BE25" s="582" t="str">
        <f>IF('2. Sem'!$BG$10="","",'2. Sem'!$BG$10)</f>
        <v/>
      </c>
      <c r="BF25" s="583" t="str">
        <f>IF('2. Sem'!$BH$10="","",'2. Sem'!$BH$10)</f>
        <v/>
      </c>
      <c r="BG25" s="584" t="str">
        <f>IF('2. Sem'!$BI$10="","",'2. Sem'!$BI$10)</f>
        <v/>
      </c>
      <c r="BH25" s="584" t="str">
        <f>IF('2. Sem'!$BJ$10="","",'2. Sem'!$BJ$10)</f>
        <v/>
      </c>
      <c r="BI25" s="584" t="str">
        <f>IF('2. Sem'!$BK$10="","",'2. Sem'!$BK$10)</f>
        <v/>
      </c>
      <c r="BJ25" s="592" t="str">
        <f>IF('2. Sem'!$BL$10="","",'2. Sem'!$BL$10)</f>
        <v/>
      </c>
      <c r="BK25" s="593" t="str">
        <f>IF('2. Sem'!$BM$10="","",'2. Sem'!$BM$10)</f>
        <v/>
      </c>
      <c r="BL25" s="581" t="str">
        <f>IF('2. Sem'!$BN$10="","",'2. Sem'!$BN$10)</f>
        <v/>
      </c>
      <c r="BM25" s="581" t="str">
        <f>IF('2. Sem'!$BO$10="","",'2. Sem'!$BO$10)</f>
        <v/>
      </c>
      <c r="BN25" s="581" t="str">
        <f>IF('2. Sem'!$BP$10="","",'2. Sem'!$BP$10)</f>
        <v/>
      </c>
      <c r="BO25" s="582" t="str">
        <f>IF('2. Sem'!$BQ$10="","",'2. Sem'!$BQ$10)</f>
        <v/>
      </c>
      <c r="BP25" s="583" t="str">
        <f>IF('2. Sem'!$BR$10="","",'2. Sem'!$BR$10)</f>
        <v/>
      </c>
      <c r="BQ25" s="584" t="str">
        <f>IF('2. Sem'!$BS$10="","",'2. Sem'!$BS$10)</f>
        <v/>
      </c>
      <c r="BR25" s="584" t="str">
        <f>IF('2. Sem'!$BT$10="","",'2. Sem'!$BT$10)</f>
        <v/>
      </c>
      <c r="BS25" s="588" t="str">
        <f>IF('2. Sem'!$BU$10="","",'2. Sem'!$BU$10)</f>
        <v/>
      </c>
      <c r="BT25" s="595" t="str">
        <f>IF('2. Sem'!$BV$10="","",'2. Sem'!$BV$10)</f>
        <v/>
      </c>
      <c r="BU25" s="593" t="str">
        <f>IF('2. Sem'!$BW$10="","",'2. Sem'!$BW$10)</f>
        <v/>
      </c>
      <c r="BV25" s="581" t="str">
        <f>IF('2. Sem'!$BX$10="","",'2. Sem'!$BX$10)</f>
        <v/>
      </c>
      <c r="BW25" s="581" t="str">
        <f>IF('2. Sem'!$BY$10="","",'2. Sem'!$BY$10)</f>
        <v/>
      </c>
      <c r="BX25" s="581" t="str">
        <f>IF('2. Sem'!$BZ$10="","",'2. Sem'!$BZ$10)</f>
        <v/>
      </c>
      <c r="BY25" s="582" t="str">
        <f>IF('2. Sem'!$CA$10="","",'2. Sem'!$CA$10)</f>
        <v/>
      </c>
      <c r="BZ25" s="590" t="str">
        <f>IF('2. Sem'!$CB$10="","",'2. Sem'!$CB$10)</f>
        <v/>
      </c>
      <c r="CA25" s="584" t="str">
        <f>IF('2. Sem'!$CC$10="","",'2. Sem'!$CC$10)</f>
        <v/>
      </c>
      <c r="CB25" s="584" t="str">
        <f>IF('2. Sem'!$CD$10="","",'2. Sem'!$CD$10)</f>
        <v/>
      </c>
      <c r="CC25" s="584" t="str">
        <f>IF('2. Sem'!$CE$10="","",'2. Sem'!$CE$10)</f>
        <v/>
      </c>
      <c r="CD25" s="592" t="str">
        <f>IF('2. Sem'!$CF$10="","",'2. Sem'!$CF$10)</f>
        <v/>
      </c>
      <c r="CE25" s="593" t="str">
        <f>IF('2. Sem'!$CG$10="","",'2. Sem'!$CG$10)</f>
        <v/>
      </c>
      <c r="CF25" s="581" t="str">
        <f>IF('2. Sem'!$CH$10="","",'2. Sem'!$CH$10)</f>
        <v/>
      </c>
      <c r="CG25" s="581" t="str">
        <f>IF('2. Sem'!$CI$10="","",'2. Sem'!$CI$10)</f>
        <v/>
      </c>
      <c r="CH25" s="581" t="str">
        <f>IF('2. Sem'!$CJ$10="","",'2. Sem'!$CJ$10)</f>
        <v/>
      </c>
      <c r="CI25" s="582" t="str">
        <f>IF('2. Sem'!$CK$10="","",'2. Sem'!$CK$10)</f>
        <v/>
      </c>
      <c r="CJ25" s="583" t="str">
        <f>IF('2. Sem'!$CL$10="","",'2. Sem'!$CL$10)</f>
        <v/>
      </c>
      <c r="CK25" s="584" t="str">
        <f>IF('2. Sem'!$CM$10="","",'2. Sem'!$CM$10)</f>
        <v/>
      </c>
      <c r="CL25" s="584" t="str">
        <f>IF('2. Sem'!$CN$10="","",'2. Sem'!$CN$10)</f>
        <v/>
      </c>
      <c r="CM25" s="584" t="str">
        <f>IF('2. Sem'!$CO$10="","",'2. Sem'!$CO$10)</f>
        <v/>
      </c>
      <c r="CN25" s="592" t="str">
        <f>IF('2. Sem'!$CP$10="","",'2. Sem'!$CP$10)</f>
        <v/>
      </c>
      <c r="CO25" s="593" t="str">
        <f>IF('2. Sem'!$CQ$10="","",'2. Sem'!$CQ$10)</f>
        <v/>
      </c>
      <c r="CP25" s="581" t="str">
        <f>IF('2. Sem'!$CR$10="","",'2. Sem'!$CR$10)</f>
        <v/>
      </c>
      <c r="CQ25" s="581" t="str">
        <f>IF('2. Sem'!$CS$10="","",'2. Sem'!$CS$10)</f>
        <v/>
      </c>
      <c r="CR25" s="581" t="str">
        <f>IF('2. Sem'!$CT$10="","",'2. Sem'!$CT$10)</f>
        <v/>
      </c>
      <c r="CS25" s="582" t="str">
        <f>IF('2. Sem'!$CU$10="","",'2. Sem'!$CU$10)</f>
        <v/>
      </c>
      <c r="CT25" s="583" t="str">
        <f>IF('2. Sem'!$CV$10="","",'2. Sem'!$CV$10)</f>
        <v/>
      </c>
      <c r="CU25" s="584" t="str">
        <f>IF('2. Sem'!$CW$10="","",'2. Sem'!$CW$10)</f>
        <v/>
      </c>
      <c r="CV25" s="584" t="str">
        <f>IF('2. Sem'!$CX$10="","",'2. Sem'!$CX$10)</f>
        <v/>
      </c>
      <c r="CW25" s="584" t="str">
        <f>IF('2. Sem'!$CY$10="","",'2. Sem'!$CY$10)</f>
        <v/>
      </c>
      <c r="CX25" s="592" t="str">
        <f>IF('2. Sem'!$CZ$10="","",'2. Sem'!$CZ$10)</f>
        <v/>
      </c>
      <c r="CY25" s="593" t="str">
        <f>IF('2. Sem'!$DA$10="","",'2. Sem'!$DA$10)</f>
        <v/>
      </c>
      <c r="CZ25" s="581" t="str">
        <f>IF('2. Sem'!$DB$10="","",'2. Sem'!$DB$10)</f>
        <v/>
      </c>
      <c r="DA25" s="581" t="str">
        <f>IF('2. Sem'!$DC$10="","",'2. Sem'!$DC$10)</f>
        <v/>
      </c>
      <c r="DB25" s="581" t="str">
        <f>IF('2. Sem'!$DD$10="","",'2. Sem'!$DD$10)</f>
        <v/>
      </c>
      <c r="DC25" s="582" t="str">
        <f>IF('2. Sem'!$DE$10="","",'2. Sem'!$DE$10)</f>
        <v/>
      </c>
    </row>
    <row r="26" spans="1:107" ht="17" customHeight="1" thickBot="1" x14ac:dyDescent="0.25">
      <c r="A26" s="566"/>
      <c r="B26" s="579" t="s">
        <v>18</v>
      </c>
      <c r="C26" s="596" t="str">
        <f>IF('2. Sem'!$E$11="","",'2. Sem'!$E$11)</f>
        <v/>
      </c>
      <c r="D26" s="597" t="str">
        <f>IF('2. Sem'!$F$11="","",'2. Sem'!$F$11)</f>
        <v/>
      </c>
      <c r="E26" s="597" t="str">
        <f>IF('2. Sem'!$G$11="","",'2. Sem'!$G$11)</f>
        <v/>
      </c>
      <c r="F26" s="597" t="str">
        <f>IF('2. Sem'!$H$11="","",'2. Sem'!$H$11)</f>
        <v/>
      </c>
      <c r="G26" s="598" t="str">
        <f>IF('2. Sem'!$I$11="","",'2. Sem'!$I$11)</f>
        <v/>
      </c>
      <c r="H26" s="599" t="str">
        <f>IF('2. Sem'!$J$11="","",'2. Sem'!$J$11)</f>
        <v/>
      </c>
      <c r="I26" s="600" t="str">
        <f>IF('2. Sem'!$K$11="","",'2. Sem'!$K$11)</f>
        <v/>
      </c>
      <c r="J26" s="600" t="str">
        <f>IF('2. Sem'!$L$11="","",'2. Sem'!$L$11)</f>
        <v/>
      </c>
      <c r="K26" s="600" t="str">
        <f>IF('2. Sem'!$M$11="","",'2. Sem'!$M$11)</f>
        <v/>
      </c>
      <c r="L26" s="601" t="str">
        <f>IF('2. Sem'!$N$11="","",'2. Sem'!$N$11)</f>
        <v/>
      </c>
      <c r="M26" s="596" t="str">
        <f>IF('2. Sem'!$O$11="","",'2. Sem'!$O$11)</f>
        <v/>
      </c>
      <c r="N26" s="597" t="str">
        <f>IF('2. Sem'!$P$11="","",'2. Sem'!$P$11)</f>
        <v/>
      </c>
      <c r="O26" s="597" t="str">
        <f>IF('2. Sem'!$Q$11="","",'2. Sem'!$Q$11)</f>
        <v/>
      </c>
      <c r="P26" s="597" t="str">
        <f>IF('2. Sem'!$R$11="","",'2. Sem'!$R$11)</f>
        <v/>
      </c>
      <c r="Q26" s="598" t="str">
        <f>IF('2. Sem'!$S$11="","",'2. Sem'!$S$11)</f>
        <v/>
      </c>
      <c r="R26" s="599" t="str">
        <f>IF('2. Sem'!$T$11="","",'2. Sem'!$T$11)</f>
        <v/>
      </c>
      <c r="S26" s="600" t="str">
        <f>IF('2. Sem'!$U$11="","",'2. Sem'!$U$11)</f>
        <v/>
      </c>
      <c r="T26" s="600" t="str">
        <f>IF('2. Sem'!$V$11="","",'2. Sem'!$V$11)</f>
        <v/>
      </c>
      <c r="U26" s="600" t="str">
        <f>IF('2. Sem'!$W$11="","",'2. Sem'!$W$11)</f>
        <v/>
      </c>
      <c r="V26" s="601" t="str">
        <f>IF('2. Sem'!$X$11="","",'2. Sem'!$X$11)</f>
        <v/>
      </c>
      <c r="W26" s="596" t="str">
        <f>IF('2. Sem'!$Y$11="","",'2. Sem'!$Y$11)</f>
        <v/>
      </c>
      <c r="X26" s="597" t="str">
        <f>IF('2. Sem'!$Z$11="","",'2. Sem'!$Z$11)</f>
        <v/>
      </c>
      <c r="Y26" s="597" t="str">
        <f>IF('2. Sem'!$AA$11="","",'2. Sem'!$AA$11)</f>
        <v/>
      </c>
      <c r="Z26" s="597" t="str">
        <f>IF('2. Sem'!$AB$11="","",'2. Sem'!$AB$11)</f>
        <v/>
      </c>
      <c r="AA26" s="598" t="str">
        <f>IF('2. Sem'!$AC$11="","",'2. Sem'!$AC$11)</f>
        <v/>
      </c>
      <c r="AB26" s="599" t="str">
        <f>IF('2. Sem'!$AD$11="","",'2. Sem'!$AD$11)</f>
        <v/>
      </c>
      <c r="AC26" s="600" t="str">
        <f>IF('2. Sem'!$AE$11="","",'2. Sem'!$AE$11)</f>
        <v/>
      </c>
      <c r="AD26" s="600" t="str">
        <f>IF('2. Sem'!$AF$11="","",'2. Sem'!$AF$11)</f>
        <v/>
      </c>
      <c r="AE26" s="600" t="str">
        <f>IF('2. Sem'!$AG$11="","",'2. Sem'!$AG$11)</f>
        <v/>
      </c>
      <c r="AF26" s="601" t="str">
        <f>IF('2. Sem'!$AH$11="","",'2. Sem'!$AH$11)</f>
        <v/>
      </c>
      <c r="AG26" s="596" t="str">
        <f>IF('2. Sem'!$AI$11="","",'2. Sem'!$AI$11)</f>
        <v/>
      </c>
      <c r="AH26" s="597" t="str">
        <f>IF('2. Sem'!$AJ$11="","",'2. Sem'!$AJ$11)</f>
        <v/>
      </c>
      <c r="AI26" s="597" t="str">
        <f>IF('2. Sem'!$AK$11="","",'2. Sem'!$AK$11)</f>
        <v/>
      </c>
      <c r="AJ26" s="597" t="str">
        <f>IF('2. Sem'!$AL$11="","",'2. Sem'!$AL$11)</f>
        <v/>
      </c>
      <c r="AK26" s="598" t="str">
        <f>IF('2. Sem'!$AM$11="","",'2. Sem'!$AM$11)</f>
        <v/>
      </c>
      <c r="AL26" s="605" t="str">
        <f>IF('2. Sem'!$AN$11="","",'2. Sem'!$AN$11)</f>
        <v/>
      </c>
      <c r="AM26" s="603" t="str">
        <f>IF('2. Sem'!$AO$11="","",'2. Sem'!$AO$11)</f>
        <v/>
      </c>
      <c r="AN26" s="603" t="str">
        <f>IF('2. Sem'!$AP$11="","",'2. Sem'!$AP$11)</f>
        <v/>
      </c>
      <c r="AO26" s="603" t="str">
        <f>IF('2. Sem'!$AQ$11="","",'2. Sem'!$AQ$11)</f>
        <v/>
      </c>
      <c r="AP26" s="604" t="str">
        <f>IF('2. Sem'!$AR$11="","",'2. Sem'!$AR$11)</f>
        <v/>
      </c>
      <c r="AQ26" s="602" t="str">
        <f>IF('2. Sem'!$AS$11="","",'2. Sem'!$AS$11)</f>
        <v/>
      </c>
      <c r="AR26" s="597" t="str">
        <f>IF('2. Sem'!$AT$11="","",'2. Sem'!$AT$11)</f>
        <v/>
      </c>
      <c r="AS26" s="597" t="str">
        <f>IF('2. Sem'!$AU$11="","",'2. Sem'!$AU$11)</f>
        <v/>
      </c>
      <c r="AT26" s="597" t="str">
        <f>IF('2. Sem'!$AV$11="","",'2. Sem'!$AV$11)</f>
        <v/>
      </c>
      <c r="AU26" s="598" t="str">
        <f>IF('2. Sem'!$AW$11="","",'2. Sem'!$AW$11)</f>
        <v/>
      </c>
      <c r="AV26" s="599" t="str">
        <f>IF('2. Sem'!$AX$11="","",'2. Sem'!$AX$11)</f>
        <v/>
      </c>
      <c r="AW26" s="600" t="str">
        <f>IF('2. Sem'!$AY$11="","",'2. Sem'!$AY$11)</f>
        <v/>
      </c>
      <c r="AX26" s="600" t="str">
        <f>IF('2. Sem'!$AZ$11="","",'2. Sem'!$AZ$11)</f>
        <v/>
      </c>
      <c r="AY26" s="600" t="str">
        <f>IF('2. Sem'!$BA$11="","",'2. Sem'!$BA$11)</f>
        <v/>
      </c>
      <c r="AZ26" s="601" t="str">
        <f>IF('2. Sem'!$BB$11="","",'2. Sem'!$BB$11)</f>
        <v/>
      </c>
      <c r="BA26" s="596" t="str">
        <f>IF('2. Sem'!$BC$11="","",'2. Sem'!$BC$11)</f>
        <v/>
      </c>
      <c r="BB26" s="597" t="str">
        <f>IF('2. Sem'!$BD$11="","",'2. Sem'!$BD$11)</f>
        <v/>
      </c>
      <c r="BC26" s="597" t="str">
        <f>IF('2. Sem'!$BE$11="","",'2. Sem'!$BE$11)</f>
        <v/>
      </c>
      <c r="BD26" s="597" t="str">
        <f>IF('2. Sem'!$BF$11="","",'2. Sem'!$BF$11)</f>
        <v/>
      </c>
      <c r="BE26" s="598" t="str">
        <f>IF('2. Sem'!$BG$11="","",'2. Sem'!$BG$11)</f>
        <v/>
      </c>
      <c r="BF26" s="599" t="str">
        <f>IF('2. Sem'!$BH$11="","",'2. Sem'!$BH$11)</f>
        <v/>
      </c>
      <c r="BG26" s="600" t="str">
        <f>IF('2. Sem'!$BI$11="","",'2. Sem'!$BI$11)</f>
        <v/>
      </c>
      <c r="BH26" s="600" t="str">
        <f>IF('2. Sem'!$BJ$11="","",'2. Sem'!$BJ$11)</f>
        <v/>
      </c>
      <c r="BI26" s="600" t="str">
        <f>IF('2. Sem'!$BK$11="","",'2. Sem'!$BK$11)</f>
        <v/>
      </c>
      <c r="BJ26" s="601" t="str">
        <f>IF('2. Sem'!$BL$11="","",'2. Sem'!$BL$11)</f>
        <v/>
      </c>
      <c r="BK26" s="596" t="str">
        <f>IF('2. Sem'!$BM$11="","",'2. Sem'!$BM$11)</f>
        <v/>
      </c>
      <c r="BL26" s="597" t="str">
        <f>IF('2. Sem'!$BN$11="","",'2. Sem'!$BN$11)</f>
        <v/>
      </c>
      <c r="BM26" s="597" t="str">
        <f>IF('2. Sem'!$BO$11="","",'2. Sem'!$BO$11)</f>
        <v/>
      </c>
      <c r="BN26" s="597" t="str">
        <f>IF('2. Sem'!$BP$11="","",'2. Sem'!$BP$11)</f>
        <v/>
      </c>
      <c r="BO26" s="598" t="str">
        <f>IF('2. Sem'!$BQ$11="","",'2. Sem'!$BQ$11)</f>
        <v/>
      </c>
      <c r="BP26" s="599" t="str">
        <f>IF('2. Sem'!$BR$11="","",'2. Sem'!$BR$11)</f>
        <v/>
      </c>
      <c r="BQ26" s="600" t="str">
        <f>IF('2. Sem'!$BS$11="","",'2. Sem'!$BS$11)</f>
        <v/>
      </c>
      <c r="BR26" s="600" t="str">
        <f>IF('2. Sem'!$BT$11="","",'2. Sem'!$BT$11)</f>
        <v/>
      </c>
      <c r="BS26" s="603" t="str">
        <f>IF('2. Sem'!$BU$11="","",'2. Sem'!$BU$11)</f>
        <v/>
      </c>
      <c r="BT26" s="604" t="str">
        <f>IF('2. Sem'!$BV$11="","",'2. Sem'!$BV$11)</f>
        <v/>
      </c>
      <c r="BU26" s="596" t="str">
        <f>IF('2. Sem'!$BW$11="","",'2. Sem'!$BW$11)</f>
        <v/>
      </c>
      <c r="BV26" s="597" t="str">
        <f>IF('2. Sem'!$BX$11="","",'2. Sem'!$BX$11)</f>
        <v/>
      </c>
      <c r="BW26" s="597" t="str">
        <f>IF('2. Sem'!$BY$11="","",'2. Sem'!$BY$11)</f>
        <v/>
      </c>
      <c r="BX26" s="597" t="str">
        <f>IF('2. Sem'!$BZ$11="","",'2. Sem'!$BZ$11)</f>
        <v/>
      </c>
      <c r="BY26" s="598" t="str">
        <f>IF('2. Sem'!$CA$11="","",'2. Sem'!$CA$11)</f>
        <v/>
      </c>
      <c r="BZ26" s="605" t="str">
        <f>IF('2. Sem'!$CB$11="","",'2. Sem'!$CB$11)</f>
        <v/>
      </c>
      <c r="CA26" s="600" t="str">
        <f>IF('2. Sem'!$CC$11="","",'2. Sem'!$CC$11)</f>
        <v/>
      </c>
      <c r="CB26" s="600" t="str">
        <f>IF('2. Sem'!$CD$11="","",'2. Sem'!$CD$11)</f>
        <v/>
      </c>
      <c r="CC26" s="600" t="str">
        <f>IF('2. Sem'!$CE$11="","",'2. Sem'!$CE$11)</f>
        <v/>
      </c>
      <c r="CD26" s="601" t="str">
        <f>IF('2. Sem'!$CF$11="","",'2. Sem'!$CF$11)</f>
        <v/>
      </c>
      <c r="CE26" s="596" t="str">
        <f>IF('2. Sem'!$CG$11="","",'2. Sem'!$CG$11)</f>
        <v/>
      </c>
      <c r="CF26" s="597" t="str">
        <f>IF('2. Sem'!$CH$11="","",'2. Sem'!$CH$11)</f>
        <v/>
      </c>
      <c r="CG26" s="597" t="str">
        <f>IF('2. Sem'!$CI$11="","",'2. Sem'!$CI$11)</f>
        <v/>
      </c>
      <c r="CH26" s="597" t="str">
        <f>IF('2. Sem'!$CJ$11="","",'2. Sem'!$CJ$11)</f>
        <v/>
      </c>
      <c r="CI26" s="598" t="str">
        <f>IF('2. Sem'!$CK$11="","",'2. Sem'!$CK$11)</f>
        <v/>
      </c>
      <c r="CJ26" s="599" t="str">
        <f>IF('2. Sem'!$CL$11="","",'2. Sem'!$CL$11)</f>
        <v/>
      </c>
      <c r="CK26" s="600" t="str">
        <f>IF('2. Sem'!$CM$11="","",'2. Sem'!$CM$11)</f>
        <v/>
      </c>
      <c r="CL26" s="600" t="str">
        <f>IF('2. Sem'!$CN$11="","",'2. Sem'!$CN$11)</f>
        <v/>
      </c>
      <c r="CM26" s="600" t="str">
        <f>IF('2. Sem'!$CO$11="","",'2. Sem'!$CO$11)</f>
        <v/>
      </c>
      <c r="CN26" s="601" t="str">
        <f>IF('2. Sem'!$CP$11="","",'2. Sem'!$CP$11)</f>
        <v/>
      </c>
      <c r="CO26" s="596" t="str">
        <f>IF('2. Sem'!$CQ$11="","",'2. Sem'!$CQ$11)</f>
        <v/>
      </c>
      <c r="CP26" s="597" t="str">
        <f>IF('2. Sem'!$CR$11="","",'2. Sem'!$CR$11)</f>
        <v/>
      </c>
      <c r="CQ26" s="597" t="str">
        <f>IF('2. Sem'!$CS$11="","",'2. Sem'!$CS$11)</f>
        <v/>
      </c>
      <c r="CR26" s="597" t="str">
        <f>IF('2. Sem'!$CT$11="","",'2. Sem'!$CT$11)</f>
        <v/>
      </c>
      <c r="CS26" s="598" t="str">
        <f>IF('2. Sem'!$CU$11="","",'2. Sem'!$CU$11)</f>
        <v/>
      </c>
      <c r="CT26" s="599" t="str">
        <f>IF('2. Sem'!$CV$11="","",'2. Sem'!$CV$11)</f>
        <v/>
      </c>
      <c r="CU26" s="600" t="str">
        <f>IF('2. Sem'!$CW$11="","",'2. Sem'!$CW$11)</f>
        <v/>
      </c>
      <c r="CV26" s="600" t="str">
        <f>IF('2. Sem'!$CX$11="","",'2. Sem'!$CX$11)</f>
        <v/>
      </c>
      <c r="CW26" s="600" t="str">
        <f>IF('2. Sem'!$CY$11="","",'2. Sem'!$CY$11)</f>
        <v/>
      </c>
      <c r="CX26" s="601" t="str">
        <f>IF('2. Sem'!$CZ$11="","",'2. Sem'!$CZ$11)</f>
        <v/>
      </c>
      <c r="CY26" s="596" t="str">
        <f>IF('2. Sem'!$DA$11="","",'2. Sem'!$DA$11)</f>
        <v/>
      </c>
      <c r="CZ26" s="597" t="str">
        <f>IF('2. Sem'!$DB$11="","",'2. Sem'!$DB$11)</f>
        <v/>
      </c>
      <c r="DA26" s="597" t="str">
        <f>IF('2. Sem'!$DC$11="","",'2. Sem'!$DC$11)</f>
        <v/>
      </c>
      <c r="DB26" s="597" t="str">
        <f>IF('2. Sem'!$DD$11="","",'2. Sem'!$DD$11)</f>
        <v/>
      </c>
      <c r="DC26" s="598" t="str">
        <f>IF('2. Sem'!$DE$11="","",'2. Sem'!$DE$11)</f>
        <v/>
      </c>
    </row>
    <row r="27" spans="1:107" ht="16" customHeight="1" x14ac:dyDescent="0.2">
      <c r="A27" s="566"/>
      <c r="B27" s="579" t="s">
        <v>19</v>
      </c>
      <c r="C27" s="568" t="str">
        <f>IF('2. Sem'!$E$12="","",'2. Sem'!$E$12)</f>
        <v/>
      </c>
      <c r="D27" s="569" t="str">
        <f>IF('2. Sem'!$F$12="","",'2. Sem'!$F$12)</f>
        <v/>
      </c>
      <c r="E27" s="576" t="str">
        <f>IF('2. Sem'!$G$12="","",'2. Sem'!$G$12)</f>
        <v/>
      </c>
      <c r="F27" s="569" t="str">
        <f>IF('2. Sem'!$H$12="","",'2. Sem'!$H$12)</f>
        <v/>
      </c>
      <c r="G27" s="570" t="str">
        <f>IF('2. Sem'!$I$12="","",'2. Sem'!$I$12)</f>
        <v/>
      </c>
      <c r="H27" s="571" t="str">
        <f>IF('2. Sem'!$J$12="","",'2. Sem'!$J$12)</f>
        <v/>
      </c>
      <c r="I27" s="572" t="str">
        <f>IF('2. Sem'!$K$12="","",'2. Sem'!$K$12)</f>
        <v/>
      </c>
      <c r="J27" s="576" t="str">
        <f>IF('2. Sem'!$L$12="","",'2. Sem'!$L$12)</f>
        <v/>
      </c>
      <c r="K27" s="572" t="str">
        <f>IF('2. Sem'!$M$12="","",'2. Sem'!$M$12)</f>
        <v/>
      </c>
      <c r="L27" s="573" t="str">
        <f>IF('2. Sem'!$N$12="","",'2. Sem'!$N$12)</f>
        <v/>
      </c>
      <c r="M27" s="574" t="str">
        <f>IF('2. Sem'!$O$12="","",'2. Sem'!$O$12)</f>
        <v/>
      </c>
      <c r="N27" s="569" t="str">
        <f>IF('2. Sem'!$P$12="","",'2. Sem'!$P$12)</f>
        <v/>
      </c>
      <c r="O27" s="576" t="str">
        <f>IF('2. Sem'!$Q$12="","",'2. Sem'!$Q$12)</f>
        <v/>
      </c>
      <c r="P27" s="569" t="str">
        <f>IF('2. Sem'!$R$12="","",'2. Sem'!$R$12)</f>
        <v/>
      </c>
      <c r="Q27" s="570" t="str">
        <f>IF('2. Sem'!$S$12="","",'2. Sem'!$S$12)</f>
        <v/>
      </c>
      <c r="R27" s="571" t="str">
        <f>IF('2. Sem'!$T$12="","",'2. Sem'!$T$12)</f>
        <v/>
      </c>
      <c r="S27" s="572" t="str">
        <f>IF('2. Sem'!$U$12="","",'2. Sem'!$U$12)</f>
        <v/>
      </c>
      <c r="T27" s="576" t="str">
        <f>IF('2. Sem'!$V$12="","",'2. Sem'!$V$12)</f>
        <v/>
      </c>
      <c r="U27" s="572" t="str">
        <f>IF('2. Sem'!$W$12="","",'2. Sem'!$W$12)</f>
        <v/>
      </c>
      <c r="V27" s="573" t="str">
        <f>IF('2. Sem'!$X$12="","",'2. Sem'!$X$12)</f>
        <v/>
      </c>
      <c r="W27" s="574" t="str">
        <f>IF('2. Sem'!$Y$12="","",'2. Sem'!$Y$12)</f>
        <v/>
      </c>
      <c r="X27" s="569" t="str">
        <f>IF('2. Sem'!$Z$12="","",'2. Sem'!$Z$12)</f>
        <v/>
      </c>
      <c r="Y27" s="576" t="str">
        <f>IF('2. Sem'!$AA$12="","",'2. Sem'!$AA$12)</f>
        <v/>
      </c>
      <c r="Z27" s="569" t="str">
        <f>IF('2. Sem'!$AB$12="","",'2. Sem'!$AB$12)</f>
        <v/>
      </c>
      <c r="AA27" s="570" t="str">
        <f>IF('2. Sem'!$AC$12="","",'2. Sem'!$AC$12)</f>
        <v/>
      </c>
      <c r="AB27" s="571" t="str">
        <f>IF('2. Sem'!$AD$12="","",'2. Sem'!$AD$12)</f>
        <v/>
      </c>
      <c r="AC27" s="572" t="str">
        <f>IF('2. Sem'!$AE$12="","",'2. Sem'!$AE$12)</f>
        <v/>
      </c>
      <c r="AD27" s="576" t="str">
        <f>IF('2. Sem'!$AF$12="","",'2. Sem'!$AF$12)</f>
        <v/>
      </c>
      <c r="AE27" s="572" t="str">
        <f>IF('2. Sem'!$AG$12="","",'2. Sem'!$AG$12)</f>
        <v/>
      </c>
      <c r="AF27" s="573" t="str">
        <f>IF('2. Sem'!$AH$12="","",'2. Sem'!$AH$12)</f>
        <v/>
      </c>
      <c r="AG27" s="574" t="str">
        <f>IF('2. Sem'!$AI$12="","",'2. Sem'!$AI$12)</f>
        <v/>
      </c>
      <c r="AH27" s="569" t="str">
        <f>IF('2. Sem'!$AJ$12="","",'2. Sem'!$AJ$12)</f>
        <v/>
      </c>
      <c r="AI27" s="576" t="str">
        <f>IF('2. Sem'!$AK$12="","",'2. Sem'!$AK$12)</f>
        <v/>
      </c>
      <c r="AJ27" s="569" t="str">
        <f>IF('2. Sem'!$AL$12="","",'2. Sem'!$AL$12)</f>
        <v/>
      </c>
      <c r="AK27" s="570" t="str">
        <f>IF('2. Sem'!$AM$12="","",'2. Sem'!$AM$12)</f>
        <v/>
      </c>
      <c r="AL27" s="578" t="str">
        <f>IF('2. Sem'!$AN$12="","",'2. Sem'!$AN$12)</f>
        <v/>
      </c>
      <c r="AM27" s="576" t="str">
        <f>IF('2. Sem'!$AO$12="","",'2. Sem'!$AO$12)</f>
        <v/>
      </c>
      <c r="AN27" s="576" t="str">
        <f>IF('2. Sem'!$AP$12="","",'2. Sem'!$AP$12)</f>
        <v/>
      </c>
      <c r="AO27" s="576" t="str">
        <f>IF('2. Sem'!$AQ$12="","",'2. Sem'!$AQ$12)</f>
        <v/>
      </c>
      <c r="AP27" s="577" t="str">
        <f>IF('2. Sem'!$AR$12="","",'2. Sem'!$AR$12)</f>
        <v/>
      </c>
      <c r="AQ27" s="575" t="str">
        <f>IF('2. Sem'!$AS$12="","",'2. Sem'!$AS$12)</f>
        <v/>
      </c>
      <c r="AR27" s="569" t="str">
        <f>IF('2. Sem'!$AT$12="","",'2. Sem'!$AT$12)</f>
        <v/>
      </c>
      <c r="AS27" s="576" t="str">
        <f>IF('2. Sem'!$AU$12="","",'2. Sem'!$AU$12)</f>
        <v/>
      </c>
      <c r="AT27" s="569" t="str">
        <f>IF('2. Sem'!$AV$12="","",'2. Sem'!$AV$12)</f>
        <v/>
      </c>
      <c r="AU27" s="570" t="str">
        <f>IF('2. Sem'!$AW$12="","",'2. Sem'!$AW$12)</f>
        <v/>
      </c>
      <c r="AV27" s="571" t="str">
        <f>IF('2. Sem'!$AX$12="","",'2. Sem'!$AX$12)</f>
        <v/>
      </c>
      <c r="AW27" s="572" t="str">
        <f>IF('2. Sem'!$AY$12="","",'2. Sem'!$AY$12)</f>
        <v/>
      </c>
      <c r="AX27" s="576" t="str">
        <f>IF('2. Sem'!$AZ$12="","",'2. Sem'!$AZ$12)</f>
        <v/>
      </c>
      <c r="AY27" s="572" t="str">
        <f>IF('2. Sem'!$BA$12="","",'2. Sem'!$BA$12)</f>
        <v/>
      </c>
      <c r="AZ27" s="573" t="str">
        <f>IF('2. Sem'!$BB$12="","",'2. Sem'!$BB$12)</f>
        <v/>
      </c>
      <c r="BA27" s="574" t="str">
        <f>IF('2. Sem'!$BC$12="","",'2. Sem'!$BC$12)</f>
        <v/>
      </c>
      <c r="BB27" s="569" t="str">
        <f>IF('2. Sem'!$BD$12="","",'2. Sem'!$BD$12)</f>
        <v/>
      </c>
      <c r="BC27" s="576" t="str">
        <f>IF('2. Sem'!$BE$12="","",'2. Sem'!$BE$12)</f>
        <v/>
      </c>
      <c r="BD27" s="569" t="str">
        <f>IF('2. Sem'!$BF$12="","",'2. Sem'!$BF$12)</f>
        <v/>
      </c>
      <c r="BE27" s="570" t="str">
        <f>IF('2. Sem'!$BG$12="","",'2. Sem'!$BG$12)</f>
        <v/>
      </c>
      <c r="BF27" s="571" t="str">
        <f>IF('2. Sem'!$BH$12="","",'2. Sem'!$BH$12)</f>
        <v/>
      </c>
      <c r="BG27" s="572" t="str">
        <f>IF('2. Sem'!$BI$12="","",'2. Sem'!$BI$12)</f>
        <v/>
      </c>
      <c r="BH27" s="576" t="str">
        <f>IF('2. Sem'!$BJ$12="","",'2. Sem'!$BJ$12)</f>
        <v/>
      </c>
      <c r="BI27" s="572" t="str">
        <f>IF('2. Sem'!$BK$12="","",'2. Sem'!$BK$12)</f>
        <v/>
      </c>
      <c r="BJ27" s="573" t="str">
        <f>IF('2. Sem'!$BL$12="","",'2. Sem'!$BL$12)</f>
        <v/>
      </c>
      <c r="BK27" s="574" t="str">
        <f>IF('2. Sem'!$BM$12="","",'2. Sem'!$BM$12)</f>
        <v/>
      </c>
      <c r="BL27" s="569" t="str">
        <f>IF('2. Sem'!$BN$12="","",'2. Sem'!$BN$12)</f>
        <v/>
      </c>
      <c r="BM27" s="576" t="str">
        <f>IF('2. Sem'!$BO$12="","",'2. Sem'!$BO$12)</f>
        <v/>
      </c>
      <c r="BN27" s="569" t="str">
        <f>IF('2. Sem'!$BP$12="","",'2. Sem'!$BP$12)</f>
        <v/>
      </c>
      <c r="BO27" s="570" t="str">
        <f>IF('2. Sem'!$BQ$12="","",'2. Sem'!$BQ$12)</f>
        <v/>
      </c>
      <c r="BP27" s="571" t="str">
        <f>IF('2. Sem'!$BR$12="","",'2. Sem'!$BR$12)</f>
        <v/>
      </c>
      <c r="BQ27" s="572" t="str">
        <f>IF('2. Sem'!$BS$12="","",'2. Sem'!$BS$12)</f>
        <v/>
      </c>
      <c r="BR27" s="576" t="str">
        <f>IF('2. Sem'!$BT$12="","",'2. Sem'!$BT$12)</f>
        <v/>
      </c>
      <c r="BS27" s="576" t="str">
        <f>IF('2. Sem'!$BU$12="","",'2. Sem'!$BU$12)</f>
        <v/>
      </c>
      <c r="BT27" s="577" t="str">
        <f>IF('2. Sem'!$BV$12="","",'2. Sem'!$BV$12)</f>
        <v/>
      </c>
      <c r="BU27" s="574" t="str">
        <f>IF('2. Sem'!$BW$12="","",'2. Sem'!$BW$12)</f>
        <v/>
      </c>
      <c r="BV27" s="569" t="str">
        <f>IF('2. Sem'!$BX$12="","",'2. Sem'!$BX$12)</f>
        <v/>
      </c>
      <c r="BW27" s="576" t="str">
        <f>IF('2. Sem'!$BY$12="","",'2. Sem'!$BY$12)</f>
        <v/>
      </c>
      <c r="BX27" s="569" t="str">
        <f>IF('2. Sem'!$BZ$12="","",'2. Sem'!$BZ$12)</f>
        <v/>
      </c>
      <c r="BY27" s="570" t="str">
        <f>IF('2. Sem'!$CA$12="","",'2. Sem'!$CA$12)</f>
        <v/>
      </c>
      <c r="BZ27" s="578" t="str">
        <f>IF('2. Sem'!$CB$12="","",'2. Sem'!$CB$12)</f>
        <v/>
      </c>
      <c r="CA27" s="572" t="str">
        <f>IF('2. Sem'!$CC$12="","",'2. Sem'!$CC$12)</f>
        <v/>
      </c>
      <c r="CB27" s="576" t="str">
        <f>IF('2. Sem'!$CD$12="","",'2. Sem'!$CD$12)</f>
        <v/>
      </c>
      <c r="CC27" s="572" t="str">
        <f>IF('2. Sem'!$CE$12="","",'2. Sem'!$CE$12)</f>
        <v/>
      </c>
      <c r="CD27" s="573" t="str">
        <f>IF('2. Sem'!$CF$12="","",'2. Sem'!$CF$12)</f>
        <v/>
      </c>
      <c r="CE27" s="574" t="str">
        <f>IF('2. Sem'!$CG$12="","",'2. Sem'!$CG$12)</f>
        <v/>
      </c>
      <c r="CF27" s="569" t="str">
        <f>IF('2. Sem'!$CH$12="","",'2. Sem'!$CH$12)</f>
        <v/>
      </c>
      <c r="CG27" s="576" t="str">
        <f>IF('2. Sem'!$CI$12="","",'2. Sem'!$CI$12)</f>
        <v/>
      </c>
      <c r="CH27" s="569" t="str">
        <f>IF('2. Sem'!$CJ$12="","",'2. Sem'!$CJ$12)</f>
        <v/>
      </c>
      <c r="CI27" s="570" t="str">
        <f>IF('2. Sem'!$CK$12="","",'2. Sem'!$CK$12)</f>
        <v/>
      </c>
      <c r="CJ27" s="571" t="str">
        <f>IF('2. Sem'!$CL$12="","",'2. Sem'!$CL$12)</f>
        <v/>
      </c>
      <c r="CK27" s="572" t="str">
        <f>IF('2. Sem'!$CM$12="","",'2. Sem'!$CM$12)</f>
        <v/>
      </c>
      <c r="CL27" s="576" t="str">
        <f>IF('2. Sem'!$CN$12="","",'2. Sem'!$CN$12)</f>
        <v/>
      </c>
      <c r="CM27" s="572" t="str">
        <f>IF('2. Sem'!$CO$12="","",'2. Sem'!$CO$12)</f>
        <v/>
      </c>
      <c r="CN27" s="573" t="str">
        <f>IF('2. Sem'!$CP$12="","",'2. Sem'!$CP$12)</f>
        <v/>
      </c>
      <c r="CO27" s="574" t="str">
        <f>IF('2. Sem'!$CQ$12="","",'2. Sem'!$CQ$12)</f>
        <v/>
      </c>
      <c r="CP27" s="569" t="str">
        <f>IF('2. Sem'!$CR$12="","",'2. Sem'!$CR$12)</f>
        <v/>
      </c>
      <c r="CQ27" s="576" t="str">
        <f>IF('2. Sem'!$CS$12="","",'2. Sem'!$CS$12)</f>
        <v/>
      </c>
      <c r="CR27" s="569" t="str">
        <f>IF('2. Sem'!$CT$12="","",'2. Sem'!$CT$12)</f>
        <v/>
      </c>
      <c r="CS27" s="570" t="str">
        <f>IF('2. Sem'!$CU$12="","",'2. Sem'!$CU$12)</f>
        <v/>
      </c>
      <c r="CT27" s="571" t="str">
        <f>IF('2. Sem'!$CV$12="","",'2. Sem'!$CV$12)</f>
        <v/>
      </c>
      <c r="CU27" s="572" t="str">
        <f>IF('2. Sem'!$CW$12="","",'2. Sem'!$CW$12)</f>
        <v/>
      </c>
      <c r="CV27" s="576" t="str">
        <f>IF('2. Sem'!$CX$12="","",'2. Sem'!$CX$12)</f>
        <v/>
      </c>
      <c r="CW27" s="572" t="str">
        <f>IF('2. Sem'!$CY$12="","",'2. Sem'!$CY$12)</f>
        <v/>
      </c>
      <c r="CX27" s="573" t="str">
        <f>IF('2. Sem'!$CZ$12="","",'2. Sem'!$CZ$12)</f>
        <v/>
      </c>
      <c r="CY27" s="574" t="str">
        <f>IF('2. Sem'!$DA$12="","",'2. Sem'!$DA$12)</f>
        <v/>
      </c>
      <c r="CZ27" s="569" t="str">
        <f>IF('2. Sem'!$DB$12="","",'2. Sem'!$DB$12)</f>
        <v/>
      </c>
      <c r="DA27" s="576" t="str">
        <f>IF('2. Sem'!$DC$12="","",'2. Sem'!$DC$12)</f>
        <v/>
      </c>
      <c r="DB27" s="569" t="str">
        <f>IF('2. Sem'!$DD$12="","",'2. Sem'!$DD$12)</f>
        <v/>
      </c>
      <c r="DC27" s="570" t="str">
        <f>IF('2. Sem'!$DE$12="","",'2. Sem'!$DE$12)</f>
        <v/>
      </c>
    </row>
    <row r="28" spans="1:107" ht="16" customHeight="1" x14ac:dyDescent="0.2">
      <c r="A28" s="566"/>
      <c r="B28" s="579" t="s">
        <v>21</v>
      </c>
      <c r="C28" s="580" t="str">
        <f>IF('2. Sem'!$E$13="","",'2. Sem'!$E$13)</f>
        <v/>
      </c>
      <c r="D28" s="581" t="str">
        <f>IF('2. Sem'!$F$13="","",'2. Sem'!$F$13)</f>
        <v/>
      </c>
      <c r="E28" s="588" t="str">
        <f>IF('2. Sem'!$G$13="","",'2. Sem'!$G$13)</f>
        <v/>
      </c>
      <c r="F28" s="581" t="str">
        <f>IF('2. Sem'!$H$13="","",'2. Sem'!$H$13)</f>
        <v/>
      </c>
      <c r="G28" s="582" t="str">
        <f>IF('2. Sem'!$I$13="","",'2. Sem'!$I$13)</f>
        <v/>
      </c>
      <c r="H28" s="583" t="str">
        <f>IF('2. Sem'!$J$13="","",'2. Sem'!$J$13)</f>
        <v/>
      </c>
      <c r="I28" s="584" t="str">
        <f>IF('2. Sem'!$K$13="","",'2. Sem'!$K$13)</f>
        <v/>
      </c>
      <c r="J28" s="588" t="str">
        <f>IF('2. Sem'!$L$13="","",'2. Sem'!$L$13)</f>
        <v/>
      </c>
      <c r="K28" s="584" t="str">
        <f>IF('2. Sem'!$M$13="","",'2. Sem'!$M$13)</f>
        <v/>
      </c>
      <c r="L28" s="585" t="str">
        <f>IF('2. Sem'!$N$13="","",'2. Sem'!$N$13)</f>
        <v/>
      </c>
      <c r="M28" s="586" t="str">
        <f>IF('2. Sem'!$O$13="","",'2. Sem'!$O$13)</f>
        <v/>
      </c>
      <c r="N28" s="581" t="str">
        <f>IF('2. Sem'!$P$13="","",'2. Sem'!$P$13)</f>
        <v/>
      </c>
      <c r="O28" s="588" t="str">
        <f>IF('2. Sem'!$Q$13="","",'2. Sem'!$Q$13)</f>
        <v/>
      </c>
      <c r="P28" s="581" t="str">
        <f>IF('2. Sem'!$R$13="","",'2. Sem'!$R$13)</f>
        <v/>
      </c>
      <c r="Q28" s="582" t="str">
        <f>IF('2. Sem'!$S$13="","",'2. Sem'!$S$13)</f>
        <v/>
      </c>
      <c r="R28" s="583" t="str">
        <f>IF('2. Sem'!$T$13="","",'2. Sem'!$T$13)</f>
        <v/>
      </c>
      <c r="S28" s="584" t="str">
        <f>IF('2. Sem'!$U$13="","",'2. Sem'!$U$13)</f>
        <v/>
      </c>
      <c r="T28" s="588" t="str">
        <f>IF('2. Sem'!$V$13="","",'2. Sem'!$V$13)</f>
        <v/>
      </c>
      <c r="U28" s="584" t="str">
        <f>IF('2. Sem'!$W$13="","",'2. Sem'!$W$13)</f>
        <v/>
      </c>
      <c r="V28" s="585" t="str">
        <f>IF('2. Sem'!$X$13="","",'2. Sem'!$X$13)</f>
        <v/>
      </c>
      <c r="W28" s="586" t="str">
        <f>IF('2. Sem'!$Y$13="","",'2. Sem'!$Y$13)</f>
        <v/>
      </c>
      <c r="X28" s="581" t="str">
        <f>IF('2. Sem'!$Z$13="","",'2. Sem'!$Z$13)</f>
        <v/>
      </c>
      <c r="Y28" s="588" t="str">
        <f>IF('2. Sem'!$AA$13="","",'2. Sem'!$AA$13)</f>
        <v/>
      </c>
      <c r="Z28" s="581" t="str">
        <f>IF('2. Sem'!$AB$13="","",'2. Sem'!$AB$13)</f>
        <v/>
      </c>
      <c r="AA28" s="582" t="str">
        <f>IF('2. Sem'!$AC$13="","",'2. Sem'!$AC$13)</f>
        <v/>
      </c>
      <c r="AB28" s="583" t="str">
        <f>IF('2. Sem'!$AD$13="","",'2. Sem'!$AD$13)</f>
        <v/>
      </c>
      <c r="AC28" s="584" t="str">
        <f>IF('2. Sem'!$AE$13="","",'2. Sem'!$AE$13)</f>
        <v/>
      </c>
      <c r="AD28" s="588" t="str">
        <f>IF('2. Sem'!$AF$13="","",'2. Sem'!$AF$13)</f>
        <v/>
      </c>
      <c r="AE28" s="584" t="str">
        <f>IF('2. Sem'!$AG$13="","",'2. Sem'!$AG$13)</f>
        <v/>
      </c>
      <c r="AF28" s="585" t="str">
        <f>IF('2. Sem'!$AH$13="","",'2. Sem'!$AH$13)</f>
        <v/>
      </c>
      <c r="AG28" s="586" t="str">
        <f>IF('2. Sem'!$AI$13="","",'2. Sem'!$AI$13)</f>
        <v/>
      </c>
      <c r="AH28" s="581" t="str">
        <f>IF('2. Sem'!$AJ$13="","",'2. Sem'!$AJ$13)</f>
        <v/>
      </c>
      <c r="AI28" s="588" t="str">
        <f>IF('2. Sem'!$AK$13="","",'2. Sem'!$AK$13)</f>
        <v/>
      </c>
      <c r="AJ28" s="581" t="str">
        <f>IF('2. Sem'!$AL$13="","",'2. Sem'!$AL$13)</f>
        <v/>
      </c>
      <c r="AK28" s="582" t="str">
        <f>IF('2. Sem'!$AM$13="","",'2. Sem'!$AM$13)</f>
        <v/>
      </c>
      <c r="AL28" s="590" t="str">
        <f>IF('2. Sem'!$AN$13="","",'2. Sem'!$AN$13)</f>
        <v/>
      </c>
      <c r="AM28" s="588" t="str">
        <f>IF('2. Sem'!$AO$13="","",'2. Sem'!$AO$13)</f>
        <v/>
      </c>
      <c r="AN28" s="588" t="str">
        <f>IF('2. Sem'!$AP$13="","",'2. Sem'!$AP$13)</f>
        <v/>
      </c>
      <c r="AO28" s="588" t="str">
        <f>IF('2. Sem'!$AQ$13="","",'2. Sem'!$AQ$13)</f>
        <v/>
      </c>
      <c r="AP28" s="589" t="str">
        <f>IF('2. Sem'!$AR$13="","",'2. Sem'!$AR$13)</f>
        <v/>
      </c>
      <c r="AQ28" s="587" t="str">
        <f>IF('2. Sem'!$AS$13="","",'2. Sem'!$AS$13)</f>
        <v/>
      </c>
      <c r="AR28" s="581" t="str">
        <f>IF('2. Sem'!$AT$13="","",'2. Sem'!$AT$13)</f>
        <v/>
      </c>
      <c r="AS28" s="588" t="str">
        <f>IF('2. Sem'!$AU$13="","",'2. Sem'!$AU$13)</f>
        <v/>
      </c>
      <c r="AT28" s="581" t="str">
        <f>IF('2. Sem'!$AV$13="","",'2. Sem'!$AV$13)</f>
        <v/>
      </c>
      <c r="AU28" s="582" t="str">
        <f>IF('2. Sem'!$AW$13="","",'2. Sem'!$AW$13)</f>
        <v/>
      </c>
      <c r="AV28" s="583" t="str">
        <f>IF('2. Sem'!$AX$13="","",'2. Sem'!$AX$13)</f>
        <v/>
      </c>
      <c r="AW28" s="584" t="str">
        <f>IF('2. Sem'!$AY$13="","",'2. Sem'!$AY$13)</f>
        <v/>
      </c>
      <c r="AX28" s="588" t="str">
        <f>IF('2. Sem'!$AZ$13="","",'2. Sem'!$AZ$13)</f>
        <v/>
      </c>
      <c r="AY28" s="584" t="str">
        <f>IF('2. Sem'!$BA$13="","",'2. Sem'!$BA$13)</f>
        <v/>
      </c>
      <c r="AZ28" s="585" t="str">
        <f>IF('2. Sem'!$BB$13="","",'2. Sem'!$BB$13)</f>
        <v/>
      </c>
      <c r="BA28" s="586" t="str">
        <f>IF('2. Sem'!$BC$13="","",'2. Sem'!$BC$13)</f>
        <v/>
      </c>
      <c r="BB28" s="581" t="str">
        <f>IF('2. Sem'!$BD$13="","",'2. Sem'!$BD$13)</f>
        <v/>
      </c>
      <c r="BC28" s="588" t="str">
        <f>IF('2. Sem'!$BE$13="","",'2. Sem'!$BE$13)</f>
        <v/>
      </c>
      <c r="BD28" s="581" t="str">
        <f>IF('2. Sem'!$BF$13="","",'2. Sem'!$BF$13)</f>
        <v/>
      </c>
      <c r="BE28" s="582" t="str">
        <f>IF('2. Sem'!$BG$13="","",'2. Sem'!$BG$13)</f>
        <v/>
      </c>
      <c r="BF28" s="583" t="str">
        <f>IF('2. Sem'!$BH$13="","",'2. Sem'!$BH$13)</f>
        <v/>
      </c>
      <c r="BG28" s="584" t="str">
        <f>IF('2. Sem'!$BI$13="","",'2. Sem'!$BI$13)</f>
        <v/>
      </c>
      <c r="BH28" s="588" t="str">
        <f>IF('2. Sem'!$BJ$13="","",'2. Sem'!$BJ$13)</f>
        <v/>
      </c>
      <c r="BI28" s="584" t="str">
        <f>IF('2. Sem'!$BK$13="","",'2. Sem'!$BK$13)</f>
        <v/>
      </c>
      <c r="BJ28" s="585" t="str">
        <f>IF('2. Sem'!$BL$13="","",'2. Sem'!$BL$13)</f>
        <v/>
      </c>
      <c r="BK28" s="586" t="str">
        <f>IF('2. Sem'!$BM$13="","",'2. Sem'!$BM$13)</f>
        <v/>
      </c>
      <c r="BL28" s="581" t="str">
        <f>IF('2. Sem'!$BN$13="","",'2. Sem'!$BN$13)</f>
        <v/>
      </c>
      <c r="BM28" s="588" t="str">
        <f>IF('2. Sem'!$BO$13="","",'2. Sem'!$BO$13)</f>
        <v/>
      </c>
      <c r="BN28" s="581" t="str">
        <f>IF('2. Sem'!$BP$13="","",'2. Sem'!$BP$13)</f>
        <v/>
      </c>
      <c r="BO28" s="582" t="str">
        <f>IF('2. Sem'!$BQ$13="","",'2. Sem'!$BQ$13)</f>
        <v/>
      </c>
      <c r="BP28" s="583" t="str">
        <f>IF('2. Sem'!$BR$13="","",'2. Sem'!$BR$13)</f>
        <v/>
      </c>
      <c r="BQ28" s="584" t="str">
        <f>IF('2. Sem'!$BS$13="","",'2. Sem'!$BS$13)</f>
        <v/>
      </c>
      <c r="BR28" s="588" t="str">
        <f>IF('2. Sem'!$BT$13="","",'2. Sem'!$BT$13)</f>
        <v/>
      </c>
      <c r="BS28" s="588" t="str">
        <f>IF('2. Sem'!$BU$13="","",'2. Sem'!$BU$13)</f>
        <v/>
      </c>
      <c r="BT28" s="589" t="str">
        <f>IF('2. Sem'!$BV$13="","",'2. Sem'!$BV$13)</f>
        <v/>
      </c>
      <c r="BU28" s="586" t="str">
        <f>IF('2. Sem'!$BW$13="","",'2. Sem'!$BW$13)</f>
        <v/>
      </c>
      <c r="BV28" s="581" t="str">
        <f>IF('2. Sem'!$BX$13="","",'2. Sem'!$BX$13)</f>
        <v/>
      </c>
      <c r="BW28" s="588" t="str">
        <f>IF('2. Sem'!$BY$13="","",'2. Sem'!$BY$13)</f>
        <v/>
      </c>
      <c r="BX28" s="581" t="str">
        <f>IF('2. Sem'!$BZ$13="","",'2. Sem'!$BZ$13)</f>
        <v/>
      </c>
      <c r="BY28" s="582" t="str">
        <f>IF('2. Sem'!$CA$13="","",'2. Sem'!$CA$13)</f>
        <v/>
      </c>
      <c r="BZ28" s="590" t="str">
        <f>IF('2. Sem'!$CB$13="","",'2. Sem'!$CB$13)</f>
        <v/>
      </c>
      <c r="CA28" s="584" t="str">
        <f>IF('2. Sem'!$CC$13="","",'2. Sem'!$CC$13)</f>
        <v/>
      </c>
      <c r="CB28" s="588" t="str">
        <f>IF('2. Sem'!$CD$13="","",'2. Sem'!$CD$13)</f>
        <v/>
      </c>
      <c r="CC28" s="584" t="str">
        <f>IF('2. Sem'!$CE$13="","",'2. Sem'!$CE$13)</f>
        <v/>
      </c>
      <c r="CD28" s="585" t="str">
        <f>IF('2. Sem'!$CF$13="","",'2. Sem'!$CF$13)</f>
        <v/>
      </c>
      <c r="CE28" s="586" t="str">
        <f>IF('2. Sem'!$CG$13="","",'2. Sem'!$CG$13)</f>
        <v/>
      </c>
      <c r="CF28" s="581" t="str">
        <f>IF('2. Sem'!$CH$13="","",'2. Sem'!$CH$13)</f>
        <v/>
      </c>
      <c r="CG28" s="588" t="str">
        <f>IF('2. Sem'!$CI$13="","",'2. Sem'!$CI$13)</f>
        <v/>
      </c>
      <c r="CH28" s="581" t="str">
        <f>IF('2. Sem'!$CJ$13="","",'2. Sem'!$CJ$13)</f>
        <v/>
      </c>
      <c r="CI28" s="582" t="str">
        <f>IF('2. Sem'!$CK$13="","",'2. Sem'!$CK$13)</f>
        <v/>
      </c>
      <c r="CJ28" s="583" t="str">
        <f>IF('2. Sem'!$CL$13="","",'2. Sem'!$CL$13)</f>
        <v/>
      </c>
      <c r="CK28" s="584" t="str">
        <f>IF('2. Sem'!$CM$13="","",'2. Sem'!$CM$13)</f>
        <v/>
      </c>
      <c r="CL28" s="588" t="str">
        <f>IF('2. Sem'!$CN$13="","",'2. Sem'!$CN$13)</f>
        <v/>
      </c>
      <c r="CM28" s="584" t="str">
        <f>IF('2. Sem'!$CO$13="","",'2. Sem'!$CO$13)</f>
        <v/>
      </c>
      <c r="CN28" s="585" t="str">
        <f>IF('2. Sem'!$CP$13="","",'2. Sem'!$CP$13)</f>
        <v/>
      </c>
      <c r="CO28" s="586" t="str">
        <f>IF('2. Sem'!$CQ$13="","",'2. Sem'!$CQ$13)</f>
        <v/>
      </c>
      <c r="CP28" s="581" t="str">
        <f>IF('2. Sem'!$CR$13="","",'2. Sem'!$CR$13)</f>
        <v/>
      </c>
      <c r="CQ28" s="588" t="str">
        <f>IF('2. Sem'!$CS$13="","",'2. Sem'!$CS$13)</f>
        <v/>
      </c>
      <c r="CR28" s="581" t="str">
        <f>IF('2. Sem'!$CT$13="","",'2. Sem'!$CT$13)</f>
        <v/>
      </c>
      <c r="CS28" s="582" t="str">
        <f>IF('2. Sem'!$CU$13="","",'2. Sem'!$CU$13)</f>
        <v/>
      </c>
      <c r="CT28" s="583" t="str">
        <f>IF('2. Sem'!$CV$13="","",'2. Sem'!$CV$13)</f>
        <v/>
      </c>
      <c r="CU28" s="584" t="str">
        <f>IF('2. Sem'!$CW$13="","",'2. Sem'!$CW$13)</f>
        <v/>
      </c>
      <c r="CV28" s="588" t="str">
        <f>IF('2. Sem'!$CX$13="","",'2. Sem'!$CX$13)</f>
        <v/>
      </c>
      <c r="CW28" s="584" t="str">
        <f>IF('2. Sem'!$CY$13="","",'2. Sem'!$CY$13)</f>
        <v/>
      </c>
      <c r="CX28" s="585" t="str">
        <f>IF('2. Sem'!$CZ$13="","",'2. Sem'!$CZ$13)</f>
        <v/>
      </c>
      <c r="CY28" s="586" t="str">
        <f>IF('2. Sem'!$DA$13="","",'2. Sem'!$DA$13)</f>
        <v/>
      </c>
      <c r="CZ28" s="581" t="str">
        <f>IF('2. Sem'!$DB$13="","",'2. Sem'!$DB$13)</f>
        <v/>
      </c>
      <c r="DA28" s="588" t="str">
        <f>IF('2. Sem'!$DC$13="","",'2. Sem'!$DC$13)</f>
        <v/>
      </c>
      <c r="DB28" s="581" t="str">
        <f>IF('2. Sem'!$DD$13="","",'2. Sem'!$DD$13)</f>
        <v/>
      </c>
      <c r="DC28" s="582" t="str">
        <f>IF('2. Sem'!$DE$13="","",'2. Sem'!$DE$13)</f>
        <v/>
      </c>
    </row>
    <row r="29" spans="1:107" ht="16" customHeight="1" x14ac:dyDescent="0.2">
      <c r="A29" s="566"/>
      <c r="B29" s="579" t="s">
        <v>22</v>
      </c>
      <c r="C29" s="591" t="str">
        <f>IF('2. Sem'!$E$14="","",'2. Sem'!$E$14)</f>
        <v/>
      </c>
      <c r="D29" s="581" t="str">
        <f>IF('2. Sem'!$F$14="","",'2. Sem'!$F$14)</f>
        <v/>
      </c>
      <c r="E29" s="588" t="str">
        <f>IF('2. Sem'!$G$14="","",'2. Sem'!$G$14)</f>
        <v/>
      </c>
      <c r="F29" s="581" t="str">
        <f>IF('2. Sem'!$H$14="","",'2. Sem'!$H$14)</f>
        <v/>
      </c>
      <c r="G29" s="582" t="str">
        <f>IF('2. Sem'!$I$14="","",'2. Sem'!$I$14)</f>
        <v/>
      </c>
      <c r="H29" s="583" t="str">
        <f>IF('2. Sem'!$J$14="","",'2. Sem'!$J$14)</f>
        <v/>
      </c>
      <c r="I29" s="584" t="str">
        <f>IF('2. Sem'!$K$14="","",'2. Sem'!$K$14)</f>
        <v/>
      </c>
      <c r="J29" s="588" t="str">
        <f>IF('2. Sem'!$L$14="","",'2. Sem'!$L$14)</f>
        <v/>
      </c>
      <c r="K29" s="584" t="str">
        <f>IF('2. Sem'!$M$14="","",'2. Sem'!$M$14)</f>
        <v/>
      </c>
      <c r="L29" s="592" t="str">
        <f>IF('2. Sem'!$N$14="","",'2. Sem'!$N$14)</f>
        <v/>
      </c>
      <c r="M29" s="593" t="str">
        <f>IF('2. Sem'!$O$14="","",'2. Sem'!$O$14)</f>
        <v/>
      </c>
      <c r="N29" s="581" t="str">
        <f>IF('2. Sem'!$P$14="","",'2. Sem'!$P$14)</f>
        <v/>
      </c>
      <c r="O29" s="588" t="str">
        <f>IF('2. Sem'!$Q$14="","",'2. Sem'!$Q$14)</f>
        <v/>
      </c>
      <c r="P29" s="581" t="str">
        <f>IF('2. Sem'!$R$14="","",'2. Sem'!$R$14)</f>
        <v/>
      </c>
      <c r="Q29" s="582" t="str">
        <f>IF('2. Sem'!$S$14="","",'2. Sem'!$S$14)</f>
        <v/>
      </c>
      <c r="R29" s="583" t="str">
        <f>IF('2. Sem'!$T$14="","",'2. Sem'!$T$14)</f>
        <v/>
      </c>
      <c r="S29" s="584" t="str">
        <f>IF('2. Sem'!$U$14="","",'2. Sem'!$U$14)</f>
        <v/>
      </c>
      <c r="T29" s="588" t="str">
        <f>IF('2. Sem'!$V$14="","",'2. Sem'!$V$14)</f>
        <v/>
      </c>
      <c r="U29" s="584" t="str">
        <f>IF('2. Sem'!$W$14="","",'2. Sem'!$W$14)</f>
        <v/>
      </c>
      <c r="V29" s="592" t="str">
        <f>IF('2. Sem'!$X$14="","",'2. Sem'!$X$14)</f>
        <v/>
      </c>
      <c r="W29" s="593" t="str">
        <f>IF('2. Sem'!$Y$14="","",'2. Sem'!$Y$14)</f>
        <v/>
      </c>
      <c r="X29" s="581" t="str">
        <f>IF('2. Sem'!$Z$14="","",'2. Sem'!$Z$14)</f>
        <v/>
      </c>
      <c r="Y29" s="588" t="str">
        <f>IF('2. Sem'!$AA$14="","",'2. Sem'!$AA$14)</f>
        <v/>
      </c>
      <c r="Z29" s="581" t="str">
        <f>IF('2. Sem'!$AB$14="","",'2. Sem'!$AB$14)</f>
        <v/>
      </c>
      <c r="AA29" s="582" t="str">
        <f>IF('2. Sem'!$AC$14="","",'2. Sem'!$AC$14)</f>
        <v/>
      </c>
      <c r="AB29" s="583" t="str">
        <f>IF('2. Sem'!$AD$14="","",'2. Sem'!$AD$14)</f>
        <v/>
      </c>
      <c r="AC29" s="584" t="str">
        <f>IF('2. Sem'!$AE$14="","",'2. Sem'!$AE$14)</f>
        <v/>
      </c>
      <c r="AD29" s="588" t="str">
        <f>IF('2. Sem'!$AF$14="","",'2. Sem'!$AF$14)</f>
        <v/>
      </c>
      <c r="AE29" s="584" t="str">
        <f>IF('2. Sem'!$AG$14="","",'2. Sem'!$AG$14)</f>
        <v/>
      </c>
      <c r="AF29" s="592" t="str">
        <f>IF('2. Sem'!$AH$14="","",'2. Sem'!$AH$14)</f>
        <v/>
      </c>
      <c r="AG29" s="593" t="str">
        <f>IF('2. Sem'!$AI$14="","",'2. Sem'!$AI$14)</f>
        <v/>
      </c>
      <c r="AH29" s="581" t="str">
        <f>IF('2. Sem'!$AJ$14="","",'2. Sem'!$AJ$14)</f>
        <v/>
      </c>
      <c r="AI29" s="588" t="str">
        <f>IF('2. Sem'!$AK$14="","",'2. Sem'!$AK$14)</f>
        <v/>
      </c>
      <c r="AJ29" s="581" t="str">
        <f>IF('2. Sem'!$AL$14="","",'2. Sem'!$AL$14)</f>
        <v/>
      </c>
      <c r="AK29" s="582" t="str">
        <f>IF('2. Sem'!$AM$14="","",'2. Sem'!$AM$14)</f>
        <v/>
      </c>
      <c r="AL29" s="590" t="str">
        <f>IF('2. Sem'!$AN$14="","",'2. Sem'!$AN$14)</f>
        <v/>
      </c>
      <c r="AM29" s="588" t="str">
        <f>IF('2. Sem'!$AO$14="","",'2. Sem'!$AO$14)</f>
        <v/>
      </c>
      <c r="AN29" s="588" t="str">
        <f>IF('2. Sem'!$AP$14="","",'2. Sem'!$AP$14)</f>
        <v/>
      </c>
      <c r="AO29" s="588" t="str">
        <f>IF('2. Sem'!$AQ$14="","",'2. Sem'!$AQ$14)</f>
        <v/>
      </c>
      <c r="AP29" s="595" t="str">
        <f>IF('2. Sem'!$AR$14="","",'2. Sem'!$AR$14)</f>
        <v/>
      </c>
      <c r="AQ29" s="594" t="str">
        <f>IF('2. Sem'!$AS$14="","",'2. Sem'!$AS$14)</f>
        <v/>
      </c>
      <c r="AR29" s="581" t="str">
        <f>IF('2. Sem'!$AT$14="","",'2. Sem'!$AT$14)</f>
        <v/>
      </c>
      <c r="AS29" s="588" t="str">
        <f>IF('2. Sem'!$AU$14="","",'2. Sem'!$AU$14)</f>
        <v/>
      </c>
      <c r="AT29" s="581" t="str">
        <f>IF('2. Sem'!$AV$14="","",'2. Sem'!$AV$14)</f>
        <v/>
      </c>
      <c r="AU29" s="582" t="str">
        <f>IF('2. Sem'!$AW$14="","",'2. Sem'!$AW$14)</f>
        <v/>
      </c>
      <c r="AV29" s="583" t="str">
        <f>IF('2. Sem'!$AX$14="","",'2. Sem'!$AX$14)</f>
        <v/>
      </c>
      <c r="AW29" s="584" t="str">
        <f>IF('2. Sem'!$AY$14="","",'2. Sem'!$AY$14)</f>
        <v/>
      </c>
      <c r="AX29" s="588" t="str">
        <f>IF('2. Sem'!$AZ$14="","",'2. Sem'!$AZ$14)</f>
        <v/>
      </c>
      <c r="AY29" s="584" t="str">
        <f>IF('2. Sem'!$BA$14="","",'2. Sem'!$BA$14)</f>
        <v/>
      </c>
      <c r="AZ29" s="592" t="str">
        <f>IF('2. Sem'!$BB$14="","",'2. Sem'!$BB$14)</f>
        <v/>
      </c>
      <c r="BA29" s="593" t="str">
        <f>IF('2. Sem'!$BC$14="","",'2. Sem'!$BC$14)</f>
        <v/>
      </c>
      <c r="BB29" s="581" t="str">
        <f>IF('2. Sem'!$BD$14="","",'2. Sem'!$BD$14)</f>
        <v/>
      </c>
      <c r="BC29" s="588" t="str">
        <f>IF('2. Sem'!$BE$14="","",'2. Sem'!$BE$14)</f>
        <v/>
      </c>
      <c r="BD29" s="581" t="str">
        <f>IF('2. Sem'!$BF$14="","",'2. Sem'!$BF$14)</f>
        <v/>
      </c>
      <c r="BE29" s="582" t="str">
        <f>IF('2. Sem'!$BG$14="","",'2. Sem'!$BG$14)</f>
        <v/>
      </c>
      <c r="BF29" s="583" t="str">
        <f>IF('2. Sem'!$BH$14="","",'2. Sem'!$BH$14)</f>
        <v/>
      </c>
      <c r="BG29" s="584" t="str">
        <f>IF('2. Sem'!$BI$14="","",'2. Sem'!$BI$14)</f>
        <v/>
      </c>
      <c r="BH29" s="588" t="str">
        <f>IF('2. Sem'!$BJ$14="","",'2. Sem'!$BJ$14)</f>
        <v/>
      </c>
      <c r="BI29" s="584" t="str">
        <f>IF('2. Sem'!$BK$14="","",'2. Sem'!$BK$14)</f>
        <v/>
      </c>
      <c r="BJ29" s="592" t="str">
        <f>IF('2. Sem'!$BL$14="","",'2. Sem'!$BL$14)</f>
        <v/>
      </c>
      <c r="BK29" s="593" t="str">
        <f>IF('2. Sem'!$BM$14="","",'2. Sem'!$BM$14)</f>
        <v/>
      </c>
      <c r="BL29" s="581" t="str">
        <f>IF('2. Sem'!$BN$14="","",'2. Sem'!$BN$14)</f>
        <v/>
      </c>
      <c r="BM29" s="588" t="str">
        <f>IF('2. Sem'!$BO$14="","",'2. Sem'!$BO$14)</f>
        <v/>
      </c>
      <c r="BN29" s="581" t="str">
        <f>IF('2. Sem'!$BP$14="","",'2. Sem'!$BP$14)</f>
        <v/>
      </c>
      <c r="BO29" s="582" t="str">
        <f>IF('2. Sem'!$BQ$14="","",'2. Sem'!$BQ$14)</f>
        <v/>
      </c>
      <c r="BP29" s="583" t="str">
        <f>IF('2. Sem'!$BR$14="","",'2. Sem'!$BR$14)</f>
        <v/>
      </c>
      <c r="BQ29" s="584" t="str">
        <f>IF('2. Sem'!$BS$14="","",'2. Sem'!$BS$14)</f>
        <v/>
      </c>
      <c r="BR29" s="588" t="str">
        <f>IF('2. Sem'!$BT$14="","",'2. Sem'!$BT$14)</f>
        <v/>
      </c>
      <c r="BS29" s="588" t="str">
        <f>IF('2. Sem'!$BU$14="","",'2. Sem'!$BU$14)</f>
        <v/>
      </c>
      <c r="BT29" s="595" t="str">
        <f>IF('2. Sem'!$BV$14="","",'2. Sem'!$BV$14)</f>
        <v/>
      </c>
      <c r="BU29" s="593" t="str">
        <f>IF('2. Sem'!$BW$14="","",'2. Sem'!$BW$14)</f>
        <v/>
      </c>
      <c r="BV29" s="581" t="str">
        <f>IF('2. Sem'!$BX$14="","",'2. Sem'!$BX$14)</f>
        <v/>
      </c>
      <c r="BW29" s="588" t="str">
        <f>IF('2. Sem'!$BY$14="","",'2. Sem'!$BY$14)</f>
        <v/>
      </c>
      <c r="BX29" s="581" t="str">
        <f>IF('2. Sem'!$BZ$14="","",'2. Sem'!$BZ$14)</f>
        <v/>
      </c>
      <c r="BY29" s="582" t="str">
        <f>IF('2. Sem'!$CA$14="","",'2. Sem'!$CA$14)</f>
        <v/>
      </c>
      <c r="BZ29" s="590" t="str">
        <f>IF('2. Sem'!$CB$14="","",'2. Sem'!$CB$14)</f>
        <v/>
      </c>
      <c r="CA29" s="584" t="str">
        <f>IF('2. Sem'!$CC$14="","",'2. Sem'!$CC$14)</f>
        <v/>
      </c>
      <c r="CB29" s="588" t="str">
        <f>IF('2. Sem'!$CD$14="","",'2. Sem'!$CD$14)</f>
        <v/>
      </c>
      <c r="CC29" s="584" t="str">
        <f>IF('2. Sem'!$CE$14="","",'2. Sem'!$CE$14)</f>
        <v/>
      </c>
      <c r="CD29" s="592" t="str">
        <f>IF('2. Sem'!$CF$14="","",'2. Sem'!$CF$14)</f>
        <v/>
      </c>
      <c r="CE29" s="593" t="str">
        <f>IF('2. Sem'!$CG$14="","",'2. Sem'!$CG$14)</f>
        <v/>
      </c>
      <c r="CF29" s="581" t="str">
        <f>IF('2. Sem'!$CH$14="","",'2. Sem'!$CH$14)</f>
        <v/>
      </c>
      <c r="CG29" s="588" t="str">
        <f>IF('2. Sem'!$CI$14="","",'2. Sem'!$CI$14)</f>
        <v/>
      </c>
      <c r="CH29" s="581" t="str">
        <f>IF('2. Sem'!$CJ$14="","",'2. Sem'!$CJ$14)</f>
        <v/>
      </c>
      <c r="CI29" s="582" t="str">
        <f>IF('2. Sem'!$CK$14="","",'2. Sem'!$CK$14)</f>
        <v/>
      </c>
      <c r="CJ29" s="583" t="str">
        <f>IF('2. Sem'!$CL$14="","",'2. Sem'!$CL$14)</f>
        <v/>
      </c>
      <c r="CK29" s="584" t="str">
        <f>IF('2. Sem'!$CM$14="","",'2. Sem'!$CM$14)</f>
        <v/>
      </c>
      <c r="CL29" s="588" t="str">
        <f>IF('2. Sem'!$CN$14="","",'2. Sem'!$CN$14)</f>
        <v/>
      </c>
      <c r="CM29" s="584" t="str">
        <f>IF('2. Sem'!$CO$14="","",'2. Sem'!$CO$14)</f>
        <v/>
      </c>
      <c r="CN29" s="592" t="str">
        <f>IF('2. Sem'!$CP$14="","",'2. Sem'!$CP$14)</f>
        <v/>
      </c>
      <c r="CO29" s="593" t="str">
        <f>IF('2. Sem'!$CQ$14="","",'2. Sem'!$CQ$14)</f>
        <v/>
      </c>
      <c r="CP29" s="581" t="str">
        <f>IF('2. Sem'!$CR$14="","",'2. Sem'!$CR$14)</f>
        <v/>
      </c>
      <c r="CQ29" s="588" t="str">
        <f>IF('2. Sem'!$CS$14="","",'2. Sem'!$CS$14)</f>
        <v/>
      </c>
      <c r="CR29" s="581" t="str">
        <f>IF('2. Sem'!$CT$14="","",'2. Sem'!$CT$14)</f>
        <v/>
      </c>
      <c r="CS29" s="582" t="str">
        <f>IF('2. Sem'!$CU$14="","",'2. Sem'!$CU$14)</f>
        <v/>
      </c>
      <c r="CT29" s="583" t="str">
        <f>IF('2. Sem'!$CV$14="","",'2. Sem'!$CV$14)</f>
        <v/>
      </c>
      <c r="CU29" s="584" t="str">
        <f>IF('2. Sem'!$CW$14="","",'2. Sem'!$CW$14)</f>
        <v/>
      </c>
      <c r="CV29" s="588" t="str">
        <f>IF('2. Sem'!$CX$14="","",'2. Sem'!$CX$14)</f>
        <v/>
      </c>
      <c r="CW29" s="584" t="str">
        <f>IF('2. Sem'!$CY$14="","",'2. Sem'!$CY$14)</f>
        <v/>
      </c>
      <c r="CX29" s="592" t="str">
        <f>IF('2. Sem'!$CZ$14="","",'2. Sem'!$CZ$14)</f>
        <v/>
      </c>
      <c r="CY29" s="593" t="str">
        <f>IF('2. Sem'!$DA$14="","",'2. Sem'!$DA$14)</f>
        <v/>
      </c>
      <c r="CZ29" s="581" t="str">
        <f>IF('2. Sem'!$DB$14="","",'2. Sem'!$DB$14)</f>
        <v/>
      </c>
      <c r="DA29" s="588" t="str">
        <f>IF('2. Sem'!$DC$14="","",'2. Sem'!$DC$14)</f>
        <v/>
      </c>
      <c r="DB29" s="581" t="str">
        <f>IF('2. Sem'!$DD$14="","",'2. Sem'!$DD$14)</f>
        <v/>
      </c>
      <c r="DC29" s="582" t="str">
        <f>IF('2. Sem'!$DE$14="","",'2. Sem'!$DE$14)</f>
        <v/>
      </c>
    </row>
    <row r="30" spans="1:107" ht="17" customHeight="1" thickBot="1" x14ac:dyDescent="0.25">
      <c r="A30" s="566"/>
      <c r="B30" s="579" t="s">
        <v>23</v>
      </c>
      <c r="C30" s="606" t="str">
        <f>IF('2. Sem'!$E$15="","",'2. Sem'!$E$15)</f>
        <v/>
      </c>
      <c r="D30" s="607" t="str">
        <f>IF('2. Sem'!$F$15="","",'2. Sem'!$F$15)</f>
        <v/>
      </c>
      <c r="E30" s="608" t="str">
        <f>IF('2. Sem'!$G$15="","",'2. Sem'!$G$15)</f>
        <v/>
      </c>
      <c r="F30" s="607" t="str">
        <f>IF('2. Sem'!$H$15="","",'2. Sem'!$H$15)</f>
        <v/>
      </c>
      <c r="G30" s="609" t="str">
        <f>IF('2. Sem'!$I$15="","",'2. Sem'!$I$15)</f>
        <v/>
      </c>
      <c r="H30" s="610" t="str">
        <f>IF('2. Sem'!$J$15="","",'2. Sem'!$J$15)</f>
        <v/>
      </c>
      <c r="I30" s="611" t="str">
        <f>IF('2. Sem'!$K$15="","",'2. Sem'!$K$15)</f>
        <v/>
      </c>
      <c r="J30" s="608" t="str">
        <f>IF('2. Sem'!$L$15="","",'2. Sem'!$L$15)</f>
        <v/>
      </c>
      <c r="K30" s="611" t="str">
        <f>IF('2. Sem'!$M$15="","",'2. Sem'!$M$15)</f>
        <v/>
      </c>
      <c r="L30" s="612" t="str">
        <f>IF('2. Sem'!$N$15="","",'2. Sem'!$N$15)</f>
        <v/>
      </c>
      <c r="M30" s="613" t="str">
        <f>IF('2. Sem'!$O$15="","",'2. Sem'!$O$15)</f>
        <v/>
      </c>
      <c r="N30" s="607" t="str">
        <f>IF('2. Sem'!$P$15="","",'2. Sem'!$P$15)</f>
        <v/>
      </c>
      <c r="O30" s="608" t="str">
        <f>IF('2. Sem'!$Q$15="","",'2. Sem'!$Q$15)</f>
        <v/>
      </c>
      <c r="P30" s="607" t="str">
        <f>IF('2. Sem'!$R$15="","",'2. Sem'!$R$15)</f>
        <v/>
      </c>
      <c r="Q30" s="609" t="str">
        <f>IF('2. Sem'!$S$15="","",'2. Sem'!$S$15)</f>
        <v/>
      </c>
      <c r="R30" s="610" t="str">
        <f>IF('2. Sem'!$T$15="","",'2. Sem'!$T$15)</f>
        <v/>
      </c>
      <c r="S30" s="611" t="str">
        <f>IF('2. Sem'!$U$15="","",'2. Sem'!$U$15)</f>
        <v/>
      </c>
      <c r="T30" s="608" t="str">
        <f>IF('2. Sem'!$V$15="","",'2. Sem'!$V$15)</f>
        <v/>
      </c>
      <c r="U30" s="611" t="str">
        <f>IF('2. Sem'!$W$15="","",'2. Sem'!$W$15)</f>
        <v/>
      </c>
      <c r="V30" s="612" t="str">
        <f>IF('2. Sem'!$X$15="","",'2. Sem'!$X$15)</f>
        <v/>
      </c>
      <c r="W30" s="613" t="str">
        <f>IF('2. Sem'!$Y$15="","",'2. Sem'!$Y$15)</f>
        <v/>
      </c>
      <c r="X30" s="607" t="str">
        <f>IF('2. Sem'!$Z$15="","",'2. Sem'!$Z$15)</f>
        <v/>
      </c>
      <c r="Y30" s="608" t="str">
        <f>IF('2. Sem'!$AA$15="","",'2. Sem'!$AA$15)</f>
        <v/>
      </c>
      <c r="Z30" s="607" t="str">
        <f>IF('2. Sem'!$AB$15="","",'2. Sem'!$AB$15)</f>
        <v/>
      </c>
      <c r="AA30" s="609" t="str">
        <f>IF('2. Sem'!$AC$15="","",'2. Sem'!$AC$15)</f>
        <v/>
      </c>
      <c r="AB30" s="610" t="str">
        <f>IF('2. Sem'!$AD$15="","",'2. Sem'!$AD$15)</f>
        <v/>
      </c>
      <c r="AC30" s="611" t="str">
        <f>IF('2. Sem'!$AE$15="","",'2. Sem'!$AE$15)</f>
        <v/>
      </c>
      <c r="AD30" s="608" t="str">
        <f>IF('2. Sem'!$AF$15="","",'2. Sem'!$AF$15)</f>
        <v/>
      </c>
      <c r="AE30" s="611" t="str">
        <f>IF('2. Sem'!$AG$15="","",'2. Sem'!$AG$15)</f>
        <v/>
      </c>
      <c r="AF30" s="612" t="str">
        <f>IF('2. Sem'!$AH$15="","",'2. Sem'!$AH$15)</f>
        <v/>
      </c>
      <c r="AG30" s="613" t="str">
        <f>IF('2. Sem'!$AI$15="","",'2. Sem'!$AI$15)</f>
        <v/>
      </c>
      <c r="AH30" s="607" t="str">
        <f>IF('2. Sem'!$AJ$15="","",'2. Sem'!$AJ$15)</f>
        <v/>
      </c>
      <c r="AI30" s="608" t="str">
        <f>IF('2. Sem'!$AK$15="","",'2. Sem'!$AK$15)</f>
        <v/>
      </c>
      <c r="AJ30" s="607" t="str">
        <f>IF('2. Sem'!$AL$15="","",'2. Sem'!$AL$15)</f>
        <v/>
      </c>
      <c r="AK30" s="609" t="str">
        <f>IF('2. Sem'!$AM$15="","",'2. Sem'!$AM$15)</f>
        <v/>
      </c>
      <c r="AL30" s="616" t="str">
        <f>IF('2. Sem'!$AN$15="","",'2. Sem'!$AN$15)</f>
        <v/>
      </c>
      <c r="AM30" s="608" t="str">
        <f>IF('2. Sem'!$AO$15="","",'2. Sem'!$AO$15)</f>
        <v/>
      </c>
      <c r="AN30" s="608" t="str">
        <f>IF('2. Sem'!$AP$15="","",'2. Sem'!$AP$15)</f>
        <v/>
      </c>
      <c r="AO30" s="608" t="str">
        <f>IF('2. Sem'!$AQ$15="","",'2. Sem'!$AQ$15)</f>
        <v/>
      </c>
      <c r="AP30" s="615" t="str">
        <f>IF('2. Sem'!$AR$15="","",'2. Sem'!$AR$15)</f>
        <v/>
      </c>
      <c r="AQ30" s="614" t="str">
        <f>IF('2. Sem'!$AS$15="","",'2. Sem'!$AS$15)</f>
        <v/>
      </c>
      <c r="AR30" s="607" t="str">
        <f>IF('2. Sem'!$AT$15="","",'2. Sem'!$AT$15)</f>
        <v/>
      </c>
      <c r="AS30" s="608" t="str">
        <f>IF('2. Sem'!$AU$15="","",'2. Sem'!$AU$15)</f>
        <v/>
      </c>
      <c r="AT30" s="607" t="str">
        <f>IF('2. Sem'!$AV$15="","",'2. Sem'!$AV$15)</f>
        <v/>
      </c>
      <c r="AU30" s="609" t="str">
        <f>IF('2. Sem'!$AW$15="","",'2. Sem'!$AW$15)</f>
        <v/>
      </c>
      <c r="AV30" s="610" t="str">
        <f>IF('2. Sem'!$AX$15="","",'2. Sem'!$AX$15)</f>
        <v/>
      </c>
      <c r="AW30" s="611" t="str">
        <f>IF('2. Sem'!$AY$15="","",'2. Sem'!$AY$15)</f>
        <v/>
      </c>
      <c r="AX30" s="608" t="str">
        <f>IF('2. Sem'!$AZ$15="","",'2. Sem'!$AZ$15)</f>
        <v/>
      </c>
      <c r="AY30" s="611" t="str">
        <f>IF('2. Sem'!$BA$15="","",'2. Sem'!$BA$15)</f>
        <v/>
      </c>
      <c r="AZ30" s="612" t="str">
        <f>IF('2. Sem'!$BB$15="","",'2. Sem'!$BB$15)</f>
        <v/>
      </c>
      <c r="BA30" s="613" t="str">
        <f>IF('2. Sem'!$BC$15="","",'2. Sem'!$BC$15)</f>
        <v/>
      </c>
      <c r="BB30" s="607" t="str">
        <f>IF('2. Sem'!$BD$15="","",'2. Sem'!$BD$15)</f>
        <v/>
      </c>
      <c r="BC30" s="608" t="str">
        <f>IF('2. Sem'!$BE$15="","",'2. Sem'!$BE$15)</f>
        <v/>
      </c>
      <c r="BD30" s="607" t="str">
        <f>IF('2. Sem'!$BF$15="","",'2. Sem'!$BF$15)</f>
        <v/>
      </c>
      <c r="BE30" s="609" t="str">
        <f>IF('2. Sem'!$BG$15="","",'2. Sem'!$BG$15)</f>
        <v/>
      </c>
      <c r="BF30" s="610" t="str">
        <f>IF('2. Sem'!$BH$15="","",'2. Sem'!$BH$15)</f>
        <v/>
      </c>
      <c r="BG30" s="611" t="str">
        <f>IF('2. Sem'!$BI$15="","",'2. Sem'!$BI$15)</f>
        <v/>
      </c>
      <c r="BH30" s="608" t="str">
        <f>IF('2. Sem'!$BJ$15="","",'2. Sem'!$BJ$15)</f>
        <v/>
      </c>
      <c r="BI30" s="611" t="str">
        <f>IF('2. Sem'!$BK$15="","",'2. Sem'!$BK$15)</f>
        <v/>
      </c>
      <c r="BJ30" s="612" t="str">
        <f>IF('2. Sem'!$BL$15="","",'2. Sem'!$BL$15)</f>
        <v/>
      </c>
      <c r="BK30" s="613" t="str">
        <f>IF('2. Sem'!$BM$15="","",'2. Sem'!$BM$15)</f>
        <v/>
      </c>
      <c r="BL30" s="607" t="str">
        <f>IF('2. Sem'!$BN$15="","",'2. Sem'!$BN$15)</f>
        <v/>
      </c>
      <c r="BM30" s="608" t="str">
        <f>IF('2. Sem'!$BO$15="","",'2. Sem'!$BO$15)</f>
        <v/>
      </c>
      <c r="BN30" s="607" t="str">
        <f>IF('2. Sem'!$BP$15="","",'2. Sem'!$BP$15)</f>
        <v/>
      </c>
      <c r="BO30" s="609" t="str">
        <f>IF('2. Sem'!$BQ$15="","",'2. Sem'!$BQ$15)</f>
        <v/>
      </c>
      <c r="BP30" s="610" t="str">
        <f>IF('2. Sem'!$BR$15="","",'2. Sem'!$BR$15)</f>
        <v/>
      </c>
      <c r="BQ30" s="611" t="str">
        <f>IF('2. Sem'!$BS$15="","",'2. Sem'!$BS$15)</f>
        <v/>
      </c>
      <c r="BR30" s="608" t="str">
        <f>IF('2. Sem'!$BT$15="","",'2. Sem'!$BT$15)</f>
        <v/>
      </c>
      <c r="BS30" s="608" t="str">
        <f>IF('2. Sem'!$BU$15="","",'2. Sem'!$BU$15)</f>
        <v/>
      </c>
      <c r="BT30" s="615" t="str">
        <f>IF('2. Sem'!$BV$15="","",'2. Sem'!$BV$15)</f>
        <v/>
      </c>
      <c r="BU30" s="613" t="str">
        <f>IF('2. Sem'!$BW$15="","",'2. Sem'!$BW$15)</f>
        <v/>
      </c>
      <c r="BV30" s="607" t="str">
        <f>IF('2. Sem'!$BX$15="","",'2. Sem'!$BX$15)</f>
        <v/>
      </c>
      <c r="BW30" s="608" t="str">
        <f>IF('2. Sem'!$BY$15="","",'2. Sem'!$BY$15)</f>
        <v/>
      </c>
      <c r="BX30" s="607" t="str">
        <f>IF('2. Sem'!$BZ$15="","",'2. Sem'!$BZ$15)</f>
        <v/>
      </c>
      <c r="BY30" s="609" t="str">
        <f>IF('2. Sem'!$CA$15="","",'2. Sem'!$CA$15)</f>
        <v/>
      </c>
      <c r="BZ30" s="616" t="str">
        <f>IF('2. Sem'!$CB$15="","",'2. Sem'!$CB$15)</f>
        <v/>
      </c>
      <c r="CA30" s="611" t="str">
        <f>IF('2. Sem'!$CC$15="","",'2. Sem'!$CC$15)</f>
        <v/>
      </c>
      <c r="CB30" s="608" t="str">
        <f>IF('2. Sem'!$CD$15="","",'2. Sem'!$CD$15)</f>
        <v/>
      </c>
      <c r="CC30" s="611" t="str">
        <f>IF('2. Sem'!$CE$15="","",'2. Sem'!$CE$15)</f>
        <v/>
      </c>
      <c r="CD30" s="612" t="str">
        <f>IF('2. Sem'!$CF$15="","",'2. Sem'!$CF$15)</f>
        <v/>
      </c>
      <c r="CE30" s="613" t="str">
        <f>IF('2. Sem'!$CG$15="","",'2. Sem'!$CG$15)</f>
        <v/>
      </c>
      <c r="CF30" s="607" t="str">
        <f>IF('2. Sem'!$CH$15="","",'2. Sem'!$CH$15)</f>
        <v/>
      </c>
      <c r="CG30" s="608" t="str">
        <f>IF('2. Sem'!$CI$15="","",'2. Sem'!$CI$15)</f>
        <v/>
      </c>
      <c r="CH30" s="607" t="str">
        <f>IF('2. Sem'!$CJ$15="","",'2. Sem'!$CJ$15)</f>
        <v/>
      </c>
      <c r="CI30" s="609" t="str">
        <f>IF('2. Sem'!$CK$15="","",'2. Sem'!$CK$15)</f>
        <v/>
      </c>
      <c r="CJ30" s="610" t="str">
        <f>IF('2. Sem'!$CL$15="","",'2. Sem'!$CL$15)</f>
        <v/>
      </c>
      <c r="CK30" s="611" t="str">
        <f>IF('2. Sem'!$CM$15="","",'2. Sem'!$CM$15)</f>
        <v/>
      </c>
      <c r="CL30" s="608" t="str">
        <f>IF('2. Sem'!$CN$15="","",'2. Sem'!$CN$15)</f>
        <v/>
      </c>
      <c r="CM30" s="611" t="str">
        <f>IF('2. Sem'!$CO$15="","",'2. Sem'!$CO$15)</f>
        <v/>
      </c>
      <c r="CN30" s="612" t="str">
        <f>IF('2. Sem'!$CP$15="","",'2. Sem'!$CP$15)</f>
        <v/>
      </c>
      <c r="CO30" s="613" t="str">
        <f>IF('2. Sem'!$CQ$15="","",'2. Sem'!$CQ$15)</f>
        <v/>
      </c>
      <c r="CP30" s="607" t="str">
        <f>IF('2. Sem'!$CR$15="","",'2. Sem'!$CR$15)</f>
        <v/>
      </c>
      <c r="CQ30" s="608" t="str">
        <f>IF('2. Sem'!$CS$15="","",'2. Sem'!$CS$15)</f>
        <v/>
      </c>
      <c r="CR30" s="607" t="str">
        <f>IF('2. Sem'!$CT$15="","",'2. Sem'!$CT$15)</f>
        <v/>
      </c>
      <c r="CS30" s="609" t="str">
        <f>IF('2. Sem'!$CU$15="","",'2. Sem'!$CU$15)</f>
        <v/>
      </c>
      <c r="CT30" s="610" t="str">
        <f>IF('2. Sem'!$CV$15="","",'2. Sem'!$CV$15)</f>
        <v/>
      </c>
      <c r="CU30" s="611" t="str">
        <f>IF('2. Sem'!$CW$15="","",'2. Sem'!$CW$15)</f>
        <v/>
      </c>
      <c r="CV30" s="608" t="str">
        <f>IF('2. Sem'!$CX$15="","",'2. Sem'!$CX$15)</f>
        <v/>
      </c>
      <c r="CW30" s="611" t="str">
        <f>IF('2. Sem'!$CY$15="","",'2. Sem'!$CY$15)</f>
        <v/>
      </c>
      <c r="CX30" s="612" t="str">
        <f>IF('2. Sem'!$CZ$15="","",'2. Sem'!$CZ$15)</f>
        <v/>
      </c>
      <c r="CY30" s="613" t="str">
        <f>IF('2. Sem'!$DA$15="","",'2. Sem'!$DA$15)</f>
        <v/>
      </c>
      <c r="CZ30" s="607" t="str">
        <f>IF('2. Sem'!$DB$15="","",'2. Sem'!$DB$15)</f>
        <v/>
      </c>
      <c r="DA30" s="608" t="str">
        <f>IF('2. Sem'!$DC$15="","",'2. Sem'!$DC$15)</f>
        <v/>
      </c>
      <c r="DB30" s="607" t="str">
        <f>IF('2. Sem'!$DD$15="","",'2. Sem'!$DD$15)</f>
        <v/>
      </c>
      <c r="DC30" s="609" t="str">
        <f>IF('2. Sem'!$DE$15="","",'2. Sem'!$DE$15)</f>
        <v/>
      </c>
    </row>
    <row r="31" spans="1:107" ht="16" customHeight="1" x14ac:dyDescent="0.2">
      <c r="A31" s="566"/>
      <c r="B31" s="579" t="s">
        <v>24</v>
      </c>
      <c r="C31" s="617" t="str">
        <f>IF('2. Sem'!$E$16="","",'2. Sem'!$E$16)</f>
        <v/>
      </c>
      <c r="D31" s="618" t="str">
        <f>IF('2. Sem'!$F$16="","",'2. Sem'!$F$16)</f>
        <v/>
      </c>
      <c r="E31" s="618" t="str">
        <f>IF('2. Sem'!$G$16="","",'2. Sem'!$G$16)</f>
        <v/>
      </c>
      <c r="F31" s="618" t="str">
        <f>IF('2. Sem'!$H$16="","",'2. Sem'!$H$16)</f>
        <v/>
      </c>
      <c r="G31" s="619" t="str">
        <f>IF('2. Sem'!$I$16="","",'2. Sem'!$I$16)</f>
        <v/>
      </c>
      <c r="H31" s="620" t="str">
        <f>IF('2. Sem'!$J$16="","",'2. Sem'!$J$16)</f>
        <v/>
      </c>
      <c r="I31" s="621" t="str">
        <f>IF('2. Sem'!$K$16="","",'2. Sem'!$K$16)</f>
        <v/>
      </c>
      <c r="J31" s="621" t="str">
        <f>IF('2. Sem'!$L$16="","",'2. Sem'!$L$16)</f>
        <v/>
      </c>
      <c r="K31" s="621" t="str">
        <f>IF('2. Sem'!$M$16="","",'2. Sem'!$M$16)</f>
        <v/>
      </c>
      <c r="L31" s="622" t="str">
        <f>IF('2. Sem'!$N$16="","",'2. Sem'!$N$16)</f>
        <v/>
      </c>
      <c r="M31" s="617" t="str">
        <f>IF('2. Sem'!$O$16="","",'2. Sem'!$O$16)</f>
        <v/>
      </c>
      <c r="N31" s="618" t="str">
        <f>IF('2. Sem'!$P$16="","",'2. Sem'!$P$16)</f>
        <v/>
      </c>
      <c r="O31" s="618" t="str">
        <f>IF('2. Sem'!$Q$16="","",'2. Sem'!$Q$16)</f>
        <v/>
      </c>
      <c r="P31" s="618" t="str">
        <f>IF('2. Sem'!$R$16="","",'2. Sem'!$R$16)</f>
        <v/>
      </c>
      <c r="Q31" s="619" t="str">
        <f>IF('2. Sem'!$S$16="","",'2. Sem'!$S$16)</f>
        <v/>
      </c>
      <c r="R31" s="620" t="str">
        <f>IF('2. Sem'!$T$16="","",'2. Sem'!$T$16)</f>
        <v/>
      </c>
      <c r="S31" s="621" t="str">
        <f>IF('2. Sem'!$U$16="","",'2. Sem'!$U$16)</f>
        <v/>
      </c>
      <c r="T31" s="621" t="str">
        <f>IF('2. Sem'!$V$16="","",'2. Sem'!$V$16)</f>
        <v/>
      </c>
      <c r="U31" s="621" t="str">
        <f>IF('2. Sem'!$W$16="","",'2. Sem'!$W$16)</f>
        <v/>
      </c>
      <c r="V31" s="622" t="str">
        <f>IF('2. Sem'!$X$16="","",'2. Sem'!$X$16)</f>
        <v/>
      </c>
      <c r="W31" s="617" t="str">
        <f>IF('2. Sem'!$Y$16="","",'2. Sem'!$Y$16)</f>
        <v/>
      </c>
      <c r="X31" s="618" t="str">
        <f>IF('2. Sem'!$Z$16="","",'2. Sem'!$Z$16)</f>
        <v/>
      </c>
      <c r="Y31" s="618" t="str">
        <f>IF('2. Sem'!$AA$16="","",'2. Sem'!$AA$16)</f>
        <v/>
      </c>
      <c r="Z31" s="618" t="str">
        <f>IF('2. Sem'!$AB$16="","",'2. Sem'!$AB$16)</f>
        <v/>
      </c>
      <c r="AA31" s="619" t="str">
        <f>IF('2. Sem'!$AC$16="","",'2. Sem'!$AC$16)</f>
        <v/>
      </c>
      <c r="AB31" s="620" t="str">
        <f>IF('2. Sem'!$AD$16="","",'2. Sem'!$AD$16)</f>
        <v/>
      </c>
      <c r="AC31" s="621" t="str">
        <f>IF('2. Sem'!$AE$16="","",'2. Sem'!$AE$16)</f>
        <v/>
      </c>
      <c r="AD31" s="621" t="str">
        <f>IF('2. Sem'!$AF$16="","",'2. Sem'!$AF$16)</f>
        <v/>
      </c>
      <c r="AE31" s="621" t="str">
        <f>IF('2. Sem'!$AG$16="","",'2. Sem'!$AG$16)</f>
        <v/>
      </c>
      <c r="AF31" s="622" t="str">
        <f>IF('2. Sem'!$AH$16="","",'2. Sem'!$AH$16)</f>
        <v/>
      </c>
      <c r="AG31" s="617" t="str">
        <f>IF('2. Sem'!$AI$16="","",'2. Sem'!$AI$16)</f>
        <v/>
      </c>
      <c r="AH31" s="618" t="str">
        <f>IF('2. Sem'!$AJ$16="","",'2. Sem'!$AJ$16)</f>
        <v/>
      </c>
      <c r="AI31" s="618" t="str">
        <f>IF('2. Sem'!$AK$16="","",'2. Sem'!$AK$16)</f>
        <v/>
      </c>
      <c r="AJ31" s="618" t="str">
        <f>IF('2. Sem'!$AL$16="","",'2. Sem'!$AL$16)</f>
        <v/>
      </c>
      <c r="AK31" s="619" t="str">
        <f>IF('2. Sem'!$AM$16="","",'2. Sem'!$AM$16)</f>
        <v/>
      </c>
      <c r="AL31" s="620" t="str">
        <f>IF('2. Sem'!$AN$16="","",'2. Sem'!$AN$16)</f>
        <v/>
      </c>
      <c r="AM31" s="621" t="str">
        <f>IF('2. Sem'!$AO$16="","",'2. Sem'!$AO$16)</f>
        <v/>
      </c>
      <c r="AN31" s="621" t="str">
        <f>IF('2. Sem'!$AP$16="","",'2. Sem'!$AP$16)</f>
        <v/>
      </c>
      <c r="AO31" s="621" t="str">
        <f>IF('2. Sem'!$AQ$16="","",'2. Sem'!$AQ$16)</f>
        <v/>
      </c>
      <c r="AP31" s="622" t="str">
        <f>IF('2. Sem'!$AR$16="","",'2. Sem'!$AR$16)</f>
        <v/>
      </c>
      <c r="AQ31" s="617" t="str">
        <f>IF('2. Sem'!$AS$16="","",'2. Sem'!$AS$16)</f>
        <v/>
      </c>
      <c r="AR31" s="618" t="str">
        <f>IF('2. Sem'!$AT$16="","",'2. Sem'!$AT$16)</f>
        <v/>
      </c>
      <c r="AS31" s="618" t="str">
        <f>IF('2. Sem'!$AU$16="","",'2. Sem'!$AU$16)</f>
        <v/>
      </c>
      <c r="AT31" s="618" t="str">
        <f>IF('2. Sem'!$AV$16="","",'2. Sem'!$AV$16)</f>
        <v/>
      </c>
      <c r="AU31" s="619" t="str">
        <f>IF('2. Sem'!$AW$16="","",'2. Sem'!$AW$16)</f>
        <v/>
      </c>
      <c r="AV31" s="620" t="str">
        <f>IF('2. Sem'!$AX$16="","",'2. Sem'!$AX$16)</f>
        <v/>
      </c>
      <c r="AW31" s="621" t="str">
        <f>IF('2. Sem'!$AY$16="","",'2. Sem'!$AY$16)</f>
        <v/>
      </c>
      <c r="AX31" s="621" t="str">
        <f>IF('2. Sem'!$AZ$16="","",'2. Sem'!$AZ$16)</f>
        <v/>
      </c>
      <c r="AY31" s="621" t="str">
        <f>IF('2. Sem'!$BA$16="","",'2. Sem'!$BA$16)</f>
        <v/>
      </c>
      <c r="AZ31" s="622" t="str">
        <f>IF('2. Sem'!$BB$16="","",'2. Sem'!$BB$16)</f>
        <v/>
      </c>
      <c r="BA31" s="617" t="str">
        <f>IF('2. Sem'!$BC$16="","",'2. Sem'!$BC$16)</f>
        <v/>
      </c>
      <c r="BB31" s="618" t="str">
        <f>IF('2. Sem'!$BD$16="","",'2. Sem'!$BD$16)</f>
        <v/>
      </c>
      <c r="BC31" s="618" t="str">
        <f>IF('2. Sem'!$BE$16="","",'2. Sem'!$BE$16)</f>
        <v/>
      </c>
      <c r="BD31" s="618" t="str">
        <f>IF('2. Sem'!$BF$16="","",'2. Sem'!$BF$16)</f>
        <v/>
      </c>
      <c r="BE31" s="619" t="str">
        <f>IF('2. Sem'!$BG$16="","",'2. Sem'!$BG$16)</f>
        <v/>
      </c>
      <c r="BF31" s="620" t="str">
        <f>IF('2. Sem'!$BH$16="","",'2. Sem'!$BH$16)</f>
        <v/>
      </c>
      <c r="BG31" s="621" t="str">
        <f>IF('2. Sem'!$BI$16="","",'2. Sem'!$BI$16)</f>
        <v/>
      </c>
      <c r="BH31" s="621" t="str">
        <f>IF('2. Sem'!$BJ$16="","",'2. Sem'!$BJ$16)</f>
        <v/>
      </c>
      <c r="BI31" s="621" t="str">
        <f>IF('2. Sem'!$BK$16="","",'2. Sem'!$BK$16)</f>
        <v/>
      </c>
      <c r="BJ31" s="622" t="str">
        <f>IF('2. Sem'!$BL$16="","",'2. Sem'!$BL$16)</f>
        <v/>
      </c>
      <c r="BK31" s="617" t="str">
        <f>IF('2. Sem'!$BM$16="","",'2. Sem'!$BM$16)</f>
        <v/>
      </c>
      <c r="BL31" s="618" t="str">
        <f>IF('2. Sem'!$BN$16="","",'2. Sem'!$BN$16)</f>
        <v/>
      </c>
      <c r="BM31" s="618" t="str">
        <f>IF('2. Sem'!$BO$16="","",'2. Sem'!$BO$16)</f>
        <v/>
      </c>
      <c r="BN31" s="618" t="str">
        <f>IF('2. Sem'!$BP$16="","",'2. Sem'!$BP$16)</f>
        <v/>
      </c>
      <c r="BO31" s="619" t="str">
        <f>IF('2. Sem'!$BQ$16="","",'2. Sem'!$BQ$16)</f>
        <v/>
      </c>
      <c r="BP31" s="620" t="str">
        <f>IF('2. Sem'!$BR$16="","",'2. Sem'!$BR$16)</f>
        <v/>
      </c>
      <c r="BQ31" s="621" t="str">
        <f>IF('2. Sem'!$BS$16="","",'2. Sem'!$BS$16)</f>
        <v/>
      </c>
      <c r="BR31" s="621" t="str">
        <f>IF('2. Sem'!$BT$16="","",'2. Sem'!$BT$16)</f>
        <v/>
      </c>
      <c r="BS31" s="621" t="str">
        <f>IF('2. Sem'!$BU$16="","",'2. Sem'!$BU$16)</f>
        <v/>
      </c>
      <c r="BT31" s="622" t="str">
        <f>IF('2. Sem'!$BV$16="","",'2. Sem'!$BV$16)</f>
        <v/>
      </c>
      <c r="BU31" s="617" t="str">
        <f>IF('2. Sem'!$BW$16="","",'2. Sem'!$BW$16)</f>
        <v/>
      </c>
      <c r="BV31" s="618" t="str">
        <f>IF('2. Sem'!$BX$16="","",'2. Sem'!$BX$16)</f>
        <v/>
      </c>
      <c r="BW31" s="618" t="str">
        <f>IF('2. Sem'!$BY$16="","",'2. Sem'!$BY$16)</f>
        <v/>
      </c>
      <c r="BX31" s="618" t="str">
        <f>IF('2. Sem'!$BZ$16="","",'2. Sem'!$BZ$16)</f>
        <v/>
      </c>
      <c r="BY31" s="619" t="str">
        <f>IF('2. Sem'!$CA$16="","",'2. Sem'!$CA$16)</f>
        <v/>
      </c>
      <c r="BZ31" s="620" t="str">
        <f>IF('2. Sem'!$CB$16="","",'2. Sem'!$CB$16)</f>
        <v/>
      </c>
      <c r="CA31" s="621" t="str">
        <f>IF('2. Sem'!$CC$16="","",'2. Sem'!$CC$16)</f>
        <v/>
      </c>
      <c r="CB31" s="621" t="str">
        <f>IF('2. Sem'!$CD$16="","",'2. Sem'!$CD$16)</f>
        <v/>
      </c>
      <c r="CC31" s="621" t="str">
        <f>IF('2. Sem'!$CE$16="","",'2. Sem'!$CE$16)</f>
        <v/>
      </c>
      <c r="CD31" s="622" t="str">
        <f>IF('2. Sem'!$CF$16="","",'2. Sem'!$CF$16)</f>
        <v/>
      </c>
      <c r="CE31" s="617" t="str">
        <f>IF('2. Sem'!$CG$16="","",'2. Sem'!$CG$16)</f>
        <v/>
      </c>
      <c r="CF31" s="618" t="str">
        <f>IF('2. Sem'!$CH$16="","",'2. Sem'!$CH$16)</f>
        <v/>
      </c>
      <c r="CG31" s="618" t="str">
        <f>IF('2. Sem'!$CI$16="","",'2. Sem'!$CI$16)</f>
        <v/>
      </c>
      <c r="CH31" s="618" t="str">
        <f>IF('2. Sem'!$CJ$16="","",'2. Sem'!$CJ$16)</f>
        <v/>
      </c>
      <c r="CI31" s="619" t="str">
        <f>IF('2. Sem'!$CK$16="","",'2. Sem'!$CK$16)</f>
        <v/>
      </c>
      <c r="CJ31" s="620" t="str">
        <f>IF('2. Sem'!$CL$16="","",'2. Sem'!$CL$16)</f>
        <v/>
      </c>
      <c r="CK31" s="621" t="str">
        <f>IF('2. Sem'!$CM$16="","",'2. Sem'!$CM$16)</f>
        <v/>
      </c>
      <c r="CL31" s="621" t="str">
        <f>IF('2. Sem'!$CN$16="","",'2. Sem'!$CN$16)</f>
        <v/>
      </c>
      <c r="CM31" s="621" t="str">
        <f>IF('2. Sem'!$CO$16="","",'2. Sem'!$CO$16)</f>
        <v/>
      </c>
      <c r="CN31" s="622" t="str">
        <f>IF('2. Sem'!$CP$16="","",'2. Sem'!$CP$16)</f>
        <v/>
      </c>
      <c r="CO31" s="617" t="str">
        <f>IF('2. Sem'!$CQ$16="","",'2. Sem'!$CQ$16)</f>
        <v/>
      </c>
      <c r="CP31" s="618" t="str">
        <f>IF('2. Sem'!$CR$16="","",'2. Sem'!$CR$16)</f>
        <v/>
      </c>
      <c r="CQ31" s="618" t="str">
        <f>IF('2. Sem'!$CS$16="","",'2. Sem'!$CS$16)</f>
        <v/>
      </c>
      <c r="CR31" s="618" t="str">
        <f>IF('2. Sem'!$CT$16="","",'2. Sem'!$CT$16)</f>
        <v/>
      </c>
      <c r="CS31" s="619" t="str">
        <f>IF('2. Sem'!$CU$16="","",'2. Sem'!$CU$16)</f>
        <v/>
      </c>
      <c r="CT31" s="620" t="str">
        <f>IF('2. Sem'!$CV$16="","",'2. Sem'!$CV$16)</f>
        <v/>
      </c>
      <c r="CU31" s="621" t="str">
        <f>IF('2. Sem'!$CW$16="","",'2. Sem'!$CW$16)</f>
        <v/>
      </c>
      <c r="CV31" s="621" t="str">
        <f>IF('2. Sem'!$CX$16="","",'2. Sem'!$CX$16)</f>
        <v/>
      </c>
      <c r="CW31" s="621" t="str">
        <f>IF('2. Sem'!$CY$16="","",'2. Sem'!$CY$16)</f>
        <v/>
      </c>
      <c r="CX31" s="622" t="str">
        <f>IF('2. Sem'!$CZ$16="","",'2. Sem'!$CZ$16)</f>
        <v/>
      </c>
      <c r="CY31" s="617" t="str">
        <f>IF('2. Sem'!$DA$16="","",'2. Sem'!$DA$16)</f>
        <v/>
      </c>
      <c r="CZ31" s="618" t="str">
        <f>IF('2. Sem'!$DB$16="","",'2. Sem'!$DB$16)</f>
        <v/>
      </c>
      <c r="DA31" s="618" t="str">
        <f>IF('2. Sem'!$DC$16="","",'2. Sem'!$DC$16)</f>
        <v/>
      </c>
      <c r="DB31" s="618" t="str">
        <f>IF('2. Sem'!$DD$16="","",'2. Sem'!$DD$16)</f>
        <v/>
      </c>
      <c r="DC31" s="619" t="str">
        <f>IF('2. Sem'!$DE$16="","",'2. Sem'!$DE$16)</f>
        <v/>
      </c>
    </row>
    <row r="32" spans="1:107" ht="16" customHeight="1" x14ac:dyDescent="0.2">
      <c r="A32" s="566"/>
      <c r="B32" s="579" t="s">
        <v>30</v>
      </c>
      <c r="C32" s="623" t="str">
        <f>IF('2. Sem'!$E$17="","",'2. Sem'!$E$17)</f>
        <v/>
      </c>
      <c r="D32" s="624" t="str">
        <f>IF('2. Sem'!$F$17="","",'2. Sem'!$F$17)</f>
        <v/>
      </c>
      <c r="E32" s="624" t="str">
        <f>IF('2. Sem'!$G$17="","",'2. Sem'!$G$17)</f>
        <v/>
      </c>
      <c r="F32" s="624" t="str">
        <f>IF('2. Sem'!$H$17="","",'2. Sem'!$H$17)</f>
        <v/>
      </c>
      <c r="G32" s="625" t="str">
        <f>IF('2. Sem'!$I$17="","",'2. Sem'!$I$17)</f>
        <v/>
      </c>
      <c r="H32" s="626" t="str">
        <f>IF('2. Sem'!$J$17="","",'2. Sem'!$J$17)</f>
        <v/>
      </c>
      <c r="I32" s="627" t="str">
        <f>IF('2. Sem'!$K$17="","",'2. Sem'!$K$17)</f>
        <v/>
      </c>
      <c r="J32" s="627" t="str">
        <f>IF('2. Sem'!$L$17="","",'2. Sem'!$L$17)</f>
        <v/>
      </c>
      <c r="K32" s="627" t="str">
        <f>IF('2. Sem'!$M$17="","",'2. Sem'!$M$17)</f>
        <v/>
      </c>
      <c r="L32" s="628" t="str">
        <f>IF('2. Sem'!$N$17="","",'2. Sem'!$N$17)</f>
        <v/>
      </c>
      <c r="M32" s="623" t="str">
        <f>IF('2. Sem'!$O$17="","",'2. Sem'!$O$17)</f>
        <v/>
      </c>
      <c r="N32" s="624" t="str">
        <f>IF('2. Sem'!$P$17="","",'2. Sem'!$P$17)</f>
        <v/>
      </c>
      <c r="O32" s="624" t="str">
        <f>IF('2. Sem'!$Q$17="","",'2. Sem'!$Q$17)</f>
        <v/>
      </c>
      <c r="P32" s="624" t="str">
        <f>IF('2. Sem'!$R$17="","",'2. Sem'!$R$17)</f>
        <v/>
      </c>
      <c r="Q32" s="625" t="str">
        <f>IF('2. Sem'!$S$17="","",'2. Sem'!$S$17)</f>
        <v/>
      </c>
      <c r="R32" s="626" t="str">
        <f>IF('2. Sem'!$T$17="","",'2. Sem'!$T$17)</f>
        <v/>
      </c>
      <c r="S32" s="627" t="str">
        <f>IF('2. Sem'!$U$17="","",'2. Sem'!$U$17)</f>
        <v/>
      </c>
      <c r="T32" s="627" t="str">
        <f>IF('2. Sem'!$V$17="","",'2. Sem'!$V$17)</f>
        <v/>
      </c>
      <c r="U32" s="627" t="str">
        <f>IF('2. Sem'!$W$17="","",'2. Sem'!$W$17)</f>
        <v/>
      </c>
      <c r="V32" s="628" t="str">
        <f>IF('2. Sem'!$X$17="","",'2. Sem'!$X$17)</f>
        <v/>
      </c>
      <c r="W32" s="623" t="str">
        <f>IF('2. Sem'!$Y$17="","",'2. Sem'!$Y$17)</f>
        <v/>
      </c>
      <c r="X32" s="624" t="str">
        <f>IF('2. Sem'!$Z$17="","",'2. Sem'!$Z$17)</f>
        <v/>
      </c>
      <c r="Y32" s="624" t="str">
        <f>IF('2. Sem'!$AA$17="","",'2. Sem'!$AA$17)</f>
        <v/>
      </c>
      <c r="Z32" s="624" t="str">
        <f>IF('2. Sem'!$AB$17="","",'2. Sem'!$AB$17)</f>
        <v/>
      </c>
      <c r="AA32" s="625" t="str">
        <f>IF('2. Sem'!$AC$17="","",'2. Sem'!$AC$17)</f>
        <v/>
      </c>
      <c r="AB32" s="626" t="str">
        <f>IF('2. Sem'!$AD$17="","",'2. Sem'!$AD$17)</f>
        <v/>
      </c>
      <c r="AC32" s="627" t="str">
        <f>IF('2. Sem'!$AE$17="","",'2. Sem'!$AE$17)</f>
        <v/>
      </c>
      <c r="AD32" s="627" t="str">
        <f>IF('2. Sem'!$AF$17="","",'2. Sem'!$AF$17)</f>
        <v/>
      </c>
      <c r="AE32" s="627" t="str">
        <f>IF('2. Sem'!$AG$17="","",'2. Sem'!$AG$17)</f>
        <v/>
      </c>
      <c r="AF32" s="628" t="str">
        <f>IF('2. Sem'!$AH$17="","",'2. Sem'!$AH$17)</f>
        <v/>
      </c>
      <c r="AG32" s="623" t="str">
        <f>IF('2. Sem'!$AI$17="","",'2. Sem'!$AI$17)</f>
        <v/>
      </c>
      <c r="AH32" s="624" t="str">
        <f>IF('2. Sem'!$AJ$17="","",'2. Sem'!$AJ$17)</f>
        <v/>
      </c>
      <c r="AI32" s="624" t="str">
        <f>IF('2. Sem'!$AK$17="","",'2. Sem'!$AK$17)</f>
        <v/>
      </c>
      <c r="AJ32" s="624" t="str">
        <f>IF('2. Sem'!$AL$17="","",'2. Sem'!$AL$17)</f>
        <v/>
      </c>
      <c r="AK32" s="625" t="str">
        <f>IF('2. Sem'!$AM$17="","",'2. Sem'!$AM$17)</f>
        <v/>
      </c>
      <c r="AL32" s="626" t="str">
        <f>IF('2. Sem'!$AN$17="","",'2. Sem'!$AN$17)</f>
        <v/>
      </c>
      <c r="AM32" s="627" t="str">
        <f>IF('2. Sem'!$AO$17="","",'2. Sem'!$AO$17)</f>
        <v/>
      </c>
      <c r="AN32" s="627" t="str">
        <f>IF('2. Sem'!$AP$17="","",'2. Sem'!$AP$17)</f>
        <v/>
      </c>
      <c r="AO32" s="627" t="str">
        <f>IF('2. Sem'!$AQ$17="","",'2. Sem'!$AQ$17)</f>
        <v/>
      </c>
      <c r="AP32" s="628" t="str">
        <f>IF('2. Sem'!$AR$17="","",'2. Sem'!$AR$17)</f>
        <v/>
      </c>
      <c r="AQ32" s="623" t="str">
        <f>IF('2. Sem'!$AS$17="","",'2. Sem'!$AS$17)</f>
        <v/>
      </c>
      <c r="AR32" s="624" t="str">
        <f>IF('2. Sem'!$AT$17="","",'2. Sem'!$AT$17)</f>
        <v/>
      </c>
      <c r="AS32" s="624" t="str">
        <f>IF('2. Sem'!$AU$17="","",'2. Sem'!$AU$17)</f>
        <v/>
      </c>
      <c r="AT32" s="624" t="str">
        <f>IF('2. Sem'!$AV$17="","",'2. Sem'!$AV$17)</f>
        <v/>
      </c>
      <c r="AU32" s="625" t="str">
        <f>IF('2. Sem'!$AW$17="","",'2. Sem'!$AW$17)</f>
        <v/>
      </c>
      <c r="AV32" s="626" t="str">
        <f>IF('2. Sem'!$AX$17="","",'2. Sem'!$AX$17)</f>
        <v/>
      </c>
      <c r="AW32" s="627" t="str">
        <f>IF('2. Sem'!$AY$17="","",'2. Sem'!$AY$17)</f>
        <v/>
      </c>
      <c r="AX32" s="627" t="str">
        <f>IF('2. Sem'!$AZ$17="","",'2. Sem'!$AZ$17)</f>
        <v/>
      </c>
      <c r="AY32" s="627" t="str">
        <f>IF('2. Sem'!$BA$17="","",'2. Sem'!$BA$17)</f>
        <v/>
      </c>
      <c r="AZ32" s="628" t="str">
        <f>IF('2. Sem'!$BB$17="","",'2. Sem'!$BB$17)</f>
        <v/>
      </c>
      <c r="BA32" s="623" t="str">
        <f>IF('2. Sem'!$BC$17="","",'2. Sem'!$BC$17)</f>
        <v/>
      </c>
      <c r="BB32" s="624" t="str">
        <f>IF('2. Sem'!$BD$17="","",'2. Sem'!$BD$17)</f>
        <v/>
      </c>
      <c r="BC32" s="624" t="str">
        <f>IF('2. Sem'!$BE$17="","",'2. Sem'!$BE$17)</f>
        <v/>
      </c>
      <c r="BD32" s="624" t="str">
        <f>IF('2. Sem'!$BF$17="","",'2. Sem'!$BF$17)</f>
        <v/>
      </c>
      <c r="BE32" s="625" t="str">
        <f>IF('2. Sem'!$BG$17="","",'2. Sem'!$BG$17)</f>
        <v/>
      </c>
      <c r="BF32" s="626" t="str">
        <f>IF('2. Sem'!$BH$17="","",'2. Sem'!$BH$17)</f>
        <v/>
      </c>
      <c r="BG32" s="627" t="str">
        <f>IF('2. Sem'!$BI$17="","",'2. Sem'!$BI$17)</f>
        <v/>
      </c>
      <c r="BH32" s="627" t="str">
        <f>IF('2. Sem'!$BJ$17="","",'2. Sem'!$BJ$17)</f>
        <v/>
      </c>
      <c r="BI32" s="627" t="str">
        <f>IF('2. Sem'!$BK$17="","",'2. Sem'!$BK$17)</f>
        <v/>
      </c>
      <c r="BJ32" s="628" t="str">
        <f>IF('2. Sem'!$BL$17="","",'2. Sem'!$BL$17)</f>
        <v/>
      </c>
      <c r="BK32" s="623" t="str">
        <f>IF('2. Sem'!$BM$17="","",'2. Sem'!$BM$17)</f>
        <v/>
      </c>
      <c r="BL32" s="624" t="str">
        <f>IF('2. Sem'!$BN$17="","",'2. Sem'!$BN$17)</f>
        <v/>
      </c>
      <c r="BM32" s="624" t="str">
        <f>IF('2. Sem'!$BO$17="","",'2. Sem'!$BO$17)</f>
        <v/>
      </c>
      <c r="BN32" s="624" t="str">
        <f>IF('2. Sem'!$BP$17="","",'2. Sem'!$BP$17)</f>
        <v/>
      </c>
      <c r="BO32" s="625" t="str">
        <f>IF('2. Sem'!$BQ$17="","",'2. Sem'!$BQ$17)</f>
        <v/>
      </c>
      <c r="BP32" s="626" t="str">
        <f>IF('2. Sem'!$BR$17="","",'2. Sem'!$BR$17)</f>
        <v/>
      </c>
      <c r="BQ32" s="627" t="str">
        <f>IF('2. Sem'!$BS$17="","",'2. Sem'!$BS$17)</f>
        <v/>
      </c>
      <c r="BR32" s="627" t="str">
        <f>IF('2. Sem'!$BT$17="","",'2. Sem'!$BT$17)</f>
        <v/>
      </c>
      <c r="BS32" s="627" t="str">
        <f>IF('2. Sem'!$BU$17="","",'2. Sem'!$BU$17)</f>
        <v/>
      </c>
      <c r="BT32" s="628" t="str">
        <f>IF('2. Sem'!$BV$17="","",'2. Sem'!$BV$17)</f>
        <v/>
      </c>
      <c r="BU32" s="623" t="str">
        <f>IF('2. Sem'!$BW$17="","",'2. Sem'!$BW$17)</f>
        <v/>
      </c>
      <c r="BV32" s="624" t="str">
        <f>IF('2. Sem'!$BX$17="","",'2. Sem'!$BX$17)</f>
        <v/>
      </c>
      <c r="BW32" s="624" t="str">
        <f>IF('2. Sem'!$BY$17="","",'2. Sem'!$BY$17)</f>
        <v/>
      </c>
      <c r="BX32" s="624" t="str">
        <f>IF('2. Sem'!$BZ$17="","",'2. Sem'!$BZ$17)</f>
        <v/>
      </c>
      <c r="BY32" s="625" t="str">
        <f>IF('2. Sem'!$CA$17="","",'2. Sem'!$CA$17)</f>
        <v/>
      </c>
      <c r="BZ32" s="626" t="str">
        <f>IF('2. Sem'!$CB$17="","",'2. Sem'!$CB$17)</f>
        <v/>
      </c>
      <c r="CA32" s="627" t="str">
        <f>IF('2. Sem'!$CC$17="","",'2. Sem'!$CC$17)</f>
        <v/>
      </c>
      <c r="CB32" s="627" t="str">
        <f>IF('2. Sem'!$CD$17="","",'2. Sem'!$CD$17)</f>
        <v/>
      </c>
      <c r="CC32" s="627" t="str">
        <f>IF('2. Sem'!$CE$17="","",'2. Sem'!$CE$17)</f>
        <v/>
      </c>
      <c r="CD32" s="628" t="str">
        <f>IF('2. Sem'!$CF$17="","",'2. Sem'!$CF$17)</f>
        <v/>
      </c>
      <c r="CE32" s="623" t="str">
        <f>IF('2. Sem'!$CG$17="","",'2. Sem'!$CG$17)</f>
        <v/>
      </c>
      <c r="CF32" s="624" t="str">
        <f>IF('2. Sem'!$CH$17="","",'2. Sem'!$CH$17)</f>
        <v/>
      </c>
      <c r="CG32" s="624" t="str">
        <f>IF('2. Sem'!$CI$17="","",'2. Sem'!$CI$17)</f>
        <v/>
      </c>
      <c r="CH32" s="624" t="str">
        <f>IF('2. Sem'!$CJ$17="","",'2. Sem'!$CJ$17)</f>
        <v/>
      </c>
      <c r="CI32" s="625" t="str">
        <f>IF('2. Sem'!$CK$17="","",'2. Sem'!$CK$17)</f>
        <v/>
      </c>
      <c r="CJ32" s="626" t="str">
        <f>IF('2. Sem'!$CL$17="","",'2. Sem'!$CL$17)</f>
        <v/>
      </c>
      <c r="CK32" s="627" t="str">
        <f>IF('2. Sem'!$CM$17="","",'2. Sem'!$CM$17)</f>
        <v/>
      </c>
      <c r="CL32" s="627" t="str">
        <f>IF('2. Sem'!$CN$17="","",'2. Sem'!$CN$17)</f>
        <v/>
      </c>
      <c r="CM32" s="627" t="str">
        <f>IF('2. Sem'!$CO$17="","",'2. Sem'!$CO$17)</f>
        <v/>
      </c>
      <c r="CN32" s="628" t="str">
        <f>IF('2. Sem'!$CP$17="","",'2. Sem'!$CP$17)</f>
        <v/>
      </c>
      <c r="CO32" s="623" t="str">
        <f>IF('2. Sem'!$CQ$17="","",'2. Sem'!$CQ$17)</f>
        <v/>
      </c>
      <c r="CP32" s="624" t="str">
        <f>IF('2. Sem'!$CR$17="","",'2. Sem'!$CR$17)</f>
        <v/>
      </c>
      <c r="CQ32" s="624" t="str">
        <f>IF('2. Sem'!$CS$17="","",'2. Sem'!$CS$17)</f>
        <v/>
      </c>
      <c r="CR32" s="624" t="str">
        <f>IF('2. Sem'!$CT$17="","",'2. Sem'!$CT$17)</f>
        <v/>
      </c>
      <c r="CS32" s="625" t="str">
        <f>IF('2. Sem'!$CU$17="","",'2. Sem'!$CU$17)</f>
        <v/>
      </c>
      <c r="CT32" s="626" t="str">
        <f>IF('2. Sem'!$CV$17="","",'2. Sem'!$CV$17)</f>
        <v/>
      </c>
      <c r="CU32" s="627" t="str">
        <f>IF('2. Sem'!$CW$17="","",'2. Sem'!$CW$17)</f>
        <v/>
      </c>
      <c r="CV32" s="627" t="str">
        <f>IF('2. Sem'!$CX$17="","",'2. Sem'!$CX$17)</f>
        <v/>
      </c>
      <c r="CW32" s="627" t="str">
        <f>IF('2. Sem'!$CY$17="","",'2. Sem'!$CY$17)</f>
        <v/>
      </c>
      <c r="CX32" s="628" t="str">
        <f>IF('2. Sem'!$CZ$17="","",'2. Sem'!$CZ$17)</f>
        <v/>
      </c>
      <c r="CY32" s="623" t="str">
        <f>IF('2. Sem'!$DA$17="","",'2. Sem'!$DA$17)</f>
        <v/>
      </c>
      <c r="CZ32" s="624" t="str">
        <f>IF('2. Sem'!$DB$17="","",'2. Sem'!$DB$17)</f>
        <v/>
      </c>
      <c r="DA32" s="624" t="str">
        <f>IF('2. Sem'!$DC$17="","",'2. Sem'!$DC$17)</f>
        <v/>
      </c>
      <c r="DB32" s="624" t="str">
        <f>IF('2. Sem'!$DD$17="","",'2. Sem'!$DD$17)</f>
        <v/>
      </c>
      <c r="DC32" s="625" t="str">
        <f>IF('2. Sem'!$DE$17="","",'2. Sem'!$DE$17)</f>
        <v/>
      </c>
    </row>
    <row r="33" spans="1:107" ht="16" customHeight="1" x14ac:dyDescent="0.2">
      <c r="A33" s="566"/>
      <c r="B33" s="579" t="s">
        <v>31</v>
      </c>
      <c r="C33" s="623" t="str">
        <f>IF('2. Sem'!$E$18="","",'2. Sem'!$E$18)</f>
        <v/>
      </c>
      <c r="D33" s="624" t="str">
        <f>IF('2. Sem'!$F$18="","",'2. Sem'!$F$18)</f>
        <v/>
      </c>
      <c r="E33" s="624" t="str">
        <f>IF('2. Sem'!$G$18="","",'2. Sem'!$G$18)</f>
        <v/>
      </c>
      <c r="F33" s="624" t="str">
        <f>IF('2. Sem'!$H$18="","",'2. Sem'!$H$18)</f>
        <v/>
      </c>
      <c r="G33" s="625" t="str">
        <f>IF('2. Sem'!$I$18="","",'2. Sem'!$I$18)</f>
        <v/>
      </c>
      <c r="H33" s="626" t="str">
        <f>IF('2. Sem'!$J$18="","",'2. Sem'!$J$18)</f>
        <v/>
      </c>
      <c r="I33" s="627" t="str">
        <f>IF('2. Sem'!$K$18="","",'2. Sem'!$K$18)</f>
        <v/>
      </c>
      <c r="J33" s="627" t="str">
        <f>IF('2. Sem'!$L$18="","",'2. Sem'!$L$18)</f>
        <v/>
      </c>
      <c r="K33" s="627" t="str">
        <f>IF('2. Sem'!$M$18="","",'2. Sem'!$M$18)</f>
        <v/>
      </c>
      <c r="L33" s="628" t="str">
        <f>IF('2. Sem'!$N$18="","",'2. Sem'!$N$18)</f>
        <v/>
      </c>
      <c r="M33" s="623" t="str">
        <f>IF('2. Sem'!$O$18="","",'2. Sem'!$O$18)</f>
        <v/>
      </c>
      <c r="N33" s="624" t="str">
        <f>IF('2. Sem'!$P$18="","",'2. Sem'!$P$18)</f>
        <v/>
      </c>
      <c r="O33" s="624" t="str">
        <f>IF('2. Sem'!$Q$18="","",'2. Sem'!$Q$18)</f>
        <v/>
      </c>
      <c r="P33" s="624" t="str">
        <f>IF('2. Sem'!$R$18="","",'2. Sem'!$R$18)</f>
        <v/>
      </c>
      <c r="Q33" s="625" t="str">
        <f>IF('2. Sem'!$S$18="","",'2. Sem'!$S$18)</f>
        <v/>
      </c>
      <c r="R33" s="626" t="str">
        <f>IF('2. Sem'!$T$18="","",'2. Sem'!$T$18)</f>
        <v/>
      </c>
      <c r="S33" s="627" t="str">
        <f>IF('2. Sem'!$U$18="","",'2. Sem'!$U$18)</f>
        <v/>
      </c>
      <c r="T33" s="627" t="str">
        <f>IF('2. Sem'!$V$18="","",'2. Sem'!$V$18)</f>
        <v/>
      </c>
      <c r="U33" s="627" t="str">
        <f>IF('2. Sem'!$W$18="","",'2. Sem'!$W$18)</f>
        <v/>
      </c>
      <c r="V33" s="628" t="str">
        <f>IF('2. Sem'!$X$18="","",'2. Sem'!$X$18)</f>
        <v/>
      </c>
      <c r="W33" s="623" t="str">
        <f>IF('2. Sem'!$Y$18="","",'2. Sem'!$Y$18)</f>
        <v/>
      </c>
      <c r="X33" s="624" t="str">
        <f>IF('2. Sem'!$Z$18="","",'2. Sem'!$Z$18)</f>
        <v/>
      </c>
      <c r="Y33" s="624" t="str">
        <f>IF('2. Sem'!$AA$18="","",'2. Sem'!$AA$18)</f>
        <v/>
      </c>
      <c r="Z33" s="624" t="str">
        <f>IF('2. Sem'!$AB$18="","",'2. Sem'!$AB$18)</f>
        <v/>
      </c>
      <c r="AA33" s="625" t="str">
        <f>IF('2. Sem'!$AC$18="","",'2. Sem'!$AC$18)</f>
        <v/>
      </c>
      <c r="AB33" s="626" t="str">
        <f>IF('2. Sem'!$AD$18="","",'2. Sem'!$AD$18)</f>
        <v/>
      </c>
      <c r="AC33" s="627" t="str">
        <f>IF('2. Sem'!$AE$18="","",'2. Sem'!$AE$18)</f>
        <v/>
      </c>
      <c r="AD33" s="627" t="str">
        <f>IF('2. Sem'!$AF$18="","",'2. Sem'!$AF$18)</f>
        <v/>
      </c>
      <c r="AE33" s="627" t="str">
        <f>IF('2. Sem'!$AG$18="","",'2. Sem'!$AG$18)</f>
        <v/>
      </c>
      <c r="AF33" s="628" t="str">
        <f>IF('2. Sem'!$AH$18="","",'2. Sem'!$AH$18)</f>
        <v/>
      </c>
      <c r="AG33" s="623" t="str">
        <f>IF('2. Sem'!$AI$18="","",'2. Sem'!$AI$18)</f>
        <v/>
      </c>
      <c r="AH33" s="624" t="str">
        <f>IF('2. Sem'!$AJ$18="","",'2. Sem'!$AJ$18)</f>
        <v/>
      </c>
      <c r="AI33" s="624" t="str">
        <f>IF('2. Sem'!$AK$18="","",'2. Sem'!$AK$18)</f>
        <v/>
      </c>
      <c r="AJ33" s="624" t="str">
        <f>IF('2. Sem'!$AL$18="","",'2. Sem'!$AL$18)</f>
        <v/>
      </c>
      <c r="AK33" s="625" t="str">
        <f>IF('2. Sem'!$AM$18="","",'2. Sem'!$AM$18)</f>
        <v/>
      </c>
      <c r="AL33" s="626" t="str">
        <f>IF('2. Sem'!$AN$18="","",'2. Sem'!$AN$18)</f>
        <v/>
      </c>
      <c r="AM33" s="627" t="str">
        <f>IF('2. Sem'!$AO$18="","",'2. Sem'!$AO$18)</f>
        <v/>
      </c>
      <c r="AN33" s="627" t="str">
        <f>IF('2. Sem'!$AP$18="","",'2. Sem'!$AP$18)</f>
        <v/>
      </c>
      <c r="AO33" s="627" t="str">
        <f>IF('2. Sem'!$AQ$18="","",'2. Sem'!$AQ$18)</f>
        <v/>
      </c>
      <c r="AP33" s="628" t="str">
        <f>IF('2. Sem'!$AR$18="","",'2. Sem'!$AR$18)</f>
        <v/>
      </c>
      <c r="AQ33" s="623" t="str">
        <f>IF('2. Sem'!$AS$18="","",'2. Sem'!$AS$18)</f>
        <v/>
      </c>
      <c r="AR33" s="624" t="str">
        <f>IF('2. Sem'!$AT$18="","",'2. Sem'!$AT$18)</f>
        <v/>
      </c>
      <c r="AS33" s="624" t="str">
        <f>IF('2. Sem'!$AU$18="","",'2. Sem'!$AU$18)</f>
        <v/>
      </c>
      <c r="AT33" s="624" t="str">
        <f>IF('2. Sem'!$AV$18="","",'2. Sem'!$AV$18)</f>
        <v/>
      </c>
      <c r="AU33" s="625" t="str">
        <f>IF('2. Sem'!$AW$18="","",'2. Sem'!$AW$18)</f>
        <v/>
      </c>
      <c r="AV33" s="626" t="str">
        <f>IF('2. Sem'!$AX$18="","",'2. Sem'!$AX$18)</f>
        <v/>
      </c>
      <c r="AW33" s="627" t="str">
        <f>IF('2. Sem'!$AY$18="","",'2. Sem'!$AY$18)</f>
        <v/>
      </c>
      <c r="AX33" s="627" t="str">
        <f>IF('2. Sem'!$AZ$18="","",'2. Sem'!$AZ$18)</f>
        <v/>
      </c>
      <c r="AY33" s="627" t="str">
        <f>IF('2. Sem'!$BA$18="","",'2. Sem'!$BA$18)</f>
        <v/>
      </c>
      <c r="AZ33" s="628" t="str">
        <f>IF('2. Sem'!$BB$18="","",'2. Sem'!$BB$18)</f>
        <v/>
      </c>
      <c r="BA33" s="623" t="str">
        <f>IF('2. Sem'!$BC$18="","",'2. Sem'!$BC$18)</f>
        <v/>
      </c>
      <c r="BB33" s="624" t="str">
        <f>IF('2. Sem'!$BD$18="","",'2. Sem'!$BD$18)</f>
        <v/>
      </c>
      <c r="BC33" s="624" t="str">
        <f>IF('2. Sem'!$BE$18="","",'2. Sem'!$BE$18)</f>
        <v/>
      </c>
      <c r="BD33" s="624" t="str">
        <f>IF('2. Sem'!$BF$18="","",'2. Sem'!$BF$18)</f>
        <v/>
      </c>
      <c r="BE33" s="625" t="str">
        <f>IF('2. Sem'!$BG$18="","",'2. Sem'!$BG$18)</f>
        <v/>
      </c>
      <c r="BF33" s="626" t="str">
        <f>IF('2. Sem'!$BH$18="","",'2. Sem'!$BH$18)</f>
        <v/>
      </c>
      <c r="BG33" s="627" t="str">
        <f>IF('2. Sem'!$BI$18="","",'2. Sem'!$BI$18)</f>
        <v/>
      </c>
      <c r="BH33" s="627" t="str">
        <f>IF('2. Sem'!$BJ$18="","",'2. Sem'!$BJ$18)</f>
        <v/>
      </c>
      <c r="BI33" s="627" t="str">
        <f>IF('2. Sem'!$BK$18="","",'2. Sem'!$BK$18)</f>
        <v/>
      </c>
      <c r="BJ33" s="628" t="str">
        <f>IF('2. Sem'!$BL$18="","",'2. Sem'!$BL$18)</f>
        <v/>
      </c>
      <c r="BK33" s="623" t="str">
        <f>IF('2. Sem'!$BM$18="","",'2. Sem'!$BM$18)</f>
        <v/>
      </c>
      <c r="BL33" s="624" t="str">
        <f>IF('2. Sem'!$BN$18="","",'2. Sem'!$BN$18)</f>
        <v/>
      </c>
      <c r="BM33" s="624" t="str">
        <f>IF('2. Sem'!$BO$18="","",'2. Sem'!$BO$18)</f>
        <v/>
      </c>
      <c r="BN33" s="624" t="str">
        <f>IF('2. Sem'!$BP$18="","",'2. Sem'!$BP$18)</f>
        <v/>
      </c>
      <c r="BO33" s="625" t="str">
        <f>IF('2. Sem'!$BQ$18="","",'2. Sem'!$BQ$18)</f>
        <v/>
      </c>
      <c r="BP33" s="626" t="str">
        <f>IF('2. Sem'!$BR$18="","",'2. Sem'!$BR$18)</f>
        <v/>
      </c>
      <c r="BQ33" s="627" t="str">
        <f>IF('2. Sem'!$BS$18="","",'2. Sem'!$BS$18)</f>
        <v/>
      </c>
      <c r="BR33" s="627" t="str">
        <f>IF('2. Sem'!$BT$18="","",'2. Sem'!$BT$18)</f>
        <v/>
      </c>
      <c r="BS33" s="627" t="str">
        <f>IF('2. Sem'!$BU$18="","",'2. Sem'!$BU$18)</f>
        <v/>
      </c>
      <c r="BT33" s="628" t="str">
        <f>IF('2. Sem'!$BV$18="","",'2. Sem'!$BV$18)</f>
        <v/>
      </c>
      <c r="BU33" s="623" t="str">
        <f>IF('2. Sem'!$BW$18="","",'2. Sem'!$BW$18)</f>
        <v/>
      </c>
      <c r="BV33" s="624" t="str">
        <f>IF('2. Sem'!$BX$18="","",'2. Sem'!$BX$18)</f>
        <v/>
      </c>
      <c r="BW33" s="624" t="str">
        <f>IF('2. Sem'!$BY$18="","",'2. Sem'!$BY$18)</f>
        <v/>
      </c>
      <c r="BX33" s="624" t="str">
        <f>IF('2. Sem'!$BZ$18="","",'2. Sem'!$BZ$18)</f>
        <v/>
      </c>
      <c r="BY33" s="625" t="str">
        <f>IF('2. Sem'!$CA$18="","",'2. Sem'!$CA$18)</f>
        <v/>
      </c>
      <c r="BZ33" s="626" t="str">
        <f>IF('2. Sem'!$CB$18="","",'2. Sem'!$CB$18)</f>
        <v/>
      </c>
      <c r="CA33" s="627" t="str">
        <f>IF('2. Sem'!$CC$18="","",'2. Sem'!$CC$18)</f>
        <v/>
      </c>
      <c r="CB33" s="627" t="str">
        <f>IF('2. Sem'!$CD$18="","",'2. Sem'!$CD$18)</f>
        <v/>
      </c>
      <c r="CC33" s="627" t="str">
        <f>IF('2. Sem'!$CE$18="","",'2. Sem'!$CE$18)</f>
        <v/>
      </c>
      <c r="CD33" s="628" t="str">
        <f>IF('2. Sem'!$CF$18="","",'2. Sem'!$CF$18)</f>
        <v/>
      </c>
      <c r="CE33" s="623" t="str">
        <f>IF('2. Sem'!$CG$18="","",'2. Sem'!$CG$18)</f>
        <v/>
      </c>
      <c r="CF33" s="624" t="str">
        <f>IF('2. Sem'!$CH$18="","",'2. Sem'!$CH$18)</f>
        <v/>
      </c>
      <c r="CG33" s="624" t="str">
        <f>IF('2. Sem'!$CI$18="","",'2. Sem'!$CI$18)</f>
        <v/>
      </c>
      <c r="CH33" s="624" t="str">
        <f>IF('2. Sem'!$CJ$18="","",'2. Sem'!$CJ$18)</f>
        <v/>
      </c>
      <c r="CI33" s="625" t="str">
        <f>IF('2. Sem'!$CK$18="","",'2. Sem'!$CK$18)</f>
        <v/>
      </c>
      <c r="CJ33" s="626" t="str">
        <f>IF('2. Sem'!$CL$18="","",'2. Sem'!$CL$18)</f>
        <v/>
      </c>
      <c r="CK33" s="627" t="str">
        <f>IF('2. Sem'!$CM$18="","",'2. Sem'!$CM$18)</f>
        <v/>
      </c>
      <c r="CL33" s="627" t="str">
        <f>IF('2. Sem'!$CN$18="","",'2. Sem'!$CN$18)</f>
        <v/>
      </c>
      <c r="CM33" s="627" t="str">
        <f>IF('2. Sem'!$CO$18="","",'2. Sem'!$CO$18)</f>
        <v/>
      </c>
      <c r="CN33" s="628" t="str">
        <f>IF('2. Sem'!$CP$18="","",'2. Sem'!$CP$18)</f>
        <v/>
      </c>
      <c r="CO33" s="623" t="str">
        <f>IF('2. Sem'!$CQ$18="","",'2. Sem'!$CQ$18)</f>
        <v/>
      </c>
      <c r="CP33" s="624" t="str">
        <f>IF('2. Sem'!$CR$18="","",'2. Sem'!$CR$18)</f>
        <v/>
      </c>
      <c r="CQ33" s="624" t="str">
        <f>IF('2. Sem'!$CS$18="","",'2. Sem'!$CS$18)</f>
        <v/>
      </c>
      <c r="CR33" s="624" t="str">
        <f>IF('2. Sem'!$CT$18="","",'2. Sem'!$CT$18)</f>
        <v/>
      </c>
      <c r="CS33" s="625" t="str">
        <f>IF('2. Sem'!$CU$18="","",'2. Sem'!$CU$18)</f>
        <v/>
      </c>
      <c r="CT33" s="626" t="str">
        <f>IF('2. Sem'!$CV$18="","",'2. Sem'!$CV$18)</f>
        <v/>
      </c>
      <c r="CU33" s="627" t="str">
        <f>IF('2. Sem'!$CW$18="","",'2. Sem'!$CW$18)</f>
        <v/>
      </c>
      <c r="CV33" s="627" t="str">
        <f>IF('2. Sem'!$CX$18="","",'2. Sem'!$CX$18)</f>
        <v/>
      </c>
      <c r="CW33" s="627" t="str">
        <f>IF('2. Sem'!$CY$18="","",'2. Sem'!$CY$18)</f>
        <v/>
      </c>
      <c r="CX33" s="628" t="str">
        <f>IF('2. Sem'!$CZ$18="","",'2. Sem'!$CZ$18)</f>
        <v/>
      </c>
      <c r="CY33" s="623" t="str">
        <f>IF('2. Sem'!$DA$18="","",'2. Sem'!$DA$18)</f>
        <v/>
      </c>
      <c r="CZ33" s="624" t="str">
        <f>IF('2. Sem'!$DB$18="","",'2. Sem'!$DB$18)</f>
        <v/>
      </c>
      <c r="DA33" s="624" t="str">
        <f>IF('2. Sem'!$DC$18="","",'2. Sem'!$DC$18)</f>
        <v/>
      </c>
      <c r="DB33" s="624" t="str">
        <f>IF('2. Sem'!$DD$18="","",'2. Sem'!$DD$18)</f>
        <v/>
      </c>
      <c r="DC33" s="625" t="str">
        <f>IF('2. Sem'!$DE$18="","",'2. Sem'!$DE$18)</f>
        <v/>
      </c>
    </row>
    <row r="34" spans="1:107" ht="16" customHeight="1" x14ac:dyDescent="0.2">
      <c r="A34" s="566"/>
      <c r="B34" s="579" t="s">
        <v>32</v>
      </c>
      <c r="C34" s="623" t="str">
        <f>IF('2. Sem'!$E$19="","",'2. Sem'!$E$19)</f>
        <v/>
      </c>
      <c r="D34" s="624" t="str">
        <f>IF('2. Sem'!$F$19="","",'2. Sem'!$F$19)</f>
        <v/>
      </c>
      <c r="E34" s="624" t="str">
        <f>IF('2. Sem'!$G$19="","",'2. Sem'!$G$19)</f>
        <v/>
      </c>
      <c r="F34" s="624" t="str">
        <f>IF('2. Sem'!$H$19="","",'2. Sem'!$H$19)</f>
        <v/>
      </c>
      <c r="G34" s="625" t="str">
        <f>IF('2. Sem'!$I$19="","",'2. Sem'!$I$19)</f>
        <v/>
      </c>
      <c r="H34" s="626" t="str">
        <f>IF('2. Sem'!$J$19="","",'2. Sem'!$J$19)</f>
        <v/>
      </c>
      <c r="I34" s="627" t="str">
        <f>IF('2. Sem'!$K$19="","",'2. Sem'!$K$19)</f>
        <v/>
      </c>
      <c r="J34" s="627" t="str">
        <f>IF('2. Sem'!$L$19="","",'2. Sem'!$L$19)</f>
        <v/>
      </c>
      <c r="K34" s="627" t="str">
        <f>IF('2. Sem'!$M$19="","",'2. Sem'!$M$19)</f>
        <v/>
      </c>
      <c r="L34" s="628" t="str">
        <f>IF('2. Sem'!$N$19="","",'2. Sem'!$N$19)</f>
        <v/>
      </c>
      <c r="M34" s="623" t="str">
        <f>IF('2. Sem'!$O$19="","",'2. Sem'!$O$19)</f>
        <v/>
      </c>
      <c r="N34" s="624" t="str">
        <f>IF('2. Sem'!$P$19="","",'2. Sem'!$P$19)</f>
        <v/>
      </c>
      <c r="O34" s="624" t="str">
        <f>IF('2. Sem'!$Q$19="","",'2. Sem'!$Q$19)</f>
        <v/>
      </c>
      <c r="P34" s="624" t="str">
        <f>IF('2. Sem'!$R$19="","",'2. Sem'!$R$19)</f>
        <v/>
      </c>
      <c r="Q34" s="625" t="str">
        <f>IF('2. Sem'!$S$19="","",'2. Sem'!$S$19)</f>
        <v/>
      </c>
      <c r="R34" s="626" t="str">
        <f>IF('2. Sem'!$T$19="","",'2. Sem'!$T$19)</f>
        <v/>
      </c>
      <c r="S34" s="627" t="str">
        <f>IF('2. Sem'!$U$19="","",'2. Sem'!$U$19)</f>
        <v/>
      </c>
      <c r="T34" s="627" t="str">
        <f>IF('2. Sem'!$V$19="","",'2. Sem'!$V$19)</f>
        <v/>
      </c>
      <c r="U34" s="627" t="str">
        <f>IF('2. Sem'!$W$19="","",'2. Sem'!$W$19)</f>
        <v/>
      </c>
      <c r="V34" s="628" t="str">
        <f>IF('2. Sem'!$X$19="","",'2. Sem'!$X$19)</f>
        <v/>
      </c>
      <c r="W34" s="623" t="str">
        <f>IF('2. Sem'!$Y$19="","",'2. Sem'!$Y$19)</f>
        <v/>
      </c>
      <c r="X34" s="624" t="str">
        <f>IF('2. Sem'!$Z$19="","",'2. Sem'!$Z$19)</f>
        <v/>
      </c>
      <c r="Y34" s="624" t="str">
        <f>IF('2. Sem'!$AA$19="","",'2. Sem'!$AA$19)</f>
        <v/>
      </c>
      <c r="Z34" s="624" t="str">
        <f>IF('2. Sem'!$AB$19="","",'2. Sem'!$AB$19)</f>
        <v/>
      </c>
      <c r="AA34" s="625" t="str">
        <f>IF('2. Sem'!$AC$19="","",'2. Sem'!$AC$19)</f>
        <v/>
      </c>
      <c r="AB34" s="626" t="str">
        <f>IF('2. Sem'!$AD$19="","",'2. Sem'!$AD$19)</f>
        <v/>
      </c>
      <c r="AC34" s="627" t="str">
        <f>IF('2. Sem'!$AE$19="","",'2. Sem'!$AE$19)</f>
        <v/>
      </c>
      <c r="AD34" s="627" t="str">
        <f>IF('2. Sem'!$AF$19="","",'2. Sem'!$AF$19)</f>
        <v/>
      </c>
      <c r="AE34" s="627" t="str">
        <f>IF('2. Sem'!$AG$19="","",'2. Sem'!$AG$19)</f>
        <v/>
      </c>
      <c r="AF34" s="628" t="str">
        <f>IF('2. Sem'!$AH$19="","",'2. Sem'!$AH$19)</f>
        <v/>
      </c>
      <c r="AG34" s="623" t="str">
        <f>IF('2. Sem'!$AI$19="","",'2. Sem'!$AI$19)</f>
        <v/>
      </c>
      <c r="AH34" s="624" t="str">
        <f>IF('2. Sem'!$AJ$19="","",'2. Sem'!$AJ$19)</f>
        <v/>
      </c>
      <c r="AI34" s="624" t="str">
        <f>IF('2. Sem'!$AK$19="","",'2. Sem'!$AK$19)</f>
        <v/>
      </c>
      <c r="AJ34" s="624" t="str">
        <f>IF('2. Sem'!$AL$19="","",'2. Sem'!$AL$19)</f>
        <v/>
      </c>
      <c r="AK34" s="625" t="str">
        <f>IF('2. Sem'!$AM$19="","",'2. Sem'!$AM$19)</f>
        <v/>
      </c>
      <c r="AL34" s="626" t="str">
        <f>IF('2. Sem'!$AN$19="","",'2. Sem'!$AN$19)</f>
        <v/>
      </c>
      <c r="AM34" s="627" t="str">
        <f>IF('2. Sem'!$AO$19="","",'2. Sem'!$AO$19)</f>
        <v/>
      </c>
      <c r="AN34" s="627" t="str">
        <f>IF('2. Sem'!$AP$19="","",'2. Sem'!$AP$19)</f>
        <v/>
      </c>
      <c r="AO34" s="627" t="str">
        <f>IF('2. Sem'!$AQ$19="","",'2. Sem'!$AQ$19)</f>
        <v/>
      </c>
      <c r="AP34" s="628" t="str">
        <f>IF('2. Sem'!$AR$19="","",'2. Sem'!$AR$19)</f>
        <v/>
      </c>
      <c r="AQ34" s="623" t="str">
        <f>IF('2. Sem'!$AS$19="","",'2. Sem'!$AS$19)</f>
        <v/>
      </c>
      <c r="AR34" s="624" t="str">
        <f>IF('2. Sem'!$AT$19="","",'2. Sem'!$AT$19)</f>
        <v/>
      </c>
      <c r="AS34" s="624" t="str">
        <f>IF('2. Sem'!$AU$19="","",'2. Sem'!$AU$19)</f>
        <v/>
      </c>
      <c r="AT34" s="624" t="str">
        <f>IF('2. Sem'!$AV$19="","",'2. Sem'!$AV$19)</f>
        <v/>
      </c>
      <c r="AU34" s="625" t="str">
        <f>IF('2. Sem'!$AW$19="","",'2. Sem'!$AW$19)</f>
        <v/>
      </c>
      <c r="AV34" s="626" t="str">
        <f>IF('2. Sem'!$AX$19="","",'2. Sem'!$AX$19)</f>
        <v/>
      </c>
      <c r="AW34" s="627" t="str">
        <f>IF('2. Sem'!$AY$19="","",'2. Sem'!$AY$19)</f>
        <v/>
      </c>
      <c r="AX34" s="627" t="str">
        <f>IF('2. Sem'!$AZ$19="","",'2. Sem'!$AZ$19)</f>
        <v/>
      </c>
      <c r="AY34" s="627" t="str">
        <f>IF('2. Sem'!$BA$19="","",'2. Sem'!$BA$19)</f>
        <v/>
      </c>
      <c r="AZ34" s="628" t="str">
        <f>IF('2. Sem'!$BB$19="","",'2. Sem'!$BB$19)</f>
        <v/>
      </c>
      <c r="BA34" s="623" t="str">
        <f>IF('2. Sem'!$BC$19="","",'2. Sem'!$BC$19)</f>
        <v/>
      </c>
      <c r="BB34" s="624" t="str">
        <f>IF('2. Sem'!$BD$19="","",'2. Sem'!$BD$19)</f>
        <v/>
      </c>
      <c r="BC34" s="624" t="str">
        <f>IF('2. Sem'!$BE$19="","",'2. Sem'!$BE$19)</f>
        <v/>
      </c>
      <c r="BD34" s="624" t="str">
        <f>IF('2. Sem'!$BF$19="","",'2. Sem'!$BF$19)</f>
        <v/>
      </c>
      <c r="BE34" s="625" t="str">
        <f>IF('2. Sem'!$BG$19="","",'2. Sem'!$BG$19)</f>
        <v/>
      </c>
      <c r="BF34" s="626" t="str">
        <f>IF('2. Sem'!$BH$19="","",'2. Sem'!$BH$19)</f>
        <v/>
      </c>
      <c r="BG34" s="627" t="str">
        <f>IF('2. Sem'!$BI$19="","",'2. Sem'!$BI$19)</f>
        <v/>
      </c>
      <c r="BH34" s="627" t="str">
        <f>IF('2. Sem'!$BJ$19="","",'2. Sem'!$BJ$19)</f>
        <v/>
      </c>
      <c r="BI34" s="627" t="str">
        <f>IF('2. Sem'!$BK$19="","",'2. Sem'!$BK$19)</f>
        <v/>
      </c>
      <c r="BJ34" s="628" t="str">
        <f>IF('2. Sem'!$BL$19="","",'2. Sem'!$BL$19)</f>
        <v/>
      </c>
      <c r="BK34" s="623" t="str">
        <f>IF('2. Sem'!$BM$19="","",'2. Sem'!$BM$19)</f>
        <v/>
      </c>
      <c r="BL34" s="624" t="str">
        <f>IF('2. Sem'!$BN$19="","",'2. Sem'!$BN$19)</f>
        <v/>
      </c>
      <c r="BM34" s="624" t="str">
        <f>IF('2. Sem'!$BO$19="","",'2. Sem'!$BO$19)</f>
        <v/>
      </c>
      <c r="BN34" s="624" t="str">
        <f>IF('2. Sem'!$BP$19="","",'2. Sem'!$BP$19)</f>
        <v/>
      </c>
      <c r="BO34" s="625" t="str">
        <f>IF('2. Sem'!$BQ$19="","",'2. Sem'!$BQ$19)</f>
        <v/>
      </c>
      <c r="BP34" s="626" t="str">
        <f>IF('2. Sem'!$BR$19="","",'2. Sem'!$BR$19)</f>
        <v/>
      </c>
      <c r="BQ34" s="627" t="str">
        <f>IF('2. Sem'!$BS$19="","",'2. Sem'!$BS$19)</f>
        <v/>
      </c>
      <c r="BR34" s="627" t="str">
        <f>IF('2. Sem'!$BT$19="","",'2. Sem'!$BT$19)</f>
        <v/>
      </c>
      <c r="BS34" s="627" t="str">
        <f>IF('2. Sem'!$BU$19="","",'2. Sem'!$BU$19)</f>
        <v/>
      </c>
      <c r="BT34" s="628" t="str">
        <f>IF('2. Sem'!$BV$19="","",'2. Sem'!$BV$19)</f>
        <v/>
      </c>
      <c r="BU34" s="623" t="str">
        <f>IF('2. Sem'!$BW$19="","",'2. Sem'!$BW$19)</f>
        <v/>
      </c>
      <c r="BV34" s="624" t="str">
        <f>IF('2. Sem'!$BX$19="","",'2. Sem'!$BX$19)</f>
        <v/>
      </c>
      <c r="BW34" s="624" t="str">
        <f>IF('2. Sem'!$BY$19="","",'2. Sem'!$BY$19)</f>
        <v/>
      </c>
      <c r="BX34" s="624" t="str">
        <f>IF('2. Sem'!$BZ$19="","",'2. Sem'!$BZ$19)</f>
        <v/>
      </c>
      <c r="BY34" s="625" t="str">
        <f>IF('2. Sem'!$CA$19="","",'2. Sem'!$CA$19)</f>
        <v/>
      </c>
      <c r="BZ34" s="626" t="str">
        <f>IF('2. Sem'!$CB$19="","",'2. Sem'!$CB$19)</f>
        <v/>
      </c>
      <c r="CA34" s="627" t="str">
        <f>IF('2. Sem'!$CC$19="","",'2. Sem'!$CC$19)</f>
        <v/>
      </c>
      <c r="CB34" s="627" t="str">
        <f>IF('2. Sem'!$CD$19="","",'2. Sem'!$CD$19)</f>
        <v/>
      </c>
      <c r="CC34" s="627" t="str">
        <f>IF('2. Sem'!$CE$19="","",'2. Sem'!$CE$19)</f>
        <v/>
      </c>
      <c r="CD34" s="628" t="str">
        <f>IF('2. Sem'!$CF$19="","",'2. Sem'!$CF$19)</f>
        <v/>
      </c>
      <c r="CE34" s="623" t="str">
        <f>IF('2. Sem'!$CG$19="","",'2. Sem'!$CG$19)</f>
        <v/>
      </c>
      <c r="CF34" s="624" t="str">
        <f>IF('2. Sem'!$CH$19="","",'2. Sem'!$CH$19)</f>
        <v/>
      </c>
      <c r="CG34" s="624" t="str">
        <f>IF('2. Sem'!$CI$19="","",'2. Sem'!$CI$19)</f>
        <v/>
      </c>
      <c r="CH34" s="624" t="str">
        <f>IF('2. Sem'!$CJ$19="","",'2. Sem'!$CJ$19)</f>
        <v/>
      </c>
      <c r="CI34" s="625" t="str">
        <f>IF('2. Sem'!$CK$19="","",'2. Sem'!$CK$19)</f>
        <v/>
      </c>
      <c r="CJ34" s="626" t="str">
        <f>IF('2. Sem'!$CL$19="","",'2. Sem'!$CL$19)</f>
        <v/>
      </c>
      <c r="CK34" s="627" t="str">
        <f>IF('2. Sem'!$CM$19="","",'2. Sem'!$CM$19)</f>
        <v/>
      </c>
      <c r="CL34" s="627" t="str">
        <f>IF('2. Sem'!$CN$19="","",'2. Sem'!$CN$19)</f>
        <v/>
      </c>
      <c r="CM34" s="627" t="str">
        <f>IF('2. Sem'!$CO$19="","",'2. Sem'!$CO$19)</f>
        <v/>
      </c>
      <c r="CN34" s="628" t="str">
        <f>IF('2. Sem'!$CP$19="","",'2. Sem'!$CP$19)</f>
        <v/>
      </c>
      <c r="CO34" s="623" t="str">
        <f>IF('2. Sem'!$CQ$19="","",'2. Sem'!$CQ$19)</f>
        <v/>
      </c>
      <c r="CP34" s="624" t="str">
        <f>IF('2. Sem'!$CR$19="","",'2. Sem'!$CR$19)</f>
        <v/>
      </c>
      <c r="CQ34" s="624" t="str">
        <f>IF('2. Sem'!$CS$19="","",'2. Sem'!$CS$19)</f>
        <v/>
      </c>
      <c r="CR34" s="624" t="str">
        <f>IF('2. Sem'!$CT$19="","",'2. Sem'!$CT$19)</f>
        <v/>
      </c>
      <c r="CS34" s="625" t="str">
        <f>IF('2. Sem'!$CU$19="","",'2. Sem'!$CU$19)</f>
        <v/>
      </c>
      <c r="CT34" s="626" t="str">
        <f>IF('2. Sem'!$CV$19="","",'2. Sem'!$CV$19)</f>
        <v/>
      </c>
      <c r="CU34" s="627" t="str">
        <f>IF('2. Sem'!$CW$19="","",'2. Sem'!$CW$19)</f>
        <v/>
      </c>
      <c r="CV34" s="627" t="str">
        <f>IF('2. Sem'!$CX$19="","",'2. Sem'!$CX$19)</f>
        <v/>
      </c>
      <c r="CW34" s="627" t="str">
        <f>IF('2. Sem'!$CY$19="","",'2. Sem'!$CY$19)</f>
        <v/>
      </c>
      <c r="CX34" s="628" t="str">
        <f>IF('2. Sem'!$CZ$19="","",'2. Sem'!$CZ$19)</f>
        <v/>
      </c>
      <c r="CY34" s="623" t="str">
        <f>IF('2. Sem'!$DA$19="","",'2. Sem'!$DA$19)</f>
        <v/>
      </c>
      <c r="CZ34" s="624" t="str">
        <f>IF('2. Sem'!$DB$19="","",'2. Sem'!$DB$19)</f>
        <v/>
      </c>
      <c r="DA34" s="624" t="str">
        <f>IF('2. Sem'!$DC$19="","",'2. Sem'!$DC$19)</f>
        <v/>
      </c>
      <c r="DB34" s="624" t="str">
        <f>IF('2. Sem'!$DD$19="","",'2. Sem'!$DD$19)</f>
        <v/>
      </c>
      <c r="DC34" s="625" t="str">
        <f>IF('2. Sem'!$DE$19="","",'2. Sem'!$DE$19)</f>
        <v/>
      </c>
    </row>
    <row r="35" spans="1:107" ht="16" customHeight="1" x14ac:dyDescent="0.2">
      <c r="A35" s="566"/>
      <c r="B35" s="579" t="s">
        <v>33</v>
      </c>
      <c r="C35" s="623" t="str">
        <f>IF('2. Sem'!$E$20="","",'2. Sem'!$E$20)</f>
        <v/>
      </c>
      <c r="D35" s="624" t="str">
        <f>IF('2. Sem'!$F$20="","",'2. Sem'!$F$20)</f>
        <v/>
      </c>
      <c r="E35" s="624" t="str">
        <f>IF('2. Sem'!$G$20="","",'2. Sem'!$G$20)</f>
        <v/>
      </c>
      <c r="F35" s="624" t="str">
        <f>IF('2. Sem'!$H$20="","",'2. Sem'!$H$20)</f>
        <v/>
      </c>
      <c r="G35" s="625" t="str">
        <f>IF('2. Sem'!$I$20="","",'2. Sem'!$I$20)</f>
        <v/>
      </c>
      <c r="H35" s="626" t="str">
        <f>IF('2. Sem'!$J$20="","",'2. Sem'!$J$20)</f>
        <v/>
      </c>
      <c r="I35" s="627" t="str">
        <f>IF('2. Sem'!$K$20="","",'2. Sem'!$K$20)</f>
        <v/>
      </c>
      <c r="J35" s="627" t="str">
        <f>IF('2. Sem'!$L$20="","",'2. Sem'!$L$20)</f>
        <v/>
      </c>
      <c r="K35" s="627" t="str">
        <f>IF('2. Sem'!$M$20="","",'2. Sem'!$M$20)</f>
        <v/>
      </c>
      <c r="L35" s="628" t="str">
        <f>IF('2. Sem'!$N$20="","",'2. Sem'!$N$20)</f>
        <v/>
      </c>
      <c r="M35" s="623" t="str">
        <f>IF('2. Sem'!$O$20="","",'2. Sem'!$O$20)</f>
        <v/>
      </c>
      <c r="N35" s="624" t="str">
        <f>IF('2. Sem'!$P$20="","",'2. Sem'!$P$20)</f>
        <v/>
      </c>
      <c r="O35" s="624" t="str">
        <f>IF('2. Sem'!$Q$20="","",'2. Sem'!$Q$20)</f>
        <v/>
      </c>
      <c r="P35" s="624" t="str">
        <f>IF('2. Sem'!$R$20="","",'2. Sem'!$R$20)</f>
        <v/>
      </c>
      <c r="Q35" s="625" t="str">
        <f>IF('2. Sem'!$S$20="","",'2. Sem'!$S$20)</f>
        <v/>
      </c>
      <c r="R35" s="626" t="str">
        <f>IF('2. Sem'!$T$20="","",'2. Sem'!$T$20)</f>
        <v/>
      </c>
      <c r="S35" s="627" t="str">
        <f>IF('2. Sem'!$U$20="","",'2. Sem'!$U$20)</f>
        <v/>
      </c>
      <c r="T35" s="627" t="str">
        <f>IF('2. Sem'!$V$20="","",'2. Sem'!$V$20)</f>
        <v/>
      </c>
      <c r="U35" s="627" t="str">
        <f>IF('2. Sem'!$W$20="","",'2. Sem'!$W$20)</f>
        <v/>
      </c>
      <c r="V35" s="628" t="str">
        <f>IF('2. Sem'!$X$20="","",'2. Sem'!$X$20)</f>
        <v/>
      </c>
      <c r="W35" s="623" t="str">
        <f>IF('2. Sem'!$Y$20="","",'2. Sem'!$Y$20)</f>
        <v/>
      </c>
      <c r="X35" s="624" t="str">
        <f>IF('2. Sem'!$Z$20="","",'2. Sem'!$Z$20)</f>
        <v/>
      </c>
      <c r="Y35" s="624" t="str">
        <f>IF('2. Sem'!$AA$20="","",'2. Sem'!$AA$20)</f>
        <v/>
      </c>
      <c r="Z35" s="624" t="str">
        <f>IF('2. Sem'!$AB$20="","",'2. Sem'!$AB$20)</f>
        <v/>
      </c>
      <c r="AA35" s="625" t="str">
        <f>IF('2. Sem'!$AC$20="","",'2. Sem'!$AC$20)</f>
        <v/>
      </c>
      <c r="AB35" s="626" t="str">
        <f>IF('2. Sem'!$AD$20="","",'2. Sem'!$AD$20)</f>
        <v/>
      </c>
      <c r="AC35" s="627" t="str">
        <f>IF('2. Sem'!$AE$20="","",'2. Sem'!$AE$20)</f>
        <v/>
      </c>
      <c r="AD35" s="627" t="str">
        <f>IF('2. Sem'!$AF$20="","",'2. Sem'!$AF$20)</f>
        <v/>
      </c>
      <c r="AE35" s="627" t="str">
        <f>IF('2. Sem'!$AG$20="","",'2. Sem'!$AG$20)</f>
        <v/>
      </c>
      <c r="AF35" s="628" t="str">
        <f>IF('2. Sem'!$AH$20="","",'2. Sem'!$AH$20)</f>
        <v/>
      </c>
      <c r="AG35" s="623" t="str">
        <f>IF('2. Sem'!$AI$20="","",'2. Sem'!$AI$20)</f>
        <v/>
      </c>
      <c r="AH35" s="624" t="str">
        <f>IF('2. Sem'!$AJ$20="","",'2. Sem'!$AJ$20)</f>
        <v/>
      </c>
      <c r="AI35" s="624" t="str">
        <f>IF('2. Sem'!$AK$20="","",'2. Sem'!$AK$20)</f>
        <v/>
      </c>
      <c r="AJ35" s="624" t="str">
        <f>IF('2. Sem'!$AL$20="","",'2. Sem'!$AL$20)</f>
        <v/>
      </c>
      <c r="AK35" s="625" t="str">
        <f>IF('2. Sem'!$AM$20="","",'2. Sem'!$AM$20)</f>
        <v/>
      </c>
      <c r="AL35" s="626" t="str">
        <f>IF('2. Sem'!$AN$20="","",'2. Sem'!$AN$20)</f>
        <v/>
      </c>
      <c r="AM35" s="627" t="str">
        <f>IF('2. Sem'!$AO$20="","",'2. Sem'!$AO$20)</f>
        <v/>
      </c>
      <c r="AN35" s="627" t="str">
        <f>IF('2. Sem'!$AP$20="","",'2. Sem'!$AP$20)</f>
        <v/>
      </c>
      <c r="AO35" s="627" t="str">
        <f>IF('2. Sem'!$AQ$20="","",'2. Sem'!$AQ$20)</f>
        <v/>
      </c>
      <c r="AP35" s="628" t="str">
        <f>IF('2. Sem'!$AR$20="","",'2. Sem'!$AR$20)</f>
        <v/>
      </c>
      <c r="AQ35" s="623" t="str">
        <f>IF('2. Sem'!$AS$20="","",'2. Sem'!$AS$20)</f>
        <v/>
      </c>
      <c r="AR35" s="624" t="str">
        <f>IF('2. Sem'!$AT$20="","",'2. Sem'!$AT$20)</f>
        <v/>
      </c>
      <c r="AS35" s="624" t="str">
        <f>IF('2. Sem'!$AU$20="","",'2. Sem'!$AU$20)</f>
        <v/>
      </c>
      <c r="AT35" s="624" t="str">
        <f>IF('2. Sem'!$AV$20="","",'2. Sem'!$AV$20)</f>
        <v/>
      </c>
      <c r="AU35" s="625" t="str">
        <f>IF('2. Sem'!$AW$20="","",'2. Sem'!$AW$20)</f>
        <v/>
      </c>
      <c r="AV35" s="626" t="str">
        <f>IF('2. Sem'!$AX$20="","",'2. Sem'!$AX$20)</f>
        <v/>
      </c>
      <c r="AW35" s="627" t="str">
        <f>IF('2. Sem'!$AY$20="","",'2. Sem'!$AY$20)</f>
        <v/>
      </c>
      <c r="AX35" s="627" t="str">
        <f>IF('2. Sem'!$AZ$20="","",'2. Sem'!$AZ$20)</f>
        <v/>
      </c>
      <c r="AY35" s="627" t="str">
        <f>IF('2. Sem'!$BA$20="","",'2. Sem'!$BA$20)</f>
        <v/>
      </c>
      <c r="AZ35" s="628" t="str">
        <f>IF('2. Sem'!$BB$20="","",'2. Sem'!$BB$20)</f>
        <v/>
      </c>
      <c r="BA35" s="623" t="str">
        <f>IF('2. Sem'!$BC$20="","",'2. Sem'!$BC$20)</f>
        <v/>
      </c>
      <c r="BB35" s="624" t="str">
        <f>IF('2. Sem'!$BD$20="","",'2. Sem'!$BD$20)</f>
        <v/>
      </c>
      <c r="BC35" s="624" t="str">
        <f>IF('2. Sem'!$BE$20="","",'2. Sem'!$BE$20)</f>
        <v/>
      </c>
      <c r="BD35" s="624" t="str">
        <f>IF('2. Sem'!$BF$20="","",'2. Sem'!$BF$20)</f>
        <v/>
      </c>
      <c r="BE35" s="625" t="str">
        <f>IF('2. Sem'!$BG$20="","",'2. Sem'!$BG$20)</f>
        <v/>
      </c>
      <c r="BF35" s="626" t="str">
        <f>IF('2. Sem'!$BH$20="","",'2. Sem'!$BH$20)</f>
        <v/>
      </c>
      <c r="BG35" s="627" t="str">
        <f>IF('2. Sem'!$BI$20="","",'2. Sem'!$BI$20)</f>
        <v/>
      </c>
      <c r="BH35" s="627" t="str">
        <f>IF('2. Sem'!$BJ$20="","",'2. Sem'!$BJ$20)</f>
        <v/>
      </c>
      <c r="BI35" s="627" t="str">
        <f>IF('2. Sem'!$BK$20="","",'2. Sem'!$BK$20)</f>
        <v/>
      </c>
      <c r="BJ35" s="628" t="str">
        <f>IF('2. Sem'!$BL$20="","",'2. Sem'!$BL$20)</f>
        <v/>
      </c>
      <c r="BK35" s="623" t="str">
        <f>IF('2. Sem'!$BM$20="","",'2. Sem'!$BM$20)</f>
        <v/>
      </c>
      <c r="BL35" s="624" t="str">
        <f>IF('2. Sem'!$BN$20="","",'2. Sem'!$BN$20)</f>
        <v/>
      </c>
      <c r="BM35" s="624" t="str">
        <f>IF('2. Sem'!$BO$20="","",'2. Sem'!$BO$20)</f>
        <v/>
      </c>
      <c r="BN35" s="624" t="str">
        <f>IF('2. Sem'!$BP$20="","",'2. Sem'!$BP$20)</f>
        <v/>
      </c>
      <c r="BO35" s="625" t="str">
        <f>IF('2. Sem'!$BQ$20="","",'2. Sem'!$BQ$20)</f>
        <v/>
      </c>
      <c r="BP35" s="626" t="str">
        <f>IF('2. Sem'!$BR$20="","",'2. Sem'!$BR$20)</f>
        <v/>
      </c>
      <c r="BQ35" s="627" t="str">
        <f>IF('2. Sem'!$BS$20="","",'2. Sem'!$BS$20)</f>
        <v/>
      </c>
      <c r="BR35" s="627" t="str">
        <f>IF('2. Sem'!$BT$20="","",'2. Sem'!$BT$20)</f>
        <v/>
      </c>
      <c r="BS35" s="627" t="str">
        <f>IF('2. Sem'!$BU$20="","",'2. Sem'!$BU$20)</f>
        <v/>
      </c>
      <c r="BT35" s="628" t="str">
        <f>IF('2. Sem'!$BV$20="","",'2. Sem'!$BV$20)</f>
        <v/>
      </c>
      <c r="BU35" s="623" t="str">
        <f>IF('2. Sem'!$BW$20="","",'2. Sem'!$BW$20)</f>
        <v/>
      </c>
      <c r="BV35" s="624" t="str">
        <f>IF('2. Sem'!$BX$20="","",'2. Sem'!$BX$20)</f>
        <v/>
      </c>
      <c r="BW35" s="624" t="str">
        <f>IF('2. Sem'!$BY$20="","",'2. Sem'!$BY$20)</f>
        <v/>
      </c>
      <c r="BX35" s="624" t="str">
        <f>IF('2. Sem'!$BZ$20="","",'2. Sem'!$BZ$20)</f>
        <v/>
      </c>
      <c r="BY35" s="625" t="str">
        <f>IF('2. Sem'!$CA$20="","",'2. Sem'!$CA$20)</f>
        <v/>
      </c>
      <c r="BZ35" s="626" t="str">
        <f>IF('2. Sem'!$CB$20="","",'2. Sem'!$CB$20)</f>
        <v/>
      </c>
      <c r="CA35" s="627" t="str">
        <f>IF('2. Sem'!$CC$20="","",'2. Sem'!$CC$20)</f>
        <v/>
      </c>
      <c r="CB35" s="627" t="str">
        <f>IF('2. Sem'!$CD$20="","",'2. Sem'!$CD$20)</f>
        <v/>
      </c>
      <c r="CC35" s="627" t="str">
        <f>IF('2. Sem'!$CE$20="","",'2. Sem'!$CE$20)</f>
        <v/>
      </c>
      <c r="CD35" s="628" t="str">
        <f>IF('2. Sem'!$CF$20="","",'2. Sem'!$CF$20)</f>
        <v/>
      </c>
      <c r="CE35" s="623" t="str">
        <f>IF('2. Sem'!$CG$20="","",'2. Sem'!$CG$20)</f>
        <v/>
      </c>
      <c r="CF35" s="624" t="str">
        <f>IF('2. Sem'!$CH$20="","",'2. Sem'!$CH$20)</f>
        <v/>
      </c>
      <c r="CG35" s="624" t="str">
        <f>IF('2. Sem'!$CI$20="","",'2. Sem'!$CI$20)</f>
        <v/>
      </c>
      <c r="CH35" s="624" t="str">
        <f>IF('2. Sem'!$CJ$20="","",'2. Sem'!$CJ$20)</f>
        <v/>
      </c>
      <c r="CI35" s="625" t="str">
        <f>IF('2. Sem'!$CK$20="","",'2. Sem'!$CK$20)</f>
        <v/>
      </c>
      <c r="CJ35" s="626" t="str">
        <f>IF('2. Sem'!$CL$20="","",'2. Sem'!$CL$20)</f>
        <v/>
      </c>
      <c r="CK35" s="627" t="str">
        <f>IF('2. Sem'!$CM$20="","",'2. Sem'!$CM$20)</f>
        <v/>
      </c>
      <c r="CL35" s="627" t="str">
        <f>IF('2. Sem'!$CN$20="","",'2. Sem'!$CN$20)</f>
        <v/>
      </c>
      <c r="CM35" s="627" t="str">
        <f>IF('2. Sem'!$CO$20="","",'2. Sem'!$CO$20)</f>
        <v/>
      </c>
      <c r="CN35" s="628" t="str">
        <f>IF('2. Sem'!$CP$20="","",'2. Sem'!$CP$20)</f>
        <v/>
      </c>
      <c r="CO35" s="623" t="str">
        <f>IF('2. Sem'!$CQ$20="","",'2. Sem'!$CQ$20)</f>
        <v/>
      </c>
      <c r="CP35" s="624" t="str">
        <f>IF('2. Sem'!$CR$20="","",'2. Sem'!$CR$20)</f>
        <v/>
      </c>
      <c r="CQ35" s="624" t="str">
        <f>IF('2. Sem'!$CS$20="","",'2. Sem'!$CS$20)</f>
        <v/>
      </c>
      <c r="CR35" s="624" t="str">
        <f>IF('2. Sem'!$CT$20="","",'2. Sem'!$CT$20)</f>
        <v/>
      </c>
      <c r="CS35" s="625" t="str">
        <f>IF('2. Sem'!$CU$20="","",'2. Sem'!$CU$20)</f>
        <v/>
      </c>
      <c r="CT35" s="626" t="str">
        <f>IF('2. Sem'!$CV$20="","",'2. Sem'!$CV$20)</f>
        <v/>
      </c>
      <c r="CU35" s="627" t="str">
        <f>IF('2. Sem'!$CW$20="","",'2. Sem'!$CW$20)</f>
        <v/>
      </c>
      <c r="CV35" s="627" t="str">
        <f>IF('2. Sem'!$CX$20="","",'2. Sem'!$CX$20)</f>
        <v/>
      </c>
      <c r="CW35" s="627" t="str">
        <f>IF('2. Sem'!$CY$20="","",'2. Sem'!$CY$20)</f>
        <v/>
      </c>
      <c r="CX35" s="628" t="str">
        <f>IF('2. Sem'!$CZ$20="","",'2. Sem'!$CZ$20)</f>
        <v/>
      </c>
      <c r="CY35" s="623" t="str">
        <f>IF('2. Sem'!$DA$20="","",'2. Sem'!$DA$20)</f>
        <v/>
      </c>
      <c r="CZ35" s="624" t="str">
        <f>IF('2. Sem'!$DB$20="","",'2. Sem'!$DB$20)</f>
        <v/>
      </c>
      <c r="DA35" s="624" t="str">
        <f>IF('2. Sem'!$DC$20="","",'2. Sem'!$DC$20)</f>
        <v/>
      </c>
      <c r="DB35" s="624" t="str">
        <f>IF('2. Sem'!$DD$20="","",'2. Sem'!$DD$20)</f>
        <v/>
      </c>
      <c r="DC35" s="625" t="str">
        <f>IF('2. Sem'!$DE$20="","",'2. Sem'!$DE$20)</f>
        <v/>
      </c>
    </row>
    <row r="36" spans="1:107" ht="17" customHeight="1" thickBot="1" x14ac:dyDescent="0.25">
      <c r="A36" s="566"/>
      <c r="B36" s="629" t="s">
        <v>34</v>
      </c>
      <c r="C36" s="630" t="str">
        <f>IF('2. Sem'!$E$21="","",'2. Sem'!$E$21)</f>
        <v/>
      </c>
      <c r="D36" s="631" t="str">
        <f>IF('2. Sem'!$F$21="","",'2. Sem'!$F$21)</f>
        <v/>
      </c>
      <c r="E36" s="631" t="str">
        <f>IF('2. Sem'!$G$21="","",'2. Sem'!$G$21)</f>
        <v/>
      </c>
      <c r="F36" s="631" t="str">
        <f>IF('2. Sem'!$H$21="","",'2. Sem'!$H$21)</f>
        <v/>
      </c>
      <c r="G36" s="632" t="str">
        <f>IF('2. Sem'!$I$21="","",'2. Sem'!$I$21)</f>
        <v/>
      </c>
      <c r="H36" s="633" t="str">
        <f>IF('2. Sem'!$J$21="","",'2. Sem'!$J$21)</f>
        <v/>
      </c>
      <c r="I36" s="634" t="str">
        <f>IF('2. Sem'!$K$21="","",'2. Sem'!$K$21)</f>
        <v/>
      </c>
      <c r="J36" s="634" t="str">
        <f>IF('2. Sem'!$L$21="","",'2. Sem'!$L$21)</f>
        <v/>
      </c>
      <c r="K36" s="634" t="str">
        <f>IF('2. Sem'!$M$21="","",'2. Sem'!$M$21)</f>
        <v/>
      </c>
      <c r="L36" s="635" t="str">
        <f>IF('2. Sem'!$N$21="","",'2. Sem'!$N$21)</f>
        <v/>
      </c>
      <c r="M36" s="630" t="str">
        <f>IF('2. Sem'!$O$21="","",'2. Sem'!$O$21)</f>
        <v/>
      </c>
      <c r="N36" s="631" t="str">
        <f>IF('2. Sem'!$P$21="","",'2. Sem'!$P$21)</f>
        <v/>
      </c>
      <c r="O36" s="631" t="str">
        <f>IF('2. Sem'!$Q$21="","",'2. Sem'!$Q$21)</f>
        <v/>
      </c>
      <c r="P36" s="631" t="str">
        <f>IF('2. Sem'!$R$21="","",'2. Sem'!$R$21)</f>
        <v/>
      </c>
      <c r="Q36" s="632" t="str">
        <f>IF('2. Sem'!$S$21="","",'2. Sem'!$S$21)</f>
        <v/>
      </c>
      <c r="R36" s="633" t="str">
        <f>IF('2. Sem'!$T$21="","",'2. Sem'!$T$21)</f>
        <v/>
      </c>
      <c r="S36" s="634" t="str">
        <f>IF('2. Sem'!$U$21="","",'2. Sem'!$U$21)</f>
        <v/>
      </c>
      <c r="T36" s="634" t="str">
        <f>IF('2. Sem'!$V$21="","",'2. Sem'!$V$21)</f>
        <v/>
      </c>
      <c r="U36" s="634" t="str">
        <f>IF('2. Sem'!$W$21="","",'2. Sem'!$W$21)</f>
        <v/>
      </c>
      <c r="V36" s="635" t="str">
        <f>IF('2. Sem'!$X$21="","",'2. Sem'!$X$21)</f>
        <v/>
      </c>
      <c r="W36" s="630" t="str">
        <f>IF('2. Sem'!$Y$21="","",'2. Sem'!$Y$21)</f>
        <v/>
      </c>
      <c r="X36" s="631" t="str">
        <f>IF('2. Sem'!$Z$21="","",'2. Sem'!$Z$21)</f>
        <v/>
      </c>
      <c r="Y36" s="631" t="str">
        <f>IF('2. Sem'!$AA$21="","",'2. Sem'!$AA$21)</f>
        <v/>
      </c>
      <c r="Z36" s="631" t="str">
        <f>IF('2. Sem'!$AB$21="","",'2. Sem'!$AB$21)</f>
        <v/>
      </c>
      <c r="AA36" s="632" t="str">
        <f>IF('2. Sem'!$AC$21="","",'2. Sem'!$AC$21)</f>
        <v/>
      </c>
      <c r="AB36" s="633" t="str">
        <f>IF('2. Sem'!$AD$21="","",'2. Sem'!$AD$21)</f>
        <v/>
      </c>
      <c r="AC36" s="634" t="str">
        <f>IF('2. Sem'!$AE$21="","",'2. Sem'!$AE$21)</f>
        <v/>
      </c>
      <c r="AD36" s="634" t="str">
        <f>IF('2. Sem'!$AF$21="","",'2. Sem'!$AF$21)</f>
        <v/>
      </c>
      <c r="AE36" s="634" t="str">
        <f>IF('2. Sem'!$AG$21="","",'2. Sem'!$AG$21)</f>
        <v/>
      </c>
      <c r="AF36" s="635" t="str">
        <f>IF('2. Sem'!$AH$21="","",'2. Sem'!$AH$21)</f>
        <v/>
      </c>
      <c r="AG36" s="630" t="str">
        <f>IF('2. Sem'!$AI$21="","",'2. Sem'!$AI$21)</f>
        <v/>
      </c>
      <c r="AH36" s="631" t="str">
        <f>IF('2. Sem'!$AJ$21="","",'2. Sem'!$AJ$21)</f>
        <v/>
      </c>
      <c r="AI36" s="631" t="str">
        <f>IF('2. Sem'!$AK$21="","",'2. Sem'!$AK$21)</f>
        <v/>
      </c>
      <c r="AJ36" s="631" t="str">
        <f>IF('2. Sem'!$AL$21="","",'2. Sem'!$AL$21)</f>
        <v/>
      </c>
      <c r="AK36" s="632" t="str">
        <f>IF('2. Sem'!$AM$21="","",'2. Sem'!$AM$21)</f>
        <v/>
      </c>
      <c r="AL36" s="633" t="str">
        <f>IF('2. Sem'!$AN$21="","",'2. Sem'!$AN$21)</f>
        <v/>
      </c>
      <c r="AM36" s="634" t="str">
        <f>IF('2. Sem'!$AO$21="","",'2. Sem'!$AO$21)</f>
        <v/>
      </c>
      <c r="AN36" s="634" t="str">
        <f>IF('2. Sem'!$AP$21="","",'2. Sem'!$AP$21)</f>
        <v/>
      </c>
      <c r="AO36" s="634" t="str">
        <f>IF('2. Sem'!$AQ$21="","",'2. Sem'!$AQ$21)</f>
        <v/>
      </c>
      <c r="AP36" s="635" t="str">
        <f>IF('2. Sem'!$AR$21="","",'2. Sem'!$AR$21)</f>
        <v/>
      </c>
      <c r="AQ36" s="630" t="str">
        <f>IF('2. Sem'!$AS$21="","",'2. Sem'!$AS$21)</f>
        <v/>
      </c>
      <c r="AR36" s="631" t="str">
        <f>IF('2. Sem'!$AT$21="","",'2. Sem'!$AT$21)</f>
        <v/>
      </c>
      <c r="AS36" s="631" t="str">
        <f>IF('2. Sem'!$AU$21="","",'2. Sem'!$AU$21)</f>
        <v/>
      </c>
      <c r="AT36" s="631" t="str">
        <f>IF('2. Sem'!$AV$21="","",'2. Sem'!$AV$21)</f>
        <v/>
      </c>
      <c r="AU36" s="632" t="str">
        <f>IF('2. Sem'!$AW$21="","",'2. Sem'!$AW$21)</f>
        <v/>
      </c>
      <c r="AV36" s="633" t="str">
        <f>IF('2. Sem'!$AX$21="","",'2. Sem'!$AX$21)</f>
        <v/>
      </c>
      <c r="AW36" s="634" t="str">
        <f>IF('2. Sem'!$AY$21="","",'2. Sem'!$AY$21)</f>
        <v/>
      </c>
      <c r="AX36" s="634" t="str">
        <f>IF('2. Sem'!$AZ$21="","",'2. Sem'!$AZ$21)</f>
        <v/>
      </c>
      <c r="AY36" s="634" t="str">
        <f>IF('2. Sem'!$BA$21="","",'2. Sem'!$BA$21)</f>
        <v/>
      </c>
      <c r="AZ36" s="635" t="str">
        <f>IF('2. Sem'!$BB$21="","",'2. Sem'!$BB$21)</f>
        <v/>
      </c>
      <c r="BA36" s="630" t="str">
        <f>IF('2. Sem'!$BC$21="","",'2. Sem'!$BC$21)</f>
        <v/>
      </c>
      <c r="BB36" s="631" t="str">
        <f>IF('2. Sem'!$BD$21="","",'2. Sem'!$BD$21)</f>
        <v/>
      </c>
      <c r="BC36" s="631" t="str">
        <f>IF('2. Sem'!$BE$21="","",'2. Sem'!$BE$21)</f>
        <v/>
      </c>
      <c r="BD36" s="631" t="str">
        <f>IF('2. Sem'!$BF$21="","",'2. Sem'!$BF$21)</f>
        <v/>
      </c>
      <c r="BE36" s="632" t="str">
        <f>IF('2. Sem'!$BG$21="","",'2. Sem'!$BG$21)</f>
        <v/>
      </c>
      <c r="BF36" s="633" t="str">
        <f>IF('2. Sem'!$BH$21="","",'2. Sem'!$BH$21)</f>
        <v/>
      </c>
      <c r="BG36" s="634" t="str">
        <f>IF('2. Sem'!$BI$21="","",'2. Sem'!$BI$21)</f>
        <v/>
      </c>
      <c r="BH36" s="634" t="str">
        <f>IF('2. Sem'!$BJ$21="","",'2. Sem'!$BJ$21)</f>
        <v/>
      </c>
      <c r="BI36" s="634" t="str">
        <f>IF('2. Sem'!$BK$21="","",'2. Sem'!$BK$21)</f>
        <v/>
      </c>
      <c r="BJ36" s="635" t="str">
        <f>IF('2. Sem'!$BL$21="","",'2. Sem'!$BL$21)</f>
        <v/>
      </c>
      <c r="BK36" s="630" t="str">
        <f>IF('2. Sem'!$BM$21="","",'2. Sem'!$BM$21)</f>
        <v/>
      </c>
      <c r="BL36" s="631" t="str">
        <f>IF('2. Sem'!$BN$21="","",'2. Sem'!$BN$21)</f>
        <v/>
      </c>
      <c r="BM36" s="631" t="str">
        <f>IF('2. Sem'!$BO$21="","",'2. Sem'!$BO$21)</f>
        <v/>
      </c>
      <c r="BN36" s="631" t="str">
        <f>IF('2. Sem'!$BP$21="","",'2. Sem'!$BP$21)</f>
        <v/>
      </c>
      <c r="BO36" s="632" t="str">
        <f>IF('2. Sem'!$BQ$21="","",'2. Sem'!$BQ$21)</f>
        <v/>
      </c>
      <c r="BP36" s="633" t="str">
        <f>IF('2. Sem'!$BR$21="","",'2. Sem'!$BR$21)</f>
        <v/>
      </c>
      <c r="BQ36" s="634" t="str">
        <f>IF('2. Sem'!$BS$21="","",'2. Sem'!$BS$21)</f>
        <v/>
      </c>
      <c r="BR36" s="634" t="str">
        <f>IF('2. Sem'!$BT$21="","",'2. Sem'!$BT$21)</f>
        <v/>
      </c>
      <c r="BS36" s="634" t="str">
        <f>IF('2. Sem'!$BU$21="","",'2. Sem'!$BU$21)</f>
        <v/>
      </c>
      <c r="BT36" s="635" t="str">
        <f>IF('2. Sem'!$BV$21="","",'2. Sem'!$BV$21)</f>
        <v/>
      </c>
      <c r="BU36" s="630" t="str">
        <f>IF('2. Sem'!$BW$21="","",'2. Sem'!$BW$21)</f>
        <v/>
      </c>
      <c r="BV36" s="631" t="str">
        <f>IF('2. Sem'!$BX$21="","",'2. Sem'!$BX$21)</f>
        <v/>
      </c>
      <c r="BW36" s="631" t="str">
        <f>IF('2. Sem'!$BY$21="","",'2. Sem'!$BY$21)</f>
        <v/>
      </c>
      <c r="BX36" s="631" t="str">
        <f>IF('2. Sem'!$BZ$21="","",'2. Sem'!$BZ$21)</f>
        <v/>
      </c>
      <c r="BY36" s="632" t="str">
        <f>IF('2. Sem'!$CA$21="","",'2. Sem'!$CA$21)</f>
        <v/>
      </c>
      <c r="BZ36" s="633" t="str">
        <f>IF('2. Sem'!$CB$21="","",'2. Sem'!$CB$21)</f>
        <v/>
      </c>
      <c r="CA36" s="634" t="str">
        <f>IF('2. Sem'!$CC$21="","",'2. Sem'!$CC$21)</f>
        <v/>
      </c>
      <c r="CB36" s="634" t="str">
        <f>IF('2. Sem'!$CD$21="","",'2. Sem'!$CD$21)</f>
        <v/>
      </c>
      <c r="CC36" s="634" t="str">
        <f>IF('2. Sem'!$CE$21="","",'2. Sem'!$CE$21)</f>
        <v/>
      </c>
      <c r="CD36" s="635" t="str">
        <f>IF('2. Sem'!$CF$21="","",'2. Sem'!$CF$21)</f>
        <v/>
      </c>
      <c r="CE36" s="630" t="str">
        <f>IF('2. Sem'!$CG$21="","",'2. Sem'!$CG$21)</f>
        <v/>
      </c>
      <c r="CF36" s="631" t="str">
        <f>IF('2. Sem'!$CH$21="","",'2. Sem'!$CH$21)</f>
        <v/>
      </c>
      <c r="CG36" s="631" t="str">
        <f>IF('2. Sem'!$CI$21="","",'2. Sem'!$CI$21)</f>
        <v/>
      </c>
      <c r="CH36" s="631" t="str">
        <f>IF('2. Sem'!$CJ$21="","",'2. Sem'!$CJ$21)</f>
        <v/>
      </c>
      <c r="CI36" s="632" t="str">
        <f>IF('2. Sem'!$CK$21="","",'2. Sem'!$CK$21)</f>
        <v/>
      </c>
      <c r="CJ36" s="633" t="str">
        <f>IF('2. Sem'!$CL$21="","",'2. Sem'!$CL$21)</f>
        <v/>
      </c>
      <c r="CK36" s="634" t="str">
        <f>IF('2. Sem'!$CM$21="","",'2. Sem'!$CM$21)</f>
        <v/>
      </c>
      <c r="CL36" s="634" t="str">
        <f>IF('2. Sem'!$CN$21="","",'2. Sem'!$CN$21)</f>
        <v/>
      </c>
      <c r="CM36" s="634" t="str">
        <f>IF('2. Sem'!$CO$21="","",'2. Sem'!$CO$21)</f>
        <v/>
      </c>
      <c r="CN36" s="635" t="str">
        <f>IF('2. Sem'!$CP$21="","",'2. Sem'!$CP$21)</f>
        <v/>
      </c>
      <c r="CO36" s="630" t="str">
        <f>IF('2. Sem'!$CQ$21="","",'2. Sem'!$CQ$21)</f>
        <v/>
      </c>
      <c r="CP36" s="631" t="str">
        <f>IF('2. Sem'!$CR$21="","",'2. Sem'!$CR$21)</f>
        <v/>
      </c>
      <c r="CQ36" s="631" t="str">
        <f>IF('2. Sem'!$CS$21="","",'2. Sem'!$CS$21)</f>
        <v/>
      </c>
      <c r="CR36" s="631" t="str">
        <f>IF('2. Sem'!$CT$21="","",'2. Sem'!$CT$21)</f>
        <v/>
      </c>
      <c r="CS36" s="632" t="str">
        <f>IF('2. Sem'!$CU$21="","",'2. Sem'!$CU$21)</f>
        <v/>
      </c>
      <c r="CT36" s="633" t="str">
        <f>IF('2. Sem'!$CV$21="","",'2. Sem'!$CV$21)</f>
        <v/>
      </c>
      <c r="CU36" s="634" t="str">
        <f>IF('2. Sem'!$CW$21="","",'2. Sem'!$CW$21)</f>
        <v/>
      </c>
      <c r="CV36" s="634" t="str">
        <f>IF('2. Sem'!$CX$21="","",'2. Sem'!$CX$21)</f>
        <v/>
      </c>
      <c r="CW36" s="634" t="str">
        <f>IF('2. Sem'!$CY$21="","",'2. Sem'!$CY$21)</f>
        <v/>
      </c>
      <c r="CX36" s="635" t="str">
        <f>IF('2. Sem'!$CZ$21="","",'2. Sem'!$CZ$21)</f>
        <v/>
      </c>
      <c r="CY36" s="630" t="str">
        <f>IF('2. Sem'!$DA$21="","",'2. Sem'!$DA$21)</f>
        <v/>
      </c>
      <c r="CZ36" s="631" t="str">
        <f>IF('2. Sem'!$DB$21="","",'2. Sem'!$DB$21)</f>
        <v/>
      </c>
      <c r="DA36" s="631" t="str">
        <f>IF('2. Sem'!$DC$21="","",'2. Sem'!$DC$21)</f>
        <v/>
      </c>
      <c r="DB36" s="631" t="str">
        <f>IF('2. Sem'!$DD$21="","",'2. Sem'!$DD$21)</f>
        <v/>
      </c>
      <c r="DC36" s="632" t="str">
        <f>IF('2. Sem'!$DE$21="","",'2. Sem'!$DE$21)</f>
        <v/>
      </c>
    </row>
    <row r="37" spans="1:107" ht="17" thickBot="1" x14ac:dyDescent="0.25">
      <c r="A37" s="562"/>
      <c r="B37" s="562"/>
      <c r="C37" s="563"/>
      <c r="D37" s="563"/>
      <c r="E37" s="563"/>
      <c r="F37" s="563"/>
      <c r="G37" s="563"/>
      <c r="H37" s="563"/>
      <c r="I37" s="563"/>
      <c r="J37" s="563"/>
      <c r="K37" s="563"/>
      <c r="L37" s="563"/>
      <c r="M37" s="563"/>
      <c r="N37" s="563"/>
      <c r="O37" s="563"/>
      <c r="P37" s="563"/>
      <c r="Q37" s="563"/>
      <c r="R37" s="563"/>
      <c r="S37" s="563"/>
      <c r="T37" s="563"/>
      <c r="U37" s="563"/>
      <c r="V37" s="563"/>
      <c r="W37" s="563"/>
      <c r="X37" s="563"/>
      <c r="Y37" s="563"/>
      <c r="Z37" s="563"/>
      <c r="AA37" s="563"/>
      <c r="AB37" s="563"/>
      <c r="AC37" s="563"/>
      <c r="AD37" s="563"/>
      <c r="AE37" s="563"/>
      <c r="AF37" s="563"/>
      <c r="AG37" s="563"/>
      <c r="AH37" s="563"/>
      <c r="AI37" s="563"/>
      <c r="AJ37" s="563"/>
      <c r="AK37" s="563"/>
      <c r="AL37" s="563"/>
      <c r="AM37" s="563"/>
      <c r="AN37" s="563"/>
      <c r="AO37" s="563"/>
      <c r="AP37" s="563"/>
      <c r="AQ37" s="563"/>
      <c r="AR37" s="563"/>
      <c r="AS37" s="563"/>
      <c r="AT37" s="563"/>
      <c r="AU37" s="563"/>
      <c r="AV37" s="563"/>
      <c r="AW37" s="563"/>
      <c r="AX37" s="563"/>
      <c r="AY37" s="563"/>
      <c r="AZ37" s="563"/>
      <c r="BA37" s="563"/>
      <c r="BB37" s="563"/>
      <c r="BC37" s="563"/>
      <c r="BD37" s="563"/>
      <c r="BE37" s="563"/>
      <c r="BF37" s="563"/>
      <c r="BG37" s="563"/>
      <c r="BH37" s="563"/>
      <c r="BI37" s="563"/>
      <c r="BJ37" s="563"/>
      <c r="BK37" s="563"/>
      <c r="BL37" s="563"/>
      <c r="BM37" s="563"/>
      <c r="BN37" s="563"/>
      <c r="BO37" s="563"/>
      <c r="BP37" s="563"/>
      <c r="BQ37" s="563"/>
      <c r="BR37" s="563"/>
      <c r="BS37" s="563"/>
      <c r="BT37" s="563"/>
      <c r="BU37" s="564"/>
      <c r="BV37" s="563"/>
      <c r="BW37" s="563"/>
      <c r="BX37" s="563"/>
      <c r="BY37" s="563"/>
      <c r="BZ37" s="563"/>
      <c r="CA37" s="563"/>
      <c r="CB37" s="563"/>
      <c r="CC37" s="563"/>
      <c r="CD37" s="563"/>
      <c r="CE37" s="563"/>
      <c r="CF37" s="563"/>
      <c r="CG37" s="563"/>
      <c r="CH37" s="563"/>
      <c r="CI37" s="563"/>
      <c r="CJ37" s="563"/>
      <c r="CK37" s="563"/>
      <c r="CL37" s="563"/>
      <c r="CM37" s="563"/>
      <c r="CN37" s="565"/>
      <c r="CO37" s="563"/>
      <c r="CP37" s="563"/>
      <c r="CQ37" s="563"/>
      <c r="CR37" s="563"/>
      <c r="CS37" s="563"/>
      <c r="CT37" s="563"/>
      <c r="CU37" s="563"/>
      <c r="CV37" s="563"/>
      <c r="CW37" s="563"/>
      <c r="CX37" s="563"/>
      <c r="CY37" s="563"/>
      <c r="CZ37" s="563"/>
      <c r="DA37" s="563"/>
      <c r="DB37" s="563"/>
      <c r="DC37" s="563"/>
    </row>
    <row r="38" spans="1:107" ht="16" customHeight="1" x14ac:dyDescent="0.2">
      <c r="A38" s="566" t="s">
        <v>372</v>
      </c>
      <c r="B38" s="567" t="s">
        <v>7</v>
      </c>
      <c r="C38" s="574" t="str">
        <f>IF('2. Sem'!$E$28="","",'2. Sem'!$E$28)</f>
        <v/>
      </c>
      <c r="D38" s="569" t="str">
        <f>IF('2. Sem'!$F$28="","",'2. Sem'!$F$28)</f>
        <v/>
      </c>
      <c r="E38" s="569" t="str">
        <f>IF('2. Sem'!$G$28="","",'2. Sem'!$G$28)</f>
        <v/>
      </c>
      <c r="F38" s="569" t="str">
        <f>IF('2. Sem'!$H$28="","",'2. Sem'!$H$28)</f>
        <v/>
      </c>
      <c r="G38" s="570" t="str">
        <f>IF('2. Sem'!$I$28="","",'2. Sem'!$I$28)</f>
        <v/>
      </c>
      <c r="H38" s="571" t="str">
        <f>IF('2. Sem'!$J$28="","",'2. Sem'!$J$28)</f>
        <v/>
      </c>
      <c r="I38" s="572" t="str">
        <f>IF('2. Sem'!$K$28="","",'2. Sem'!$K$28)</f>
        <v/>
      </c>
      <c r="J38" s="572" t="str">
        <f>IF('2. Sem'!$L$28="","",'2. Sem'!$L$28)</f>
        <v/>
      </c>
      <c r="K38" s="572" t="str">
        <f>IF('2. Sem'!$M$28="","",'2. Sem'!$M$28)</f>
        <v/>
      </c>
      <c r="L38" s="573" t="str">
        <f>IF('2. Sem'!$N$28="","",'2. Sem'!$N$28)</f>
        <v/>
      </c>
      <c r="M38" s="574" t="str">
        <f>IF('2. Sem'!$O$28="","",'2. Sem'!$O$28)</f>
        <v/>
      </c>
      <c r="N38" s="569" t="str">
        <f>IF('2. Sem'!$P$28="","",'2. Sem'!$P$28)</f>
        <v/>
      </c>
      <c r="O38" s="569" t="str">
        <f>IF('2. Sem'!$Q$28="","",'2. Sem'!$Q$28)</f>
        <v/>
      </c>
      <c r="P38" s="569" t="str">
        <f>IF('2. Sem'!$R$28="","",'2. Sem'!$R$28)</f>
        <v/>
      </c>
      <c r="Q38" s="570" t="str">
        <f>IF('2. Sem'!$S$28="","",'2. Sem'!$S$28)</f>
        <v/>
      </c>
      <c r="R38" s="571" t="str">
        <f>IF('2. Sem'!$T$28="","",'2. Sem'!$T$28)</f>
        <v/>
      </c>
      <c r="S38" s="572" t="str">
        <f>IF('2. Sem'!$U$28="","",'2. Sem'!$U$28)</f>
        <v/>
      </c>
      <c r="T38" s="572" t="str">
        <f>IF('2. Sem'!$V$28="","",'2. Sem'!$V$28)</f>
        <v/>
      </c>
      <c r="U38" s="572" t="str">
        <f>IF('2. Sem'!$W$28="","",'2. Sem'!$W$28)</f>
        <v/>
      </c>
      <c r="V38" s="573" t="str">
        <f>IF('2. Sem'!$X$28="","",'2. Sem'!$X$28)</f>
        <v/>
      </c>
      <c r="W38" s="574" t="str">
        <f>IF('2. Sem'!$Y$28="","",'2. Sem'!$Y$28)</f>
        <v/>
      </c>
      <c r="X38" s="569" t="str">
        <f>IF('2. Sem'!$Z$28="","",'2. Sem'!$Z$28)</f>
        <v/>
      </c>
      <c r="Y38" s="569" t="str">
        <f>IF('2. Sem'!$AA$28="","",'2. Sem'!$AA$28)</f>
        <v/>
      </c>
      <c r="Z38" s="569" t="str">
        <f>IF('2. Sem'!$AB$28="","",'2. Sem'!$AB$28)</f>
        <v/>
      </c>
      <c r="AA38" s="570" t="str">
        <f>IF('2. Sem'!$AC$28="","",'2. Sem'!$AC$28)</f>
        <v/>
      </c>
      <c r="AB38" s="571" t="str">
        <f>IF('2. Sem'!$AD$28="","",'2. Sem'!$AD$28)</f>
        <v/>
      </c>
      <c r="AC38" s="572" t="str">
        <f>IF('2. Sem'!$AE$28="","",'2. Sem'!$AE$28)</f>
        <v/>
      </c>
      <c r="AD38" s="572" t="str">
        <f>IF('2. Sem'!$AF$28="","",'2. Sem'!$AF$28)</f>
        <v/>
      </c>
      <c r="AE38" s="572" t="str">
        <f>IF('2. Sem'!$AG$28="","",'2. Sem'!$AG$28)</f>
        <v/>
      </c>
      <c r="AF38" s="573" t="str">
        <f>IF('2. Sem'!$AH$28="","",'2. Sem'!$AH$28)</f>
        <v/>
      </c>
      <c r="AG38" s="574" t="str">
        <f>IF('2. Sem'!$AI$28="","",'2. Sem'!$AI$28)</f>
        <v/>
      </c>
      <c r="AH38" s="569" t="str">
        <f>IF('2. Sem'!$AJ$28="","",'2. Sem'!$AJ$28)</f>
        <v/>
      </c>
      <c r="AI38" s="569" t="str">
        <f>IF('2. Sem'!$AK$28="","",'2. Sem'!$AK$28)</f>
        <v/>
      </c>
      <c r="AJ38" s="569" t="str">
        <f>IF('2. Sem'!$AL$28="","",'2. Sem'!$AL$28)</f>
        <v/>
      </c>
      <c r="AK38" s="570" t="str">
        <f>IF('2. Sem'!$AM$28="","",'2. Sem'!$AM$28)</f>
        <v/>
      </c>
      <c r="AL38" s="578" t="str">
        <f>IF('2. Sem'!$AN$28="","",'2. Sem'!$AN$28)</f>
        <v/>
      </c>
      <c r="AM38" s="576" t="str">
        <f>IF('2. Sem'!$AO$28="","",'2. Sem'!$AO$28)</f>
        <v/>
      </c>
      <c r="AN38" s="576" t="str">
        <f>IF('2. Sem'!$AP$28="","",'2. Sem'!$AP$28)</f>
        <v/>
      </c>
      <c r="AO38" s="576" t="str">
        <f>IF('2. Sem'!$AQ$28="","",'2. Sem'!$AQ$28)</f>
        <v/>
      </c>
      <c r="AP38" s="577" t="str">
        <f>IF('2. Sem'!$AR$28="","",'2. Sem'!$AR$28)</f>
        <v/>
      </c>
      <c r="AQ38" s="575" t="str">
        <f>IF('2. Sem'!$AS$28="","",'2. Sem'!$AS$28)</f>
        <v/>
      </c>
      <c r="AR38" s="569" t="str">
        <f>IF('2. Sem'!$AT$28="","",'2. Sem'!$AT$28)</f>
        <v/>
      </c>
      <c r="AS38" s="569" t="str">
        <f>IF('2. Sem'!$AU$28="","",'2. Sem'!$AU$28)</f>
        <v/>
      </c>
      <c r="AT38" s="569" t="str">
        <f>IF('2. Sem'!$AV$28="","",'2. Sem'!$AV$28)</f>
        <v/>
      </c>
      <c r="AU38" s="570" t="str">
        <f>IF('2. Sem'!$AW$28="","",'2. Sem'!$AW$28)</f>
        <v/>
      </c>
      <c r="AV38" s="571" t="str">
        <f>IF('2. Sem'!$AX$28="","",'2. Sem'!$AX$28)</f>
        <v/>
      </c>
      <c r="AW38" s="572" t="str">
        <f>IF('2. Sem'!$AY$28="","",'2. Sem'!$AY$28)</f>
        <v/>
      </c>
      <c r="AX38" s="572" t="str">
        <f>IF('2. Sem'!$AZ$28="","",'2. Sem'!$AZ$28)</f>
        <v/>
      </c>
      <c r="AY38" s="572" t="str">
        <f>IF('2. Sem'!$BA$28="","",'2. Sem'!$BA$28)</f>
        <v/>
      </c>
      <c r="AZ38" s="573" t="str">
        <f>IF('2. Sem'!$BB$28="","",'2. Sem'!$BB$28)</f>
        <v/>
      </c>
      <c r="BA38" s="574" t="str">
        <f>IF('2. Sem'!$BC$28="","",'2. Sem'!$BC$28)</f>
        <v/>
      </c>
      <c r="BB38" s="569" t="str">
        <f>IF('2. Sem'!$BD$28="","",'2. Sem'!$BD$28)</f>
        <v/>
      </c>
      <c r="BC38" s="569" t="str">
        <f>IF('2. Sem'!$BE$28="","",'2. Sem'!$BE$28)</f>
        <v/>
      </c>
      <c r="BD38" s="569" t="str">
        <f>IF('2. Sem'!$BF$28="","",'2. Sem'!$BF$28)</f>
        <v/>
      </c>
      <c r="BE38" s="570" t="str">
        <f>IF('2. Sem'!$BG$28="","",'2. Sem'!$BG$28)</f>
        <v/>
      </c>
      <c r="BF38" s="571" t="str">
        <f>IF('2. Sem'!$BH$28="","",'2. Sem'!$BH$28)</f>
        <v/>
      </c>
      <c r="BG38" s="572" t="str">
        <f>IF('2. Sem'!$BI$28="","",'2. Sem'!$BI$28)</f>
        <v/>
      </c>
      <c r="BH38" s="572" t="str">
        <f>IF('2. Sem'!$BJ$28="","",'2. Sem'!$BJ$28)</f>
        <v/>
      </c>
      <c r="BI38" s="572" t="str">
        <f>IF('2. Sem'!$BK$28="","",'2. Sem'!$BK$28)</f>
        <v/>
      </c>
      <c r="BJ38" s="573" t="str">
        <f>IF('2. Sem'!$BL$28="","",'2. Sem'!$BL$28)</f>
        <v/>
      </c>
      <c r="BK38" s="574" t="str">
        <f>IF('2. Sem'!$BM$28="","",'2. Sem'!$BM$28)</f>
        <v/>
      </c>
      <c r="BL38" s="569" t="str">
        <f>IF('2. Sem'!$BN$28="","",'2. Sem'!$BN$28)</f>
        <v/>
      </c>
      <c r="BM38" s="569" t="str">
        <f>IF('2. Sem'!$BO$28="","",'2. Sem'!$BO$28)</f>
        <v/>
      </c>
      <c r="BN38" s="569" t="str">
        <f>IF('2. Sem'!$BP$28="","",'2. Sem'!$BP$28)</f>
        <v/>
      </c>
      <c r="BO38" s="570" t="str">
        <f>IF('2. Sem'!$BQ$28="","",'2. Sem'!$BQ$28)</f>
        <v/>
      </c>
      <c r="BP38" s="571" t="str">
        <f>IF('2. Sem'!$BR$28="","",'2. Sem'!$BR$28)</f>
        <v/>
      </c>
      <c r="BQ38" s="572" t="str">
        <f>IF('2. Sem'!$BS$28="","",'2. Sem'!$BS$28)</f>
        <v/>
      </c>
      <c r="BR38" s="572" t="str">
        <f>IF('2. Sem'!$BT$28="","",'2. Sem'!$BT$28)</f>
        <v/>
      </c>
      <c r="BS38" s="576" t="str">
        <f>IF('2. Sem'!$BU$28="","",'2. Sem'!$BU$28)</f>
        <v/>
      </c>
      <c r="BT38" s="577" t="str">
        <f>IF('2. Sem'!$BV$28="","",'2. Sem'!$BV$28)</f>
        <v/>
      </c>
      <c r="BU38" s="574" t="str">
        <f>IF('2. Sem'!$BW$28="","",'2. Sem'!$BW$28)</f>
        <v/>
      </c>
      <c r="BV38" s="569" t="str">
        <f>IF('2. Sem'!$BX$28="","",'2. Sem'!$BX$28)</f>
        <v/>
      </c>
      <c r="BW38" s="569" t="str">
        <f>IF('2. Sem'!$BY$28="","",'2. Sem'!$BY$28)</f>
        <v/>
      </c>
      <c r="BX38" s="569" t="str">
        <f>IF('2. Sem'!$BZ$28="","",'2. Sem'!$BZ$28)</f>
        <v/>
      </c>
      <c r="BY38" s="570" t="str">
        <f>IF('2. Sem'!$CA$28="","",'2. Sem'!$CA$28)</f>
        <v/>
      </c>
      <c r="BZ38" s="578" t="str">
        <f>IF('2. Sem'!$CB$28="","",'2. Sem'!$CB$28)</f>
        <v/>
      </c>
      <c r="CA38" s="572" t="str">
        <f>IF('2. Sem'!$CC$28="","",'2. Sem'!$CC$28)</f>
        <v/>
      </c>
      <c r="CB38" s="572" t="str">
        <f>IF('2. Sem'!$CD$28="","",'2. Sem'!$CD$28)</f>
        <v/>
      </c>
      <c r="CC38" s="572" t="str">
        <f>IF('2. Sem'!$CE$28="","",'2. Sem'!$CE$28)</f>
        <v/>
      </c>
      <c r="CD38" s="573" t="str">
        <f>IF('2. Sem'!$CF$28="","",'2. Sem'!$CF$28)</f>
        <v/>
      </c>
      <c r="CE38" s="574" t="str">
        <f>IF('2. Sem'!$CG$28="","",'2. Sem'!$CG$28)</f>
        <v/>
      </c>
      <c r="CF38" s="569" t="str">
        <f>IF('2. Sem'!$CH$28="","",'2. Sem'!$CH$28)</f>
        <v/>
      </c>
      <c r="CG38" s="569" t="str">
        <f>IF('2. Sem'!$CI$28="","",'2. Sem'!$CI$28)</f>
        <v/>
      </c>
      <c r="CH38" s="569" t="str">
        <f>IF('2. Sem'!$CJ$28="","",'2. Sem'!$CJ$28)</f>
        <v/>
      </c>
      <c r="CI38" s="570" t="str">
        <f>IF('2. Sem'!$CK$28="","",'2. Sem'!$CK$28)</f>
        <v/>
      </c>
      <c r="CJ38" s="571" t="str">
        <f>IF('2. Sem'!$CL$28="","",'2. Sem'!$CL$28)</f>
        <v/>
      </c>
      <c r="CK38" s="572" t="str">
        <f>IF('2. Sem'!$CM$28="","",'2. Sem'!$CM$28)</f>
        <v/>
      </c>
      <c r="CL38" s="572" t="str">
        <f>IF('2. Sem'!$CN$28="","",'2. Sem'!$CN$28)</f>
        <v/>
      </c>
      <c r="CM38" s="572" t="str">
        <f>IF('2. Sem'!$CO$28="","",'2. Sem'!$CO$28)</f>
        <v/>
      </c>
      <c r="CN38" s="573" t="str">
        <f>IF('2. Sem'!$CP$28="","",'2. Sem'!$CP$28)</f>
        <v/>
      </c>
      <c r="CO38" s="574" t="str">
        <f>IF('2. Sem'!$CQ$28="","",'2. Sem'!$CQ$28)</f>
        <v/>
      </c>
      <c r="CP38" s="569" t="str">
        <f>IF('2. Sem'!$CR$28="","",'2. Sem'!$CR$28)</f>
        <v/>
      </c>
      <c r="CQ38" s="569" t="str">
        <f>IF('2. Sem'!$CS$28="","",'2. Sem'!$CS$28)</f>
        <v/>
      </c>
      <c r="CR38" s="569" t="str">
        <f>IF('2. Sem'!$CT$28="","",'2. Sem'!$CT$28)</f>
        <v/>
      </c>
      <c r="CS38" s="570" t="str">
        <f>IF('2. Sem'!$CU$28="","",'2. Sem'!$CU$28)</f>
        <v/>
      </c>
      <c r="CT38" s="571" t="str">
        <f>IF('2. Sem'!$CV$28="","",'2. Sem'!$CV$28)</f>
        <v/>
      </c>
      <c r="CU38" s="572" t="str">
        <f>IF('2. Sem'!$CW$28="","",'2. Sem'!$CW$28)</f>
        <v/>
      </c>
      <c r="CV38" s="572" t="str">
        <f>IF('2. Sem'!$CX$28="","",'2. Sem'!$CX$28)</f>
        <v/>
      </c>
      <c r="CW38" s="572" t="str">
        <f>IF('2. Sem'!$CY$28="","",'2. Sem'!$CY$28)</f>
        <v/>
      </c>
      <c r="CX38" s="573" t="str">
        <f>IF('2. Sem'!$CZ$28="","",'2. Sem'!$CZ$28)</f>
        <v/>
      </c>
      <c r="CY38" s="574" t="str">
        <f>IF('2. Sem'!$DA$28="","",'2. Sem'!$DA$28)</f>
        <v/>
      </c>
      <c r="CZ38" s="569" t="str">
        <f>IF('2. Sem'!$DB$28="","",'2. Sem'!$DB$28)</f>
        <v/>
      </c>
      <c r="DA38" s="569" t="str">
        <f>IF('2. Sem'!$DC$28="","",'2. Sem'!$DC$28)</f>
        <v/>
      </c>
      <c r="DB38" s="569" t="str">
        <f>IF('2. Sem'!$DD$28="","",'2. Sem'!$DD$28)</f>
        <v/>
      </c>
      <c r="DC38" s="570" t="str">
        <f>IF('2. Sem'!$DE$28="","",'2. Sem'!$DE$28)</f>
        <v/>
      </c>
    </row>
    <row r="39" spans="1:107" ht="16" customHeight="1" x14ac:dyDescent="0.2">
      <c r="A39" s="566"/>
      <c r="B39" s="579" t="s">
        <v>15</v>
      </c>
      <c r="C39" s="586" t="str">
        <f>IF('2. Sem'!$E$29="","",'2. Sem'!$E$29)</f>
        <v/>
      </c>
      <c r="D39" s="581" t="str">
        <f>IF('2. Sem'!$F$29="","",'2. Sem'!$F$29)</f>
        <v/>
      </c>
      <c r="E39" s="581" t="str">
        <f>IF('2. Sem'!$G$29="","",'2. Sem'!$G$29)</f>
        <v/>
      </c>
      <c r="F39" s="581" t="str">
        <f>IF('2. Sem'!$H$29="","",'2. Sem'!$H$29)</f>
        <v/>
      </c>
      <c r="G39" s="582" t="str">
        <f>IF('2. Sem'!$I$29="","",'2. Sem'!$I$29)</f>
        <v/>
      </c>
      <c r="H39" s="583" t="str">
        <f>IF('2. Sem'!$J$29="","",'2. Sem'!$J$29)</f>
        <v/>
      </c>
      <c r="I39" s="584" t="str">
        <f>IF('2. Sem'!$K$29="","",'2. Sem'!$K$29)</f>
        <v/>
      </c>
      <c r="J39" s="584" t="str">
        <f>IF('2. Sem'!$L$29="","",'2. Sem'!$L$29)</f>
        <v/>
      </c>
      <c r="K39" s="584" t="str">
        <f>IF('2. Sem'!$M$29="","",'2. Sem'!$M$29)</f>
        <v/>
      </c>
      <c r="L39" s="585" t="str">
        <f>IF('2. Sem'!$N$29="","",'2. Sem'!$N$29)</f>
        <v/>
      </c>
      <c r="M39" s="586" t="str">
        <f>IF('2. Sem'!$O$29="","",'2. Sem'!$O$29)</f>
        <v/>
      </c>
      <c r="N39" s="581" t="str">
        <f>IF('2. Sem'!$P$29="","",'2. Sem'!$P$29)</f>
        <v/>
      </c>
      <c r="O39" s="581" t="str">
        <f>IF('2. Sem'!$Q$29="","",'2. Sem'!$Q$29)</f>
        <v/>
      </c>
      <c r="P39" s="581" t="str">
        <f>IF('2. Sem'!$R$29="","",'2. Sem'!$R$29)</f>
        <v/>
      </c>
      <c r="Q39" s="582" t="str">
        <f>IF('2. Sem'!$S$29="","",'2. Sem'!$S$29)</f>
        <v/>
      </c>
      <c r="R39" s="583" t="str">
        <f>IF('2. Sem'!$T$29="","",'2. Sem'!$T$29)</f>
        <v/>
      </c>
      <c r="S39" s="584" t="str">
        <f>IF('2. Sem'!$U$29="","",'2. Sem'!$U$29)</f>
        <v/>
      </c>
      <c r="T39" s="584" t="str">
        <f>IF('2. Sem'!$V$29="","",'2. Sem'!$V$29)</f>
        <v/>
      </c>
      <c r="U39" s="584" t="str">
        <f>IF('2. Sem'!$W$29="","",'2. Sem'!$W$29)</f>
        <v/>
      </c>
      <c r="V39" s="585" t="str">
        <f>IF('2. Sem'!$X$29="","",'2. Sem'!$X$29)</f>
        <v/>
      </c>
      <c r="W39" s="586" t="str">
        <f>IF('2. Sem'!$Y$29="","",'2. Sem'!$Y$29)</f>
        <v/>
      </c>
      <c r="X39" s="581" t="str">
        <f>IF('2. Sem'!$Z$29="","",'2. Sem'!$Z$29)</f>
        <v/>
      </c>
      <c r="Y39" s="581" t="str">
        <f>IF('2. Sem'!$AA$29="","",'2. Sem'!$AA$29)</f>
        <v/>
      </c>
      <c r="Z39" s="581" t="str">
        <f>IF('2. Sem'!$AB$29="","",'2. Sem'!$AB$29)</f>
        <v/>
      </c>
      <c r="AA39" s="582" t="str">
        <f>IF('2. Sem'!$AC$29="","",'2. Sem'!$AC$29)</f>
        <v/>
      </c>
      <c r="AB39" s="583" t="str">
        <f>IF('2. Sem'!$AD$29="","",'2. Sem'!$AD$29)</f>
        <v/>
      </c>
      <c r="AC39" s="584" t="str">
        <f>IF('2. Sem'!$AE$29="","",'2. Sem'!$AE$29)</f>
        <v/>
      </c>
      <c r="AD39" s="584" t="str">
        <f>IF('2. Sem'!$AF$29="","",'2. Sem'!$AF$29)</f>
        <v/>
      </c>
      <c r="AE39" s="584" t="str">
        <f>IF('2. Sem'!$AG$29="","",'2. Sem'!$AG$29)</f>
        <v/>
      </c>
      <c r="AF39" s="585" t="str">
        <f>IF('2. Sem'!$AH$29="","",'2. Sem'!$AH$29)</f>
        <v/>
      </c>
      <c r="AG39" s="586" t="str">
        <f>IF('2. Sem'!$AI$29="","",'2. Sem'!$AI$29)</f>
        <v/>
      </c>
      <c r="AH39" s="581" t="str">
        <f>IF('2. Sem'!$AJ$29="","",'2. Sem'!$AJ$29)</f>
        <v/>
      </c>
      <c r="AI39" s="581" t="str">
        <f>IF('2. Sem'!$AK$29="","",'2. Sem'!$AK$29)</f>
        <v/>
      </c>
      <c r="AJ39" s="581" t="str">
        <f>IF('2. Sem'!$AL$29="","",'2. Sem'!$AL$29)</f>
        <v/>
      </c>
      <c r="AK39" s="582" t="str">
        <f>IF('2. Sem'!$AM$29="","",'2. Sem'!$AM$29)</f>
        <v/>
      </c>
      <c r="AL39" s="590" t="str">
        <f>IF('2. Sem'!$AN$29="","",'2. Sem'!$AN$29)</f>
        <v/>
      </c>
      <c r="AM39" s="588" t="str">
        <f>IF('2. Sem'!$AO$29="","",'2. Sem'!$AO$29)</f>
        <v/>
      </c>
      <c r="AN39" s="588" t="str">
        <f>IF('2. Sem'!$AP$29="","",'2. Sem'!$AP$29)</f>
        <v/>
      </c>
      <c r="AO39" s="588" t="str">
        <f>IF('2. Sem'!$AQ$29="","",'2. Sem'!$AQ$29)</f>
        <v/>
      </c>
      <c r="AP39" s="589" t="str">
        <f>IF('2. Sem'!$AR$29="","",'2. Sem'!$AR$29)</f>
        <v/>
      </c>
      <c r="AQ39" s="587" t="str">
        <f>IF('2. Sem'!$AS$29="","",'2. Sem'!$AS$29)</f>
        <v/>
      </c>
      <c r="AR39" s="581" t="str">
        <f>IF('2. Sem'!$AT$29="","",'2. Sem'!$AT$29)</f>
        <v/>
      </c>
      <c r="AS39" s="581" t="str">
        <f>IF('2. Sem'!$AU$29="","",'2. Sem'!$AU$29)</f>
        <v/>
      </c>
      <c r="AT39" s="581" t="str">
        <f>IF('2. Sem'!$AV$29="","",'2. Sem'!$AV$29)</f>
        <v/>
      </c>
      <c r="AU39" s="582" t="str">
        <f>IF('2. Sem'!$AW$29="","",'2. Sem'!$AW$29)</f>
        <v/>
      </c>
      <c r="AV39" s="583" t="str">
        <f>IF('2. Sem'!$AX$29="","",'2. Sem'!$AX$29)</f>
        <v/>
      </c>
      <c r="AW39" s="584" t="str">
        <f>IF('2. Sem'!$AY$29="","",'2. Sem'!$AY$29)</f>
        <v/>
      </c>
      <c r="AX39" s="584" t="str">
        <f>IF('2. Sem'!$AZ$29="","",'2. Sem'!$AZ$29)</f>
        <v/>
      </c>
      <c r="AY39" s="584" t="str">
        <f>IF('2. Sem'!$BA$29="","",'2. Sem'!$BA$29)</f>
        <v/>
      </c>
      <c r="AZ39" s="585" t="str">
        <f>IF('2. Sem'!$BB$29="","",'2. Sem'!$BB$29)</f>
        <v/>
      </c>
      <c r="BA39" s="586" t="str">
        <f>IF('2. Sem'!$BC$29="","",'2. Sem'!$BC$29)</f>
        <v/>
      </c>
      <c r="BB39" s="581" t="str">
        <f>IF('2. Sem'!$BD$29="","",'2. Sem'!$BD$29)</f>
        <v/>
      </c>
      <c r="BC39" s="581" t="str">
        <f>IF('2. Sem'!$BE$29="","",'2. Sem'!$BE$29)</f>
        <v/>
      </c>
      <c r="BD39" s="581" t="str">
        <f>IF('2. Sem'!$BF$29="","",'2. Sem'!$BF$29)</f>
        <v/>
      </c>
      <c r="BE39" s="582" t="str">
        <f>IF('2. Sem'!$BG$29="","",'2. Sem'!$BG$29)</f>
        <v/>
      </c>
      <c r="BF39" s="583" t="str">
        <f>IF('2. Sem'!$BH$29="","",'2. Sem'!$BH$29)</f>
        <v/>
      </c>
      <c r="BG39" s="584" t="str">
        <f>IF('2. Sem'!$BI$29="","",'2. Sem'!$BI$29)</f>
        <v/>
      </c>
      <c r="BH39" s="584" t="str">
        <f>IF('2. Sem'!$BJ$29="","",'2. Sem'!$BJ$29)</f>
        <v/>
      </c>
      <c r="BI39" s="584" t="str">
        <f>IF('2. Sem'!$BK$29="","",'2. Sem'!$BK$29)</f>
        <v/>
      </c>
      <c r="BJ39" s="585" t="str">
        <f>IF('2. Sem'!$BL$29="","",'2. Sem'!$BL$29)</f>
        <v/>
      </c>
      <c r="BK39" s="586" t="str">
        <f>IF('2. Sem'!$BM$29="","",'2. Sem'!$BM$29)</f>
        <v/>
      </c>
      <c r="BL39" s="581" t="str">
        <f>IF('2. Sem'!$BN$29="","",'2. Sem'!$BN$29)</f>
        <v/>
      </c>
      <c r="BM39" s="581" t="str">
        <f>IF('2. Sem'!$BO$29="","",'2. Sem'!$BO$29)</f>
        <v/>
      </c>
      <c r="BN39" s="581" t="str">
        <f>IF('2. Sem'!$BP$29="","",'2. Sem'!$BP$29)</f>
        <v/>
      </c>
      <c r="BO39" s="582" t="str">
        <f>IF('2. Sem'!$BQ$29="","",'2. Sem'!$BQ$29)</f>
        <v/>
      </c>
      <c r="BP39" s="583" t="str">
        <f>IF('2. Sem'!$BR$29="","",'2. Sem'!$BR$29)</f>
        <v/>
      </c>
      <c r="BQ39" s="584" t="str">
        <f>IF('2. Sem'!$BS$29="","",'2. Sem'!$BS$29)</f>
        <v/>
      </c>
      <c r="BR39" s="584" t="str">
        <f>IF('2. Sem'!$BT$29="","",'2. Sem'!$BT$29)</f>
        <v/>
      </c>
      <c r="BS39" s="588" t="str">
        <f>IF('2. Sem'!$BU$29="","",'2. Sem'!$BU$29)</f>
        <v/>
      </c>
      <c r="BT39" s="589" t="str">
        <f>IF('2. Sem'!$BV$29="","",'2. Sem'!$BV$29)</f>
        <v/>
      </c>
      <c r="BU39" s="586" t="str">
        <f>IF('2. Sem'!$BW$29="","",'2. Sem'!$BW$29)</f>
        <v/>
      </c>
      <c r="BV39" s="581" t="str">
        <f>IF('2. Sem'!$BX$29="","",'2. Sem'!$BX$29)</f>
        <v/>
      </c>
      <c r="BW39" s="581" t="str">
        <f>IF('2. Sem'!$BY$29="","",'2. Sem'!$BY$29)</f>
        <v/>
      </c>
      <c r="BX39" s="581" t="str">
        <f>IF('2. Sem'!$BZ$29="","",'2. Sem'!$BZ$29)</f>
        <v/>
      </c>
      <c r="BY39" s="582" t="str">
        <f>IF('2. Sem'!$CA$29="","",'2. Sem'!$CA$29)</f>
        <v/>
      </c>
      <c r="BZ39" s="590" t="str">
        <f>IF('2. Sem'!$CB$29="","",'2. Sem'!$CB$29)</f>
        <v/>
      </c>
      <c r="CA39" s="584" t="str">
        <f>IF('2. Sem'!$CC$29="","",'2. Sem'!$CC$29)</f>
        <v/>
      </c>
      <c r="CB39" s="584" t="str">
        <f>IF('2. Sem'!$CD$29="","",'2. Sem'!$CD$29)</f>
        <v/>
      </c>
      <c r="CC39" s="584" t="str">
        <f>IF('2. Sem'!$CE$29="","",'2. Sem'!$CE$29)</f>
        <v/>
      </c>
      <c r="CD39" s="585" t="str">
        <f>IF('2. Sem'!$CF$29="","",'2. Sem'!$CF$29)</f>
        <v/>
      </c>
      <c r="CE39" s="586" t="str">
        <f>IF('2. Sem'!$CG$29="","",'2. Sem'!$CG$29)</f>
        <v/>
      </c>
      <c r="CF39" s="581" t="str">
        <f>IF('2. Sem'!$CH$29="","",'2. Sem'!$CH$29)</f>
        <v/>
      </c>
      <c r="CG39" s="581" t="str">
        <f>IF('2. Sem'!$CI$29="","",'2. Sem'!$CI$29)</f>
        <v/>
      </c>
      <c r="CH39" s="581" t="str">
        <f>IF('2. Sem'!$CJ$29="","",'2. Sem'!$CJ$29)</f>
        <v/>
      </c>
      <c r="CI39" s="582" t="str">
        <f>IF('2. Sem'!$CK$29="","",'2. Sem'!$CK$29)</f>
        <v/>
      </c>
      <c r="CJ39" s="583" t="str">
        <f>IF('2. Sem'!$CL$29="","",'2. Sem'!$CL$29)</f>
        <v/>
      </c>
      <c r="CK39" s="584" t="str">
        <f>IF('2. Sem'!$CM$29="","",'2. Sem'!$CM$29)</f>
        <v/>
      </c>
      <c r="CL39" s="584" t="str">
        <f>IF('2. Sem'!$CN$29="","",'2. Sem'!$CN$29)</f>
        <v/>
      </c>
      <c r="CM39" s="584" t="str">
        <f>IF('2. Sem'!$CO$29="","",'2. Sem'!$CO$29)</f>
        <v/>
      </c>
      <c r="CN39" s="585" t="str">
        <f>IF('2. Sem'!$CP$29="","",'2. Sem'!$CP$29)</f>
        <v/>
      </c>
      <c r="CO39" s="586" t="str">
        <f>IF('2. Sem'!$CQ$29="","",'2. Sem'!$CQ$29)</f>
        <v/>
      </c>
      <c r="CP39" s="581" t="str">
        <f>IF('2. Sem'!$CR$29="","",'2. Sem'!$CR$29)</f>
        <v/>
      </c>
      <c r="CQ39" s="581" t="str">
        <f>IF('2. Sem'!$CS$29="","",'2. Sem'!$CS$29)</f>
        <v/>
      </c>
      <c r="CR39" s="581" t="str">
        <f>IF('2. Sem'!$CT$29="","",'2. Sem'!$CT$29)</f>
        <v/>
      </c>
      <c r="CS39" s="582" t="str">
        <f>IF('2. Sem'!$CU$29="","",'2. Sem'!$CU$29)</f>
        <v/>
      </c>
      <c r="CT39" s="583" t="str">
        <f>IF('2. Sem'!$CV$29="","",'2. Sem'!$CV$29)</f>
        <v/>
      </c>
      <c r="CU39" s="584" t="str">
        <f>IF('2. Sem'!$CW$29="","",'2. Sem'!$CW$29)</f>
        <v/>
      </c>
      <c r="CV39" s="584" t="str">
        <f>IF('2. Sem'!$CX$29="","",'2. Sem'!$CX$29)</f>
        <v/>
      </c>
      <c r="CW39" s="584" t="str">
        <f>IF('2. Sem'!$CY$29="","",'2. Sem'!$CY$29)</f>
        <v/>
      </c>
      <c r="CX39" s="585" t="str">
        <f>IF('2. Sem'!$CZ$29="","",'2. Sem'!$CZ$29)</f>
        <v/>
      </c>
      <c r="CY39" s="586" t="str">
        <f>IF('2. Sem'!$DA$29="","",'2. Sem'!$DA$29)</f>
        <v/>
      </c>
      <c r="CZ39" s="581" t="str">
        <f>IF('2. Sem'!$DB$29="","",'2. Sem'!$DB$29)</f>
        <v/>
      </c>
      <c r="DA39" s="581" t="str">
        <f>IF('2. Sem'!$DC$29="","",'2. Sem'!$DC$29)</f>
        <v/>
      </c>
      <c r="DB39" s="581" t="str">
        <f>IF('2. Sem'!$DD$29="","",'2. Sem'!$DD$29)</f>
        <v/>
      </c>
      <c r="DC39" s="582" t="str">
        <f>IF('2. Sem'!$DE$29="","",'2. Sem'!$DE$29)</f>
        <v/>
      </c>
    </row>
    <row r="40" spans="1:107" ht="16" customHeight="1" x14ac:dyDescent="0.2">
      <c r="A40" s="566"/>
      <c r="B40" s="579" t="s">
        <v>16</v>
      </c>
      <c r="C40" s="593" t="str">
        <f>IF('2. Sem'!$E$30="","",'2. Sem'!$E$30)</f>
        <v/>
      </c>
      <c r="D40" s="581" t="str">
        <f>IF('2. Sem'!$F$30="","",'2. Sem'!$F$30)</f>
        <v/>
      </c>
      <c r="E40" s="581" t="str">
        <f>IF('2. Sem'!$G$30="","",'2. Sem'!$G$30)</f>
        <v/>
      </c>
      <c r="F40" s="581" t="str">
        <f>IF('2. Sem'!$H$30="","",'2. Sem'!$H$30)</f>
        <v/>
      </c>
      <c r="G40" s="582" t="str">
        <f>IF('2. Sem'!$I$30="","",'2. Sem'!$I$30)</f>
        <v/>
      </c>
      <c r="H40" s="583" t="str">
        <f>IF('2. Sem'!$J$30="","",'2. Sem'!$J$30)</f>
        <v/>
      </c>
      <c r="I40" s="584" t="str">
        <f>IF('2. Sem'!$K$30="","",'2. Sem'!$K$30)</f>
        <v/>
      </c>
      <c r="J40" s="584" t="str">
        <f>IF('2. Sem'!$L$30="","",'2. Sem'!$L$30)</f>
        <v/>
      </c>
      <c r="K40" s="584" t="str">
        <f>IF('2. Sem'!$M$30="","",'2. Sem'!$M$30)</f>
        <v/>
      </c>
      <c r="L40" s="592" t="str">
        <f>IF('2. Sem'!$N$30="","",'2. Sem'!$N$30)</f>
        <v/>
      </c>
      <c r="M40" s="593" t="str">
        <f>IF('2. Sem'!$O$30="","",'2. Sem'!$O$30)</f>
        <v/>
      </c>
      <c r="N40" s="581" t="str">
        <f>IF('2. Sem'!$P$30="","",'2. Sem'!$P$30)</f>
        <v/>
      </c>
      <c r="O40" s="581" t="str">
        <f>IF('2. Sem'!$Q$30="","",'2. Sem'!$Q$30)</f>
        <v/>
      </c>
      <c r="P40" s="581" t="str">
        <f>IF('2. Sem'!$R$30="","",'2. Sem'!$R$30)</f>
        <v/>
      </c>
      <c r="Q40" s="582" t="str">
        <f>IF('2. Sem'!$S$30="","",'2. Sem'!$S$30)</f>
        <v/>
      </c>
      <c r="R40" s="583" t="str">
        <f>IF('2. Sem'!$T$30="","",'2. Sem'!$T$30)</f>
        <v/>
      </c>
      <c r="S40" s="584" t="str">
        <f>IF('2. Sem'!$U$30="","",'2. Sem'!$U$30)</f>
        <v/>
      </c>
      <c r="T40" s="584" t="str">
        <f>IF('2. Sem'!$V$30="","",'2. Sem'!$V$30)</f>
        <v/>
      </c>
      <c r="U40" s="584" t="str">
        <f>IF('2. Sem'!$W$30="","",'2. Sem'!$W$30)</f>
        <v/>
      </c>
      <c r="V40" s="592" t="str">
        <f>IF('2. Sem'!$X$30="","",'2. Sem'!$X$30)</f>
        <v/>
      </c>
      <c r="W40" s="593" t="str">
        <f>IF('2. Sem'!$Y$30="","",'2. Sem'!$Y$30)</f>
        <v/>
      </c>
      <c r="X40" s="581" t="str">
        <f>IF('2. Sem'!$Z$30="","",'2. Sem'!$Z$30)</f>
        <v/>
      </c>
      <c r="Y40" s="581" t="str">
        <f>IF('2. Sem'!$AA$30="","",'2. Sem'!$AA$30)</f>
        <v/>
      </c>
      <c r="Z40" s="581" t="str">
        <f>IF('2. Sem'!$AB$30="","",'2. Sem'!$AB$30)</f>
        <v/>
      </c>
      <c r="AA40" s="582" t="str">
        <f>IF('2. Sem'!$AC$30="","",'2. Sem'!$AC$30)</f>
        <v/>
      </c>
      <c r="AB40" s="583" t="str">
        <f>IF('2. Sem'!$AD$30="","",'2. Sem'!$AD$30)</f>
        <v/>
      </c>
      <c r="AC40" s="584" t="str">
        <f>IF('2. Sem'!$AE$30="","",'2. Sem'!$AE$30)</f>
        <v/>
      </c>
      <c r="AD40" s="584" t="str">
        <f>IF('2. Sem'!$AF$30="","",'2. Sem'!$AF$30)</f>
        <v/>
      </c>
      <c r="AE40" s="584" t="str">
        <f>IF('2. Sem'!$AG$30="","",'2. Sem'!$AG$30)</f>
        <v/>
      </c>
      <c r="AF40" s="592" t="str">
        <f>IF('2. Sem'!$AH$30="","",'2. Sem'!$AH$30)</f>
        <v/>
      </c>
      <c r="AG40" s="593" t="str">
        <f>IF('2. Sem'!$AI$30="","",'2. Sem'!$AI$30)</f>
        <v/>
      </c>
      <c r="AH40" s="581" t="str">
        <f>IF('2. Sem'!$AJ$30="","",'2. Sem'!$AJ$30)</f>
        <v/>
      </c>
      <c r="AI40" s="581" t="str">
        <f>IF('2. Sem'!$AK$30="","",'2. Sem'!$AK$30)</f>
        <v/>
      </c>
      <c r="AJ40" s="581" t="str">
        <f>IF('2. Sem'!$AL$30="","",'2. Sem'!$AL$30)</f>
        <v/>
      </c>
      <c r="AK40" s="582" t="str">
        <f>IF('2. Sem'!$AM$30="","",'2. Sem'!$AM$30)</f>
        <v/>
      </c>
      <c r="AL40" s="590" t="str">
        <f>IF('2. Sem'!$AN$30="","",'2. Sem'!$AN$30)</f>
        <v/>
      </c>
      <c r="AM40" s="588" t="str">
        <f>IF('2. Sem'!$AO$30="","",'2. Sem'!$AO$30)</f>
        <v/>
      </c>
      <c r="AN40" s="588" t="str">
        <f>IF('2. Sem'!$AP$30="","",'2. Sem'!$AP$30)</f>
        <v/>
      </c>
      <c r="AO40" s="588" t="str">
        <f>IF('2. Sem'!$AQ$30="","",'2. Sem'!$AQ$30)</f>
        <v/>
      </c>
      <c r="AP40" s="595" t="str">
        <f>IF('2. Sem'!$AR$30="","",'2. Sem'!$AR$30)</f>
        <v/>
      </c>
      <c r="AQ40" s="594" t="str">
        <f>IF('2. Sem'!$AS$30="","",'2. Sem'!$AS$30)</f>
        <v/>
      </c>
      <c r="AR40" s="581" t="str">
        <f>IF('2. Sem'!$AT$30="","",'2. Sem'!$AT$30)</f>
        <v/>
      </c>
      <c r="AS40" s="581" t="str">
        <f>IF('2. Sem'!$AU$30="","",'2. Sem'!$AU$30)</f>
        <v/>
      </c>
      <c r="AT40" s="581" t="str">
        <f>IF('2. Sem'!$AV$30="","",'2. Sem'!$AV$30)</f>
        <v/>
      </c>
      <c r="AU40" s="582" t="str">
        <f>IF('2. Sem'!$AW$30="","",'2. Sem'!$AW$30)</f>
        <v/>
      </c>
      <c r="AV40" s="583" t="str">
        <f>IF('2. Sem'!$AX$30="","",'2. Sem'!$AX$30)</f>
        <v/>
      </c>
      <c r="AW40" s="584" t="str">
        <f>IF('2. Sem'!$AY$30="","",'2. Sem'!$AY$30)</f>
        <v/>
      </c>
      <c r="AX40" s="584" t="str">
        <f>IF('2. Sem'!$AZ$30="","",'2. Sem'!$AZ$30)</f>
        <v/>
      </c>
      <c r="AY40" s="584" t="str">
        <f>IF('2. Sem'!$BA$30="","",'2. Sem'!$BA$30)</f>
        <v/>
      </c>
      <c r="AZ40" s="592" t="str">
        <f>IF('2. Sem'!$BB$30="","",'2. Sem'!$BB$30)</f>
        <v/>
      </c>
      <c r="BA40" s="593" t="str">
        <f>IF('2. Sem'!$BC$30="","",'2. Sem'!$BC$30)</f>
        <v/>
      </c>
      <c r="BB40" s="581" t="str">
        <f>IF('2. Sem'!$BD$30="","",'2. Sem'!$BD$30)</f>
        <v/>
      </c>
      <c r="BC40" s="581" t="str">
        <f>IF('2. Sem'!$BE$30="","",'2. Sem'!$BE$30)</f>
        <v/>
      </c>
      <c r="BD40" s="581" t="str">
        <f>IF('2. Sem'!$BF$30="","",'2. Sem'!$BF$30)</f>
        <v/>
      </c>
      <c r="BE40" s="582" t="str">
        <f>IF('2. Sem'!$BG$30="","",'2. Sem'!$BG$30)</f>
        <v/>
      </c>
      <c r="BF40" s="583" t="str">
        <f>IF('2. Sem'!$BH$30="","",'2. Sem'!$BH$30)</f>
        <v/>
      </c>
      <c r="BG40" s="584" t="str">
        <f>IF('2. Sem'!$BI$30="","",'2. Sem'!$BI$30)</f>
        <v/>
      </c>
      <c r="BH40" s="584" t="str">
        <f>IF('2. Sem'!$BJ$30="","",'2. Sem'!$BJ$30)</f>
        <v/>
      </c>
      <c r="BI40" s="584" t="str">
        <f>IF('2. Sem'!$BK$30="","",'2. Sem'!$BK$30)</f>
        <v/>
      </c>
      <c r="BJ40" s="592" t="str">
        <f>IF('2. Sem'!$BL$30="","",'2. Sem'!$BL$30)</f>
        <v/>
      </c>
      <c r="BK40" s="593" t="str">
        <f>IF('2. Sem'!$BM$30="","",'2. Sem'!$BM$30)</f>
        <v/>
      </c>
      <c r="BL40" s="581" t="str">
        <f>IF('2. Sem'!$BN$30="","",'2. Sem'!$BN$30)</f>
        <v/>
      </c>
      <c r="BM40" s="581" t="str">
        <f>IF('2. Sem'!$BO$30="","",'2. Sem'!$BO$30)</f>
        <v/>
      </c>
      <c r="BN40" s="581" t="str">
        <f>IF('2. Sem'!$BP$30="","",'2. Sem'!$BP$30)</f>
        <v/>
      </c>
      <c r="BO40" s="582" t="str">
        <f>IF('2. Sem'!$BQ$30="","",'2. Sem'!$BQ$30)</f>
        <v/>
      </c>
      <c r="BP40" s="583" t="str">
        <f>IF('2. Sem'!$BR$30="","",'2. Sem'!$BR$30)</f>
        <v/>
      </c>
      <c r="BQ40" s="584" t="str">
        <f>IF('2. Sem'!$BS$30="","",'2. Sem'!$BS$30)</f>
        <v/>
      </c>
      <c r="BR40" s="584" t="str">
        <f>IF('2. Sem'!$BT$30="","",'2. Sem'!$BT$30)</f>
        <v/>
      </c>
      <c r="BS40" s="588" t="str">
        <f>IF('2. Sem'!$BU$30="","",'2. Sem'!$BU$30)</f>
        <v/>
      </c>
      <c r="BT40" s="595" t="str">
        <f>IF('2. Sem'!$BV$30="","",'2. Sem'!$BV$30)</f>
        <v/>
      </c>
      <c r="BU40" s="593" t="str">
        <f>IF('2. Sem'!$BW$30="","",'2. Sem'!$BW$30)</f>
        <v/>
      </c>
      <c r="BV40" s="581" t="str">
        <f>IF('2. Sem'!$BX$30="","",'2. Sem'!$BX$30)</f>
        <v/>
      </c>
      <c r="BW40" s="581" t="str">
        <f>IF('2. Sem'!$BY$30="","",'2. Sem'!$BY$30)</f>
        <v/>
      </c>
      <c r="BX40" s="581" t="str">
        <f>IF('2. Sem'!$BZ$30="","",'2. Sem'!$BZ$30)</f>
        <v/>
      </c>
      <c r="BY40" s="582" t="str">
        <f>IF('2. Sem'!$CA$30="","",'2. Sem'!$CA$30)</f>
        <v/>
      </c>
      <c r="BZ40" s="590" t="str">
        <f>IF('2. Sem'!$CB$30="","",'2. Sem'!$CB$30)</f>
        <v/>
      </c>
      <c r="CA40" s="584" t="str">
        <f>IF('2. Sem'!$CC$30="","",'2. Sem'!$CC$30)</f>
        <v/>
      </c>
      <c r="CB40" s="584" t="str">
        <f>IF('2. Sem'!$CD$30="","",'2. Sem'!$CD$30)</f>
        <v/>
      </c>
      <c r="CC40" s="584" t="str">
        <f>IF('2. Sem'!$CE$30="","",'2. Sem'!$CE$30)</f>
        <v/>
      </c>
      <c r="CD40" s="592" t="str">
        <f>IF('2. Sem'!$CF$30="","",'2. Sem'!$CF$30)</f>
        <v/>
      </c>
      <c r="CE40" s="593" t="str">
        <f>IF('2. Sem'!$CG$30="","",'2. Sem'!$CG$30)</f>
        <v/>
      </c>
      <c r="CF40" s="581" t="str">
        <f>IF('2. Sem'!$CH$30="","",'2. Sem'!$CH$30)</f>
        <v/>
      </c>
      <c r="CG40" s="581" t="str">
        <f>IF('2. Sem'!$CI$30="","",'2. Sem'!$CI$30)</f>
        <v/>
      </c>
      <c r="CH40" s="581" t="str">
        <f>IF('2. Sem'!$CJ$30="","",'2. Sem'!$CJ$30)</f>
        <v/>
      </c>
      <c r="CI40" s="582" t="str">
        <f>IF('2. Sem'!$CK$30="","",'2. Sem'!$CK$30)</f>
        <v/>
      </c>
      <c r="CJ40" s="583" t="str">
        <f>IF('2. Sem'!$CL$30="","",'2. Sem'!$CL$30)</f>
        <v/>
      </c>
      <c r="CK40" s="584" t="str">
        <f>IF('2. Sem'!$CM$30="","",'2. Sem'!$CM$30)</f>
        <v/>
      </c>
      <c r="CL40" s="584" t="str">
        <f>IF('2. Sem'!$CN$30="","",'2. Sem'!$CN$30)</f>
        <v/>
      </c>
      <c r="CM40" s="584" t="str">
        <f>IF('2. Sem'!$CO$30="","",'2. Sem'!$CO$30)</f>
        <v/>
      </c>
      <c r="CN40" s="592" t="str">
        <f>IF('2. Sem'!$CP$30="","",'2. Sem'!$CP$30)</f>
        <v/>
      </c>
      <c r="CO40" s="593" t="str">
        <f>IF('2. Sem'!$CQ$30="","",'2. Sem'!$CQ$30)</f>
        <v/>
      </c>
      <c r="CP40" s="581" t="str">
        <f>IF('2. Sem'!$CR$30="","",'2. Sem'!$CR$30)</f>
        <v/>
      </c>
      <c r="CQ40" s="581" t="str">
        <f>IF('2. Sem'!$CS$30="","",'2. Sem'!$CS$30)</f>
        <v/>
      </c>
      <c r="CR40" s="581" t="str">
        <f>IF('2. Sem'!$CT$30="","",'2. Sem'!$CT$30)</f>
        <v/>
      </c>
      <c r="CS40" s="582" t="str">
        <f>IF('2. Sem'!$CU$30="","",'2. Sem'!$CU$30)</f>
        <v/>
      </c>
      <c r="CT40" s="583" t="str">
        <f>IF('2. Sem'!$CV$30="","",'2. Sem'!$CV$30)</f>
        <v/>
      </c>
      <c r="CU40" s="584" t="str">
        <f>IF('2. Sem'!$CW$30="","",'2. Sem'!$CW$30)</f>
        <v/>
      </c>
      <c r="CV40" s="584" t="str">
        <f>IF('2. Sem'!$CX$30="","",'2. Sem'!$CX$30)</f>
        <v/>
      </c>
      <c r="CW40" s="584" t="str">
        <f>IF('2. Sem'!$CY$30="","",'2. Sem'!$CY$30)</f>
        <v/>
      </c>
      <c r="CX40" s="592" t="str">
        <f>IF('2. Sem'!$CZ$30="","",'2. Sem'!$CZ$30)</f>
        <v/>
      </c>
      <c r="CY40" s="593" t="str">
        <f>IF('2. Sem'!$DA$30="","",'2. Sem'!$DA$30)</f>
        <v/>
      </c>
      <c r="CZ40" s="581" t="str">
        <f>IF('2. Sem'!$DB$30="","",'2. Sem'!$DB$30)</f>
        <v/>
      </c>
      <c r="DA40" s="581" t="str">
        <f>IF('2. Sem'!$DC$30="","",'2. Sem'!$DC$30)</f>
        <v/>
      </c>
      <c r="DB40" s="581" t="str">
        <f>IF('2. Sem'!$DD$30="","",'2. Sem'!$DD$30)</f>
        <v/>
      </c>
      <c r="DC40" s="582" t="str">
        <f>IF('2. Sem'!$DE$30="","",'2. Sem'!$DE$30)</f>
        <v/>
      </c>
    </row>
    <row r="41" spans="1:107" ht="17" customHeight="1" thickBot="1" x14ac:dyDescent="0.25">
      <c r="A41" s="566"/>
      <c r="B41" s="579" t="s">
        <v>17</v>
      </c>
      <c r="C41" s="593" t="str">
        <f>IF('2. Sem'!$E$31="","",'2. Sem'!$E$31)</f>
        <v/>
      </c>
      <c r="D41" s="581" t="str">
        <f>IF('2. Sem'!$F$31="","",'2. Sem'!$F$31)</f>
        <v/>
      </c>
      <c r="E41" s="581" t="str">
        <f>IF('2. Sem'!$G$31="","",'2. Sem'!$G$31)</f>
        <v/>
      </c>
      <c r="F41" s="581" t="str">
        <f>IF('2. Sem'!$H$31="","",'2. Sem'!$H$31)</f>
        <v/>
      </c>
      <c r="G41" s="582" t="str">
        <f>IF('2. Sem'!$I$31="","",'2. Sem'!$I$31)</f>
        <v/>
      </c>
      <c r="H41" s="583" t="str">
        <f>IF('2. Sem'!$J$31="","",'2. Sem'!$J$31)</f>
        <v/>
      </c>
      <c r="I41" s="584" t="str">
        <f>IF('2. Sem'!$K$31="","",'2. Sem'!$K$31)</f>
        <v/>
      </c>
      <c r="J41" s="584" t="str">
        <f>IF('2. Sem'!$L$31="","",'2. Sem'!$L$31)</f>
        <v/>
      </c>
      <c r="K41" s="584" t="str">
        <f>IF('2. Sem'!$M$31="","",'2. Sem'!$M$31)</f>
        <v/>
      </c>
      <c r="L41" s="592" t="str">
        <f>IF('2. Sem'!$N$31="","",'2. Sem'!$N$31)</f>
        <v/>
      </c>
      <c r="M41" s="593" t="str">
        <f>IF('2. Sem'!$O$31="","",'2. Sem'!$O$31)</f>
        <v/>
      </c>
      <c r="N41" s="581" t="str">
        <f>IF('2. Sem'!$P$31="","",'2. Sem'!$P$31)</f>
        <v/>
      </c>
      <c r="O41" s="581" t="str">
        <f>IF('2. Sem'!$Q$31="","",'2. Sem'!$Q$31)</f>
        <v/>
      </c>
      <c r="P41" s="581" t="str">
        <f>IF('2. Sem'!$R$31="","",'2. Sem'!$R$31)</f>
        <v/>
      </c>
      <c r="Q41" s="582" t="str">
        <f>IF('2. Sem'!$S$31="","",'2. Sem'!$S$31)</f>
        <v/>
      </c>
      <c r="R41" s="583" t="str">
        <f>IF('2. Sem'!$T$31="","",'2. Sem'!$T$31)</f>
        <v/>
      </c>
      <c r="S41" s="584" t="str">
        <f>IF('2. Sem'!$U$31="","",'2. Sem'!$U$31)</f>
        <v/>
      </c>
      <c r="T41" s="584" t="str">
        <f>IF('2. Sem'!$V$31="","",'2. Sem'!$V$31)</f>
        <v/>
      </c>
      <c r="U41" s="584" t="str">
        <f>IF('2. Sem'!$W$31="","",'2. Sem'!$W$31)</f>
        <v/>
      </c>
      <c r="V41" s="592" t="str">
        <f>IF('2. Sem'!$X$31="","",'2. Sem'!$X$31)</f>
        <v/>
      </c>
      <c r="W41" s="593" t="str">
        <f>IF('2. Sem'!$Y$31="","",'2. Sem'!$Y$31)</f>
        <v/>
      </c>
      <c r="X41" s="581" t="str">
        <f>IF('2. Sem'!$Z$31="","",'2. Sem'!$Z$31)</f>
        <v/>
      </c>
      <c r="Y41" s="581" t="str">
        <f>IF('2. Sem'!$AA$31="","",'2. Sem'!$AA$31)</f>
        <v/>
      </c>
      <c r="Z41" s="581" t="str">
        <f>IF('2. Sem'!$AB$31="","",'2. Sem'!$AB$31)</f>
        <v/>
      </c>
      <c r="AA41" s="582" t="str">
        <f>IF('2. Sem'!$AC$31="","",'2. Sem'!$AC$31)</f>
        <v/>
      </c>
      <c r="AB41" s="583" t="str">
        <f>IF('2. Sem'!$AD$31="","",'2. Sem'!$AD$31)</f>
        <v/>
      </c>
      <c r="AC41" s="584" t="str">
        <f>IF('2. Sem'!$AE$31="","",'2. Sem'!$AE$31)</f>
        <v/>
      </c>
      <c r="AD41" s="584" t="str">
        <f>IF('2. Sem'!$AF$31="","",'2. Sem'!$AF$31)</f>
        <v/>
      </c>
      <c r="AE41" s="584" t="str">
        <f>IF('2. Sem'!$AG$31="","",'2. Sem'!$AG$31)</f>
        <v/>
      </c>
      <c r="AF41" s="592" t="str">
        <f>IF('2. Sem'!$AH$31="","",'2. Sem'!$AH$31)</f>
        <v/>
      </c>
      <c r="AG41" s="593" t="str">
        <f>IF('2. Sem'!$AI$31="","",'2. Sem'!$AI$31)</f>
        <v/>
      </c>
      <c r="AH41" s="581" t="str">
        <f>IF('2. Sem'!$AJ$31="","",'2. Sem'!$AJ$31)</f>
        <v/>
      </c>
      <c r="AI41" s="581" t="str">
        <f>IF('2. Sem'!$AK$31="","",'2. Sem'!$AK$31)</f>
        <v/>
      </c>
      <c r="AJ41" s="581" t="str">
        <f>IF('2. Sem'!$AL$31="","",'2. Sem'!$AL$31)</f>
        <v/>
      </c>
      <c r="AK41" s="582" t="str">
        <f>IF('2. Sem'!$AM$31="","",'2. Sem'!$AM$31)</f>
        <v/>
      </c>
      <c r="AL41" s="590" t="str">
        <f>IF('2. Sem'!$AN$31="","",'2. Sem'!$AN$31)</f>
        <v/>
      </c>
      <c r="AM41" s="588" t="str">
        <f>IF('2. Sem'!$AO$31="","",'2. Sem'!$AO$31)</f>
        <v/>
      </c>
      <c r="AN41" s="588" t="str">
        <f>IF('2. Sem'!$AP$31="","",'2. Sem'!$AP$31)</f>
        <v/>
      </c>
      <c r="AO41" s="588" t="str">
        <f>IF('2. Sem'!$AQ$31="","",'2. Sem'!$AQ$31)</f>
        <v/>
      </c>
      <c r="AP41" s="595" t="str">
        <f>IF('2. Sem'!$AR$31="","",'2. Sem'!$AR$31)</f>
        <v/>
      </c>
      <c r="AQ41" s="594" t="str">
        <f>IF('2. Sem'!$AS$31="","",'2. Sem'!$AS$31)</f>
        <v/>
      </c>
      <c r="AR41" s="581" t="str">
        <f>IF('2. Sem'!$AT$31="","",'2. Sem'!$AT$31)</f>
        <v/>
      </c>
      <c r="AS41" s="581" t="str">
        <f>IF('2. Sem'!$AU$31="","",'2. Sem'!$AU$31)</f>
        <v/>
      </c>
      <c r="AT41" s="581" t="str">
        <f>IF('2. Sem'!$AV$31="","",'2. Sem'!$AV$31)</f>
        <v/>
      </c>
      <c r="AU41" s="582" t="str">
        <f>IF('2. Sem'!$AW$31="","",'2. Sem'!$AW$31)</f>
        <v/>
      </c>
      <c r="AV41" s="583" t="str">
        <f>IF('2. Sem'!$AX$31="","",'2. Sem'!$AX$31)</f>
        <v/>
      </c>
      <c r="AW41" s="584" t="str">
        <f>IF('2. Sem'!$AY$31="","",'2. Sem'!$AY$31)</f>
        <v/>
      </c>
      <c r="AX41" s="584" t="str">
        <f>IF('2. Sem'!$AZ$31="","",'2. Sem'!$AZ$31)</f>
        <v/>
      </c>
      <c r="AY41" s="584" t="str">
        <f>IF('2. Sem'!$BA$31="","",'2. Sem'!$BA$31)</f>
        <v/>
      </c>
      <c r="AZ41" s="592" t="str">
        <f>IF('2. Sem'!$BB$31="","",'2. Sem'!$BB$31)</f>
        <v/>
      </c>
      <c r="BA41" s="593" t="str">
        <f>IF('2. Sem'!$BC$31="","",'2. Sem'!$BC$31)</f>
        <v/>
      </c>
      <c r="BB41" s="581" t="str">
        <f>IF('2. Sem'!$BD$31="","",'2. Sem'!$BD$31)</f>
        <v/>
      </c>
      <c r="BC41" s="581" t="str">
        <f>IF('2. Sem'!$BE$31="","",'2. Sem'!$BE$31)</f>
        <v/>
      </c>
      <c r="BD41" s="581" t="str">
        <f>IF('2. Sem'!$BF$31="","",'2. Sem'!$BF$31)</f>
        <v/>
      </c>
      <c r="BE41" s="582" t="str">
        <f>IF('2. Sem'!$BG$31="","",'2. Sem'!$BG$31)</f>
        <v/>
      </c>
      <c r="BF41" s="583" t="str">
        <f>IF('2. Sem'!$BH$31="","",'2. Sem'!$BH$31)</f>
        <v/>
      </c>
      <c r="BG41" s="584" t="str">
        <f>IF('2. Sem'!$BI$31="","",'2. Sem'!$BI$31)</f>
        <v/>
      </c>
      <c r="BH41" s="584" t="str">
        <f>IF('2. Sem'!$BJ$31="","",'2. Sem'!$BJ$31)</f>
        <v/>
      </c>
      <c r="BI41" s="584" t="str">
        <f>IF('2. Sem'!$BK$31="","",'2. Sem'!$BK$31)</f>
        <v/>
      </c>
      <c r="BJ41" s="592" t="str">
        <f>IF('2. Sem'!$BL$31="","",'2. Sem'!$BL$31)</f>
        <v/>
      </c>
      <c r="BK41" s="593" t="str">
        <f>IF('2. Sem'!$BM$31="","",'2. Sem'!$BM$31)</f>
        <v/>
      </c>
      <c r="BL41" s="581" t="str">
        <f>IF('2. Sem'!$BN$31="","",'2. Sem'!$BN$31)</f>
        <v/>
      </c>
      <c r="BM41" s="581" t="str">
        <f>IF('2. Sem'!$BO$31="","",'2. Sem'!$BO$31)</f>
        <v/>
      </c>
      <c r="BN41" s="581" t="str">
        <f>IF('2. Sem'!$BP$31="","",'2. Sem'!$BP$31)</f>
        <v/>
      </c>
      <c r="BO41" s="582" t="str">
        <f>IF('2. Sem'!$BQ$31="","",'2. Sem'!$BQ$31)</f>
        <v/>
      </c>
      <c r="BP41" s="583" t="str">
        <f>IF('2. Sem'!$BR$31="","",'2. Sem'!$BR$31)</f>
        <v/>
      </c>
      <c r="BQ41" s="584" t="str">
        <f>IF('2. Sem'!$BS$31="","",'2. Sem'!$BS$31)</f>
        <v/>
      </c>
      <c r="BR41" s="584" t="str">
        <f>IF('2. Sem'!$BT$31="","",'2. Sem'!$BT$31)</f>
        <v/>
      </c>
      <c r="BS41" s="588" t="str">
        <f>IF('2. Sem'!$BU$31="","",'2. Sem'!$BU$31)</f>
        <v/>
      </c>
      <c r="BT41" s="595" t="str">
        <f>IF('2. Sem'!$BV$31="","",'2. Sem'!$BV$31)</f>
        <v/>
      </c>
      <c r="BU41" s="593" t="str">
        <f>IF('2. Sem'!$BW$31="","",'2. Sem'!$BW$31)</f>
        <v/>
      </c>
      <c r="BV41" s="581" t="str">
        <f>IF('2. Sem'!$BX$31="","",'2. Sem'!$BX$31)</f>
        <v/>
      </c>
      <c r="BW41" s="581" t="str">
        <f>IF('2. Sem'!$BY$31="","",'2. Sem'!$BY$31)</f>
        <v/>
      </c>
      <c r="BX41" s="581" t="str">
        <f>IF('2. Sem'!$BZ$31="","",'2. Sem'!$BZ$31)</f>
        <v/>
      </c>
      <c r="BY41" s="582" t="str">
        <f>IF('2. Sem'!$CA$31="","",'2. Sem'!$CA$31)</f>
        <v/>
      </c>
      <c r="BZ41" s="590" t="str">
        <f>IF('2. Sem'!$CB$31="","",'2. Sem'!$CB$31)</f>
        <v/>
      </c>
      <c r="CA41" s="584" t="str">
        <f>IF('2. Sem'!$CC$31="","",'2. Sem'!$CC$31)</f>
        <v/>
      </c>
      <c r="CB41" s="584" t="str">
        <f>IF('2. Sem'!$CD$31="","",'2. Sem'!$CD$31)</f>
        <v/>
      </c>
      <c r="CC41" s="584" t="str">
        <f>IF('2. Sem'!$CE$31="","",'2. Sem'!$CE$31)</f>
        <v/>
      </c>
      <c r="CD41" s="592" t="str">
        <f>IF('2. Sem'!$CF$31="","",'2. Sem'!$CF$31)</f>
        <v/>
      </c>
      <c r="CE41" s="593" t="str">
        <f>IF('2. Sem'!$CG$31="","",'2. Sem'!$CG$31)</f>
        <v/>
      </c>
      <c r="CF41" s="581" t="str">
        <f>IF('2. Sem'!$CH$31="","",'2. Sem'!$CH$31)</f>
        <v/>
      </c>
      <c r="CG41" s="581" t="str">
        <f>IF('2. Sem'!$CI$31="","",'2. Sem'!$CI$31)</f>
        <v/>
      </c>
      <c r="CH41" s="581" t="str">
        <f>IF('2. Sem'!$CJ$31="","",'2. Sem'!$CJ$31)</f>
        <v/>
      </c>
      <c r="CI41" s="582" t="str">
        <f>IF('2. Sem'!$CK$31="","",'2. Sem'!$CK$31)</f>
        <v/>
      </c>
      <c r="CJ41" s="583" t="str">
        <f>IF('2. Sem'!$CL$31="","",'2. Sem'!$CL$31)</f>
        <v/>
      </c>
      <c r="CK41" s="584" t="str">
        <f>IF('2. Sem'!$CM$31="","",'2. Sem'!$CM$31)</f>
        <v/>
      </c>
      <c r="CL41" s="584" t="str">
        <f>IF('2. Sem'!$CN$31="","",'2. Sem'!$CN$31)</f>
        <v/>
      </c>
      <c r="CM41" s="584" t="str">
        <f>IF('2. Sem'!$CO$31="","",'2. Sem'!$CO$31)</f>
        <v/>
      </c>
      <c r="CN41" s="592" t="str">
        <f>IF('2. Sem'!$CP$31="","",'2. Sem'!$CP$31)</f>
        <v/>
      </c>
      <c r="CO41" s="593" t="str">
        <f>IF('2. Sem'!$CQ$31="","",'2. Sem'!$CQ$31)</f>
        <v/>
      </c>
      <c r="CP41" s="581" t="str">
        <f>IF('2. Sem'!$CR$31="","",'2. Sem'!$CR$31)</f>
        <v/>
      </c>
      <c r="CQ41" s="581" t="str">
        <f>IF('2. Sem'!$CS$31="","",'2. Sem'!$CS$31)</f>
        <v/>
      </c>
      <c r="CR41" s="581" t="str">
        <f>IF('2. Sem'!$CT$31="","",'2. Sem'!$CT$31)</f>
        <v/>
      </c>
      <c r="CS41" s="582" t="str">
        <f>IF('2. Sem'!$CU$31="","",'2. Sem'!$CU$31)</f>
        <v/>
      </c>
      <c r="CT41" s="583" t="str">
        <f>IF('2. Sem'!$CV$31="","",'2. Sem'!$CV$31)</f>
        <v/>
      </c>
      <c r="CU41" s="584" t="str">
        <f>IF('2. Sem'!$CW$31="","",'2. Sem'!$CW$31)</f>
        <v/>
      </c>
      <c r="CV41" s="584" t="str">
        <f>IF('2. Sem'!$CX$31="","",'2. Sem'!$CX$31)</f>
        <v/>
      </c>
      <c r="CW41" s="584" t="str">
        <f>IF('2. Sem'!$CY$31="","",'2. Sem'!$CY$31)</f>
        <v/>
      </c>
      <c r="CX41" s="592" t="str">
        <f>IF('2. Sem'!$CZ$31="","",'2. Sem'!$CZ$31)</f>
        <v/>
      </c>
      <c r="CY41" s="593" t="str">
        <f>IF('2. Sem'!$DA$31="","",'2. Sem'!$DA$31)</f>
        <v/>
      </c>
      <c r="CZ41" s="581" t="str">
        <f>IF('2. Sem'!$DB$31="","",'2. Sem'!$DB$31)</f>
        <v/>
      </c>
      <c r="DA41" s="581" t="str">
        <f>IF('2. Sem'!$DC$31="","",'2. Sem'!$DC$31)</f>
        <v/>
      </c>
      <c r="DB41" s="581" t="str">
        <f>IF('2. Sem'!$DD$31="","",'2. Sem'!$DD$31)</f>
        <v/>
      </c>
      <c r="DC41" s="582" t="str">
        <f>IF('2. Sem'!$DE$31="","",'2. Sem'!$DE$31)</f>
        <v/>
      </c>
    </row>
    <row r="42" spans="1:107" ht="17" customHeight="1" thickBot="1" x14ac:dyDescent="0.25">
      <c r="A42" s="566"/>
      <c r="B42" s="579" t="s">
        <v>18</v>
      </c>
      <c r="C42" s="596" t="str">
        <f>IF('2. Sem'!$E$32="","",'2. Sem'!$E$32)</f>
        <v/>
      </c>
      <c r="D42" s="597" t="str">
        <f>IF('2. Sem'!$F$32="","",'2. Sem'!$F$32)</f>
        <v/>
      </c>
      <c r="E42" s="597" t="str">
        <f>IF('2. Sem'!$G$32="","",'2. Sem'!$G$32)</f>
        <v/>
      </c>
      <c r="F42" s="597" t="str">
        <f>IF('2. Sem'!$H$32="","",'2. Sem'!$H$32)</f>
        <v/>
      </c>
      <c r="G42" s="598" t="str">
        <f>IF('2. Sem'!$I$32="","",'2. Sem'!$I$32)</f>
        <v/>
      </c>
      <c r="H42" s="599" t="str">
        <f>IF('2. Sem'!$J$32="","",'2. Sem'!$J$32)</f>
        <v/>
      </c>
      <c r="I42" s="600" t="str">
        <f>IF('2. Sem'!$K$32="","",'2. Sem'!$K$32)</f>
        <v/>
      </c>
      <c r="J42" s="600" t="str">
        <f>IF('2. Sem'!$L$32="","",'2. Sem'!$L$32)</f>
        <v/>
      </c>
      <c r="K42" s="600" t="str">
        <f>IF('2. Sem'!$M$32="","",'2. Sem'!$M$32)</f>
        <v/>
      </c>
      <c r="L42" s="601" t="str">
        <f>IF('2. Sem'!$N$32="","",'2. Sem'!$N$32)</f>
        <v/>
      </c>
      <c r="M42" s="596" t="str">
        <f>IF('2. Sem'!$O$32="","",'2. Sem'!$O$32)</f>
        <v/>
      </c>
      <c r="N42" s="597" t="str">
        <f>IF('2. Sem'!$P$32="","",'2. Sem'!$P$32)</f>
        <v/>
      </c>
      <c r="O42" s="597" t="str">
        <f>IF('2. Sem'!$Q$32="","",'2. Sem'!$Q$32)</f>
        <v/>
      </c>
      <c r="P42" s="597" t="str">
        <f>IF('2. Sem'!$R$32="","",'2. Sem'!$R$32)</f>
        <v/>
      </c>
      <c r="Q42" s="598" t="str">
        <f>IF('2. Sem'!$S$32="","",'2. Sem'!$S$32)</f>
        <v/>
      </c>
      <c r="R42" s="599" t="str">
        <f>IF('2. Sem'!$T$32="","",'2. Sem'!$T$32)</f>
        <v/>
      </c>
      <c r="S42" s="600" t="str">
        <f>IF('2. Sem'!$U$32="","",'2. Sem'!$U$32)</f>
        <v/>
      </c>
      <c r="T42" s="600" t="str">
        <f>IF('2. Sem'!$V$32="","",'2. Sem'!$V$32)</f>
        <v/>
      </c>
      <c r="U42" s="600" t="str">
        <f>IF('2. Sem'!$W$32="","",'2. Sem'!$W$32)</f>
        <v/>
      </c>
      <c r="V42" s="601" t="str">
        <f>IF('2. Sem'!$X$32="","",'2. Sem'!$X$32)</f>
        <v/>
      </c>
      <c r="W42" s="596" t="str">
        <f>IF('2. Sem'!$Y$32="","",'2. Sem'!$Y$32)</f>
        <v/>
      </c>
      <c r="X42" s="597" t="str">
        <f>IF('2. Sem'!$Z$32="","",'2. Sem'!$Z$32)</f>
        <v/>
      </c>
      <c r="Y42" s="597" t="str">
        <f>IF('2. Sem'!$AA$32="","",'2. Sem'!$AA$32)</f>
        <v/>
      </c>
      <c r="Z42" s="597" t="str">
        <f>IF('2. Sem'!$AB$32="","",'2. Sem'!$AB$32)</f>
        <v/>
      </c>
      <c r="AA42" s="598" t="str">
        <f>IF('2. Sem'!$AC$32="","",'2. Sem'!$AC$32)</f>
        <v/>
      </c>
      <c r="AB42" s="599" t="str">
        <f>IF('2. Sem'!$AD$32="","",'2. Sem'!$AD$32)</f>
        <v/>
      </c>
      <c r="AC42" s="600" t="str">
        <f>IF('2. Sem'!$AE$32="","",'2. Sem'!$AE$32)</f>
        <v/>
      </c>
      <c r="AD42" s="600" t="str">
        <f>IF('2. Sem'!$AF$32="","",'2. Sem'!$AF$32)</f>
        <v/>
      </c>
      <c r="AE42" s="600" t="str">
        <f>IF('2. Sem'!$AG$32="","",'2. Sem'!$AG$32)</f>
        <v/>
      </c>
      <c r="AF42" s="601" t="str">
        <f>IF('2. Sem'!$AH$32="","",'2. Sem'!$AH$32)</f>
        <v/>
      </c>
      <c r="AG42" s="596" t="str">
        <f>IF('2. Sem'!$AI$32="","",'2. Sem'!$AI$32)</f>
        <v/>
      </c>
      <c r="AH42" s="597" t="str">
        <f>IF('2. Sem'!$AJ$32="","",'2. Sem'!$AJ$32)</f>
        <v/>
      </c>
      <c r="AI42" s="597" t="str">
        <f>IF('2. Sem'!$AK$32="","",'2. Sem'!$AK$32)</f>
        <v/>
      </c>
      <c r="AJ42" s="597" t="str">
        <f>IF('2. Sem'!$AL$32="","",'2. Sem'!$AL$32)</f>
        <v/>
      </c>
      <c r="AK42" s="598" t="str">
        <f>IF('2. Sem'!$AM$32="","",'2. Sem'!$AM$32)</f>
        <v/>
      </c>
      <c r="AL42" s="605" t="str">
        <f>IF('2. Sem'!$AN$32="","",'2. Sem'!$AN$32)</f>
        <v/>
      </c>
      <c r="AM42" s="603" t="str">
        <f>IF('2. Sem'!$AO$32="","",'2. Sem'!$AO$32)</f>
        <v/>
      </c>
      <c r="AN42" s="603" t="str">
        <f>IF('2. Sem'!$AP$32="","",'2. Sem'!$AP$32)</f>
        <v/>
      </c>
      <c r="AO42" s="603" t="str">
        <f>IF('2. Sem'!$AQ$32="","",'2. Sem'!$AQ$32)</f>
        <v/>
      </c>
      <c r="AP42" s="604" t="str">
        <f>IF('2. Sem'!$AR$32="","",'2. Sem'!$AR$32)</f>
        <v/>
      </c>
      <c r="AQ42" s="602" t="str">
        <f>IF('2. Sem'!$AS$32="","",'2. Sem'!$AS$32)</f>
        <v/>
      </c>
      <c r="AR42" s="597" t="str">
        <f>IF('2. Sem'!$AT$32="","",'2. Sem'!$AT$32)</f>
        <v/>
      </c>
      <c r="AS42" s="597" t="str">
        <f>IF('2. Sem'!$AU$32="","",'2. Sem'!$AU$32)</f>
        <v/>
      </c>
      <c r="AT42" s="597" t="str">
        <f>IF('2. Sem'!$AV$32="","",'2. Sem'!$AV$32)</f>
        <v/>
      </c>
      <c r="AU42" s="598" t="str">
        <f>IF('2. Sem'!$AW$32="","",'2. Sem'!$AW$32)</f>
        <v/>
      </c>
      <c r="AV42" s="599" t="str">
        <f>IF('2. Sem'!$AX$32="","",'2. Sem'!$AX$32)</f>
        <v/>
      </c>
      <c r="AW42" s="600" t="str">
        <f>IF('2. Sem'!$AY$32="","",'2. Sem'!$AY$32)</f>
        <v/>
      </c>
      <c r="AX42" s="600" t="str">
        <f>IF('2. Sem'!$AZ$32="","",'2. Sem'!$AZ$32)</f>
        <v/>
      </c>
      <c r="AY42" s="600" t="str">
        <f>IF('2. Sem'!$BA$32="","",'2. Sem'!$BA$32)</f>
        <v/>
      </c>
      <c r="AZ42" s="601" t="str">
        <f>IF('2. Sem'!$BB$32="","",'2. Sem'!$BB$32)</f>
        <v/>
      </c>
      <c r="BA42" s="596" t="str">
        <f>IF('2. Sem'!$BC$32="","",'2. Sem'!$BC$32)</f>
        <v/>
      </c>
      <c r="BB42" s="597" t="str">
        <f>IF('2. Sem'!$BD$32="","",'2. Sem'!$BD$32)</f>
        <v/>
      </c>
      <c r="BC42" s="597" t="str">
        <f>IF('2. Sem'!$BE$32="","",'2. Sem'!$BE$32)</f>
        <v/>
      </c>
      <c r="BD42" s="597" t="str">
        <f>IF('2. Sem'!$BF$32="","",'2. Sem'!$BF$32)</f>
        <v/>
      </c>
      <c r="BE42" s="598" t="str">
        <f>IF('2. Sem'!$BG$32="","",'2. Sem'!$BG$32)</f>
        <v/>
      </c>
      <c r="BF42" s="599" t="str">
        <f>IF('2. Sem'!$BH$32="","",'2. Sem'!$BH$32)</f>
        <v/>
      </c>
      <c r="BG42" s="600" t="str">
        <f>IF('2. Sem'!$BI$32="","",'2. Sem'!$BI$32)</f>
        <v/>
      </c>
      <c r="BH42" s="600" t="str">
        <f>IF('2. Sem'!$BJ$32="","",'2. Sem'!$BJ$32)</f>
        <v/>
      </c>
      <c r="BI42" s="600" t="str">
        <f>IF('2. Sem'!$BK$32="","",'2. Sem'!$BK$32)</f>
        <v/>
      </c>
      <c r="BJ42" s="601" t="str">
        <f>IF('2. Sem'!$BL$32="","",'2. Sem'!$BL$32)</f>
        <v/>
      </c>
      <c r="BK42" s="596" t="str">
        <f>IF('2. Sem'!$BM$32="","",'2. Sem'!$BM$32)</f>
        <v/>
      </c>
      <c r="BL42" s="597" t="str">
        <f>IF('2. Sem'!$BN$32="","",'2. Sem'!$BN$32)</f>
        <v/>
      </c>
      <c r="BM42" s="597" t="str">
        <f>IF('2. Sem'!$BO$32="","",'2. Sem'!$BO$32)</f>
        <v/>
      </c>
      <c r="BN42" s="597" t="str">
        <f>IF('2. Sem'!$BP$32="","",'2. Sem'!$BP$32)</f>
        <v/>
      </c>
      <c r="BO42" s="598" t="str">
        <f>IF('2. Sem'!$BQ$32="","",'2. Sem'!$BQ$32)</f>
        <v/>
      </c>
      <c r="BP42" s="599" t="str">
        <f>IF('2. Sem'!$BR$32="","",'2. Sem'!$BR$32)</f>
        <v/>
      </c>
      <c r="BQ42" s="600" t="str">
        <f>IF('2. Sem'!$BS$32="","",'2. Sem'!$BS$32)</f>
        <v/>
      </c>
      <c r="BR42" s="600" t="str">
        <f>IF('2. Sem'!$BT$32="","",'2. Sem'!$BT$32)</f>
        <v/>
      </c>
      <c r="BS42" s="603" t="str">
        <f>IF('2. Sem'!$BU$32="","",'2. Sem'!$BU$32)</f>
        <v/>
      </c>
      <c r="BT42" s="604" t="str">
        <f>IF('2. Sem'!$BV$32="","",'2. Sem'!$BV$32)</f>
        <v/>
      </c>
      <c r="BU42" s="596" t="str">
        <f>IF('2. Sem'!$BW$32="","",'2. Sem'!$BW$32)</f>
        <v/>
      </c>
      <c r="BV42" s="597" t="str">
        <f>IF('2. Sem'!$BX$32="","",'2. Sem'!$BX$32)</f>
        <v/>
      </c>
      <c r="BW42" s="597" t="str">
        <f>IF('2. Sem'!$BY$32="","",'2. Sem'!$BY$32)</f>
        <v/>
      </c>
      <c r="BX42" s="597" t="str">
        <f>IF('2. Sem'!$BZ$32="","",'2. Sem'!$BZ$32)</f>
        <v/>
      </c>
      <c r="BY42" s="598" t="str">
        <f>IF('2. Sem'!$CA$32="","",'2. Sem'!$CA$32)</f>
        <v/>
      </c>
      <c r="BZ42" s="605" t="str">
        <f>IF('2. Sem'!$CB$32="","",'2. Sem'!$CB$32)</f>
        <v/>
      </c>
      <c r="CA42" s="600" t="str">
        <f>IF('2. Sem'!$CC$32="","",'2. Sem'!$CC$32)</f>
        <v/>
      </c>
      <c r="CB42" s="600" t="str">
        <f>IF('2. Sem'!$CD$32="","",'2. Sem'!$CD$32)</f>
        <v/>
      </c>
      <c r="CC42" s="600" t="str">
        <f>IF('2. Sem'!$CE$32="","",'2. Sem'!$CE$32)</f>
        <v/>
      </c>
      <c r="CD42" s="601" t="str">
        <f>IF('2. Sem'!$CF$32="","",'2. Sem'!$CF$32)</f>
        <v/>
      </c>
      <c r="CE42" s="596" t="str">
        <f>IF('2. Sem'!$CG$32="","",'2. Sem'!$CG$32)</f>
        <v/>
      </c>
      <c r="CF42" s="597" t="str">
        <f>IF('2. Sem'!$CH$32="","",'2. Sem'!$CH$32)</f>
        <v/>
      </c>
      <c r="CG42" s="597" t="str">
        <f>IF('2. Sem'!$CI$32="","",'2. Sem'!$CI$32)</f>
        <v/>
      </c>
      <c r="CH42" s="597" t="str">
        <f>IF('2. Sem'!$CJ$32="","",'2. Sem'!$CJ$32)</f>
        <v/>
      </c>
      <c r="CI42" s="598" t="str">
        <f>IF('2. Sem'!$CK$32="","",'2. Sem'!$CK$32)</f>
        <v/>
      </c>
      <c r="CJ42" s="599" t="str">
        <f>IF('2. Sem'!$CL$32="","",'2. Sem'!$CL$32)</f>
        <v/>
      </c>
      <c r="CK42" s="600" t="str">
        <f>IF('2. Sem'!$CM$32="","",'2. Sem'!$CM$32)</f>
        <v/>
      </c>
      <c r="CL42" s="600" t="str">
        <f>IF('2. Sem'!$CN$32="","",'2. Sem'!$CN$32)</f>
        <v/>
      </c>
      <c r="CM42" s="600" t="str">
        <f>IF('2. Sem'!$CO$32="","",'2. Sem'!$CO$32)</f>
        <v/>
      </c>
      <c r="CN42" s="601" t="str">
        <f>IF('2. Sem'!$CP$32="","",'2. Sem'!$CP$32)</f>
        <v/>
      </c>
      <c r="CO42" s="596" t="str">
        <f>IF('2. Sem'!$CQ$32="","",'2. Sem'!$CQ$32)</f>
        <v/>
      </c>
      <c r="CP42" s="597" t="str">
        <f>IF('2. Sem'!$CR$32="","",'2. Sem'!$CR$32)</f>
        <v/>
      </c>
      <c r="CQ42" s="597" t="str">
        <f>IF('2. Sem'!$CS$32="","",'2. Sem'!$CS$32)</f>
        <v/>
      </c>
      <c r="CR42" s="597" t="str">
        <f>IF('2. Sem'!$CT$32="","",'2. Sem'!$CT$32)</f>
        <v/>
      </c>
      <c r="CS42" s="598" t="str">
        <f>IF('2. Sem'!$CU$32="","",'2. Sem'!$CU$32)</f>
        <v/>
      </c>
      <c r="CT42" s="599" t="str">
        <f>IF('2. Sem'!$CV$32="","",'2. Sem'!$CV$32)</f>
        <v/>
      </c>
      <c r="CU42" s="600" t="str">
        <f>IF('2. Sem'!$CW$32="","",'2. Sem'!$CW$32)</f>
        <v/>
      </c>
      <c r="CV42" s="600" t="str">
        <f>IF('2. Sem'!$CX$32="","",'2. Sem'!$CX$32)</f>
        <v/>
      </c>
      <c r="CW42" s="600" t="str">
        <f>IF('2. Sem'!$CY$32="","",'2. Sem'!$CY$32)</f>
        <v/>
      </c>
      <c r="CX42" s="601" t="str">
        <f>IF('2. Sem'!$CZ$32="","",'2. Sem'!$CZ$32)</f>
        <v/>
      </c>
      <c r="CY42" s="596" t="str">
        <f>IF('2. Sem'!$DA$32="","",'2. Sem'!$DA$32)</f>
        <v/>
      </c>
      <c r="CZ42" s="597" t="str">
        <f>IF('2. Sem'!$DB$32="","",'2. Sem'!$DB$32)</f>
        <v/>
      </c>
      <c r="DA42" s="597" t="str">
        <f>IF('2. Sem'!$DC$32="","",'2. Sem'!$DC$32)</f>
        <v/>
      </c>
      <c r="DB42" s="597" t="str">
        <f>IF('2. Sem'!$DD$32="","",'2. Sem'!$DD$32)</f>
        <v/>
      </c>
      <c r="DC42" s="598" t="str">
        <f>IF('2. Sem'!$DE$32="","",'2. Sem'!$DE$32)</f>
        <v/>
      </c>
    </row>
    <row r="43" spans="1:107" ht="16" customHeight="1" x14ac:dyDescent="0.2">
      <c r="A43" s="566"/>
      <c r="B43" s="579" t="s">
        <v>19</v>
      </c>
      <c r="C43" s="574" t="str">
        <f>IF('2. Sem'!$E$33="","",'2. Sem'!$E$33)</f>
        <v/>
      </c>
      <c r="D43" s="569" t="str">
        <f>IF('2. Sem'!$F$33="","",'2. Sem'!$F$33)</f>
        <v/>
      </c>
      <c r="E43" s="576" t="str">
        <f>IF('2. Sem'!$G$33="","",'2. Sem'!$G$33)</f>
        <v/>
      </c>
      <c r="F43" s="569" t="str">
        <f>IF('2. Sem'!$H$33="","",'2. Sem'!$H$33)</f>
        <v/>
      </c>
      <c r="G43" s="570" t="str">
        <f>IF('2. Sem'!$I$33="","",'2. Sem'!$I$33)</f>
        <v/>
      </c>
      <c r="H43" s="571" t="str">
        <f>IF('2. Sem'!$J$33="","",'2. Sem'!$J$33)</f>
        <v/>
      </c>
      <c r="I43" s="572" t="str">
        <f>IF('2. Sem'!$K$33="","",'2. Sem'!$K$33)</f>
        <v/>
      </c>
      <c r="J43" s="576" t="str">
        <f>IF('2. Sem'!$L$33="","",'2. Sem'!$L$33)</f>
        <v/>
      </c>
      <c r="K43" s="572" t="str">
        <f>IF('2. Sem'!$M$33="","",'2. Sem'!$M$33)</f>
        <v/>
      </c>
      <c r="L43" s="573" t="str">
        <f>IF('2. Sem'!$N$33="","",'2. Sem'!$N$33)</f>
        <v/>
      </c>
      <c r="M43" s="574" t="str">
        <f>IF('2. Sem'!$O$33="","",'2. Sem'!$O$33)</f>
        <v/>
      </c>
      <c r="N43" s="569" t="str">
        <f>IF('2. Sem'!$P$33="","",'2. Sem'!$P$33)</f>
        <v/>
      </c>
      <c r="O43" s="576" t="str">
        <f>IF('2. Sem'!$Q$33="","",'2. Sem'!$Q$33)</f>
        <v/>
      </c>
      <c r="P43" s="569" t="str">
        <f>IF('2. Sem'!$R$33="","",'2. Sem'!$R$33)</f>
        <v/>
      </c>
      <c r="Q43" s="570" t="str">
        <f>IF('2. Sem'!$S$33="","",'2. Sem'!$S$33)</f>
        <v/>
      </c>
      <c r="R43" s="571" t="str">
        <f>IF('2. Sem'!$T$33="","",'2. Sem'!$T$33)</f>
        <v/>
      </c>
      <c r="S43" s="572" t="str">
        <f>IF('2. Sem'!$U$33="","",'2. Sem'!$U$33)</f>
        <v/>
      </c>
      <c r="T43" s="576" t="str">
        <f>IF('2. Sem'!$V$33="","",'2. Sem'!$V$33)</f>
        <v/>
      </c>
      <c r="U43" s="572" t="str">
        <f>IF('2. Sem'!$W$33="","",'2. Sem'!$W$33)</f>
        <v/>
      </c>
      <c r="V43" s="573" t="str">
        <f>IF('2. Sem'!$X$33="","",'2. Sem'!$X$33)</f>
        <v/>
      </c>
      <c r="W43" s="574" t="str">
        <f>IF('2. Sem'!$Y$33="","",'2. Sem'!$Y$33)</f>
        <v/>
      </c>
      <c r="X43" s="569" t="str">
        <f>IF('2. Sem'!$Z$33="","",'2. Sem'!$Z$33)</f>
        <v/>
      </c>
      <c r="Y43" s="576" t="str">
        <f>IF('2. Sem'!$AA$33="","",'2. Sem'!$AA$33)</f>
        <v/>
      </c>
      <c r="Z43" s="569" t="str">
        <f>IF('2. Sem'!$AB$33="","",'2. Sem'!$AB$33)</f>
        <v/>
      </c>
      <c r="AA43" s="570" t="str">
        <f>IF('2. Sem'!$AC$33="","",'2. Sem'!$AC$33)</f>
        <v/>
      </c>
      <c r="AB43" s="571" t="str">
        <f>IF('2. Sem'!$AD$33="","",'2. Sem'!$AD$33)</f>
        <v/>
      </c>
      <c r="AC43" s="572" t="str">
        <f>IF('2. Sem'!$AE$33="","",'2. Sem'!$AE$33)</f>
        <v/>
      </c>
      <c r="AD43" s="576" t="str">
        <f>IF('2. Sem'!$AF$33="","",'2. Sem'!$AF$33)</f>
        <v/>
      </c>
      <c r="AE43" s="572" t="str">
        <f>IF('2. Sem'!$AG$33="","",'2. Sem'!$AG$33)</f>
        <v/>
      </c>
      <c r="AF43" s="573" t="str">
        <f>IF('2. Sem'!$AH$33="","",'2. Sem'!$AH$33)</f>
        <v/>
      </c>
      <c r="AG43" s="574" t="str">
        <f>IF('2. Sem'!$AI$33="","",'2. Sem'!$AI$33)</f>
        <v/>
      </c>
      <c r="AH43" s="569" t="str">
        <f>IF('2. Sem'!$AJ$33="","",'2. Sem'!$AJ$33)</f>
        <v/>
      </c>
      <c r="AI43" s="576" t="str">
        <f>IF('2. Sem'!$AK$33="","",'2. Sem'!$AK$33)</f>
        <v/>
      </c>
      <c r="AJ43" s="569" t="str">
        <f>IF('2. Sem'!$AL$33="","",'2. Sem'!$AL$33)</f>
        <v/>
      </c>
      <c r="AK43" s="570" t="str">
        <f>IF('2. Sem'!$AM$33="","",'2. Sem'!$AM$33)</f>
        <v/>
      </c>
      <c r="AL43" s="578" t="str">
        <f>IF('2. Sem'!$AN$33="","",'2. Sem'!$AN$33)</f>
        <v/>
      </c>
      <c r="AM43" s="576" t="str">
        <f>IF('2. Sem'!$AO$33="","",'2. Sem'!$AO$33)</f>
        <v/>
      </c>
      <c r="AN43" s="576" t="str">
        <f>IF('2. Sem'!$AP$33="","",'2. Sem'!$AP$33)</f>
        <v/>
      </c>
      <c r="AO43" s="576" t="str">
        <f>IF('2. Sem'!$AQ$33="","",'2. Sem'!$AQ$33)</f>
        <v/>
      </c>
      <c r="AP43" s="577" t="str">
        <f>IF('2. Sem'!$AR$33="","",'2. Sem'!$AR$33)</f>
        <v/>
      </c>
      <c r="AQ43" s="575" t="str">
        <f>IF('2. Sem'!$AS$33="","",'2. Sem'!$AS$33)</f>
        <v/>
      </c>
      <c r="AR43" s="569" t="str">
        <f>IF('2. Sem'!$AT$33="","",'2. Sem'!$AT$33)</f>
        <v/>
      </c>
      <c r="AS43" s="576" t="str">
        <f>IF('2. Sem'!$AU$33="","",'2. Sem'!$AU$33)</f>
        <v/>
      </c>
      <c r="AT43" s="569" t="str">
        <f>IF('2. Sem'!$AV$33="","",'2. Sem'!$AV$33)</f>
        <v/>
      </c>
      <c r="AU43" s="570" t="str">
        <f>IF('2. Sem'!$AW$33="","",'2. Sem'!$AW$33)</f>
        <v/>
      </c>
      <c r="AV43" s="571" t="str">
        <f>IF('2. Sem'!$AX$33="","",'2. Sem'!$AX$33)</f>
        <v/>
      </c>
      <c r="AW43" s="572" t="str">
        <f>IF('2. Sem'!$AY$33="","",'2. Sem'!$AY$33)</f>
        <v/>
      </c>
      <c r="AX43" s="576" t="str">
        <f>IF('2. Sem'!$AZ$33="","",'2. Sem'!$AZ$33)</f>
        <v/>
      </c>
      <c r="AY43" s="572" t="str">
        <f>IF('2. Sem'!$BA$33="","",'2. Sem'!$BA$33)</f>
        <v/>
      </c>
      <c r="AZ43" s="573" t="str">
        <f>IF('2. Sem'!$BB$33="","",'2. Sem'!$BB$33)</f>
        <v/>
      </c>
      <c r="BA43" s="574" t="str">
        <f>IF('2. Sem'!$BC$33="","",'2. Sem'!$BC$33)</f>
        <v/>
      </c>
      <c r="BB43" s="569" t="str">
        <f>IF('2. Sem'!$BD$33="","",'2. Sem'!$BD$33)</f>
        <v/>
      </c>
      <c r="BC43" s="576" t="str">
        <f>IF('2. Sem'!$BE$33="","",'2. Sem'!$BE$33)</f>
        <v/>
      </c>
      <c r="BD43" s="569" t="str">
        <f>IF('2. Sem'!$BF$33="","",'2. Sem'!$BF$33)</f>
        <v/>
      </c>
      <c r="BE43" s="570" t="str">
        <f>IF('2. Sem'!$BG$33="","",'2. Sem'!$BG$33)</f>
        <v/>
      </c>
      <c r="BF43" s="571" t="str">
        <f>IF('2. Sem'!$BH$33="","",'2. Sem'!$BH$33)</f>
        <v/>
      </c>
      <c r="BG43" s="572" t="str">
        <f>IF('2. Sem'!$BI$33="","",'2. Sem'!$BI$33)</f>
        <v/>
      </c>
      <c r="BH43" s="576" t="str">
        <f>IF('2. Sem'!$BJ$33="","",'2. Sem'!$BJ$33)</f>
        <v/>
      </c>
      <c r="BI43" s="572" t="str">
        <f>IF('2. Sem'!$BK$33="","",'2. Sem'!$BK$33)</f>
        <v/>
      </c>
      <c r="BJ43" s="573" t="str">
        <f>IF('2. Sem'!$BL$33="","",'2. Sem'!$BL$33)</f>
        <v/>
      </c>
      <c r="BK43" s="574" t="str">
        <f>IF('2. Sem'!$BM$33="","",'2. Sem'!$BM$33)</f>
        <v/>
      </c>
      <c r="BL43" s="569" t="str">
        <f>IF('2. Sem'!$BN$33="","",'2. Sem'!$BN$33)</f>
        <v/>
      </c>
      <c r="BM43" s="576" t="str">
        <f>IF('2. Sem'!$BO$33="","",'2. Sem'!$BO$33)</f>
        <v/>
      </c>
      <c r="BN43" s="569" t="str">
        <f>IF('2. Sem'!$BP$33="","",'2. Sem'!$BP$33)</f>
        <v/>
      </c>
      <c r="BO43" s="570" t="str">
        <f>IF('2. Sem'!$BQ$33="","",'2. Sem'!$BQ$33)</f>
        <v/>
      </c>
      <c r="BP43" s="571" t="str">
        <f>IF('2. Sem'!$BR$33="","",'2. Sem'!$BR$33)</f>
        <v/>
      </c>
      <c r="BQ43" s="572" t="str">
        <f>IF('2. Sem'!$BS$33="","",'2. Sem'!$BS$33)</f>
        <v/>
      </c>
      <c r="BR43" s="576" t="str">
        <f>IF('2. Sem'!$BT$33="","",'2. Sem'!$BT$33)</f>
        <v/>
      </c>
      <c r="BS43" s="576" t="str">
        <f>IF('2. Sem'!$BU$33="","",'2. Sem'!$BU$33)</f>
        <v/>
      </c>
      <c r="BT43" s="577" t="str">
        <f>IF('2. Sem'!$BV$33="","",'2. Sem'!$BV$33)</f>
        <v/>
      </c>
      <c r="BU43" s="574" t="str">
        <f>IF('2. Sem'!$BW$33="","",'2. Sem'!$BW$33)</f>
        <v/>
      </c>
      <c r="BV43" s="569" t="str">
        <f>IF('2. Sem'!$BX$33="","",'2. Sem'!$BX$33)</f>
        <v/>
      </c>
      <c r="BW43" s="576" t="str">
        <f>IF('2. Sem'!$BY$33="","",'2. Sem'!$BY$33)</f>
        <v/>
      </c>
      <c r="BX43" s="569" t="str">
        <f>IF('2. Sem'!$BZ$33="","",'2. Sem'!$BZ$33)</f>
        <v/>
      </c>
      <c r="BY43" s="570" t="str">
        <f>IF('2. Sem'!$CA$33="","",'2. Sem'!$CA$33)</f>
        <v/>
      </c>
      <c r="BZ43" s="578" t="str">
        <f>IF('2. Sem'!$CB$33="","",'2. Sem'!$CB$33)</f>
        <v/>
      </c>
      <c r="CA43" s="572" t="str">
        <f>IF('2. Sem'!$CC$33="","",'2. Sem'!$CC$33)</f>
        <v/>
      </c>
      <c r="CB43" s="576" t="str">
        <f>IF('2. Sem'!$CD$33="","",'2. Sem'!$CD$33)</f>
        <v/>
      </c>
      <c r="CC43" s="572" t="str">
        <f>IF('2. Sem'!$CE$33="","",'2. Sem'!$CE$33)</f>
        <v/>
      </c>
      <c r="CD43" s="573" t="str">
        <f>IF('2. Sem'!$CF$33="","",'2. Sem'!$CF$33)</f>
        <v/>
      </c>
      <c r="CE43" s="574" t="str">
        <f>IF('2. Sem'!$CG$33="","",'2. Sem'!$CG$33)</f>
        <v/>
      </c>
      <c r="CF43" s="569" t="str">
        <f>IF('2. Sem'!$CH$33="","",'2. Sem'!$CH$33)</f>
        <v/>
      </c>
      <c r="CG43" s="576" t="str">
        <f>IF('2. Sem'!$CI$33="","",'2. Sem'!$CI$33)</f>
        <v/>
      </c>
      <c r="CH43" s="569" t="str">
        <f>IF('2. Sem'!$CJ$33="","",'2. Sem'!$CJ$33)</f>
        <v/>
      </c>
      <c r="CI43" s="570" t="str">
        <f>IF('2. Sem'!$CK$33="","",'2. Sem'!$CK$33)</f>
        <v/>
      </c>
      <c r="CJ43" s="571" t="str">
        <f>IF('2. Sem'!$CL$33="","",'2. Sem'!$CL$33)</f>
        <v/>
      </c>
      <c r="CK43" s="572" t="str">
        <f>IF('2. Sem'!$CM$33="","",'2. Sem'!$CM$33)</f>
        <v/>
      </c>
      <c r="CL43" s="576" t="str">
        <f>IF('2. Sem'!$CN$33="","",'2. Sem'!$CN$33)</f>
        <v/>
      </c>
      <c r="CM43" s="572" t="str">
        <f>IF('2. Sem'!$CO$33="","",'2. Sem'!$CO$33)</f>
        <v/>
      </c>
      <c r="CN43" s="573" t="str">
        <f>IF('2. Sem'!$CP$33="","",'2. Sem'!$CP$33)</f>
        <v/>
      </c>
      <c r="CO43" s="574" t="str">
        <f>IF('2. Sem'!$CQ$33="","",'2. Sem'!$CQ$33)</f>
        <v/>
      </c>
      <c r="CP43" s="569" t="str">
        <f>IF('2. Sem'!$CR$33="","",'2. Sem'!$CR$33)</f>
        <v/>
      </c>
      <c r="CQ43" s="576" t="str">
        <f>IF('2. Sem'!$CS$33="","",'2. Sem'!$CS$33)</f>
        <v/>
      </c>
      <c r="CR43" s="569" t="str">
        <f>IF('2. Sem'!$CT$33="","",'2. Sem'!$CT$33)</f>
        <v/>
      </c>
      <c r="CS43" s="570" t="str">
        <f>IF('2. Sem'!$CU$33="","",'2. Sem'!$CU$33)</f>
        <v/>
      </c>
      <c r="CT43" s="571" t="str">
        <f>IF('2. Sem'!$CV$33="","",'2. Sem'!$CV$33)</f>
        <v/>
      </c>
      <c r="CU43" s="572" t="str">
        <f>IF('2. Sem'!$CW$33="","",'2. Sem'!$CW$33)</f>
        <v/>
      </c>
      <c r="CV43" s="576" t="str">
        <f>IF('2. Sem'!$CX$33="","",'2. Sem'!$CX$33)</f>
        <v/>
      </c>
      <c r="CW43" s="572" t="str">
        <f>IF('2. Sem'!$CY$33="","",'2. Sem'!$CY$33)</f>
        <v/>
      </c>
      <c r="CX43" s="573" t="str">
        <f>IF('2. Sem'!$CZ$33="","",'2. Sem'!$CZ$33)</f>
        <v/>
      </c>
      <c r="CY43" s="574" t="str">
        <f>IF('2. Sem'!$DA$33="","",'2. Sem'!$DA$33)</f>
        <v/>
      </c>
      <c r="CZ43" s="569" t="str">
        <f>IF('2. Sem'!$DB$33="","",'2. Sem'!$DB$33)</f>
        <v/>
      </c>
      <c r="DA43" s="576" t="str">
        <f>IF('2. Sem'!$DC$33="","",'2. Sem'!$DC$33)</f>
        <v/>
      </c>
      <c r="DB43" s="569" t="str">
        <f>IF('2. Sem'!$DD$33="","",'2. Sem'!$DD$33)</f>
        <v/>
      </c>
      <c r="DC43" s="570" t="str">
        <f>IF('2. Sem'!$DE$33="","",'2. Sem'!$DE$33)</f>
        <v/>
      </c>
    </row>
    <row r="44" spans="1:107" ht="16" customHeight="1" x14ac:dyDescent="0.2">
      <c r="A44" s="566"/>
      <c r="B44" s="579" t="s">
        <v>21</v>
      </c>
      <c r="C44" s="586" t="str">
        <f>IF('2. Sem'!$E$34="","",'2. Sem'!$E$34)</f>
        <v/>
      </c>
      <c r="D44" s="581" t="str">
        <f>IF('2. Sem'!$F$34="","",'2. Sem'!$F$34)</f>
        <v/>
      </c>
      <c r="E44" s="588" t="str">
        <f>IF('2. Sem'!$G$34="","",'2. Sem'!$G$34)</f>
        <v/>
      </c>
      <c r="F44" s="581" t="str">
        <f>IF('2. Sem'!$H$34="","",'2. Sem'!$H$34)</f>
        <v/>
      </c>
      <c r="G44" s="582" t="str">
        <f>IF('2. Sem'!$I$34="","",'2. Sem'!$I$34)</f>
        <v/>
      </c>
      <c r="H44" s="583" t="str">
        <f>IF('2. Sem'!$J$34="","",'2. Sem'!$J$34)</f>
        <v/>
      </c>
      <c r="I44" s="584" t="str">
        <f>IF('2. Sem'!$K$34="","",'2. Sem'!$K$34)</f>
        <v/>
      </c>
      <c r="J44" s="588" t="str">
        <f>IF('2. Sem'!$L$34="","",'2. Sem'!$L$34)</f>
        <v/>
      </c>
      <c r="K44" s="584" t="str">
        <f>IF('2. Sem'!$M$34="","",'2. Sem'!$M$34)</f>
        <v/>
      </c>
      <c r="L44" s="585" t="str">
        <f>IF('2. Sem'!$N$34="","",'2. Sem'!$N$34)</f>
        <v/>
      </c>
      <c r="M44" s="586" t="str">
        <f>IF('2. Sem'!$O$34="","",'2. Sem'!$O$34)</f>
        <v/>
      </c>
      <c r="N44" s="581" t="str">
        <f>IF('2. Sem'!$P$34="","",'2. Sem'!$P$34)</f>
        <v/>
      </c>
      <c r="O44" s="588" t="str">
        <f>IF('2. Sem'!$Q$34="","",'2. Sem'!$Q$34)</f>
        <v/>
      </c>
      <c r="P44" s="581" t="str">
        <f>IF('2. Sem'!$R$34="","",'2. Sem'!$R$34)</f>
        <v/>
      </c>
      <c r="Q44" s="582" t="str">
        <f>IF('2. Sem'!$S$34="","",'2. Sem'!$S$34)</f>
        <v/>
      </c>
      <c r="R44" s="583" t="str">
        <f>IF('2. Sem'!$T$34="","",'2. Sem'!$T$34)</f>
        <v/>
      </c>
      <c r="S44" s="584" t="str">
        <f>IF('2. Sem'!$U$34="","",'2. Sem'!$U$34)</f>
        <v/>
      </c>
      <c r="T44" s="588" t="str">
        <f>IF('2. Sem'!$V$34="","",'2. Sem'!$V$34)</f>
        <v/>
      </c>
      <c r="U44" s="584" t="str">
        <f>IF('2. Sem'!$W$34="","",'2. Sem'!$W$34)</f>
        <v/>
      </c>
      <c r="V44" s="585" t="str">
        <f>IF('2. Sem'!$X$34="","",'2. Sem'!$X$34)</f>
        <v/>
      </c>
      <c r="W44" s="586" t="str">
        <f>IF('2. Sem'!$Y$34="","",'2. Sem'!$Y$34)</f>
        <v/>
      </c>
      <c r="X44" s="581" t="str">
        <f>IF('2. Sem'!$Z$34="","",'2. Sem'!$Z$34)</f>
        <v/>
      </c>
      <c r="Y44" s="588" t="str">
        <f>IF('2. Sem'!$AA$34="","",'2. Sem'!$AA$34)</f>
        <v/>
      </c>
      <c r="Z44" s="581" t="str">
        <f>IF('2. Sem'!$AB$34="","",'2. Sem'!$AB$34)</f>
        <v/>
      </c>
      <c r="AA44" s="582" t="str">
        <f>IF('2. Sem'!$AC$34="","",'2. Sem'!$AC$34)</f>
        <v/>
      </c>
      <c r="AB44" s="583" t="str">
        <f>IF('2. Sem'!$AD$34="","",'2. Sem'!$AD$34)</f>
        <v/>
      </c>
      <c r="AC44" s="584" t="str">
        <f>IF('2. Sem'!$AE$34="","",'2. Sem'!$AE$34)</f>
        <v/>
      </c>
      <c r="AD44" s="588" t="str">
        <f>IF('2. Sem'!$AF$34="","",'2. Sem'!$AF$34)</f>
        <v/>
      </c>
      <c r="AE44" s="584" t="str">
        <f>IF('2. Sem'!$AG$34="","",'2. Sem'!$AG$34)</f>
        <v/>
      </c>
      <c r="AF44" s="585" t="str">
        <f>IF('2. Sem'!$AH$34="","",'2. Sem'!$AH$34)</f>
        <v/>
      </c>
      <c r="AG44" s="586" t="str">
        <f>IF('2. Sem'!$AI$34="","",'2. Sem'!$AI$34)</f>
        <v/>
      </c>
      <c r="AH44" s="581" t="str">
        <f>IF('2. Sem'!$AJ$34="","",'2. Sem'!$AJ$34)</f>
        <v/>
      </c>
      <c r="AI44" s="588" t="str">
        <f>IF('2. Sem'!$AK$34="","",'2. Sem'!$AK$34)</f>
        <v/>
      </c>
      <c r="AJ44" s="581" t="str">
        <f>IF('2. Sem'!$AL$34="","",'2. Sem'!$AL$34)</f>
        <v/>
      </c>
      <c r="AK44" s="582" t="str">
        <f>IF('2. Sem'!$AM$34="","",'2. Sem'!$AM$34)</f>
        <v/>
      </c>
      <c r="AL44" s="590" t="str">
        <f>IF('2. Sem'!$AN$34="","",'2. Sem'!$AN$34)</f>
        <v/>
      </c>
      <c r="AM44" s="588" t="str">
        <f>IF('2. Sem'!$AO$34="","",'2. Sem'!$AO$34)</f>
        <v/>
      </c>
      <c r="AN44" s="588" t="str">
        <f>IF('2. Sem'!$AP$34="","",'2. Sem'!$AP$34)</f>
        <v/>
      </c>
      <c r="AO44" s="588" t="str">
        <f>IF('2. Sem'!$AQ$34="","",'2. Sem'!$AQ$34)</f>
        <v/>
      </c>
      <c r="AP44" s="589" t="str">
        <f>IF('2. Sem'!$AR$34="","",'2. Sem'!$AR$34)</f>
        <v/>
      </c>
      <c r="AQ44" s="587" t="str">
        <f>IF('2. Sem'!$AS$34="","",'2. Sem'!$AS$34)</f>
        <v/>
      </c>
      <c r="AR44" s="581" t="str">
        <f>IF('2. Sem'!$AT$34="","",'2. Sem'!$AT$34)</f>
        <v/>
      </c>
      <c r="AS44" s="588" t="str">
        <f>IF('2. Sem'!$AU$34="","",'2. Sem'!$AU$34)</f>
        <v/>
      </c>
      <c r="AT44" s="581" t="str">
        <f>IF('2. Sem'!$AV$34="","",'2. Sem'!$AV$34)</f>
        <v/>
      </c>
      <c r="AU44" s="582" t="str">
        <f>IF('2. Sem'!$AW$34="","",'2. Sem'!$AW$34)</f>
        <v/>
      </c>
      <c r="AV44" s="583" t="str">
        <f>IF('2. Sem'!$AX$34="","",'2. Sem'!$AX$34)</f>
        <v/>
      </c>
      <c r="AW44" s="584" t="str">
        <f>IF('2. Sem'!$AY$34="","",'2. Sem'!$AY$34)</f>
        <v/>
      </c>
      <c r="AX44" s="588" t="str">
        <f>IF('2. Sem'!$AZ$34="","",'2. Sem'!$AZ$34)</f>
        <v/>
      </c>
      <c r="AY44" s="584" t="str">
        <f>IF('2. Sem'!$BA$34="","",'2. Sem'!$BA$34)</f>
        <v/>
      </c>
      <c r="AZ44" s="585" t="str">
        <f>IF('2. Sem'!$BB$34="","",'2. Sem'!$BB$34)</f>
        <v/>
      </c>
      <c r="BA44" s="586" t="str">
        <f>IF('2. Sem'!$BC$34="","",'2. Sem'!$BC$34)</f>
        <v/>
      </c>
      <c r="BB44" s="581" t="str">
        <f>IF('2. Sem'!$BD$34="","",'2. Sem'!$BD$34)</f>
        <v/>
      </c>
      <c r="BC44" s="588" t="str">
        <f>IF('2. Sem'!$BE$34="","",'2. Sem'!$BE$34)</f>
        <v/>
      </c>
      <c r="BD44" s="581" t="str">
        <f>IF('2. Sem'!$BF$34="","",'2. Sem'!$BF$34)</f>
        <v/>
      </c>
      <c r="BE44" s="582" t="str">
        <f>IF('2. Sem'!$BG$34="","",'2. Sem'!$BG$34)</f>
        <v/>
      </c>
      <c r="BF44" s="583" t="str">
        <f>IF('2. Sem'!$BH$34="","",'2. Sem'!$BH$34)</f>
        <v/>
      </c>
      <c r="BG44" s="584" t="str">
        <f>IF('2. Sem'!$BI$34="","",'2. Sem'!$BI$34)</f>
        <v/>
      </c>
      <c r="BH44" s="588" t="str">
        <f>IF('2. Sem'!$BJ$34="","",'2. Sem'!$BJ$34)</f>
        <v/>
      </c>
      <c r="BI44" s="584" t="str">
        <f>IF('2. Sem'!$BK$34="","",'2. Sem'!$BK$34)</f>
        <v/>
      </c>
      <c r="BJ44" s="585" t="str">
        <f>IF('2. Sem'!$BL$34="","",'2. Sem'!$BL$34)</f>
        <v/>
      </c>
      <c r="BK44" s="586" t="str">
        <f>IF('2. Sem'!$BM$34="","",'2. Sem'!$BM$34)</f>
        <v/>
      </c>
      <c r="BL44" s="581" t="str">
        <f>IF('2. Sem'!$BN$34="","",'2. Sem'!$BN$34)</f>
        <v/>
      </c>
      <c r="BM44" s="588" t="str">
        <f>IF('2. Sem'!$BO$34="","",'2. Sem'!$BO$34)</f>
        <v/>
      </c>
      <c r="BN44" s="581" t="str">
        <f>IF('2. Sem'!$BP$34="","",'2. Sem'!$BP$34)</f>
        <v/>
      </c>
      <c r="BO44" s="582" t="str">
        <f>IF('2. Sem'!$BQ$34="","",'2. Sem'!$BQ$34)</f>
        <v/>
      </c>
      <c r="BP44" s="583" t="str">
        <f>IF('2. Sem'!$BR$34="","",'2. Sem'!$BR$34)</f>
        <v/>
      </c>
      <c r="BQ44" s="584" t="str">
        <f>IF('2. Sem'!$BS$34="","",'2. Sem'!$BS$34)</f>
        <v/>
      </c>
      <c r="BR44" s="588" t="str">
        <f>IF('2. Sem'!$BT$34="","",'2. Sem'!$BT$34)</f>
        <v/>
      </c>
      <c r="BS44" s="588" t="str">
        <f>IF('2. Sem'!$BU$34="","",'2. Sem'!$BU$34)</f>
        <v/>
      </c>
      <c r="BT44" s="589" t="str">
        <f>IF('2. Sem'!$BV$34="","",'2. Sem'!$BV$34)</f>
        <v/>
      </c>
      <c r="BU44" s="586" t="str">
        <f>IF('2. Sem'!$BW$34="","",'2. Sem'!$BW$34)</f>
        <v/>
      </c>
      <c r="BV44" s="581" t="str">
        <f>IF('2. Sem'!$BX$34="","",'2. Sem'!$BX$34)</f>
        <v/>
      </c>
      <c r="BW44" s="588" t="str">
        <f>IF('2. Sem'!$BY$34="","",'2. Sem'!$BY$34)</f>
        <v/>
      </c>
      <c r="BX44" s="581" t="str">
        <f>IF('2. Sem'!$BZ$34="","",'2. Sem'!$BZ$34)</f>
        <v/>
      </c>
      <c r="BY44" s="582" t="str">
        <f>IF('2. Sem'!$CA$34="","",'2. Sem'!$CA$34)</f>
        <v/>
      </c>
      <c r="BZ44" s="590" t="str">
        <f>IF('2. Sem'!$CB$34="","",'2. Sem'!$CB$34)</f>
        <v/>
      </c>
      <c r="CA44" s="584" t="str">
        <f>IF('2. Sem'!$CC$34="","",'2. Sem'!$CC$34)</f>
        <v/>
      </c>
      <c r="CB44" s="588" t="str">
        <f>IF('2. Sem'!$CD$34="","",'2. Sem'!$CD$34)</f>
        <v/>
      </c>
      <c r="CC44" s="584" t="str">
        <f>IF('2. Sem'!$CE$34="","",'2. Sem'!$CE$34)</f>
        <v/>
      </c>
      <c r="CD44" s="585" t="str">
        <f>IF('2. Sem'!$CF$34="","",'2. Sem'!$CF$34)</f>
        <v/>
      </c>
      <c r="CE44" s="586" t="str">
        <f>IF('2. Sem'!$CG$34="","",'2. Sem'!$CG$34)</f>
        <v/>
      </c>
      <c r="CF44" s="581" t="str">
        <f>IF('2. Sem'!$CH$34="","",'2. Sem'!$CH$34)</f>
        <v/>
      </c>
      <c r="CG44" s="588" t="str">
        <f>IF('2. Sem'!$CI$34="","",'2. Sem'!$CI$34)</f>
        <v/>
      </c>
      <c r="CH44" s="581" t="str">
        <f>IF('2. Sem'!$CJ$34="","",'2. Sem'!$CJ$34)</f>
        <v/>
      </c>
      <c r="CI44" s="582" t="str">
        <f>IF('2. Sem'!$CK$34="","",'2. Sem'!$CK$34)</f>
        <v/>
      </c>
      <c r="CJ44" s="583" t="str">
        <f>IF('2. Sem'!$CL$34="","",'2. Sem'!$CL$34)</f>
        <v/>
      </c>
      <c r="CK44" s="584" t="str">
        <f>IF('2. Sem'!$CM$34="","",'2. Sem'!$CM$34)</f>
        <v/>
      </c>
      <c r="CL44" s="588" t="str">
        <f>IF('2. Sem'!$CN$34="","",'2. Sem'!$CN$34)</f>
        <v/>
      </c>
      <c r="CM44" s="584" t="str">
        <f>IF('2. Sem'!$CO$34="","",'2. Sem'!$CO$34)</f>
        <v/>
      </c>
      <c r="CN44" s="585" t="str">
        <f>IF('2. Sem'!$CP$34="","",'2. Sem'!$CP$34)</f>
        <v/>
      </c>
      <c r="CO44" s="586" t="str">
        <f>IF('2. Sem'!$CQ$34="","",'2. Sem'!$CQ$34)</f>
        <v/>
      </c>
      <c r="CP44" s="581" t="str">
        <f>IF('2. Sem'!$CR$34="","",'2. Sem'!$CR$34)</f>
        <v/>
      </c>
      <c r="CQ44" s="588" t="str">
        <f>IF('2. Sem'!$CS$34="","",'2. Sem'!$CS$34)</f>
        <v/>
      </c>
      <c r="CR44" s="581" t="str">
        <f>IF('2. Sem'!$CT$34="","",'2. Sem'!$CT$34)</f>
        <v/>
      </c>
      <c r="CS44" s="582" t="str">
        <f>IF('2. Sem'!$CU$34="","",'2. Sem'!$CU$34)</f>
        <v/>
      </c>
      <c r="CT44" s="583" t="str">
        <f>IF('2. Sem'!$CV$34="","",'2. Sem'!$CV$34)</f>
        <v/>
      </c>
      <c r="CU44" s="584" t="str">
        <f>IF('2. Sem'!$CW$34="","",'2. Sem'!$CW$34)</f>
        <v/>
      </c>
      <c r="CV44" s="588" t="str">
        <f>IF('2. Sem'!$CX$34="","",'2. Sem'!$CX$34)</f>
        <v/>
      </c>
      <c r="CW44" s="584" t="str">
        <f>IF('2. Sem'!$CY$34="","",'2. Sem'!$CY$34)</f>
        <v/>
      </c>
      <c r="CX44" s="585" t="str">
        <f>IF('2. Sem'!$CZ$34="","",'2. Sem'!$CZ$34)</f>
        <v/>
      </c>
      <c r="CY44" s="586" t="str">
        <f>IF('2. Sem'!$DA$34="","",'2. Sem'!$DA$34)</f>
        <v/>
      </c>
      <c r="CZ44" s="581" t="str">
        <f>IF('2. Sem'!$DB$34="","",'2. Sem'!$DB$34)</f>
        <v/>
      </c>
      <c r="DA44" s="588" t="str">
        <f>IF('2. Sem'!$DC$34="","",'2. Sem'!$DC$34)</f>
        <v/>
      </c>
      <c r="DB44" s="581" t="str">
        <f>IF('2. Sem'!$DD$34="","",'2. Sem'!$DD$34)</f>
        <v/>
      </c>
      <c r="DC44" s="582" t="str">
        <f>IF('2. Sem'!$DE$34="","",'2. Sem'!$DE$34)</f>
        <v/>
      </c>
    </row>
    <row r="45" spans="1:107" ht="16" customHeight="1" x14ac:dyDescent="0.2">
      <c r="A45" s="566"/>
      <c r="B45" s="579" t="s">
        <v>22</v>
      </c>
      <c r="C45" s="593" t="str">
        <f>IF('2. Sem'!$E$35="","",'2. Sem'!$E$35)</f>
        <v/>
      </c>
      <c r="D45" s="581" t="str">
        <f>IF('2. Sem'!$F$35="","",'2. Sem'!$F$35)</f>
        <v/>
      </c>
      <c r="E45" s="588" t="str">
        <f>IF('2. Sem'!$G$35="","",'2. Sem'!$G$35)</f>
        <v/>
      </c>
      <c r="F45" s="581" t="str">
        <f>IF('2. Sem'!$H$35="","",'2. Sem'!$H$35)</f>
        <v/>
      </c>
      <c r="G45" s="582" t="str">
        <f>IF('2. Sem'!$I$35="","",'2. Sem'!$I$35)</f>
        <v/>
      </c>
      <c r="H45" s="583" t="str">
        <f>IF('2. Sem'!$J$35="","",'2. Sem'!$J$35)</f>
        <v/>
      </c>
      <c r="I45" s="584" t="str">
        <f>IF('2. Sem'!$K$35="","",'2. Sem'!$K$35)</f>
        <v/>
      </c>
      <c r="J45" s="588" t="str">
        <f>IF('2. Sem'!$L$35="","",'2. Sem'!$L$35)</f>
        <v/>
      </c>
      <c r="K45" s="584" t="str">
        <f>IF('2. Sem'!$M$35="","",'2. Sem'!$M$35)</f>
        <v/>
      </c>
      <c r="L45" s="592" t="str">
        <f>IF('2. Sem'!$N$35="","",'2. Sem'!$N$35)</f>
        <v/>
      </c>
      <c r="M45" s="593" t="str">
        <f>IF('2. Sem'!$O$35="","",'2. Sem'!$O$35)</f>
        <v/>
      </c>
      <c r="N45" s="581" t="str">
        <f>IF('2. Sem'!$P$35="","",'2. Sem'!$P$35)</f>
        <v/>
      </c>
      <c r="O45" s="588" t="str">
        <f>IF('2. Sem'!$Q$35="","",'2. Sem'!$Q$35)</f>
        <v/>
      </c>
      <c r="P45" s="581" t="str">
        <f>IF('2. Sem'!$R$35="","",'2. Sem'!$R$35)</f>
        <v/>
      </c>
      <c r="Q45" s="582" t="str">
        <f>IF('2. Sem'!$S$35="","",'2. Sem'!$S$35)</f>
        <v/>
      </c>
      <c r="R45" s="583" t="str">
        <f>IF('2. Sem'!$T$35="","",'2. Sem'!$T$35)</f>
        <v/>
      </c>
      <c r="S45" s="584" t="str">
        <f>IF('2. Sem'!$U$35="","",'2. Sem'!$U$35)</f>
        <v/>
      </c>
      <c r="T45" s="588" t="str">
        <f>IF('2. Sem'!$V$35="","",'2. Sem'!$V$35)</f>
        <v/>
      </c>
      <c r="U45" s="584" t="str">
        <f>IF('2. Sem'!$W$35="","",'2. Sem'!$W$35)</f>
        <v/>
      </c>
      <c r="V45" s="592" t="str">
        <f>IF('2. Sem'!$X$35="","",'2. Sem'!$X$35)</f>
        <v/>
      </c>
      <c r="W45" s="593" t="str">
        <f>IF('2. Sem'!$Y$35="","",'2. Sem'!$Y$35)</f>
        <v/>
      </c>
      <c r="X45" s="581" t="str">
        <f>IF('2. Sem'!$Z$35="","",'2. Sem'!$Z$35)</f>
        <v/>
      </c>
      <c r="Y45" s="588" t="str">
        <f>IF('2. Sem'!$AA$35="","",'2. Sem'!$AA$35)</f>
        <v/>
      </c>
      <c r="Z45" s="581" t="str">
        <f>IF('2. Sem'!$AB$35="","",'2. Sem'!$AB$35)</f>
        <v/>
      </c>
      <c r="AA45" s="582" t="str">
        <f>IF('2. Sem'!$AC$35="","",'2. Sem'!$AC$35)</f>
        <v/>
      </c>
      <c r="AB45" s="583" t="str">
        <f>IF('2. Sem'!$AD$35="","",'2. Sem'!$AD$35)</f>
        <v/>
      </c>
      <c r="AC45" s="584" t="str">
        <f>IF('2. Sem'!$AE$35="","",'2. Sem'!$AE$35)</f>
        <v/>
      </c>
      <c r="AD45" s="588" t="str">
        <f>IF('2. Sem'!$AF$35="","",'2. Sem'!$AF$35)</f>
        <v/>
      </c>
      <c r="AE45" s="584" t="str">
        <f>IF('2. Sem'!$AG$35="","",'2. Sem'!$AG$35)</f>
        <v/>
      </c>
      <c r="AF45" s="592" t="str">
        <f>IF('2. Sem'!$AH$35="","",'2. Sem'!$AH$35)</f>
        <v/>
      </c>
      <c r="AG45" s="593" t="str">
        <f>IF('2. Sem'!$AI$35="","",'2. Sem'!$AI$35)</f>
        <v/>
      </c>
      <c r="AH45" s="581" t="str">
        <f>IF('2. Sem'!$AJ$35="","",'2. Sem'!$AJ$35)</f>
        <v/>
      </c>
      <c r="AI45" s="588" t="str">
        <f>IF('2. Sem'!$AK$35="","",'2. Sem'!$AK$35)</f>
        <v/>
      </c>
      <c r="AJ45" s="581" t="str">
        <f>IF('2. Sem'!$AL$35="","",'2. Sem'!$AL$35)</f>
        <v/>
      </c>
      <c r="AK45" s="582" t="str">
        <f>IF('2. Sem'!$AM$35="","",'2. Sem'!$AM$35)</f>
        <v/>
      </c>
      <c r="AL45" s="590" t="str">
        <f>IF('2. Sem'!$AN$35="","",'2. Sem'!$AN$35)</f>
        <v/>
      </c>
      <c r="AM45" s="588" t="str">
        <f>IF('2. Sem'!$AO$35="","",'2. Sem'!$AO$35)</f>
        <v/>
      </c>
      <c r="AN45" s="588" t="str">
        <f>IF('2. Sem'!$AP$35="","",'2. Sem'!$AP$35)</f>
        <v/>
      </c>
      <c r="AO45" s="588" t="str">
        <f>IF('2. Sem'!$AQ$35="","",'2. Sem'!$AQ$35)</f>
        <v/>
      </c>
      <c r="AP45" s="595" t="str">
        <f>IF('2. Sem'!$AR$35="","",'2. Sem'!$AR$35)</f>
        <v/>
      </c>
      <c r="AQ45" s="594" t="str">
        <f>IF('2. Sem'!$AS$35="","",'2. Sem'!$AS$35)</f>
        <v/>
      </c>
      <c r="AR45" s="581" t="str">
        <f>IF('2. Sem'!$AT$35="","",'2. Sem'!$AT$35)</f>
        <v/>
      </c>
      <c r="AS45" s="588" t="str">
        <f>IF('2. Sem'!$AU$35="","",'2. Sem'!$AU$35)</f>
        <v/>
      </c>
      <c r="AT45" s="581" t="str">
        <f>IF('2. Sem'!$AV$35="","",'2. Sem'!$AV$35)</f>
        <v/>
      </c>
      <c r="AU45" s="582" t="str">
        <f>IF('2. Sem'!$AW$35="","",'2. Sem'!$AW$35)</f>
        <v/>
      </c>
      <c r="AV45" s="583" t="str">
        <f>IF('2. Sem'!$AX$35="","",'2. Sem'!$AX$35)</f>
        <v/>
      </c>
      <c r="AW45" s="584" t="str">
        <f>IF('2. Sem'!$AY$35="","",'2. Sem'!$AY$35)</f>
        <v/>
      </c>
      <c r="AX45" s="588" t="str">
        <f>IF('2. Sem'!$AZ$35="","",'2. Sem'!$AZ$35)</f>
        <v/>
      </c>
      <c r="AY45" s="584" t="str">
        <f>IF('2. Sem'!$BA$35="","",'2. Sem'!$BA$35)</f>
        <v/>
      </c>
      <c r="AZ45" s="592" t="str">
        <f>IF('2. Sem'!$BB$35="","",'2. Sem'!$BB$35)</f>
        <v/>
      </c>
      <c r="BA45" s="593" t="str">
        <f>IF('2. Sem'!$BC$35="","",'2. Sem'!$BC$35)</f>
        <v/>
      </c>
      <c r="BB45" s="581" t="str">
        <f>IF('2. Sem'!$BD$35="","",'2. Sem'!$BD$35)</f>
        <v/>
      </c>
      <c r="BC45" s="588" t="str">
        <f>IF('2. Sem'!$BE$35="","",'2. Sem'!$BE$35)</f>
        <v/>
      </c>
      <c r="BD45" s="581" t="str">
        <f>IF('2. Sem'!$BF$35="","",'2. Sem'!$BF$35)</f>
        <v/>
      </c>
      <c r="BE45" s="582" t="str">
        <f>IF('2. Sem'!$BG$35="","",'2. Sem'!$BG$35)</f>
        <v/>
      </c>
      <c r="BF45" s="583" t="str">
        <f>IF('2. Sem'!$BH$35="","",'2. Sem'!$BH$35)</f>
        <v/>
      </c>
      <c r="BG45" s="584" t="str">
        <f>IF('2. Sem'!$BI$35="","",'2. Sem'!$BI$35)</f>
        <v/>
      </c>
      <c r="BH45" s="588" t="str">
        <f>IF('2. Sem'!$BJ$35="","",'2. Sem'!$BJ$35)</f>
        <v/>
      </c>
      <c r="BI45" s="584" t="str">
        <f>IF('2. Sem'!$BK$35="","",'2. Sem'!$BK$35)</f>
        <v/>
      </c>
      <c r="BJ45" s="592" t="str">
        <f>IF('2. Sem'!$BL$35="","",'2. Sem'!$BL$35)</f>
        <v/>
      </c>
      <c r="BK45" s="593" t="str">
        <f>IF('2. Sem'!$BM$35="","",'2. Sem'!$BM$35)</f>
        <v/>
      </c>
      <c r="BL45" s="581" t="str">
        <f>IF('2. Sem'!$BN$35="","",'2. Sem'!$BN$35)</f>
        <v/>
      </c>
      <c r="BM45" s="588" t="str">
        <f>IF('2. Sem'!$BO$35="","",'2. Sem'!$BO$35)</f>
        <v/>
      </c>
      <c r="BN45" s="581" t="str">
        <f>IF('2. Sem'!$BP$35="","",'2. Sem'!$BP$35)</f>
        <v/>
      </c>
      <c r="BO45" s="582" t="str">
        <f>IF('2. Sem'!$BQ$35="","",'2. Sem'!$BQ$35)</f>
        <v/>
      </c>
      <c r="BP45" s="583" t="str">
        <f>IF('2. Sem'!$BR$35="","",'2. Sem'!$BR$35)</f>
        <v/>
      </c>
      <c r="BQ45" s="584" t="str">
        <f>IF('2. Sem'!$BS$35="","",'2. Sem'!$BS$35)</f>
        <v/>
      </c>
      <c r="BR45" s="588" t="str">
        <f>IF('2. Sem'!$BT$35="","",'2. Sem'!$BT$35)</f>
        <v/>
      </c>
      <c r="BS45" s="588" t="str">
        <f>IF('2. Sem'!$BU$35="","",'2. Sem'!$BU$35)</f>
        <v/>
      </c>
      <c r="BT45" s="595" t="str">
        <f>IF('2. Sem'!$BV$35="","",'2. Sem'!$BV$35)</f>
        <v/>
      </c>
      <c r="BU45" s="593" t="str">
        <f>IF('2. Sem'!$BW$35="","",'2. Sem'!$BW$35)</f>
        <v/>
      </c>
      <c r="BV45" s="581" t="str">
        <f>IF('2. Sem'!$BX$35="","",'2. Sem'!$BX$35)</f>
        <v/>
      </c>
      <c r="BW45" s="588" t="str">
        <f>IF('2. Sem'!$BY$35="","",'2. Sem'!$BY$35)</f>
        <v/>
      </c>
      <c r="BX45" s="581" t="str">
        <f>IF('2. Sem'!$BZ$35="","",'2. Sem'!$BZ$35)</f>
        <v/>
      </c>
      <c r="BY45" s="582" t="str">
        <f>IF('2. Sem'!$CA$35="","",'2. Sem'!$CA$35)</f>
        <v/>
      </c>
      <c r="BZ45" s="590" t="str">
        <f>IF('2. Sem'!$CB$35="","",'2. Sem'!$CB$35)</f>
        <v/>
      </c>
      <c r="CA45" s="584" t="str">
        <f>IF('2. Sem'!$CC$35="","",'2. Sem'!$CC$35)</f>
        <v/>
      </c>
      <c r="CB45" s="588" t="str">
        <f>IF('2. Sem'!$CD$35="","",'2. Sem'!$CD$35)</f>
        <v/>
      </c>
      <c r="CC45" s="584" t="str">
        <f>IF('2. Sem'!$CE$35="","",'2. Sem'!$CE$35)</f>
        <v/>
      </c>
      <c r="CD45" s="592" t="str">
        <f>IF('2. Sem'!$CF$35="","",'2. Sem'!$CF$35)</f>
        <v/>
      </c>
      <c r="CE45" s="593" t="str">
        <f>IF('2. Sem'!$CG$35="","",'2. Sem'!$CG$35)</f>
        <v/>
      </c>
      <c r="CF45" s="581" t="str">
        <f>IF('2. Sem'!$CH$35="","",'2. Sem'!$CH$35)</f>
        <v/>
      </c>
      <c r="CG45" s="588" t="str">
        <f>IF('2. Sem'!$CI$35="","",'2. Sem'!$CI$35)</f>
        <v/>
      </c>
      <c r="CH45" s="581" t="str">
        <f>IF('2. Sem'!$CJ$35="","",'2. Sem'!$CJ$35)</f>
        <v/>
      </c>
      <c r="CI45" s="582" t="str">
        <f>IF('2. Sem'!$CK$35="","",'2. Sem'!$CK$35)</f>
        <v/>
      </c>
      <c r="CJ45" s="583" t="str">
        <f>IF('2. Sem'!$CL$35="","",'2. Sem'!$CL$35)</f>
        <v/>
      </c>
      <c r="CK45" s="584" t="str">
        <f>IF('2. Sem'!$CM$35="","",'2. Sem'!$CM$35)</f>
        <v/>
      </c>
      <c r="CL45" s="588" t="str">
        <f>IF('2. Sem'!$CN$35="","",'2. Sem'!$CN$35)</f>
        <v/>
      </c>
      <c r="CM45" s="584" t="str">
        <f>IF('2. Sem'!$CO$35="","",'2. Sem'!$CO$35)</f>
        <v/>
      </c>
      <c r="CN45" s="592" t="str">
        <f>IF('2. Sem'!$CP$35="","",'2. Sem'!$CP$35)</f>
        <v/>
      </c>
      <c r="CO45" s="593" t="str">
        <f>IF('2. Sem'!$CQ$35="","",'2. Sem'!$CQ$35)</f>
        <v/>
      </c>
      <c r="CP45" s="581" t="str">
        <f>IF('2. Sem'!$CR$35="","",'2. Sem'!$CR$35)</f>
        <v/>
      </c>
      <c r="CQ45" s="588" t="str">
        <f>IF('2. Sem'!$CS$35="","",'2. Sem'!$CS$35)</f>
        <v/>
      </c>
      <c r="CR45" s="581" t="str">
        <f>IF('2. Sem'!$CT$35="","",'2. Sem'!$CT$35)</f>
        <v/>
      </c>
      <c r="CS45" s="582" t="str">
        <f>IF('2. Sem'!$CU$35="","",'2. Sem'!$CU$35)</f>
        <v/>
      </c>
      <c r="CT45" s="583" t="str">
        <f>IF('2. Sem'!$CV$35="","",'2. Sem'!$CV$35)</f>
        <v/>
      </c>
      <c r="CU45" s="584" t="str">
        <f>IF('2. Sem'!$CW$35="","",'2. Sem'!$CW$35)</f>
        <v/>
      </c>
      <c r="CV45" s="588" t="str">
        <f>IF('2. Sem'!$CX$35="","",'2. Sem'!$CX$35)</f>
        <v/>
      </c>
      <c r="CW45" s="584" t="str">
        <f>IF('2. Sem'!$CY$35="","",'2. Sem'!$CY$35)</f>
        <v/>
      </c>
      <c r="CX45" s="592" t="str">
        <f>IF('2. Sem'!$CZ$35="","",'2. Sem'!$CZ$35)</f>
        <v/>
      </c>
      <c r="CY45" s="593" t="str">
        <f>IF('2. Sem'!$DA$35="","",'2. Sem'!$DA$35)</f>
        <v/>
      </c>
      <c r="CZ45" s="581" t="str">
        <f>IF('2. Sem'!$DB$35="","",'2. Sem'!$DB$35)</f>
        <v/>
      </c>
      <c r="DA45" s="588" t="str">
        <f>IF('2. Sem'!$DC$35="","",'2. Sem'!$DC$35)</f>
        <v/>
      </c>
      <c r="DB45" s="581" t="str">
        <f>IF('2. Sem'!$DD$35="","",'2. Sem'!$DD$35)</f>
        <v/>
      </c>
      <c r="DC45" s="582" t="str">
        <f>IF('2. Sem'!$DE$35="","",'2. Sem'!$DE$35)</f>
        <v/>
      </c>
    </row>
    <row r="46" spans="1:107" ht="17" customHeight="1" thickBot="1" x14ac:dyDescent="0.25">
      <c r="A46" s="566"/>
      <c r="B46" s="579" t="s">
        <v>23</v>
      </c>
      <c r="C46" s="613" t="str">
        <f>IF('2. Sem'!$E$36="","",'2. Sem'!$E$36)</f>
        <v/>
      </c>
      <c r="D46" s="607" t="str">
        <f>IF('2. Sem'!$F$36="","",'2. Sem'!$F$36)</f>
        <v/>
      </c>
      <c r="E46" s="608" t="str">
        <f>IF('2. Sem'!$G$36="","",'2. Sem'!$G$36)</f>
        <v/>
      </c>
      <c r="F46" s="607" t="str">
        <f>IF('2. Sem'!$H$36="","",'2. Sem'!$H$36)</f>
        <v/>
      </c>
      <c r="G46" s="609" t="str">
        <f>IF('2. Sem'!$I$36="","",'2. Sem'!$I$36)</f>
        <v/>
      </c>
      <c r="H46" s="610" t="str">
        <f>IF('2. Sem'!$J$36="","",'2. Sem'!$J$36)</f>
        <v/>
      </c>
      <c r="I46" s="611" t="str">
        <f>IF('2. Sem'!$K$36="","",'2. Sem'!$K$36)</f>
        <v/>
      </c>
      <c r="J46" s="608" t="str">
        <f>IF('2. Sem'!$L$36="","",'2. Sem'!$L$36)</f>
        <v/>
      </c>
      <c r="K46" s="611" t="str">
        <f>IF('2. Sem'!$M$36="","",'2. Sem'!$M$36)</f>
        <v/>
      </c>
      <c r="L46" s="612" t="str">
        <f>IF('2. Sem'!$N$36="","",'2. Sem'!$N$36)</f>
        <v/>
      </c>
      <c r="M46" s="613" t="str">
        <f>IF('2. Sem'!$O$36="","",'2. Sem'!$O$36)</f>
        <v/>
      </c>
      <c r="N46" s="607" t="str">
        <f>IF('2. Sem'!$P$36="","",'2. Sem'!$P$36)</f>
        <v/>
      </c>
      <c r="O46" s="608" t="str">
        <f>IF('2. Sem'!$Q$36="","",'2. Sem'!$Q$36)</f>
        <v/>
      </c>
      <c r="P46" s="607" t="str">
        <f>IF('2. Sem'!$R$36="","",'2. Sem'!$R$36)</f>
        <v/>
      </c>
      <c r="Q46" s="609" t="str">
        <f>IF('2. Sem'!$S$36="","",'2. Sem'!$S$36)</f>
        <v/>
      </c>
      <c r="R46" s="610" t="str">
        <f>IF('2. Sem'!$T$36="","",'2. Sem'!$T$36)</f>
        <v/>
      </c>
      <c r="S46" s="611" t="str">
        <f>IF('2. Sem'!$U$36="","",'2. Sem'!$U$36)</f>
        <v/>
      </c>
      <c r="T46" s="608" t="str">
        <f>IF('2. Sem'!$V$36="","",'2. Sem'!$V$36)</f>
        <v/>
      </c>
      <c r="U46" s="611" t="str">
        <f>IF('2. Sem'!$W$36="","",'2. Sem'!$W$36)</f>
        <v/>
      </c>
      <c r="V46" s="612" t="str">
        <f>IF('2. Sem'!$X$36="","",'2. Sem'!$X$36)</f>
        <v/>
      </c>
      <c r="W46" s="613" t="str">
        <f>IF('2. Sem'!$Y$36="","",'2. Sem'!$Y$36)</f>
        <v/>
      </c>
      <c r="X46" s="607" t="str">
        <f>IF('2. Sem'!$Z$36="","",'2. Sem'!$Z$36)</f>
        <v/>
      </c>
      <c r="Y46" s="608" t="str">
        <f>IF('2. Sem'!$AA$36="","",'2. Sem'!$AA$36)</f>
        <v/>
      </c>
      <c r="Z46" s="607" t="str">
        <f>IF('2. Sem'!$AB$36="","",'2. Sem'!$AB$36)</f>
        <v/>
      </c>
      <c r="AA46" s="609" t="str">
        <f>IF('2. Sem'!$AC$36="","",'2. Sem'!$AC$36)</f>
        <v/>
      </c>
      <c r="AB46" s="610" t="str">
        <f>IF('2. Sem'!$AD$36="","",'2. Sem'!$AD$36)</f>
        <v/>
      </c>
      <c r="AC46" s="611" t="str">
        <f>IF('2. Sem'!$AE$36="","",'2. Sem'!$AE$36)</f>
        <v/>
      </c>
      <c r="AD46" s="608" t="str">
        <f>IF('2. Sem'!$AF$36="","",'2. Sem'!$AF$36)</f>
        <v/>
      </c>
      <c r="AE46" s="611" t="str">
        <f>IF('2. Sem'!$AG$36="","",'2. Sem'!$AG$36)</f>
        <v/>
      </c>
      <c r="AF46" s="612" t="str">
        <f>IF('2. Sem'!$AH$36="","",'2. Sem'!$AH$36)</f>
        <v/>
      </c>
      <c r="AG46" s="613" t="str">
        <f>IF('2. Sem'!$AI$36="","",'2. Sem'!$AI$36)</f>
        <v/>
      </c>
      <c r="AH46" s="607" t="str">
        <f>IF('2. Sem'!$AJ$36="","",'2. Sem'!$AJ$36)</f>
        <v/>
      </c>
      <c r="AI46" s="608" t="str">
        <f>IF('2. Sem'!$AK$36="","",'2. Sem'!$AK$36)</f>
        <v/>
      </c>
      <c r="AJ46" s="607" t="str">
        <f>IF('2. Sem'!$AL$36="","",'2. Sem'!$AL$36)</f>
        <v/>
      </c>
      <c r="AK46" s="609" t="str">
        <f>IF('2. Sem'!$AM$36="","",'2. Sem'!$AM$36)</f>
        <v/>
      </c>
      <c r="AL46" s="616" t="str">
        <f>IF('2. Sem'!$AN$36="","",'2. Sem'!$AN$36)</f>
        <v/>
      </c>
      <c r="AM46" s="608" t="str">
        <f>IF('2. Sem'!$AO$36="","",'2. Sem'!$AO$36)</f>
        <v/>
      </c>
      <c r="AN46" s="608" t="str">
        <f>IF('2. Sem'!$AP$36="","",'2. Sem'!$AP$36)</f>
        <v/>
      </c>
      <c r="AO46" s="608" t="str">
        <f>IF('2. Sem'!$AQ$36="","",'2. Sem'!$AQ$36)</f>
        <v/>
      </c>
      <c r="AP46" s="615" t="str">
        <f>IF('2. Sem'!$AR$36="","",'2. Sem'!$AR$36)</f>
        <v/>
      </c>
      <c r="AQ46" s="614" t="str">
        <f>IF('2. Sem'!$AS$36="","",'2. Sem'!$AS$36)</f>
        <v/>
      </c>
      <c r="AR46" s="607" t="str">
        <f>IF('2. Sem'!$AT$36="","",'2. Sem'!$AT$36)</f>
        <v/>
      </c>
      <c r="AS46" s="608" t="str">
        <f>IF('2. Sem'!$AU$36="","",'2. Sem'!$AU$36)</f>
        <v/>
      </c>
      <c r="AT46" s="607" t="str">
        <f>IF('2. Sem'!$AV$36="","",'2. Sem'!$AV$36)</f>
        <v/>
      </c>
      <c r="AU46" s="609" t="str">
        <f>IF('2. Sem'!$AW$36="","",'2. Sem'!$AW$36)</f>
        <v/>
      </c>
      <c r="AV46" s="610" t="str">
        <f>IF('2. Sem'!$AX$36="","",'2. Sem'!$AX$36)</f>
        <v/>
      </c>
      <c r="AW46" s="611" t="str">
        <f>IF('2. Sem'!$AY$36="","",'2. Sem'!$AY$36)</f>
        <v/>
      </c>
      <c r="AX46" s="608" t="str">
        <f>IF('2. Sem'!$AZ$36="","",'2. Sem'!$AZ$36)</f>
        <v/>
      </c>
      <c r="AY46" s="611" t="str">
        <f>IF('2. Sem'!$BA$36="","",'2. Sem'!$BA$36)</f>
        <v/>
      </c>
      <c r="AZ46" s="612" t="str">
        <f>IF('2. Sem'!$BB$36="","",'2. Sem'!$BB$36)</f>
        <v/>
      </c>
      <c r="BA46" s="613" t="str">
        <f>IF('2. Sem'!$BC$36="","",'2. Sem'!$BC$36)</f>
        <v/>
      </c>
      <c r="BB46" s="607" t="str">
        <f>IF('2. Sem'!$BD$36="","",'2. Sem'!$BD$36)</f>
        <v/>
      </c>
      <c r="BC46" s="608" t="str">
        <f>IF('2. Sem'!$BE$36="","",'2. Sem'!$BE$36)</f>
        <v/>
      </c>
      <c r="BD46" s="607" t="str">
        <f>IF('2. Sem'!$BF$36="","",'2. Sem'!$BF$36)</f>
        <v/>
      </c>
      <c r="BE46" s="609" t="str">
        <f>IF('2. Sem'!$BG$36="","",'2. Sem'!$BG$36)</f>
        <v/>
      </c>
      <c r="BF46" s="610" t="str">
        <f>IF('2. Sem'!$BH$36="","",'2. Sem'!$BH$36)</f>
        <v/>
      </c>
      <c r="BG46" s="611" t="str">
        <f>IF('2. Sem'!$BI$36="","",'2. Sem'!$BI$36)</f>
        <v/>
      </c>
      <c r="BH46" s="608" t="str">
        <f>IF('2. Sem'!$BJ$36="","",'2. Sem'!$BJ$36)</f>
        <v/>
      </c>
      <c r="BI46" s="611" t="str">
        <f>IF('2. Sem'!$BK$36="","",'2. Sem'!$BK$36)</f>
        <v/>
      </c>
      <c r="BJ46" s="612" t="str">
        <f>IF('2. Sem'!$BL$36="","",'2. Sem'!$BL$36)</f>
        <v/>
      </c>
      <c r="BK46" s="613" t="str">
        <f>IF('2. Sem'!$BM$36="","",'2. Sem'!$BM$36)</f>
        <v/>
      </c>
      <c r="BL46" s="607" t="str">
        <f>IF('2. Sem'!$BN$36="","",'2. Sem'!$BN$36)</f>
        <v/>
      </c>
      <c r="BM46" s="608" t="str">
        <f>IF('2. Sem'!$BO$36="","",'2. Sem'!$BO$36)</f>
        <v/>
      </c>
      <c r="BN46" s="607" t="str">
        <f>IF('2. Sem'!$BP$36="","",'2. Sem'!$BP$36)</f>
        <v/>
      </c>
      <c r="BO46" s="609" t="str">
        <f>IF('2. Sem'!$BQ$36="","",'2. Sem'!$BQ$36)</f>
        <v/>
      </c>
      <c r="BP46" s="610" t="str">
        <f>IF('2. Sem'!$BR$36="","",'2. Sem'!$BR$36)</f>
        <v/>
      </c>
      <c r="BQ46" s="611" t="str">
        <f>IF('2. Sem'!$BS$36="","",'2. Sem'!$BS$36)</f>
        <v/>
      </c>
      <c r="BR46" s="608" t="str">
        <f>IF('2. Sem'!$BT$36="","",'2. Sem'!$BT$36)</f>
        <v/>
      </c>
      <c r="BS46" s="608" t="str">
        <f>IF('2. Sem'!$BU$36="","",'2. Sem'!$BU$36)</f>
        <v/>
      </c>
      <c r="BT46" s="615" t="str">
        <f>IF('2. Sem'!$BV$36="","",'2. Sem'!$BV$36)</f>
        <v/>
      </c>
      <c r="BU46" s="613" t="str">
        <f>IF('2. Sem'!$BW$36="","",'2. Sem'!$BW$36)</f>
        <v/>
      </c>
      <c r="BV46" s="607" t="str">
        <f>IF('2. Sem'!$BX$36="","",'2. Sem'!$BX$36)</f>
        <v/>
      </c>
      <c r="BW46" s="608" t="str">
        <f>IF('2. Sem'!$BY$36="","",'2. Sem'!$BY$36)</f>
        <v/>
      </c>
      <c r="BX46" s="607" t="str">
        <f>IF('2. Sem'!$BZ$36="","",'2. Sem'!$BZ$36)</f>
        <v/>
      </c>
      <c r="BY46" s="609" t="str">
        <f>IF('2. Sem'!$CA$36="","",'2. Sem'!$CA$36)</f>
        <v/>
      </c>
      <c r="BZ46" s="616" t="str">
        <f>IF('2. Sem'!$CB$36="","",'2. Sem'!$CB$36)</f>
        <v/>
      </c>
      <c r="CA46" s="611" t="str">
        <f>IF('2. Sem'!$CC$36="","",'2. Sem'!$CC$36)</f>
        <v/>
      </c>
      <c r="CB46" s="608" t="str">
        <f>IF('2. Sem'!$CD$36="","",'2. Sem'!$CD$36)</f>
        <v/>
      </c>
      <c r="CC46" s="611" t="str">
        <f>IF('2. Sem'!$CE$36="","",'2. Sem'!$CE$36)</f>
        <v/>
      </c>
      <c r="CD46" s="612" t="str">
        <f>IF('2. Sem'!$CF$36="","",'2. Sem'!$CF$36)</f>
        <v/>
      </c>
      <c r="CE46" s="613" t="str">
        <f>IF('2. Sem'!$CG$36="","",'2. Sem'!$CG$36)</f>
        <v/>
      </c>
      <c r="CF46" s="607" t="str">
        <f>IF('2. Sem'!$CH$36="","",'2. Sem'!$CH$36)</f>
        <v/>
      </c>
      <c r="CG46" s="608" t="str">
        <f>IF('2. Sem'!$CI$36="","",'2. Sem'!$CI$36)</f>
        <v/>
      </c>
      <c r="CH46" s="607" t="str">
        <f>IF('2. Sem'!$CJ$36="","",'2. Sem'!$CJ$36)</f>
        <v/>
      </c>
      <c r="CI46" s="609" t="str">
        <f>IF('2. Sem'!$CK$36="","",'2. Sem'!$CK$36)</f>
        <v/>
      </c>
      <c r="CJ46" s="610" t="str">
        <f>IF('2. Sem'!$CL$36="","",'2. Sem'!$CL$36)</f>
        <v/>
      </c>
      <c r="CK46" s="611" t="str">
        <f>IF('2. Sem'!$CM$36="","",'2. Sem'!$CM$36)</f>
        <v/>
      </c>
      <c r="CL46" s="608" t="str">
        <f>IF('2. Sem'!$CN$36="","",'2. Sem'!$CN$36)</f>
        <v/>
      </c>
      <c r="CM46" s="611" t="str">
        <f>IF('2. Sem'!$CO$36="","",'2. Sem'!$CO$36)</f>
        <v/>
      </c>
      <c r="CN46" s="612" t="str">
        <f>IF('2. Sem'!$CP$36="","",'2. Sem'!$CP$36)</f>
        <v/>
      </c>
      <c r="CO46" s="613" t="str">
        <f>IF('2. Sem'!$CQ$36="","",'2. Sem'!$CQ$36)</f>
        <v/>
      </c>
      <c r="CP46" s="607" t="str">
        <f>IF('2. Sem'!$CR$36="","",'2. Sem'!$CR$36)</f>
        <v/>
      </c>
      <c r="CQ46" s="608" t="str">
        <f>IF('2. Sem'!$CS$36="","",'2. Sem'!$CS$36)</f>
        <v/>
      </c>
      <c r="CR46" s="607" t="str">
        <f>IF('2. Sem'!$CT$36="","",'2. Sem'!$CT$36)</f>
        <v/>
      </c>
      <c r="CS46" s="609" t="str">
        <f>IF('2. Sem'!$CU$36="","",'2. Sem'!$CU$36)</f>
        <v/>
      </c>
      <c r="CT46" s="610" t="str">
        <f>IF('2. Sem'!$CV$36="","",'2. Sem'!$CV$36)</f>
        <v/>
      </c>
      <c r="CU46" s="611" t="str">
        <f>IF('2. Sem'!$CW$36="","",'2. Sem'!$CW$36)</f>
        <v/>
      </c>
      <c r="CV46" s="608" t="str">
        <f>IF('2. Sem'!$CX$36="","",'2. Sem'!$CX$36)</f>
        <v/>
      </c>
      <c r="CW46" s="611" t="str">
        <f>IF('2. Sem'!$CY$36="","",'2. Sem'!$CY$36)</f>
        <v/>
      </c>
      <c r="CX46" s="612" t="str">
        <f>IF('2. Sem'!$CZ$36="","",'2. Sem'!$CZ$36)</f>
        <v/>
      </c>
      <c r="CY46" s="613" t="str">
        <f>IF('2. Sem'!$DA$36="","",'2. Sem'!$DA$36)</f>
        <v/>
      </c>
      <c r="CZ46" s="607" t="str">
        <f>IF('2. Sem'!$DB$36="","",'2. Sem'!$DB$36)</f>
        <v/>
      </c>
      <c r="DA46" s="608" t="str">
        <f>IF('2. Sem'!$DC$36="","",'2. Sem'!$DC$36)</f>
        <v/>
      </c>
      <c r="DB46" s="607" t="str">
        <f>IF('2. Sem'!$DD$36="","",'2. Sem'!$DD$36)</f>
        <v/>
      </c>
      <c r="DC46" s="609" t="str">
        <f>IF('2. Sem'!$DE$36="","",'2. Sem'!$DE$36)</f>
        <v/>
      </c>
    </row>
    <row r="47" spans="1:107" ht="16" customHeight="1" x14ac:dyDescent="0.2">
      <c r="A47" s="566"/>
      <c r="B47" s="579" t="s">
        <v>24</v>
      </c>
      <c r="C47" s="617" t="str">
        <f>IF('2. Sem'!$E$37="","",'2. Sem'!$E$37)</f>
        <v/>
      </c>
      <c r="D47" s="618" t="str">
        <f>IF('2. Sem'!$F$37="","",'2. Sem'!$F$37)</f>
        <v/>
      </c>
      <c r="E47" s="618" t="str">
        <f>IF('2. Sem'!$G$37="","",'2. Sem'!$G$37)</f>
        <v/>
      </c>
      <c r="F47" s="618" t="str">
        <f>IF('2. Sem'!$H$37="","",'2. Sem'!$H$37)</f>
        <v/>
      </c>
      <c r="G47" s="619" t="str">
        <f>IF('2. Sem'!$I$37="","",'2. Sem'!$I$37)</f>
        <v/>
      </c>
      <c r="H47" s="620" t="str">
        <f>IF('2. Sem'!$J$37="","",'2. Sem'!$J$37)</f>
        <v/>
      </c>
      <c r="I47" s="621" t="str">
        <f>IF('2. Sem'!$K$37="","",'2. Sem'!$K$37)</f>
        <v/>
      </c>
      <c r="J47" s="621" t="str">
        <f>IF('2. Sem'!$L$37="","",'2. Sem'!$L$37)</f>
        <v/>
      </c>
      <c r="K47" s="621" t="str">
        <f>IF('2. Sem'!$M$37="","",'2. Sem'!$M$37)</f>
        <v/>
      </c>
      <c r="L47" s="622" t="str">
        <f>IF('2. Sem'!$N$37="","",'2. Sem'!$N$37)</f>
        <v/>
      </c>
      <c r="M47" s="617" t="str">
        <f>IF('2. Sem'!$O$37="","",'2. Sem'!$O$37)</f>
        <v/>
      </c>
      <c r="N47" s="618" t="str">
        <f>IF('2. Sem'!$P$37="","",'2. Sem'!$P$37)</f>
        <v/>
      </c>
      <c r="O47" s="618" t="str">
        <f>IF('2. Sem'!$Q$37="","",'2. Sem'!$Q$37)</f>
        <v/>
      </c>
      <c r="P47" s="618" t="str">
        <f>IF('2. Sem'!$R$37="","",'2. Sem'!$R$37)</f>
        <v/>
      </c>
      <c r="Q47" s="619" t="str">
        <f>IF('2. Sem'!$S$37="","",'2. Sem'!$S$37)</f>
        <v/>
      </c>
      <c r="R47" s="620" t="str">
        <f>IF('2. Sem'!$T$37="","",'2. Sem'!$T$37)</f>
        <v/>
      </c>
      <c r="S47" s="621" t="str">
        <f>IF('2. Sem'!$U$37="","",'2. Sem'!$U$37)</f>
        <v/>
      </c>
      <c r="T47" s="621" t="str">
        <f>IF('2. Sem'!$V$37="","",'2. Sem'!$V$37)</f>
        <v/>
      </c>
      <c r="U47" s="621" t="str">
        <f>IF('2. Sem'!$W$37="","",'2. Sem'!$W$37)</f>
        <v/>
      </c>
      <c r="V47" s="622" t="str">
        <f>IF('2. Sem'!$X$37="","",'2. Sem'!$X$37)</f>
        <v/>
      </c>
      <c r="W47" s="617" t="str">
        <f>IF('2. Sem'!$Y$37="","",'2. Sem'!$Y$37)</f>
        <v/>
      </c>
      <c r="X47" s="618" t="str">
        <f>IF('2. Sem'!$Z$37="","",'2. Sem'!$Z$37)</f>
        <v/>
      </c>
      <c r="Y47" s="618" t="str">
        <f>IF('2. Sem'!$AA$37="","",'2. Sem'!$AA$37)</f>
        <v/>
      </c>
      <c r="Z47" s="618" t="str">
        <f>IF('2. Sem'!$AB$37="","",'2. Sem'!$AB$37)</f>
        <v/>
      </c>
      <c r="AA47" s="619" t="str">
        <f>IF('2. Sem'!$AC$37="","",'2. Sem'!$AC$37)</f>
        <v/>
      </c>
      <c r="AB47" s="620" t="str">
        <f>IF('2. Sem'!$AD$37="","",'2. Sem'!$AD$37)</f>
        <v/>
      </c>
      <c r="AC47" s="621" t="str">
        <f>IF('2. Sem'!$AE$37="","",'2. Sem'!$AE$37)</f>
        <v/>
      </c>
      <c r="AD47" s="621" t="str">
        <f>IF('2. Sem'!$AF$37="","",'2. Sem'!$AF$37)</f>
        <v/>
      </c>
      <c r="AE47" s="621" t="str">
        <f>IF('2. Sem'!$AG$37="","",'2. Sem'!$AG$37)</f>
        <v/>
      </c>
      <c r="AF47" s="622" t="str">
        <f>IF('2. Sem'!$AH$37="","",'2. Sem'!$AH$37)</f>
        <v/>
      </c>
      <c r="AG47" s="617" t="str">
        <f>IF('2. Sem'!$AI$37="","",'2. Sem'!$AI$37)</f>
        <v/>
      </c>
      <c r="AH47" s="618" t="str">
        <f>IF('2. Sem'!$AJ$37="","",'2. Sem'!$AJ$37)</f>
        <v/>
      </c>
      <c r="AI47" s="618" t="str">
        <f>IF('2. Sem'!$AK$37="","",'2. Sem'!$AK$37)</f>
        <v/>
      </c>
      <c r="AJ47" s="618" t="str">
        <f>IF('2. Sem'!$AL$37="","",'2. Sem'!$AL$37)</f>
        <v/>
      </c>
      <c r="AK47" s="619" t="str">
        <f>IF('2. Sem'!$AM$37="","",'2. Sem'!$AM$37)</f>
        <v/>
      </c>
      <c r="AL47" s="620" t="str">
        <f>IF('2. Sem'!$AN$37="","",'2. Sem'!$AN$37)</f>
        <v/>
      </c>
      <c r="AM47" s="621" t="str">
        <f>IF('2. Sem'!$AO$37="","",'2. Sem'!$AO$37)</f>
        <v/>
      </c>
      <c r="AN47" s="621" t="str">
        <f>IF('2. Sem'!$AP$37="","",'2. Sem'!$AP$37)</f>
        <v/>
      </c>
      <c r="AO47" s="621" t="str">
        <f>IF('2. Sem'!$AQ$37="","",'2. Sem'!$AQ$37)</f>
        <v/>
      </c>
      <c r="AP47" s="622" t="str">
        <f>IF('2. Sem'!$AR$37="","",'2. Sem'!$AR$37)</f>
        <v/>
      </c>
      <c r="AQ47" s="617" t="str">
        <f>IF('2. Sem'!$AS$37="","",'2. Sem'!$AS$37)</f>
        <v/>
      </c>
      <c r="AR47" s="618" t="str">
        <f>IF('2. Sem'!$AT$37="","",'2. Sem'!$AT$37)</f>
        <v/>
      </c>
      <c r="AS47" s="618" t="str">
        <f>IF('2. Sem'!$AU$37="","",'2. Sem'!$AU$37)</f>
        <v/>
      </c>
      <c r="AT47" s="618" t="str">
        <f>IF('2. Sem'!$AV$37="","",'2. Sem'!$AV$37)</f>
        <v/>
      </c>
      <c r="AU47" s="619" t="str">
        <f>IF('2. Sem'!$AW$37="","",'2. Sem'!$AW$37)</f>
        <v/>
      </c>
      <c r="AV47" s="620" t="str">
        <f>IF('2. Sem'!$AX$37="","",'2. Sem'!$AX$37)</f>
        <v/>
      </c>
      <c r="AW47" s="621" t="str">
        <f>IF('2. Sem'!$AY$37="","",'2. Sem'!$AY$37)</f>
        <v/>
      </c>
      <c r="AX47" s="621" t="str">
        <f>IF('2. Sem'!$AZ$37="","",'2. Sem'!$AZ$37)</f>
        <v/>
      </c>
      <c r="AY47" s="621" t="str">
        <f>IF('2. Sem'!$BA$37="","",'2. Sem'!$BA$37)</f>
        <v/>
      </c>
      <c r="AZ47" s="622" t="str">
        <f>IF('2. Sem'!$BB$37="","",'2. Sem'!$BB$37)</f>
        <v/>
      </c>
      <c r="BA47" s="617" t="str">
        <f>IF('2. Sem'!$BC$37="","",'2. Sem'!$BC$37)</f>
        <v/>
      </c>
      <c r="BB47" s="618" t="str">
        <f>IF('2. Sem'!$BD$37="","",'2. Sem'!$BD$37)</f>
        <v/>
      </c>
      <c r="BC47" s="618" t="str">
        <f>IF('2. Sem'!$BE$37="","",'2. Sem'!$BE$37)</f>
        <v/>
      </c>
      <c r="BD47" s="618" t="str">
        <f>IF('2. Sem'!$BF$37="","",'2. Sem'!$BF$37)</f>
        <v/>
      </c>
      <c r="BE47" s="619" t="str">
        <f>IF('2. Sem'!$BG$37="","",'2. Sem'!$BG$37)</f>
        <v/>
      </c>
      <c r="BF47" s="620" t="str">
        <f>IF('2. Sem'!$BH$37="","",'2. Sem'!$BH$37)</f>
        <v/>
      </c>
      <c r="BG47" s="621" t="str">
        <f>IF('2. Sem'!$BI$37="","",'2. Sem'!$BI$37)</f>
        <v/>
      </c>
      <c r="BH47" s="621" t="str">
        <f>IF('2. Sem'!$BJ$37="","",'2. Sem'!$BJ$37)</f>
        <v/>
      </c>
      <c r="BI47" s="621" t="str">
        <f>IF('2. Sem'!$BK$37="","",'2. Sem'!$BK$37)</f>
        <v/>
      </c>
      <c r="BJ47" s="622" t="str">
        <f>IF('2. Sem'!$BL$37="","",'2. Sem'!$BL$37)</f>
        <v/>
      </c>
      <c r="BK47" s="617" t="str">
        <f>IF('2. Sem'!$BM$37="","",'2. Sem'!$BM$37)</f>
        <v/>
      </c>
      <c r="BL47" s="618" t="str">
        <f>IF('2. Sem'!$BN$37="","",'2. Sem'!$BN$37)</f>
        <v/>
      </c>
      <c r="BM47" s="618" t="str">
        <f>IF('2. Sem'!$BO$37="","",'2. Sem'!$BO$37)</f>
        <v/>
      </c>
      <c r="BN47" s="618" t="str">
        <f>IF('2. Sem'!$BP$37="","",'2. Sem'!$BP$37)</f>
        <v/>
      </c>
      <c r="BO47" s="619" t="str">
        <f>IF('2. Sem'!$BQ$37="","",'2. Sem'!$BQ$37)</f>
        <v/>
      </c>
      <c r="BP47" s="620" t="str">
        <f>IF('2. Sem'!$BR$37="","",'2. Sem'!$BR$37)</f>
        <v/>
      </c>
      <c r="BQ47" s="621" t="str">
        <f>IF('2. Sem'!$BS$37="","",'2. Sem'!$BS$37)</f>
        <v/>
      </c>
      <c r="BR47" s="621" t="str">
        <f>IF('2. Sem'!$BT$37="","",'2. Sem'!$BT$37)</f>
        <v/>
      </c>
      <c r="BS47" s="621" t="str">
        <f>IF('2. Sem'!$BU$37="","",'2. Sem'!$BU$37)</f>
        <v/>
      </c>
      <c r="BT47" s="622" t="str">
        <f>IF('2. Sem'!$BV$37="","",'2. Sem'!$BV$37)</f>
        <v/>
      </c>
      <c r="BU47" s="617" t="str">
        <f>IF('2. Sem'!$BW$37="","",'2. Sem'!$BW$37)</f>
        <v/>
      </c>
      <c r="BV47" s="618" t="str">
        <f>IF('2. Sem'!$BX$37="","",'2. Sem'!$BX$37)</f>
        <v/>
      </c>
      <c r="BW47" s="618" t="str">
        <f>IF('2. Sem'!$BY$37="","",'2. Sem'!$BY$37)</f>
        <v/>
      </c>
      <c r="BX47" s="618" t="str">
        <f>IF('2. Sem'!$BZ$37="","",'2. Sem'!$BZ$37)</f>
        <v/>
      </c>
      <c r="BY47" s="619" t="str">
        <f>IF('2. Sem'!$CA$37="","",'2. Sem'!$CA$37)</f>
        <v/>
      </c>
      <c r="BZ47" s="620" t="str">
        <f>IF('2. Sem'!$CB$37="","",'2. Sem'!$CB$37)</f>
        <v/>
      </c>
      <c r="CA47" s="621" t="str">
        <f>IF('2. Sem'!$CC$37="","",'2. Sem'!$CC$37)</f>
        <v/>
      </c>
      <c r="CB47" s="621" t="str">
        <f>IF('2. Sem'!$CD$37="","",'2. Sem'!$CD$37)</f>
        <v/>
      </c>
      <c r="CC47" s="621" t="str">
        <f>IF('2. Sem'!$CE$37="","",'2. Sem'!$CE$37)</f>
        <v/>
      </c>
      <c r="CD47" s="622" t="str">
        <f>IF('2. Sem'!$CF$37="","",'2. Sem'!$CF$37)</f>
        <v/>
      </c>
      <c r="CE47" s="617" t="str">
        <f>IF('2. Sem'!$CG$37="","",'2. Sem'!$CG$37)</f>
        <v/>
      </c>
      <c r="CF47" s="618" t="str">
        <f>IF('2. Sem'!$CH$37="","",'2. Sem'!$CH$37)</f>
        <v/>
      </c>
      <c r="CG47" s="618" t="str">
        <f>IF('2. Sem'!$CI$37="","",'2. Sem'!$CI$37)</f>
        <v/>
      </c>
      <c r="CH47" s="618" t="str">
        <f>IF('2. Sem'!$CJ$37="","",'2. Sem'!$CJ$37)</f>
        <v/>
      </c>
      <c r="CI47" s="619" t="str">
        <f>IF('2. Sem'!$CK$37="","",'2. Sem'!$CK$37)</f>
        <v/>
      </c>
      <c r="CJ47" s="620" t="str">
        <f>IF('2. Sem'!$CL$37="","",'2. Sem'!$CL$37)</f>
        <v/>
      </c>
      <c r="CK47" s="621" t="str">
        <f>IF('2. Sem'!$CM$37="","",'2. Sem'!$CM$37)</f>
        <v/>
      </c>
      <c r="CL47" s="621" t="str">
        <f>IF('2. Sem'!$CN$37="","",'2. Sem'!$CN$37)</f>
        <v/>
      </c>
      <c r="CM47" s="621" t="str">
        <f>IF('2. Sem'!$CO$37="","",'2. Sem'!$CO$37)</f>
        <v/>
      </c>
      <c r="CN47" s="622" t="str">
        <f>IF('2. Sem'!$CP$37="","",'2. Sem'!$CP$37)</f>
        <v/>
      </c>
      <c r="CO47" s="617" t="str">
        <f>IF('2. Sem'!$CQ$37="","",'2. Sem'!$CQ$37)</f>
        <v/>
      </c>
      <c r="CP47" s="618" t="str">
        <f>IF('2. Sem'!$CR$37="","",'2. Sem'!$CR$37)</f>
        <v/>
      </c>
      <c r="CQ47" s="618" t="str">
        <f>IF('2. Sem'!$CS$37="","",'2. Sem'!$CS$37)</f>
        <v/>
      </c>
      <c r="CR47" s="618" t="str">
        <f>IF('2. Sem'!$CT$37="","",'2. Sem'!$CT$37)</f>
        <v/>
      </c>
      <c r="CS47" s="619" t="str">
        <f>IF('2. Sem'!$CU$37="","",'2. Sem'!$CU$37)</f>
        <v/>
      </c>
      <c r="CT47" s="620" t="str">
        <f>IF('2. Sem'!$CV$37="","",'2. Sem'!$CV$37)</f>
        <v/>
      </c>
      <c r="CU47" s="621" t="str">
        <f>IF('2. Sem'!$CW$37="","",'2. Sem'!$CW$37)</f>
        <v/>
      </c>
      <c r="CV47" s="621" t="str">
        <f>IF('2. Sem'!$CX$37="","",'2. Sem'!$CX$37)</f>
        <v/>
      </c>
      <c r="CW47" s="621" t="str">
        <f>IF('2. Sem'!$CY$37="","",'2. Sem'!$CY$37)</f>
        <v/>
      </c>
      <c r="CX47" s="622" t="str">
        <f>IF('2. Sem'!$CZ$37="","",'2. Sem'!$CZ$37)</f>
        <v/>
      </c>
      <c r="CY47" s="617" t="str">
        <f>IF('2. Sem'!$DA$37="","",'2. Sem'!$DA$37)</f>
        <v/>
      </c>
      <c r="CZ47" s="618" t="str">
        <f>IF('2. Sem'!$DB$37="","",'2. Sem'!$DB$37)</f>
        <v/>
      </c>
      <c r="DA47" s="618" t="str">
        <f>IF('2. Sem'!$DC$37="","",'2. Sem'!$DC$37)</f>
        <v/>
      </c>
      <c r="DB47" s="618" t="str">
        <f>IF('2. Sem'!$DD$37="","",'2. Sem'!$DD$37)</f>
        <v/>
      </c>
      <c r="DC47" s="619" t="str">
        <f>IF('2. Sem'!$DE$37="","",'2. Sem'!$DE$37)</f>
        <v/>
      </c>
    </row>
    <row r="48" spans="1:107" ht="16" customHeight="1" x14ac:dyDescent="0.2">
      <c r="A48" s="566"/>
      <c r="B48" s="579" t="s">
        <v>30</v>
      </c>
      <c r="C48" s="623" t="str">
        <f>IF('2. Sem'!$E$38="","",'2. Sem'!$E$38)</f>
        <v/>
      </c>
      <c r="D48" s="624" t="str">
        <f>IF('2. Sem'!$F$38="","",'2. Sem'!$F$38)</f>
        <v/>
      </c>
      <c r="E48" s="624" t="str">
        <f>IF('2. Sem'!$G$38="","",'2. Sem'!$G$38)</f>
        <v/>
      </c>
      <c r="F48" s="624" t="str">
        <f>IF('2. Sem'!$H$38="","",'2. Sem'!$H$38)</f>
        <v/>
      </c>
      <c r="G48" s="625" t="str">
        <f>IF('2. Sem'!$I$38="","",'2. Sem'!$I$38)</f>
        <v/>
      </c>
      <c r="H48" s="626" t="str">
        <f>IF('2. Sem'!$J$38="","",'2. Sem'!$J$38)</f>
        <v/>
      </c>
      <c r="I48" s="627" t="str">
        <f>IF('2. Sem'!$K$38="","",'2. Sem'!$K$38)</f>
        <v/>
      </c>
      <c r="J48" s="627" t="str">
        <f>IF('2. Sem'!$L$38="","",'2. Sem'!$L$38)</f>
        <v/>
      </c>
      <c r="K48" s="627" t="str">
        <f>IF('2. Sem'!$M$38="","",'2. Sem'!$M$38)</f>
        <v/>
      </c>
      <c r="L48" s="628" t="str">
        <f>IF('2. Sem'!$N$38="","",'2. Sem'!$N$38)</f>
        <v/>
      </c>
      <c r="M48" s="623" t="str">
        <f>IF('2. Sem'!$O$38="","",'2. Sem'!$O$38)</f>
        <v/>
      </c>
      <c r="N48" s="624" t="str">
        <f>IF('2. Sem'!$P$38="","",'2. Sem'!$P$38)</f>
        <v/>
      </c>
      <c r="O48" s="624" t="str">
        <f>IF('2. Sem'!$Q$38="","",'2. Sem'!$Q$38)</f>
        <v/>
      </c>
      <c r="P48" s="624" t="str">
        <f>IF('2. Sem'!$R$38="","",'2. Sem'!$R$38)</f>
        <v/>
      </c>
      <c r="Q48" s="625" t="str">
        <f>IF('2. Sem'!$S$38="","",'2. Sem'!$S$38)</f>
        <v/>
      </c>
      <c r="R48" s="626" t="str">
        <f>IF('2. Sem'!$T$38="","",'2. Sem'!$T$38)</f>
        <v/>
      </c>
      <c r="S48" s="627" t="str">
        <f>IF('2. Sem'!$U$38="","",'2. Sem'!$U$38)</f>
        <v/>
      </c>
      <c r="T48" s="627" t="str">
        <f>IF('2. Sem'!$V$38="","",'2. Sem'!$V$38)</f>
        <v/>
      </c>
      <c r="U48" s="627" t="str">
        <f>IF('2. Sem'!$W$38="","",'2. Sem'!$W$38)</f>
        <v/>
      </c>
      <c r="V48" s="628" t="str">
        <f>IF('2. Sem'!$X$38="","",'2. Sem'!$X$38)</f>
        <v/>
      </c>
      <c r="W48" s="623" t="str">
        <f>IF('2. Sem'!$Y$38="","",'2. Sem'!$Y$38)</f>
        <v/>
      </c>
      <c r="X48" s="624" t="str">
        <f>IF('2. Sem'!$Z$38="","",'2. Sem'!$Z$38)</f>
        <v/>
      </c>
      <c r="Y48" s="624" t="str">
        <f>IF('2. Sem'!$AA$38="","",'2. Sem'!$AA$38)</f>
        <v/>
      </c>
      <c r="Z48" s="624" t="str">
        <f>IF('2. Sem'!$AB$38="","",'2. Sem'!$AB$38)</f>
        <v/>
      </c>
      <c r="AA48" s="625" t="str">
        <f>IF('2. Sem'!$AC$38="","",'2. Sem'!$AC$38)</f>
        <v/>
      </c>
      <c r="AB48" s="626" t="str">
        <f>IF('2. Sem'!$AD$38="","",'2. Sem'!$AD$38)</f>
        <v/>
      </c>
      <c r="AC48" s="627" t="str">
        <f>IF('2. Sem'!$AE$38="","",'2. Sem'!$AE$38)</f>
        <v/>
      </c>
      <c r="AD48" s="627" t="str">
        <f>IF('2. Sem'!$AF$38="","",'2. Sem'!$AF$38)</f>
        <v/>
      </c>
      <c r="AE48" s="627" t="str">
        <f>IF('2. Sem'!$AG$38="","",'2. Sem'!$AG$38)</f>
        <v/>
      </c>
      <c r="AF48" s="628" t="str">
        <f>IF('2. Sem'!$AH$38="","",'2. Sem'!$AH$38)</f>
        <v/>
      </c>
      <c r="AG48" s="623" t="str">
        <f>IF('2. Sem'!$AI$38="","",'2. Sem'!$AI$38)</f>
        <v/>
      </c>
      <c r="AH48" s="624" t="str">
        <f>IF('2. Sem'!$AJ$38="","",'2. Sem'!$AJ$38)</f>
        <v/>
      </c>
      <c r="AI48" s="624" t="str">
        <f>IF('2. Sem'!$AK$38="","",'2. Sem'!$AK$38)</f>
        <v/>
      </c>
      <c r="AJ48" s="624" t="str">
        <f>IF('2. Sem'!$AL$38="","",'2. Sem'!$AL$38)</f>
        <v/>
      </c>
      <c r="AK48" s="625" t="str">
        <f>IF('2. Sem'!$AM$38="","",'2. Sem'!$AM$38)</f>
        <v/>
      </c>
      <c r="AL48" s="626" t="str">
        <f>IF('2. Sem'!$AN$38="","",'2. Sem'!$AN$38)</f>
        <v/>
      </c>
      <c r="AM48" s="627" t="str">
        <f>IF('2. Sem'!$AO$38="","",'2. Sem'!$AO$38)</f>
        <v/>
      </c>
      <c r="AN48" s="627" t="str">
        <f>IF('2. Sem'!$AP$38="","",'2. Sem'!$AP$38)</f>
        <v/>
      </c>
      <c r="AO48" s="627" t="str">
        <f>IF('2. Sem'!$AQ$38="","",'2. Sem'!$AQ$38)</f>
        <v/>
      </c>
      <c r="AP48" s="628" t="str">
        <f>IF('2. Sem'!$AR$38="","",'2. Sem'!$AR$38)</f>
        <v/>
      </c>
      <c r="AQ48" s="623" t="str">
        <f>IF('2. Sem'!$AS$38="","",'2. Sem'!$AS$38)</f>
        <v/>
      </c>
      <c r="AR48" s="624" t="str">
        <f>IF('2. Sem'!$AT$38="","",'2. Sem'!$AT$38)</f>
        <v/>
      </c>
      <c r="AS48" s="624" t="str">
        <f>IF('2. Sem'!$AU$38="","",'2. Sem'!$AU$38)</f>
        <v/>
      </c>
      <c r="AT48" s="624" t="str">
        <f>IF('2. Sem'!$AV$38="","",'2. Sem'!$AV$38)</f>
        <v/>
      </c>
      <c r="AU48" s="625" t="str">
        <f>IF('2. Sem'!$AW$38="","",'2. Sem'!$AW$38)</f>
        <v/>
      </c>
      <c r="AV48" s="626" t="str">
        <f>IF('2. Sem'!$AX$38="","",'2. Sem'!$AX$38)</f>
        <v/>
      </c>
      <c r="AW48" s="627" t="str">
        <f>IF('2. Sem'!$AY$38="","",'2. Sem'!$AY$38)</f>
        <v/>
      </c>
      <c r="AX48" s="627" t="str">
        <f>IF('2. Sem'!$AZ$38="","",'2. Sem'!$AZ$38)</f>
        <v/>
      </c>
      <c r="AY48" s="627" t="str">
        <f>IF('2. Sem'!$BA$38="","",'2. Sem'!$BA$38)</f>
        <v/>
      </c>
      <c r="AZ48" s="628" t="str">
        <f>IF('2. Sem'!$BB$38="","",'2. Sem'!$BB$38)</f>
        <v/>
      </c>
      <c r="BA48" s="623" t="str">
        <f>IF('2. Sem'!$BC$38="","",'2. Sem'!$BC$38)</f>
        <v/>
      </c>
      <c r="BB48" s="624" t="str">
        <f>IF('2. Sem'!$BD$38="","",'2. Sem'!$BD$38)</f>
        <v/>
      </c>
      <c r="BC48" s="624" t="str">
        <f>IF('2. Sem'!$BE$38="","",'2. Sem'!$BE$38)</f>
        <v/>
      </c>
      <c r="BD48" s="624" t="str">
        <f>IF('2. Sem'!$BF$38="","",'2. Sem'!$BF$38)</f>
        <v/>
      </c>
      <c r="BE48" s="625" t="str">
        <f>IF('2. Sem'!$BG$38="","",'2. Sem'!$BG$38)</f>
        <v/>
      </c>
      <c r="BF48" s="626" t="str">
        <f>IF('2. Sem'!$BH$38="","",'2. Sem'!$BH$38)</f>
        <v/>
      </c>
      <c r="BG48" s="627" t="str">
        <f>IF('2. Sem'!$BI$38="","",'2. Sem'!$BI$38)</f>
        <v/>
      </c>
      <c r="BH48" s="627" t="str">
        <f>IF('2. Sem'!$BJ$38="","",'2. Sem'!$BJ$38)</f>
        <v/>
      </c>
      <c r="BI48" s="627" t="str">
        <f>IF('2. Sem'!$BK$38="","",'2. Sem'!$BK$38)</f>
        <v/>
      </c>
      <c r="BJ48" s="628" t="str">
        <f>IF('2. Sem'!$BL$38="","",'2. Sem'!$BL$38)</f>
        <v/>
      </c>
      <c r="BK48" s="623" t="str">
        <f>IF('2. Sem'!$BM$38="","",'2. Sem'!$BM$38)</f>
        <v/>
      </c>
      <c r="BL48" s="624" t="str">
        <f>IF('2. Sem'!$BN$38="","",'2. Sem'!$BN$38)</f>
        <v/>
      </c>
      <c r="BM48" s="624" t="str">
        <f>IF('2. Sem'!$BO$38="","",'2. Sem'!$BO$38)</f>
        <v/>
      </c>
      <c r="BN48" s="624" t="str">
        <f>IF('2. Sem'!$BP$38="","",'2. Sem'!$BP$38)</f>
        <v/>
      </c>
      <c r="BO48" s="625" t="str">
        <f>IF('2. Sem'!$BQ$38="","",'2. Sem'!$BQ$38)</f>
        <v/>
      </c>
      <c r="BP48" s="626" t="str">
        <f>IF('2. Sem'!$BR$38="","",'2. Sem'!$BR$38)</f>
        <v/>
      </c>
      <c r="BQ48" s="627" t="str">
        <f>IF('2. Sem'!$BS$38="","",'2. Sem'!$BS$38)</f>
        <v/>
      </c>
      <c r="BR48" s="627" t="str">
        <f>IF('2. Sem'!$BT$38="","",'2. Sem'!$BT$38)</f>
        <v/>
      </c>
      <c r="BS48" s="627" t="str">
        <f>IF('2. Sem'!$BU$38="","",'2. Sem'!$BU$38)</f>
        <v/>
      </c>
      <c r="BT48" s="628" t="str">
        <f>IF('2. Sem'!$BV$38="","",'2. Sem'!$BV$38)</f>
        <v/>
      </c>
      <c r="BU48" s="623" t="str">
        <f>IF('2. Sem'!$BW$38="","",'2. Sem'!$BW$38)</f>
        <v/>
      </c>
      <c r="BV48" s="624" t="str">
        <f>IF('2. Sem'!$BX$38="","",'2. Sem'!$BX$38)</f>
        <v/>
      </c>
      <c r="BW48" s="624" t="str">
        <f>IF('2. Sem'!$BY$38="","",'2. Sem'!$BY$38)</f>
        <v/>
      </c>
      <c r="BX48" s="624" t="str">
        <f>IF('2. Sem'!$BZ$38="","",'2. Sem'!$BZ$38)</f>
        <v/>
      </c>
      <c r="BY48" s="625" t="str">
        <f>IF('2. Sem'!$CA$38="","",'2. Sem'!$CA$38)</f>
        <v/>
      </c>
      <c r="BZ48" s="626" t="str">
        <f>IF('2. Sem'!$CB$38="","",'2. Sem'!$CB$38)</f>
        <v/>
      </c>
      <c r="CA48" s="627" t="str">
        <f>IF('2. Sem'!$CC$38="","",'2. Sem'!$CC$38)</f>
        <v/>
      </c>
      <c r="CB48" s="627" t="str">
        <f>IF('2. Sem'!$CD$38="","",'2. Sem'!$CD$38)</f>
        <v/>
      </c>
      <c r="CC48" s="627" t="str">
        <f>IF('2. Sem'!$CE$38="","",'2. Sem'!$CE$38)</f>
        <v/>
      </c>
      <c r="CD48" s="628" t="str">
        <f>IF('2. Sem'!$CF$38="","",'2. Sem'!$CF$38)</f>
        <v/>
      </c>
      <c r="CE48" s="623" t="str">
        <f>IF('2. Sem'!$CG$38="","",'2. Sem'!$CG$38)</f>
        <v/>
      </c>
      <c r="CF48" s="624" t="str">
        <f>IF('2. Sem'!$CH$38="","",'2. Sem'!$CH$38)</f>
        <v/>
      </c>
      <c r="CG48" s="624" t="str">
        <f>IF('2. Sem'!$CI$38="","",'2. Sem'!$CI$38)</f>
        <v/>
      </c>
      <c r="CH48" s="624" t="str">
        <f>IF('2. Sem'!$CJ$38="","",'2. Sem'!$CJ$38)</f>
        <v/>
      </c>
      <c r="CI48" s="625" t="str">
        <f>IF('2. Sem'!$CK$38="","",'2. Sem'!$CK$38)</f>
        <v/>
      </c>
      <c r="CJ48" s="626" t="str">
        <f>IF('2. Sem'!$CL$38="","",'2. Sem'!$CL$38)</f>
        <v/>
      </c>
      <c r="CK48" s="627" t="str">
        <f>IF('2. Sem'!$CM$38="","",'2. Sem'!$CM$38)</f>
        <v/>
      </c>
      <c r="CL48" s="627" t="str">
        <f>IF('2. Sem'!$CN$38="","",'2. Sem'!$CN$38)</f>
        <v/>
      </c>
      <c r="CM48" s="627" t="str">
        <f>IF('2. Sem'!$CO$38="","",'2. Sem'!$CO$38)</f>
        <v/>
      </c>
      <c r="CN48" s="628" t="str">
        <f>IF('2. Sem'!$CP$38="","",'2. Sem'!$CP$38)</f>
        <v/>
      </c>
      <c r="CO48" s="623" t="str">
        <f>IF('2. Sem'!$CQ$38="","",'2. Sem'!$CQ$38)</f>
        <v/>
      </c>
      <c r="CP48" s="624" t="str">
        <f>IF('2. Sem'!$CR$38="","",'2. Sem'!$CR$38)</f>
        <v/>
      </c>
      <c r="CQ48" s="624" t="str">
        <f>IF('2. Sem'!$CS$38="","",'2. Sem'!$CS$38)</f>
        <v/>
      </c>
      <c r="CR48" s="624" t="str">
        <f>IF('2. Sem'!$CT$38="","",'2. Sem'!$CT$38)</f>
        <v/>
      </c>
      <c r="CS48" s="625" t="str">
        <f>IF('2. Sem'!$CU$38="","",'2. Sem'!$CU$38)</f>
        <v/>
      </c>
      <c r="CT48" s="626" t="str">
        <f>IF('2. Sem'!$CV$38="","",'2. Sem'!$CV$38)</f>
        <v/>
      </c>
      <c r="CU48" s="627" t="str">
        <f>IF('2. Sem'!$CW$38="","",'2. Sem'!$CW$38)</f>
        <v/>
      </c>
      <c r="CV48" s="627" t="str">
        <f>IF('2. Sem'!$CX$38="","",'2. Sem'!$CX$38)</f>
        <v/>
      </c>
      <c r="CW48" s="627" t="str">
        <f>IF('2. Sem'!$CY$38="","",'2. Sem'!$CY$38)</f>
        <v/>
      </c>
      <c r="CX48" s="628" t="str">
        <f>IF('2. Sem'!$CZ$38="","",'2. Sem'!$CZ$38)</f>
        <v/>
      </c>
      <c r="CY48" s="623" t="str">
        <f>IF('2. Sem'!$DA$38="","",'2. Sem'!$DA$38)</f>
        <v/>
      </c>
      <c r="CZ48" s="624" t="str">
        <f>IF('2. Sem'!$DB$38="","",'2. Sem'!$DB$38)</f>
        <v/>
      </c>
      <c r="DA48" s="624" t="str">
        <f>IF('2. Sem'!$DC$38="","",'2. Sem'!$DC$38)</f>
        <v/>
      </c>
      <c r="DB48" s="624" t="str">
        <f>IF('2. Sem'!$DD$38="","",'2. Sem'!$DD$38)</f>
        <v/>
      </c>
      <c r="DC48" s="625" t="str">
        <f>IF('2. Sem'!$DE$38="","",'2. Sem'!$DE$38)</f>
        <v/>
      </c>
    </row>
    <row r="49" spans="1:107" ht="16" customHeight="1" x14ac:dyDescent="0.2">
      <c r="A49" s="566"/>
      <c r="B49" s="579" t="s">
        <v>31</v>
      </c>
      <c r="C49" s="623" t="str">
        <f>IF('2. Sem'!$E$39="","",'2. Sem'!$E$39)</f>
        <v/>
      </c>
      <c r="D49" s="624" t="str">
        <f>IF('2. Sem'!$F$39="","",'2. Sem'!$F$39)</f>
        <v/>
      </c>
      <c r="E49" s="624" t="str">
        <f>IF('2. Sem'!$G$39="","",'2. Sem'!$G$39)</f>
        <v/>
      </c>
      <c r="F49" s="624" t="str">
        <f>IF('2. Sem'!$H$39="","",'2. Sem'!$H$39)</f>
        <v/>
      </c>
      <c r="G49" s="625" t="str">
        <f>IF('2. Sem'!$I$39="","",'2. Sem'!$I$39)</f>
        <v/>
      </c>
      <c r="H49" s="626" t="str">
        <f>IF('2. Sem'!$J$39="","",'2. Sem'!$J$39)</f>
        <v/>
      </c>
      <c r="I49" s="627" t="str">
        <f>IF('2. Sem'!$K$39="","",'2. Sem'!$K$39)</f>
        <v/>
      </c>
      <c r="J49" s="627" t="str">
        <f>IF('2. Sem'!$L$39="","",'2. Sem'!$L$39)</f>
        <v/>
      </c>
      <c r="K49" s="627" t="str">
        <f>IF('2. Sem'!$M$39="","",'2. Sem'!$M$39)</f>
        <v/>
      </c>
      <c r="L49" s="628" t="str">
        <f>IF('2. Sem'!$N$39="","",'2. Sem'!$N$39)</f>
        <v/>
      </c>
      <c r="M49" s="623" t="str">
        <f>IF('2. Sem'!$O$39="","",'2. Sem'!$O$39)</f>
        <v/>
      </c>
      <c r="N49" s="624" t="str">
        <f>IF('2. Sem'!$P$39="","",'2. Sem'!$P$39)</f>
        <v/>
      </c>
      <c r="O49" s="624" t="str">
        <f>IF('2. Sem'!$Q$39="","",'2. Sem'!$Q$39)</f>
        <v/>
      </c>
      <c r="P49" s="624" t="str">
        <f>IF('2. Sem'!$R$39="","",'2. Sem'!$R$39)</f>
        <v/>
      </c>
      <c r="Q49" s="625" t="str">
        <f>IF('2. Sem'!$S$39="","",'2. Sem'!$S$39)</f>
        <v/>
      </c>
      <c r="R49" s="626" t="str">
        <f>IF('2. Sem'!$T$39="","",'2. Sem'!$T$39)</f>
        <v/>
      </c>
      <c r="S49" s="627" t="str">
        <f>IF('2. Sem'!$U$39="","",'2. Sem'!$U$39)</f>
        <v/>
      </c>
      <c r="T49" s="627" t="str">
        <f>IF('2. Sem'!$V$39="","",'2. Sem'!$V$39)</f>
        <v/>
      </c>
      <c r="U49" s="627" t="str">
        <f>IF('2. Sem'!$W$39="","",'2. Sem'!$W$39)</f>
        <v/>
      </c>
      <c r="V49" s="628" t="str">
        <f>IF('2. Sem'!$X$39="","",'2. Sem'!$X$39)</f>
        <v/>
      </c>
      <c r="W49" s="623" t="str">
        <f>IF('2. Sem'!$Y$39="","",'2. Sem'!$Y$39)</f>
        <v/>
      </c>
      <c r="X49" s="624" t="str">
        <f>IF('2. Sem'!$Z$39="","",'2. Sem'!$Z$39)</f>
        <v/>
      </c>
      <c r="Y49" s="624" t="str">
        <f>IF('2. Sem'!$AA$39="","",'2. Sem'!$AA$39)</f>
        <v/>
      </c>
      <c r="Z49" s="624" t="str">
        <f>IF('2. Sem'!$AB$39="","",'2. Sem'!$AB$39)</f>
        <v/>
      </c>
      <c r="AA49" s="625" t="str">
        <f>IF('2. Sem'!$AC$39="","",'2. Sem'!$AC$39)</f>
        <v/>
      </c>
      <c r="AB49" s="626" t="str">
        <f>IF('2. Sem'!$AD$39="","",'2. Sem'!$AD$39)</f>
        <v/>
      </c>
      <c r="AC49" s="627" t="str">
        <f>IF('2. Sem'!$AE$39="","",'2. Sem'!$AE$39)</f>
        <v/>
      </c>
      <c r="AD49" s="627" t="str">
        <f>IF('2. Sem'!$AF$39="","",'2. Sem'!$AF$39)</f>
        <v/>
      </c>
      <c r="AE49" s="627" t="str">
        <f>IF('2. Sem'!$AG$39="","",'2. Sem'!$AG$39)</f>
        <v/>
      </c>
      <c r="AF49" s="628" t="str">
        <f>IF('2. Sem'!$AH$39="","",'2. Sem'!$AH$39)</f>
        <v/>
      </c>
      <c r="AG49" s="623" t="str">
        <f>IF('2. Sem'!$AI$39="","",'2. Sem'!$AI$39)</f>
        <v/>
      </c>
      <c r="AH49" s="624" t="str">
        <f>IF('2. Sem'!$AJ$39="","",'2. Sem'!$AJ$39)</f>
        <v/>
      </c>
      <c r="AI49" s="624" t="str">
        <f>IF('2. Sem'!$AK$39="","",'2. Sem'!$AK$39)</f>
        <v/>
      </c>
      <c r="AJ49" s="624" t="str">
        <f>IF('2. Sem'!$AL$39="","",'2. Sem'!$AL$39)</f>
        <v/>
      </c>
      <c r="AK49" s="625" t="str">
        <f>IF('2. Sem'!$AM$39="","",'2. Sem'!$AM$39)</f>
        <v/>
      </c>
      <c r="AL49" s="626" t="str">
        <f>IF('2. Sem'!$AN$39="","",'2. Sem'!$AN$39)</f>
        <v/>
      </c>
      <c r="AM49" s="627" t="str">
        <f>IF('2. Sem'!$AO$39="","",'2. Sem'!$AO$39)</f>
        <v/>
      </c>
      <c r="AN49" s="627" t="str">
        <f>IF('2. Sem'!$AP$39="","",'2. Sem'!$AP$39)</f>
        <v/>
      </c>
      <c r="AO49" s="627" t="str">
        <f>IF('2. Sem'!$AQ$39="","",'2. Sem'!$AQ$39)</f>
        <v/>
      </c>
      <c r="AP49" s="628" t="str">
        <f>IF('2. Sem'!$AR$39="","",'2. Sem'!$AR$39)</f>
        <v/>
      </c>
      <c r="AQ49" s="623" t="str">
        <f>IF('2. Sem'!$AS$39="","",'2. Sem'!$AS$39)</f>
        <v/>
      </c>
      <c r="AR49" s="624" t="str">
        <f>IF('2. Sem'!$AT$39="","",'2. Sem'!$AT$39)</f>
        <v/>
      </c>
      <c r="AS49" s="624" t="str">
        <f>IF('2. Sem'!$AU$39="","",'2. Sem'!$AU$39)</f>
        <v/>
      </c>
      <c r="AT49" s="624" t="str">
        <f>IF('2. Sem'!$AV$39="","",'2. Sem'!$AV$39)</f>
        <v/>
      </c>
      <c r="AU49" s="625" t="str">
        <f>IF('2. Sem'!$AW$39="","",'2. Sem'!$AW$39)</f>
        <v/>
      </c>
      <c r="AV49" s="626" t="str">
        <f>IF('2. Sem'!$AX$39="","",'2. Sem'!$AX$39)</f>
        <v/>
      </c>
      <c r="AW49" s="627" t="str">
        <f>IF('2. Sem'!$AY$39="","",'2. Sem'!$AY$39)</f>
        <v/>
      </c>
      <c r="AX49" s="627" t="str">
        <f>IF('2. Sem'!$AZ$39="","",'2. Sem'!$AZ$39)</f>
        <v/>
      </c>
      <c r="AY49" s="627" t="str">
        <f>IF('2. Sem'!$BA$39="","",'2. Sem'!$BA$39)</f>
        <v/>
      </c>
      <c r="AZ49" s="628" t="str">
        <f>IF('2. Sem'!$BB$39="","",'2. Sem'!$BB$39)</f>
        <v/>
      </c>
      <c r="BA49" s="623" t="str">
        <f>IF('2. Sem'!$BC$39="","",'2. Sem'!$BC$39)</f>
        <v/>
      </c>
      <c r="BB49" s="624" t="str">
        <f>IF('2. Sem'!$BD$39="","",'2. Sem'!$BD$39)</f>
        <v/>
      </c>
      <c r="BC49" s="624" t="str">
        <f>IF('2. Sem'!$BE$39="","",'2. Sem'!$BE$39)</f>
        <v/>
      </c>
      <c r="BD49" s="624" t="str">
        <f>IF('2. Sem'!$BF$39="","",'2. Sem'!$BF$39)</f>
        <v/>
      </c>
      <c r="BE49" s="625" t="str">
        <f>IF('2. Sem'!$BG$39="","",'2. Sem'!$BG$39)</f>
        <v/>
      </c>
      <c r="BF49" s="626" t="str">
        <f>IF('2. Sem'!$BH$39="","",'2. Sem'!$BH$39)</f>
        <v/>
      </c>
      <c r="BG49" s="627" t="str">
        <f>IF('2. Sem'!$BI$39="","",'2. Sem'!$BI$39)</f>
        <v/>
      </c>
      <c r="BH49" s="627" t="str">
        <f>IF('2. Sem'!$BJ$39="","",'2. Sem'!$BJ$39)</f>
        <v/>
      </c>
      <c r="BI49" s="627" t="str">
        <f>IF('2. Sem'!$BK$39="","",'2. Sem'!$BK$39)</f>
        <v/>
      </c>
      <c r="BJ49" s="628" t="str">
        <f>IF('2. Sem'!$BL$39="","",'2. Sem'!$BL$39)</f>
        <v/>
      </c>
      <c r="BK49" s="623" t="str">
        <f>IF('2. Sem'!$BM$39="","",'2. Sem'!$BM$39)</f>
        <v/>
      </c>
      <c r="BL49" s="624" t="str">
        <f>IF('2. Sem'!$BN$39="","",'2. Sem'!$BN$39)</f>
        <v/>
      </c>
      <c r="BM49" s="624" t="str">
        <f>IF('2. Sem'!$BO$39="","",'2. Sem'!$BO$39)</f>
        <v/>
      </c>
      <c r="BN49" s="624" t="str">
        <f>IF('2. Sem'!$BP$39="","",'2. Sem'!$BP$39)</f>
        <v/>
      </c>
      <c r="BO49" s="625" t="str">
        <f>IF('2. Sem'!$BQ$39="","",'2. Sem'!$BQ$39)</f>
        <v/>
      </c>
      <c r="BP49" s="626" t="str">
        <f>IF('2. Sem'!$BR$39="","",'2. Sem'!$BR$39)</f>
        <v/>
      </c>
      <c r="BQ49" s="627" t="str">
        <f>IF('2. Sem'!$BS$39="","",'2. Sem'!$BS$39)</f>
        <v/>
      </c>
      <c r="BR49" s="627" t="str">
        <f>IF('2. Sem'!$BT$39="","",'2. Sem'!$BT$39)</f>
        <v/>
      </c>
      <c r="BS49" s="627" t="str">
        <f>IF('2. Sem'!$BU$39="","",'2. Sem'!$BU$39)</f>
        <v/>
      </c>
      <c r="BT49" s="628" t="str">
        <f>IF('2. Sem'!$BV$39="","",'2. Sem'!$BV$39)</f>
        <v/>
      </c>
      <c r="BU49" s="623" t="str">
        <f>IF('2. Sem'!$BW$39="","",'2. Sem'!$BW$39)</f>
        <v/>
      </c>
      <c r="BV49" s="624" t="str">
        <f>IF('2. Sem'!$BX$39="","",'2. Sem'!$BX$39)</f>
        <v/>
      </c>
      <c r="BW49" s="624" t="str">
        <f>IF('2. Sem'!$BY$39="","",'2. Sem'!$BY$39)</f>
        <v/>
      </c>
      <c r="BX49" s="624" t="str">
        <f>IF('2. Sem'!$BZ$39="","",'2. Sem'!$BZ$39)</f>
        <v/>
      </c>
      <c r="BY49" s="625" t="str">
        <f>IF('2. Sem'!$CA$39="","",'2. Sem'!$CA$39)</f>
        <v/>
      </c>
      <c r="BZ49" s="626" t="str">
        <f>IF('2. Sem'!$CB$39="","",'2. Sem'!$CB$39)</f>
        <v/>
      </c>
      <c r="CA49" s="627" t="str">
        <f>IF('2. Sem'!$CC$39="","",'2. Sem'!$CC$39)</f>
        <v/>
      </c>
      <c r="CB49" s="627" t="str">
        <f>IF('2. Sem'!$CD$39="","",'2. Sem'!$CD$39)</f>
        <v/>
      </c>
      <c r="CC49" s="627" t="str">
        <f>IF('2. Sem'!$CE$39="","",'2. Sem'!$CE$39)</f>
        <v/>
      </c>
      <c r="CD49" s="628" t="str">
        <f>IF('2. Sem'!$CF$39="","",'2. Sem'!$CF$39)</f>
        <v/>
      </c>
      <c r="CE49" s="623" t="str">
        <f>IF('2. Sem'!$CG$39="","",'2. Sem'!$CG$39)</f>
        <v/>
      </c>
      <c r="CF49" s="624" t="str">
        <f>IF('2. Sem'!$CH$39="","",'2. Sem'!$CH$39)</f>
        <v/>
      </c>
      <c r="CG49" s="624" t="str">
        <f>IF('2. Sem'!$CI$39="","",'2. Sem'!$CI$39)</f>
        <v/>
      </c>
      <c r="CH49" s="624" t="str">
        <f>IF('2. Sem'!$CJ$39="","",'2. Sem'!$CJ$39)</f>
        <v/>
      </c>
      <c r="CI49" s="625" t="str">
        <f>IF('2. Sem'!$CK$39="","",'2. Sem'!$CK$39)</f>
        <v/>
      </c>
      <c r="CJ49" s="626" t="str">
        <f>IF('2. Sem'!$CL$39="","",'2. Sem'!$CL$39)</f>
        <v/>
      </c>
      <c r="CK49" s="627" t="str">
        <f>IF('2. Sem'!$CM$39="","",'2. Sem'!$CM$39)</f>
        <v/>
      </c>
      <c r="CL49" s="627" t="str">
        <f>IF('2. Sem'!$CN$39="","",'2. Sem'!$CN$39)</f>
        <v/>
      </c>
      <c r="CM49" s="627" t="str">
        <f>IF('2. Sem'!$CO$39="","",'2. Sem'!$CO$39)</f>
        <v/>
      </c>
      <c r="CN49" s="628" t="str">
        <f>IF('2. Sem'!$CP$39="","",'2. Sem'!$CP$39)</f>
        <v/>
      </c>
      <c r="CO49" s="623" t="str">
        <f>IF('2. Sem'!$CQ$39="","",'2. Sem'!$CQ$39)</f>
        <v/>
      </c>
      <c r="CP49" s="624" t="str">
        <f>IF('2. Sem'!$CR$39="","",'2. Sem'!$CR$39)</f>
        <v/>
      </c>
      <c r="CQ49" s="624" t="str">
        <f>IF('2. Sem'!$CS$39="","",'2. Sem'!$CS$39)</f>
        <v/>
      </c>
      <c r="CR49" s="624" t="str">
        <f>IF('2. Sem'!$CT$39="","",'2. Sem'!$CT$39)</f>
        <v/>
      </c>
      <c r="CS49" s="625" t="str">
        <f>IF('2. Sem'!$CU$39="","",'2. Sem'!$CU$39)</f>
        <v/>
      </c>
      <c r="CT49" s="626" t="str">
        <f>IF('2. Sem'!$CV$39="","",'2. Sem'!$CV$39)</f>
        <v/>
      </c>
      <c r="CU49" s="627" t="str">
        <f>IF('2. Sem'!$CW$39="","",'2. Sem'!$CW$39)</f>
        <v/>
      </c>
      <c r="CV49" s="627" t="str">
        <f>IF('2. Sem'!$CX$39="","",'2. Sem'!$CX$39)</f>
        <v/>
      </c>
      <c r="CW49" s="627" t="str">
        <f>IF('2. Sem'!$CY$39="","",'2. Sem'!$CY$39)</f>
        <v/>
      </c>
      <c r="CX49" s="628" t="str">
        <f>IF('2. Sem'!$CZ$39="","",'2. Sem'!$CZ$39)</f>
        <v/>
      </c>
      <c r="CY49" s="623" t="str">
        <f>IF('2. Sem'!$DA$39="","",'2. Sem'!$DA$39)</f>
        <v/>
      </c>
      <c r="CZ49" s="624" t="str">
        <f>IF('2. Sem'!$DB$39="","",'2. Sem'!$DB$39)</f>
        <v/>
      </c>
      <c r="DA49" s="624" t="str">
        <f>IF('2. Sem'!$DC$39="","",'2. Sem'!$DC$39)</f>
        <v/>
      </c>
      <c r="DB49" s="624" t="str">
        <f>IF('2. Sem'!$DD$39="","",'2. Sem'!$DD$39)</f>
        <v/>
      </c>
      <c r="DC49" s="625" t="str">
        <f>IF('2. Sem'!$DE$39="","",'2. Sem'!$DE$39)</f>
        <v/>
      </c>
    </row>
    <row r="50" spans="1:107" ht="16" customHeight="1" x14ac:dyDescent="0.2">
      <c r="A50" s="566"/>
      <c r="B50" s="579" t="s">
        <v>32</v>
      </c>
      <c r="C50" s="623" t="str">
        <f>IF('2. Sem'!$E$40="","",'2. Sem'!$E$40)</f>
        <v/>
      </c>
      <c r="D50" s="624" t="str">
        <f>IF('2. Sem'!$F$40="","",'2. Sem'!$F$40)</f>
        <v/>
      </c>
      <c r="E50" s="624" t="str">
        <f>IF('2. Sem'!$G$40="","",'2. Sem'!$G$40)</f>
        <v/>
      </c>
      <c r="F50" s="624" t="str">
        <f>IF('2. Sem'!$H$40="","",'2. Sem'!$H$40)</f>
        <v/>
      </c>
      <c r="G50" s="625" t="str">
        <f>IF('2. Sem'!$I$40="","",'2. Sem'!$I$40)</f>
        <v/>
      </c>
      <c r="H50" s="626" t="str">
        <f>IF('2. Sem'!$J$40="","",'2. Sem'!$J$40)</f>
        <v/>
      </c>
      <c r="I50" s="627" t="str">
        <f>IF('2. Sem'!$K$40="","",'2. Sem'!$K$40)</f>
        <v/>
      </c>
      <c r="J50" s="627" t="str">
        <f>IF('2. Sem'!$L$40="","",'2. Sem'!$L$40)</f>
        <v/>
      </c>
      <c r="K50" s="627" t="str">
        <f>IF('2. Sem'!$M$40="","",'2. Sem'!$M$40)</f>
        <v/>
      </c>
      <c r="L50" s="628" t="str">
        <f>IF('2. Sem'!$N$40="","",'2. Sem'!$N$40)</f>
        <v/>
      </c>
      <c r="M50" s="623" t="str">
        <f>IF('2. Sem'!$O$40="","",'2. Sem'!$O$40)</f>
        <v/>
      </c>
      <c r="N50" s="624" t="str">
        <f>IF('2. Sem'!$P$40="","",'2. Sem'!$P$40)</f>
        <v/>
      </c>
      <c r="O50" s="624" t="str">
        <f>IF('2. Sem'!$Q$40="","",'2. Sem'!$Q$40)</f>
        <v/>
      </c>
      <c r="P50" s="624" t="str">
        <f>IF('2. Sem'!$R$40="","",'2. Sem'!$R$40)</f>
        <v/>
      </c>
      <c r="Q50" s="625" t="str">
        <f>IF('2. Sem'!$S$40="","",'2. Sem'!$S$40)</f>
        <v/>
      </c>
      <c r="R50" s="626" t="str">
        <f>IF('2. Sem'!$T$40="","",'2. Sem'!$T$40)</f>
        <v/>
      </c>
      <c r="S50" s="627" t="str">
        <f>IF('2. Sem'!$U$40="","",'2. Sem'!$U$40)</f>
        <v/>
      </c>
      <c r="T50" s="627" t="str">
        <f>IF('2. Sem'!$V$40="","",'2. Sem'!$V$40)</f>
        <v/>
      </c>
      <c r="U50" s="627" t="str">
        <f>IF('2. Sem'!$W$40="","",'2. Sem'!$W$40)</f>
        <v/>
      </c>
      <c r="V50" s="628" t="str">
        <f>IF('2. Sem'!$X$40="","",'2. Sem'!$X$40)</f>
        <v/>
      </c>
      <c r="W50" s="623" t="str">
        <f>IF('2. Sem'!$Y$40="","",'2. Sem'!$Y$40)</f>
        <v/>
      </c>
      <c r="X50" s="624" t="str">
        <f>IF('2. Sem'!$Z$40="","",'2. Sem'!$Z$40)</f>
        <v/>
      </c>
      <c r="Y50" s="624" t="str">
        <f>IF('2. Sem'!$AA$40="","",'2. Sem'!$AA$40)</f>
        <v/>
      </c>
      <c r="Z50" s="624" t="str">
        <f>IF('2. Sem'!$AB$40="","",'2. Sem'!$AB$40)</f>
        <v/>
      </c>
      <c r="AA50" s="625" t="str">
        <f>IF('2. Sem'!$AC$40="","",'2. Sem'!$AC$40)</f>
        <v/>
      </c>
      <c r="AB50" s="626" t="str">
        <f>IF('2. Sem'!$AD$40="","",'2. Sem'!$AD$40)</f>
        <v/>
      </c>
      <c r="AC50" s="627" t="str">
        <f>IF('2. Sem'!$AE$40="","",'2. Sem'!$AE$40)</f>
        <v/>
      </c>
      <c r="AD50" s="627" t="str">
        <f>IF('2. Sem'!$AF$40="","",'2. Sem'!$AF$40)</f>
        <v/>
      </c>
      <c r="AE50" s="627" t="str">
        <f>IF('2. Sem'!$AG$40="","",'2. Sem'!$AG$40)</f>
        <v/>
      </c>
      <c r="AF50" s="628" t="str">
        <f>IF('2. Sem'!$AH$40="","",'2. Sem'!$AH$40)</f>
        <v/>
      </c>
      <c r="AG50" s="623" t="str">
        <f>IF('2. Sem'!$AI$40="","",'2. Sem'!$AI$40)</f>
        <v/>
      </c>
      <c r="AH50" s="624" t="str">
        <f>IF('2. Sem'!$AJ$40="","",'2. Sem'!$AJ$40)</f>
        <v/>
      </c>
      <c r="AI50" s="624" t="str">
        <f>IF('2. Sem'!$AK$40="","",'2. Sem'!$AK$40)</f>
        <v/>
      </c>
      <c r="AJ50" s="624" t="str">
        <f>IF('2. Sem'!$AL$40="","",'2. Sem'!$AL$40)</f>
        <v/>
      </c>
      <c r="AK50" s="625" t="str">
        <f>IF('2. Sem'!$AM$40="","",'2. Sem'!$AM$40)</f>
        <v/>
      </c>
      <c r="AL50" s="626" t="str">
        <f>IF('2. Sem'!$AN$40="","",'2. Sem'!$AN$40)</f>
        <v/>
      </c>
      <c r="AM50" s="627" t="str">
        <f>IF('2. Sem'!$AO$40="","",'2. Sem'!$AO$40)</f>
        <v/>
      </c>
      <c r="AN50" s="627" t="str">
        <f>IF('2. Sem'!$AP$40="","",'2. Sem'!$AP$40)</f>
        <v/>
      </c>
      <c r="AO50" s="627" t="str">
        <f>IF('2. Sem'!$AQ$40="","",'2. Sem'!$AQ$40)</f>
        <v/>
      </c>
      <c r="AP50" s="628" t="str">
        <f>IF('2. Sem'!$AR$40="","",'2. Sem'!$AR$40)</f>
        <v/>
      </c>
      <c r="AQ50" s="623" t="str">
        <f>IF('2. Sem'!$AS$40="","",'2. Sem'!$AS$40)</f>
        <v/>
      </c>
      <c r="AR50" s="624" t="str">
        <f>IF('2. Sem'!$AT$40="","",'2. Sem'!$AT$40)</f>
        <v/>
      </c>
      <c r="AS50" s="624" t="str">
        <f>IF('2. Sem'!$AU$40="","",'2. Sem'!$AU$40)</f>
        <v/>
      </c>
      <c r="AT50" s="624" t="str">
        <f>IF('2. Sem'!$AV$40="","",'2. Sem'!$AV$40)</f>
        <v/>
      </c>
      <c r="AU50" s="625" t="str">
        <f>IF('2. Sem'!$AW$40="","",'2. Sem'!$AW$40)</f>
        <v/>
      </c>
      <c r="AV50" s="626" t="str">
        <f>IF('2. Sem'!$AX$40="","",'2. Sem'!$AX$40)</f>
        <v/>
      </c>
      <c r="AW50" s="627" t="str">
        <f>IF('2. Sem'!$AY$40="","",'2. Sem'!$AY$40)</f>
        <v/>
      </c>
      <c r="AX50" s="627" t="str">
        <f>IF('2. Sem'!$AZ$40="","",'2. Sem'!$AZ$40)</f>
        <v/>
      </c>
      <c r="AY50" s="627" t="str">
        <f>IF('2. Sem'!$BA$40="","",'2. Sem'!$BA$40)</f>
        <v/>
      </c>
      <c r="AZ50" s="628" t="str">
        <f>IF('2. Sem'!$BB$40="","",'2. Sem'!$BB$40)</f>
        <v/>
      </c>
      <c r="BA50" s="623" t="str">
        <f>IF('2. Sem'!$BC$40="","",'2. Sem'!$BC$40)</f>
        <v/>
      </c>
      <c r="BB50" s="624" t="str">
        <f>IF('2. Sem'!$BD$40="","",'2. Sem'!$BD$40)</f>
        <v/>
      </c>
      <c r="BC50" s="624" t="str">
        <f>IF('2. Sem'!$BE$40="","",'2. Sem'!$BE$40)</f>
        <v/>
      </c>
      <c r="BD50" s="624" t="str">
        <f>IF('2. Sem'!$BF$40="","",'2. Sem'!$BF$40)</f>
        <v/>
      </c>
      <c r="BE50" s="625" t="str">
        <f>IF('2. Sem'!$BG$40="","",'2. Sem'!$BG$40)</f>
        <v/>
      </c>
      <c r="BF50" s="626" t="str">
        <f>IF('2. Sem'!$BH$40="","",'2. Sem'!$BH$40)</f>
        <v/>
      </c>
      <c r="BG50" s="627" t="str">
        <f>IF('2. Sem'!$BI$40="","",'2. Sem'!$BI$40)</f>
        <v/>
      </c>
      <c r="BH50" s="627" t="str">
        <f>IF('2. Sem'!$BJ$40="","",'2. Sem'!$BJ$40)</f>
        <v/>
      </c>
      <c r="BI50" s="627" t="str">
        <f>IF('2. Sem'!$BK$40="","",'2. Sem'!$BK$40)</f>
        <v/>
      </c>
      <c r="BJ50" s="628" t="str">
        <f>IF('2. Sem'!$BL$40="","",'2. Sem'!$BL$40)</f>
        <v/>
      </c>
      <c r="BK50" s="623" t="str">
        <f>IF('2. Sem'!$BM$40="","",'2. Sem'!$BM$40)</f>
        <v/>
      </c>
      <c r="BL50" s="624" t="str">
        <f>IF('2. Sem'!$BN$40="","",'2. Sem'!$BN$40)</f>
        <v/>
      </c>
      <c r="BM50" s="624" t="str">
        <f>IF('2. Sem'!$BO$40="","",'2. Sem'!$BO$40)</f>
        <v/>
      </c>
      <c r="BN50" s="624" t="str">
        <f>IF('2. Sem'!$BP$40="","",'2. Sem'!$BP$40)</f>
        <v/>
      </c>
      <c r="BO50" s="625" t="str">
        <f>IF('2. Sem'!$BQ$40="","",'2. Sem'!$BQ$40)</f>
        <v/>
      </c>
      <c r="BP50" s="626" t="str">
        <f>IF('2. Sem'!$BR$40="","",'2. Sem'!$BR$40)</f>
        <v/>
      </c>
      <c r="BQ50" s="627" t="str">
        <f>IF('2. Sem'!$BS$40="","",'2. Sem'!$BS$40)</f>
        <v/>
      </c>
      <c r="BR50" s="627" t="str">
        <f>IF('2. Sem'!$BT$40="","",'2. Sem'!$BT$40)</f>
        <v/>
      </c>
      <c r="BS50" s="627" t="str">
        <f>IF('2. Sem'!$BU$40="","",'2. Sem'!$BU$40)</f>
        <v/>
      </c>
      <c r="BT50" s="628" t="str">
        <f>IF('2. Sem'!$BV$40="","",'2. Sem'!$BV$40)</f>
        <v/>
      </c>
      <c r="BU50" s="623" t="str">
        <f>IF('2. Sem'!$BW$40="","",'2. Sem'!$BW$40)</f>
        <v/>
      </c>
      <c r="BV50" s="624" t="str">
        <f>IF('2. Sem'!$BX$40="","",'2. Sem'!$BX$40)</f>
        <v/>
      </c>
      <c r="BW50" s="624" t="str">
        <f>IF('2. Sem'!$BY$40="","",'2. Sem'!$BY$40)</f>
        <v/>
      </c>
      <c r="BX50" s="624" t="str">
        <f>IF('2. Sem'!$BZ$40="","",'2. Sem'!$BZ$40)</f>
        <v/>
      </c>
      <c r="BY50" s="625" t="str">
        <f>IF('2. Sem'!$CA$40="","",'2. Sem'!$CA$40)</f>
        <v/>
      </c>
      <c r="BZ50" s="626" t="str">
        <f>IF('2. Sem'!$CB$40="","",'2. Sem'!$CB$40)</f>
        <v/>
      </c>
      <c r="CA50" s="627" t="str">
        <f>IF('2. Sem'!$CC$40="","",'2. Sem'!$CC$40)</f>
        <v/>
      </c>
      <c r="CB50" s="627" t="str">
        <f>IF('2. Sem'!$CD$40="","",'2. Sem'!$CD$40)</f>
        <v/>
      </c>
      <c r="CC50" s="627" t="str">
        <f>IF('2. Sem'!$CE$40="","",'2. Sem'!$CE$40)</f>
        <v/>
      </c>
      <c r="CD50" s="628" t="str">
        <f>IF('2. Sem'!$CF$40="","",'2. Sem'!$CF$40)</f>
        <v/>
      </c>
      <c r="CE50" s="623" t="str">
        <f>IF('2. Sem'!$CG$40="","",'2. Sem'!$CG$40)</f>
        <v/>
      </c>
      <c r="CF50" s="624" t="str">
        <f>IF('2. Sem'!$CH$40="","",'2. Sem'!$CH$40)</f>
        <v/>
      </c>
      <c r="CG50" s="624" t="str">
        <f>IF('2. Sem'!$CI$40="","",'2. Sem'!$CI$40)</f>
        <v/>
      </c>
      <c r="CH50" s="624" t="str">
        <f>IF('2. Sem'!$CJ$40="","",'2. Sem'!$CJ$40)</f>
        <v/>
      </c>
      <c r="CI50" s="625" t="str">
        <f>IF('2. Sem'!$CK$40="","",'2. Sem'!$CK$40)</f>
        <v/>
      </c>
      <c r="CJ50" s="626" t="str">
        <f>IF('2. Sem'!$CL$40="","",'2. Sem'!$CL$40)</f>
        <v/>
      </c>
      <c r="CK50" s="627" t="str">
        <f>IF('2. Sem'!$CM$40="","",'2. Sem'!$CM$40)</f>
        <v/>
      </c>
      <c r="CL50" s="627" t="str">
        <f>IF('2. Sem'!$CN$40="","",'2. Sem'!$CN$40)</f>
        <v/>
      </c>
      <c r="CM50" s="627" t="str">
        <f>IF('2. Sem'!$CO$40="","",'2. Sem'!$CO$40)</f>
        <v/>
      </c>
      <c r="CN50" s="628" t="str">
        <f>IF('2. Sem'!$CP$40="","",'2. Sem'!$CP$40)</f>
        <v/>
      </c>
      <c r="CO50" s="623" t="str">
        <f>IF('2. Sem'!$CQ$40="","",'2. Sem'!$CQ$40)</f>
        <v/>
      </c>
      <c r="CP50" s="624" t="str">
        <f>IF('2. Sem'!$CR$40="","",'2. Sem'!$CR$40)</f>
        <v/>
      </c>
      <c r="CQ50" s="624" t="str">
        <f>IF('2. Sem'!$CS$40="","",'2. Sem'!$CS$40)</f>
        <v/>
      </c>
      <c r="CR50" s="624" t="str">
        <f>IF('2. Sem'!$CT$40="","",'2. Sem'!$CT$40)</f>
        <v/>
      </c>
      <c r="CS50" s="625" t="str">
        <f>IF('2. Sem'!$CU$40="","",'2. Sem'!$CU$40)</f>
        <v/>
      </c>
      <c r="CT50" s="626" t="str">
        <f>IF('2. Sem'!$CV$40="","",'2. Sem'!$CV$40)</f>
        <v/>
      </c>
      <c r="CU50" s="627" t="str">
        <f>IF('2. Sem'!$CW$40="","",'2. Sem'!$CW$40)</f>
        <v/>
      </c>
      <c r="CV50" s="627" t="str">
        <f>IF('2. Sem'!$CX$40="","",'2. Sem'!$CX$40)</f>
        <v/>
      </c>
      <c r="CW50" s="627" t="str">
        <f>IF('2. Sem'!$CY$40="","",'2. Sem'!$CY$40)</f>
        <v/>
      </c>
      <c r="CX50" s="628" t="str">
        <f>IF('2. Sem'!$CZ$40="","",'2. Sem'!$CZ$40)</f>
        <v/>
      </c>
      <c r="CY50" s="623" t="str">
        <f>IF('2. Sem'!$DA$40="","",'2. Sem'!$DA$40)</f>
        <v/>
      </c>
      <c r="CZ50" s="624" t="str">
        <f>IF('2. Sem'!$DB$40="","",'2. Sem'!$DB$40)</f>
        <v/>
      </c>
      <c r="DA50" s="624" t="str">
        <f>IF('2. Sem'!$DC$40="","",'2. Sem'!$DC$40)</f>
        <v/>
      </c>
      <c r="DB50" s="624" t="str">
        <f>IF('2. Sem'!$DD$40="","",'2. Sem'!$DD$40)</f>
        <v/>
      </c>
      <c r="DC50" s="625" t="str">
        <f>IF('2. Sem'!$DE$40="","",'2. Sem'!$DE$40)</f>
        <v/>
      </c>
    </row>
    <row r="51" spans="1:107" ht="16" customHeight="1" x14ac:dyDescent="0.2">
      <c r="A51" s="566"/>
      <c r="B51" s="579" t="s">
        <v>33</v>
      </c>
      <c r="C51" s="623" t="str">
        <f>IF('2. Sem'!$E$41="","",'2. Sem'!$E$41)</f>
        <v/>
      </c>
      <c r="D51" s="624" t="str">
        <f>IF('2. Sem'!$F$41="","",'2. Sem'!$F$41)</f>
        <v/>
      </c>
      <c r="E51" s="624" t="str">
        <f>IF('2. Sem'!$G$41="","",'2. Sem'!$G$41)</f>
        <v/>
      </c>
      <c r="F51" s="624" t="str">
        <f>IF('2. Sem'!$H$41="","",'2. Sem'!$H$41)</f>
        <v/>
      </c>
      <c r="G51" s="625" t="str">
        <f>IF('2. Sem'!$I$41="","",'2. Sem'!$I$41)</f>
        <v/>
      </c>
      <c r="H51" s="626" t="str">
        <f>IF('2. Sem'!$J$41="","",'2. Sem'!$J$41)</f>
        <v/>
      </c>
      <c r="I51" s="627" t="str">
        <f>IF('2. Sem'!$K$41="","",'2. Sem'!$K$41)</f>
        <v/>
      </c>
      <c r="J51" s="627" t="str">
        <f>IF('2. Sem'!$L$41="","",'2. Sem'!$L$41)</f>
        <v/>
      </c>
      <c r="K51" s="627" t="str">
        <f>IF('2. Sem'!$M$41="","",'2. Sem'!$M$41)</f>
        <v/>
      </c>
      <c r="L51" s="628" t="str">
        <f>IF('2. Sem'!$N$41="","",'2. Sem'!$N$41)</f>
        <v/>
      </c>
      <c r="M51" s="623" t="str">
        <f>IF('2. Sem'!$O$41="","",'2. Sem'!$O$41)</f>
        <v/>
      </c>
      <c r="N51" s="624" t="str">
        <f>IF('2. Sem'!$P$41="","",'2. Sem'!$P$41)</f>
        <v/>
      </c>
      <c r="O51" s="624" t="str">
        <f>IF('2. Sem'!$Q$41="","",'2. Sem'!$Q$41)</f>
        <v/>
      </c>
      <c r="P51" s="624" t="str">
        <f>IF('2. Sem'!$R$41="","",'2. Sem'!$R$41)</f>
        <v/>
      </c>
      <c r="Q51" s="625" t="str">
        <f>IF('2. Sem'!$S$41="","",'2. Sem'!$S$41)</f>
        <v/>
      </c>
      <c r="R51" s="626" t="str">
        <f>IF('2. Sem'!$T$41="","",'2. Sem'!$T$41)</f>
        <v/>
      </c>
      <c r="S51" s="627" t="str">
        <f>IF('2. Sem'!$U$41="","",'2. Sem'!$U$41)</f>
        <v/>
      </c>
      <c r="T51" s="627" t="str">
        <f>IF('2. Sem'!$V$41="","",'2. Sem'!$V$41)</f>
        <v/>
      </c>
      <c r="U51" s="627" t="str">
        <f>IF('2. Sem'!$W$41="","",'2. Sem'!$W$41)</f>
        <v/>
      </c>
      <c r="V51" s="628" t="str">
        <f>IF('2. Sem'!$X$41="","",'2. Sem'!$X$41)</f>
        <v/>
      </c>
      <c r="W51" s="623" t="str">
        <f>IF('2. Sem'!$Y$41="","",'2. Sem'!$Y$41)</f>
        <v/>
      </c>
      <c r="X51" s="624" t="str">
        <f>IF('2. Sem'!$Z$41="","",'2. Sem'!$Z$41)</f>
        <v/>
      </c>
      <c r="Y51" s="624" t="str">
        <f>IF('2. Sem'!$AA$41="","",'2. Sem'!$AA$41)</f>
        <v/>
      </c>
      <c r="Z51" s="624" t="str">
        <f>IF('2. Sem'!$AB$41="","",'2. Sem'!$AB$41)</f>
        <v/>
      </c>
      <c r="AA51" s="625" t="str">
        <f>IF('2. Sem'!$AC$41="","",'2. Sem'!$AC$41)</f>
        <v/>
      </c>
      <c r="AB51" s="626" t="str">
        <f>IF('2. Sem'!$AD$41="","",'2. Sem'!$AD$41)</f>
        <v/>
      </c>
      <c r="AC51" s="627" t="str">
        <f>IF('2. Sem'!$AE$41="","",'2. Sem'!$AE$41)</f>
        <v/>
      </c>
      <c r="AD51" s="627" t="str">
        <f>IF('2. Sem'!$AF$41="","",'2. Sem'!$AF$41)</f>
        <v/>
      </c>
      <c r="AE51" s="627" t="str">
        <f>IF('2. Sem'!$AG$41="","",'2. Sem'!$AG$41)</f>
        <v/>
      </c>
      <c r="AF51" s="628" t="str">
        <f>IF('2. Sem'!$AH$41="","",'2. Sem'!$AH$41)</f>
        <v/>
      </c>
      <c r="AG51" s="623" t="str">
        <f>IF('2. Sem'!$AI$41="","",'2. Sem'!$AI$41)</f>
        <v/>
      </c>
      <c r="AH51" s="624" t="str">
        <f>IF('2. Sem'!$AJ$41="","",'2. Sem'!$AJ$41)</f>
        <v/>
      </c>
      <c r="AI51" s="624" t="str">
        <f>IF('2. Sem'!$AK$41="","",'2. Sem'!$AK$41)</f>
        <v/>
      </c>
      <c r="AJ51" s="624" t="str">
        <f>IF('2. Sem'!$AL$41="","",'2. Sem'!$AL$41)</f>
        <v/>
      </c>
      <c r="AK51" s="625" t="str">
        <f>IF('2. Sem'!$AM$41="","",'2. Sem'!$AM$41)</f>
        <v/>
      </c>
      <c r="AL51" s="626" t="str">
        <f>IF('2. Sem'!$AN$41="","",'2. Sem'!$AN$41)</f>
        <v/>
      </c>
      <c r="AM51" s="627" t="str">
        <f>IF('2. Sem'!$AO$41="","",'2. Sem'!$AO$41)</f>
        <v/>
      </c>
      <c r="AN51" s="627" t="str">
        <f>IF('2. Sem'!$AP$41="","",'2. Sem'!$AP$41)</f>
        <v/>
      </c>
      <c r="AO51" s="627" t="str">
        <f>IF('2. Sem'!$AQ$41="","",'2. Sem'!$AQ$41)</f>
        <v/>
      </c>
      <c r="AP51" s="628" t="str">
        <f>IF('2. Sem'!$AR$41="","",'2. Sem'!$AR$41)</f>
        <v/>
      </c>
      <c r="AQ51" s="623" t="str">
        <f>IF('2. Sem'!$AS$41="","",'2. Sem'!$AS$41)</f>
        <v/>
      </c>
      <c r="AR51" s="624" t="str">
        <f>IF('2. Sem'!$AT$41="","",'2. Sem'!$AT$41)</f>
        <v/>
      </c>
      <c r="AS51" s="624" t="str">
        <f>IF('2. Sem'!$AU$41="","",'2. Sem'!$AU$41)</f>
        <v/>
      </c>
      <c r="AT51" s="624" t="str">
        <f>IF('2. Sem'!$AV$41="","",'2. Sem'!$AV$41)</f>
        <v/>
      </c>
      <c r="AU51" s="625" t="str">
        <f>IF('2. Sem'!$AW$41="","",'2. Sem'!$AW$41)</f>
        <v/>
      </c>
      <c r="AV51" s="626" t="str">
        <f>IF('2. Sem'!$AX$41="","",'2. Sem'!$AX$41)</f>
        <v/>
      </c>
      <c r="AW51" s="627" t="str">
        <f>IF('2. Sem'!$AY$41="","",'2. Sem'!$AY$41)</f>
        <v/>
      </c>
      <c r="AX51" s="627" t="str">
        <f>IF('2. Sem'!$AZ$41="","",'2. Sem'!$AZ$41)</f>
        <v/>
      </c>
      <c r="AY51" s="627" t="str">
        <f>IF('2. Sem'!$BA$41="","",'2. Sem'!$BA$41)</f>
        <v/>
      </c>
      <c r="AZ51" s="628" t="str">
        <f>IF('2. Sem'!$BB$41="","",'2. Sem'!$BB$41)</f>
        <v/>
      </c>
      <c r="BA51" s="623" t="str">
        <f>IF('2. Sem'!$BC$41="","",'2. Sem'!$BC$41)</f>
        <v/>
      </c>
      <c r="BB51" s="624" t="str">
        <f>IF('2. Sem'!$BD$41="","",'2. Sem'!$BD$41)</f>
        <v/>
      </c>
      <c r="BC51" s="624" t="str">
        <f>IF('2. Sem'!$BE$41="","",'2. Sem'!$BE$41)</f>
        <v/>
      </c>
      <c r="BD51" s="624" t="str">
        <f>IF('2. Sem'!$BF$41="","",'2. Sem'!$BF$41)</f>
        <v/>
      </c>
      <c r="BE51" s="625" t="str">
        <f>IF('2. Sem'!$BG$41="","",'2. Sem'!$BG$41)</f>
        <v/>
      </c>
      <c r="BF51" s="626" t="str">
        <f>IF('2. Sem'!$BH$41="","",'2. Sem'!$BH$41)</f>
        <v/>
      </c>
      <c r="BG51" s="627" t="str">
        <f>IF('2. Sem'!$BI$41="","",'2. Sem'!$BI$41)</f>
        <v/>
      </c>
      <c r="BH51" s="627" t="str">
        <f>IF('2. Sem'!$BJ$41="","",'2. Sem'!$BJ$41)</f>
        <v/>
      </c>
      <c r="BI51" s="627" t="str">
        <f>IF('2. Sem'!$BK$41="","",'2. Sem'!$BK$41)</f>
        <v/>
      </c>
      <c r="BJ51" s="628" t="str">
        <f>IF('2. Sem'!$BL$41="","",'2. Sem'!$BL$41)</f>
        <v/>
      </c>
      <c r="BK51" s="623" t="str">
        <f>IF('2. Sem'!$BM$41="","",'2. Sem'!$BM$41)</f>
        <v/>
      </c>
      <c r="BL51" s="624" t="str">
        <f>IF('2. Sem'!$BN$41="","",'2. Sem'!$BN$41)</f>
        <v/>
      </c>
      <c r="BM51" s="624" t="str">
        <f>IF('2. Sem'!$BO$41="","",'2. Sem'!$BO$41)</f>
        <v/>
      </c>
      <c r="BN51" s="624" t="str">
        <f>IF('2. Sem'!$BP$41="","",'2. Sem'!$BP$41)</f>
        <v/>
      </c>
      <c r="BO51" s="625" t="str">
        <f>IF('2. Sem'!$BQ$41="","",'2. Sem'!$BQ$41)</f>
        <v/>
      </c>
      <c r="BP51" s="626" t="str">
        <f>IF('2. Sem'!$BR$41="","",'2. Sem'!$BR$41)</f>
        <v/>
      </c>
      <c r="BQ51" s="627" t="str">
        <f>IF('2. Sem'!$BS$41="","",'2. Sem'!$BS$41)</f>
        <v/>
      </c>
      <c r="BR51" s="627" t="str">
        <f>IF('2. Sem'!$BT$41="","",'2. Sem'!$BT$41)</f>
        <v/>
      </c>
      <c r="BS51" s="627" t="str">
        <f>IF('2. Sem'!$BU$41="","",'2. Sem'!$BU$41)</f>
        <v/>
      </c>
      <c r="BT51" s="628" t="str">
        <f>IF('2. Sem'!$BV$41="","",'2. Sem'!$BV$41)</f>
        <v/>
      </c>
      <c r="BU51" s="623" t="str">
        <f>IF('2. Sem'!$BW$41="","",'2. Sem'!$BW$41)</f>
        <v/>
      </c>
      <c r="BV51" s="624" t="str">
        <f>IF('2. Sem'!$BX$41="","",'2. Sem'!$BX$41)</f>
        <v/>
      </c>
      <c r="BW51" s="624" t="str">
        <f>IF('2. Sem'!$BY$41="","",'2. Sem'!$BY$41)</f>
        <v/>
      </c>
      <c r="BX51" s="624" t="str">
        <f>IF('2. Sem'!$BZ$41="","",'2. Sem'!$BZ$41)</f>
        <v/>
      </c>
      <c r="BY51" s="625" t="str">
        <f>IF('2. Sem'!$CA$41="","",'2. Sem'!$CA$41)</f>
        <v/>
      </c>
      <c r="BZ51" s="626" t="str">
        <f>IF('2. Sem'!$CB$41="","",'2. Sem'!$CB$41)</f>
        <v/>
      </c>
      <c r="CA51" s="627" t="str">
        <f>IF('2. Sem'!$CC$41="","",'2. Sem'!$CC$41)</f>
        <v/>
      </c>
      <c r="CB51" s="627" t="str">
        <f>IF('2. Sem'!$CD$41="","",'2. Sem'!$CD$41)</f>
        <v/>
      </c>
      <c r="CC51" s="627" t="str">
        <f>IF('2. Sem'!$CE$41="","",'2. Sem'!$CE$41)</f>
        <v/>
      </c>
      <c r="CD51" s="628" t="str">
        <f>IF('2. Sem'!$CF$41="","",'2. Sem'!$CF$41)</f>
        <v/>
      </c>
      <c r="CE51" s="623" t="str">
        <f>IF('2. Sem'!$CG$41="","",'2. Sem'!$CG$41)</f>
        <v/>
      </c>
      <c r="CF51" s="624" t="str">
        <f>IF('2. Sem'!$CH$41="","",'2. Sem'!$CH$41)</f>
        <v/>
      </c>
      <c r="CG51" s="624" t="str">
        <f>IF('2. Sem'!$CI$41="","",'2. Sem'!$CI$41)</f>
        <v/>
      </c>
      <c r="CH51" s="624" t="str">
        <f>IF('2. Sem'!$CJ$41="","",'2. Sem'!$CJ$41)</f>
        <v/>
      </c>
      <c r="CI51" s="625" t="str">
        <f>IF('2. Sem'!$CK$41="","",'2. Sem'!$CK$41)</f>
        <v/>
      </c>
      <c r="CJ51" s="626" t="str">
        <f>IF('2. Sem'!$CL$41="","",'2. Sem'!$CL$41)</f>
        <v/>
      </c>
      <c r="CK51" s="627" t="str">
        <f>IF('2. Sem'!$CM$41="","",'2. Sem'!$CM$41)</f>
        <v/>
      </c>
      <c r="CL51" s="627" t="str">
        <f>IF('2. Sem'!$CN$41="","",'2. Sem'!$CN$41)</f>
        <v/>
      </c>
      <c r="CM51" s="627" t="str">
        <f>IF('2. Sem'!$CO$41="","",'2. Sem'!$CO$41)</f>
        <v/>
      </c>
      <c r="CN51" s="628" t="str">
        <f>IF('2. Sem'!$CP$41="","",'2. Sem'!$CP$41)</f>
        <v/>
      </c>
      <c r="CO51" s="623" t="str">
        <f>IF('2. Sem'!$CQ$41="","",'2. Sem'!$CQ$41)</f>
        <v/>
      </c>
      <c r="CP51" s="624" t="str">
        <f>IF('2. Sem'!$CR$41="","",'2. Sem'!$CR$41)</f>
        <v/>
      </c>
      <c r="CQ51" s="624" t="str">
        <f>IF('2. Sem'!$CS$41="","",'2. Sem'!$CS$41)</f>
        <v/>
      </c>
      <c r="CR51" s="624" t="str">
        <f>IF('2. Sem'!$CT$41="","",'2. Sem'!$CT$41)</f>
        <v/>
      </c>
      <c r="CS51" s="625" t="str">
        <f>IF('2. Sem'!$CU$41="","",'2. Sem'!$CU$41)</f>
        <v/>
      </c>
      <c r="CT51" s="626" t="str">
        <f>IF('2. Sem'!$CV$41="","",'2. Sem'!$CV$41)</f>
        <v/>
      </c>
      <c r="CU51" s="627" t="str">
        <f>IF('2. Sem'!$CW$41="","",'2. Sem'!$CW$41)</f>
        <v/>
      </c>
      <c r="CV51" s="627" t="str">
        <f>IF('2. Sem'!$CX$41="","",'2. Sem'!$CX$41)</f>
        <v/>
      </c>
      <c r="CW51" s="627" t="str">
        <f>IF('2. Sem'!$CY$41="","",'2. Sem'!$CY$41)</f>
        <v/>
      </c>
      <c r="CX51" s="628" t="str">
        <f>IF('2. Sem'!$CZ$41="","",'2. Sem'!$CZ$41)</f>
        <v/>
      </c>
      <c r="CY51" s="623" t="str">
        <f>IF('2. Sem'!$DA$41="","",'2. Sem'!$DA$41)</f>
        <v/>
      </c>
      <c r="CZ51" s="624" t="str">
        <f>IF('2. Sem'!$DB$41="","",'2. Sem'!$DB$41)</f>
        <v/>
      </c>
      <c r="DA51" s="624" t="str">
        <f>IF('2. Sem'!$DC$41="","",'2. Sem'!$DC$41)</f>
        <v/>
      </c>
      <c r="DB51" s="624" t="str">
        <f>IF('2. Sem'!$DD$41="","",'2. Sem'!$DD$41)</f>
        <v/>
      </c>
      <c r="DC51" s="625" t="str">
        <f>IF('2. Sem'!$DE$41="","",'2. Sem'!$DE$41)</f>
        <v/>
      </c>
    </row>
    <row r="52" spans="1:107" ht="17" customHeight="1" thickBot="1" x14ac:dyDescent="0.25">
      <c r="A52" s="566"/>
      <c r="B52" s="629" t="s">
        <v>34</v>
      </c>
      <c r="C52" s="630" t="str">
        <f>IF('2. Sem'!$E$42="","",'2. Sem'!$E$42)</f>
        <v/>
      </c>
      <c r="D52" s="631" t="str">
        <f>IF('2. Sem'!$F$42="","",'2. Sem'!$F$42)</f>
        <v/>
      </c>
      <c r="E52" s="631" t="str">
        <f>IF('2. Sem'!$G$42="","",'2. Sem'!$G$42)</f>
        <v/>
      </c>
      <c r="F52" s="631" t="str">
        <f>IF('2. Sem'!$H$42="","",'2. Sem'!$H$42)</f>
        <v/>
      </c>
      <c r="G52" s="632" t="str">
        <f>IF('2. Sem'!$I$42="","",'2. Sem'!$I$42)</f>
        <v/>
      </c>
      <c r="H52" s="633" t="str">
        <f>IF('2. Sem'!$J$42="","",'2. Sem'!$J$42)</f>
        <v/>
      </c>
      <c r="I52" s="634" t="str">
        <f>IF('2. Sem'!$K$42="","",'2. Sem'!$K$42)</f>
        <v/>
      </c>
      <c r="J52" s="634" t="str">
        <f>IF('2. Sem'!$L$42="","",'2. Sem'!$L$42)</f>
        <v/>
      </c>
      <c r="K52" s="634" t="str">
        <f>IF('2. Sem'!$M$42="","",'2. Sem'!$M$42)</f>
        <v/>
      </c>
      <c r="L52" s="635" t="str">
        <f>IF('2. Sem'!$N$42="","",'2. Sem'!$N$42)</f>
        <v/>
      </c>
      <c r="M52" s="630" t="str">
        <f>IF('2. Sem'!$O$42="","",'2. Sem'!$O$42)</f>
        <v/>
      </c>
      <c r="N52" s="631" t="str">
        <f>IF('2. Sem'!$P$42="","",'2. Sem'!$P$42)</f>
        <v/>
      </c>
      <c r="O52" s="631" t="str">
        <f>IF('2. Sem'!$Q$42="","",'2. Sem'!$Q$42)</f>
        <v/>
      </c>
      <c r="P52" s="631" t="str">
        <f>IF('2. Sem'!$R$42="","",'2. Sem'!$R$42)</f>
        <v/>
      </c>
      <c r="Q52" s="632" t="str">
        <f>IF('2. Sem'!$S$42="","",'2. Sem'!$S$42)</f>
        <v/>
      </c>
      <c r="R52" s="633" t="str">
        <f>IF('2. Sem'!$T$42="","",'2. Sem'!$T$42)</f>
        <v/>
      </c>
      <c r="S52" s="634" t="str">
        <f>IF('2. Sem'!$U$42="","",'2. Sem'!$U$42)</f>
        <v/>
      </c>
      <c r="T52" s="634" t="str">
        <f>IF('2. Sem'!$V$42="","",'2. Sem'!$V$42)</f>
        <v/>
      </c>
      <c r="U52" s="634" t="str">
        <f>IF('2. Sem'!$W$42="","",'2. Sem'!$W$42)</f>
        <v/>
      </c>
      <c r="V52" s="635" t="str">
        <f>IF('2. Sem'!$X$42="","",'2. Sem'!$X$42)</f>
        <v/>
      </c>
      <c r="W52" s="630" t="str">
        <f>IF('2. Sem'!$Y$42="","",'2. Sem'!$Y$42)</f>
        <v/>
      </c>
      <c r="X52" s="631" t="str">
        <f>IF('2. Sem'!$Z$42="","",'2. Sem'!$Z$42)</f>
        <v/>
      </c>
      <c r="Y52" s="631" t="str">
        <f>IF('2. Sem'!$AA$42="","",'2. Sem'!$AA$42)</f>
        <v/>
      </c>
      <c r="Z52" s="631" t="str">
        <f>IF('2. Sem'!$AB$42="","",'2. Sem'!$AB$42)</f>
        <v/>
      </c>
      <c r="AA52" s="632" t="str">
        <f>IF('2. Sem'!$AC$42="","",'2. Sem'!$AC$42)</f>
        <v/>
      </c>
      <c r="AB52" s="633" t="str">
        <f>IF('2. Sem'!$AD$42="","",'2. Sem'!$AD$42)</f>
        <v/>
      </c>
      <c r="AC52" s="634" t="str">
        <f>IF('2. Sem'!$AE$42="","",'2. Sem'!$AE$42)</f>
        <v/>
      </c>
      <c r="AD52" s="634" t="str">
        <f>IF('2. Sem'!$AF$42="","",'2. Sem'!$AF$42)</f>
        <v/>
      </c>
      <c r="AE52" s="634" t="str">
        <f>IF('2. Sem'!$AG$42="","",'2. Sem'!$AG$42)</f>
        <v/>
      </c>
      <c r="AF52" s="635" t="str">
        <f>IF('2. Sem'!$AH$42="","",'2. Sem'!$AH$42)</f>
        <v/>
      </c>
      <c r="AG52" s="630" t="str">
        <f>IF('2. Sem'!$AI$42="","",'2. Sem'!$AI$42)</f>
        <v/>
      </c>
      <c r="AH52" s="631" t="str">
        <f>IF('2. Sem'!$AJ$42="","",'2. Sem'!$AJ$42)</f>
        <v/>
      </c>
      <c r="AI52" s="631" t="str">
        <f>IF('2. Sem'!$AK$42="","",'2. Sem'!$AK$42)</f>
        <v/>
      </c>
      <c r="AJ52" s="631" t="str">
        <f>IF('2. Sem'!$AL$42="","",'2. Sem'!$AL$42)</f>
        <v/>
      </c>
      <c r="AK52" s="632" t="str">
        <f>IF('2. Sem'!$AM$42="","",'2. Sem'!$AM$42)</f>
        <v/>
      </c>
      <c r="AL52" s="633" t="str">
        <f>IF('2. Sem'!$AN$42="","",'2. Sem'!$AN$42)</f>
        <v/>
      </c>
      <c r="AM52" s="634" t="str">
        <f>IF('2. Sem'!$AO$42="","",'2. Sem'!$AO$42)</f>
        <v/>
      </c>
      <c r="AN52" s="634" t="str">
        <f>IF('2. Sem'!$AP$42="","",'2. Sem'!$AP$42)</f>
        <v/>
      </c>
      <c r="AO52" s="634" t="str">
        <f>IF('2. Sem'!$AQ$42="","",'2. Sem'!$AQ$42)</f>
        <v/>
      </c>
      <c r="AP52" s="635" t="str">
        <f>IF('2. Sem'!$AR$42="","",'2. Sem'!$AR$42)</f>
        <v/>
      </c>
      <c r="AQ52" s="630" t="str">
        <f>IF('2. Sem'!$AS$42="","",'2. Sem'!$AS$42)</f>
        <v/>
      </c>
      <c r="AR52" s="631" t="str">
        <f>IF('2. Sem'!$AT$42="","",'2. Sem'!$AT$42)</f>
        <v/>
      </c>
      <c r="AS52" s="631" t="str">
        <f>IF('2. Sem'!$AU$42="","",'2. Sem'!$AU$42)</f>
        <v/>
      </c>
      <c r="AT52" s="631" t="str">
        <f>IF('2. Sem'!$AV$42="","",'2. Sem'!$AV$42)</f>
        <v/>
      </c>
      <c r="AU52" s="632" t="str">
        <f>IF('2. Sem'!$AW$42="","",'2. Sem'!$AW$42)</f>
        <v/>
      </c>
      <c r="AV52" s="633" t="str">
        <f>IF('2. Sem'!$AX$42="","",'2. Sem'!$AX$42)</f>
        <v/>
      </c>
      <c r="AW52" s="634" t="str">
        <f>IF('2. Sem'!$AY$42="","",'2. Sem'!$AY$42)</f>
        <v/>
      </c>
      <c r="AX52" s="634" t="str">
        <f>IF('2. Sem'!$AZ$42="","",'2. Sem'!$AZ$42)</f>
        <v/>
      </c>
      <c r="AY52" s="634" t="str">
        <f>IF('2. Sem'!$BA$42="","",'2. Sem'!$BA$42)</f>
        <v/>
      </c>
      <c r="AZ52" s="635" t="str">
        <f>IF('2. Sem'!$BB$42="","",'2. Sem'!$BB$42)</f>
        <v/>
      </c>
      <c r="BA52" s="630" t="str">
        <f>IF('2. Sem'!$BC$42="","",'2. Sem'!$BC$42)</f>
        <v/>
      </c>
      <c r="BB52" s="631" t="str">
        <f>IF('2. Sem'!$BD$42="","",'2. Sem'!$BD$42)</f>
        <v/>
      </c>
      <c r="BC52" s="631" t="str">
        <f>IF('2. Sem'!$BE$42="","",'2. Sem'!$BE$42)</f>
        <v/>
      </c>
      <c r="BD52" s="631" t="str">
        <f>IF('2. Sem'!$BF$42="","",'2. Sem'!$BF$42)</f>
        <v/>
      </c>
      <c r="BE52" s="632" t="str">
        <f>IF('2. Sem'!$BG$42="","",'2. Sem'!$BG$42)</f>
        <v/>
      </c>
      <c r="BF52" s="633" t="str">
        <f>IF('2. Sem'!$BH$42="","",'2. Sem'!$BH$42)</f>
        <v/>
      </c>
      <c r="BG52" s="634" t="str">
        <f>IF('2. Sem'!$BI$42="","",'2. Sem'!$BI$42)</f>
        <v/>
      </c>
      <c r="BH52" s="634" t="str">
        <f>IF('2. Sem'!$BJ$42="","",'2. Sem'!$BJ$42)</f>
        <v/>
      </c>
      <c r="BI52" s="634" t="str">
        <f>IF('2. Sem'!$BK$42="","",'2. Sem'!$BK$42)</f>
        <v/>
      </c>
      <c r="BJ52" s="635" t="str">
        <f>IF('2. Sem'!$BL$42="","",'2. Sem'!$BL$42)</f>
        <v/>
      </c>
      <c r="BK52" s="630" t="str">
        <f>IF('2. Sem'!$BM$42="","",'2. Sem'!$BM$42)</f>
        <v/>
      </c>
      <c r="BL52" s="631" t="str">
        <f>IF('2. Sem'!$BN$42="","",'2. Sem'!$BN$42)</f>
        <v/>
      </c>
      <c r="BM52" s="631" t="str">
        <f>IF('2. Sem'!$BO$42="","",'2. Sem'!$BO$42)</f>
        <v/>
      </c>
      <c r="BN52" s="631" t="str">
        <f>IF('2. Sem'!$BP$42="","",'2. Sem'!$BP$42)</f>
        <v/>
      </c>
      <c r="BO52" s="632" t="str">
        <f>IF('2. Sem'!$BQ$42="","",'2. Sem'!$BQ$42)</f>
        <v/>
      </c>
      <c r="BP52" s="633" t="str">
        <f>IF('2. Sem'!$BR$42="","",'2. Sem'!$BR$42)</f>
        <v/>
      </c>
      <c r="BQ52" s="634" t="str">
        <f>IF('2. Sem'!$BS$42="","",'2. Sem'!$BS$42)</f>
        <v/>
      </c>
      <c r="BR52" s="634" t="str">
        <f>IF('2. Sem'!$BT$42="","",'2. Sem'!$BT$42)</f>
        <v/>
      </c>
      <c r="BS52" s="634" t="str">
        <f>IF('2. Sem'!$BU$42="","",'2. Sem'!$BU$42)</f>
        <v/>
      </c>
      <c r="BT52" s="635" t="str">
        <f>IF('2. Sem'!$BV$42="","",'2. Sem'!$BV$42)</f>
        <v/>
      </c>
      <c r="BU52" s="630" t="str">
        <f>IF('2. Sem'!$BW$42="","",'2. Sem'!$BW$42)</f>
        <v/>
      </c>
      <c r="BV52" s="631" t="str">
        <f>IF('2. Sem'!$BX$42="","",'2. Sem'!$BX$42)</f>
        <v/>
      </c>
      <c r="BW52" s="631" t="str">
        <f>IF('2. Sem'!$BY$42="","",'2. Sem'!$BY$42)</f>
        <v/>
      </c>
      <c r="BX52" s="631" t="str">
        <f>IF('2. Sem'!$BZ$42="","",'2. Sem'!$BZ$42)</f>
        <v/>
      </c>
      <c r="BY52" s="632" t="str">
        <f>IF('2. Sem'!$CA$42="","",'2. Sem'!$CA$42)</f>
        <v/>
      </c>
      <c r="BZ52" s="633" t="str">
        <f>IF('2. Sem'!$CB$42="","",'2. Sem'!$CB$42)</f>
        <v/>
      </c>
      <c r="CA52" s="634" t="str">
        <f>IF('2. Sem'!$CC$42="","",'2. Sem'!$CC$42)</f>
        <v/>
      </c>
      <c r="CB52" s="634" t="str">
        <f>IF('2. Sem'!$CD$42="","",'2. Sem'!$CD$42)</f>
        <v/>
      </c>
      <c r="CC52" s="634" t="str">
        <f>IF('2. Sem'!$CE$42="","",'2. Sem'!$CE$42)</f>
        <v/>
      </c>
      <c r="CD52" s="635" t="str">
        <f>IF('2. Sem'!$CF$42="","",'2. Sem'!$CF$42)</f>
        <v/>
      </c>
      <c r="CE52" s="630" t="str">
        <f>IF('2. Sem'!$CG$42="","",'2. Sem'!$CG$42)</f>
        <v/>
      </c>
      <c r="CF52" s="631" t="str">
        <f>IF('2. Sem'!$CH$42="","",'2. Sem'!$CH$42)</f>
        <v/>
      </c>
      <c r="CG52" s="631" t="str">
        <f>IF('2. Sem'!$CI$42="","",'2. Sem'!$CI$42)</f>
        <v/>
      </c>
      <c r="CH52" s="631" t="str">
        <f>IF('2. Sem'!$CJ$42="","",'2. Sem'!$CJ$42)</f>
        <v/>
      </c>
      <c r="CI52" s="632" t="str">
        <f>IF('2. Sem'!$CK$42="","",'2. Sem'!$CK$42)</f>
        <v/>
      </c>
      <c r="CJ52" s="633" t="str">
        <f>IF('2. Sem'!$CL$42="","",'2. Sem'!$CL$42)</f>
        <v/>
      </c>
      <c r="CK52" s="634" t="str">
        <f>IF('2. Sem'!$CM$42="","",'2. Sem'!$CM$42)</f>
        <v/>
      </c>
      <c r="CL52" s="634" t="str">
        <f>IF('2. Sem'!$CN$42="","",'2. Sem'!$CN$42)</f>
        <v/>
      </c>
      <c r="CM52" s="634" t="str">
        <f>IF('2. Sem'!$CO$42="","",'2. Sem'!$CO$42)</f>
        <v/>
      </c>
      <c r="CN52" s="635" t="str">
        <f>IF('2. Sem'!$CP$42="","",'2. Sem'!$CP$42)</f>
        <v/>
      </c>
      <c r="CO52" s="630" t="str">
        <f>IF('2. Sem'!$CQ$42="","",'2. Sem'!$CQ$42)</f>
        <v/>
      </c>
      <c r="CP52" s="631" t="str">
        <f>IF('2. Sem'!$CR$42="","",'2. Sem'!$CR$42)</f>
        <v/>
      </c>
      <c r="CQ52" s="631" t="str">
        <f>IF('2. Sem'!$CS$42="","",'2. Sem'!$CS$42)</f>
        <v/>
      </c>
      <c r="CR52" s="631" t="str">
        <f>IF('2. Sem'!$CT$42="","",'2. Sem'!$CT$42)</f>
        <v/>
      </c>
      <c r="CS52" s="632" t="str">
        <f>IF('2. Sem'!$CU$42="","",'2. Sem'!$CU$42)</f>
        <v/>
      </c>
      <c r="CT52" s="633" t="str">
        <f>IF('2. Sem'!$CV$42="","",'2. Sem'!$CV$42)</f>
        <v/>
      </c>
      <c r="CU52" s="634" t="str">
        <f>IF('2. Sem'!$CW$42="","",'2. Sem'!$CW$42)</f>
        <v/>
      </c>
      <c r="CV52" s="634" t="str">
        <f>IF('2. Sem'!$CX$42="","",'2. Sem'!$CX$42)</f>
        <v/>
      </c>
      <c r="CW52" s="634" t="str">
        <f>IF('2. Sem'!$CY$42="","",'2. Sem'!$CY$42)</f>
        <v/>
      </c>
      <c r="CX52" s="635" t="str">
        <f>IF('2. Sem'!$CZ$42="","",'2. Sem'!$CZ$42)</f>
        <v/>
      </c>
      <c r="CY52" s="630" t="str">
        <f>IF('2. Sem'!$DA$42="","",'2. Sem'!$DA$42)</f>
        <v/>
      </c>
      <c r="CZ52" s="631" t="str">
        <f>IF('2. Sem'!$DB$42="","",'2. Sem'!$DB$42)</f>
        <v/>
      </c>
      <c r="DA52" s="631" t="str">
        <f>IF('2. Sem'!$DC$42="","",'2. Sem'!$DC$42)</f>
        <v/>
      </c>
      <c r="DB52" s="631" t="str">
        <f>IF('2. Sem'!$DD$42="","",'2. Sem'!$DD$42)</f>
        <v/>
      </c>
      <c r="DC52" s="632" t="str">
        <f>IF('2. Sem'!$DE$42="","",'2. Sem'!$DE$42)</f>
        <v/>
      </c>
    </row>
    <row r="53" spans="1:107" ht="17" thickBot="1" x14ac:dyDescent="0.25">
      <c r="A53" s="562"/>
      <c r="B53" s="562"/>
      <c r="C53" s="563"/>
      <c r="D53" s="563"/>
      <c r="E53" s="563"/>
      <c r="F53" s="563"/>
      <c r="G53" s="563"/>
      <c r="H53" s="563"/>
      <c r="I53" s="563"/>
      <c r="J53" s="563"/>
      <c r="K53" s="563"/>
      <c r="L53" s="563"/>
      <c r="M53" s="563"/>
      <c r="N53" s="563"/>
      <c r="O53" s="563"/>
      <c r="P53" s="563"/>
      <c r="Q53" s="563"/>
      <c r="R53" s="563"/>
      <c r="S53" s="563"/>
      <c r="T53" s="563"/>
      <c r="U53" s="563"/>
      <c r="V53" s="563"/>
      <c r="W53" s="563"/>
      <c r="X53" s="563"/>
      <c r="Y53" s="563"/>
      <c r="Z53" s="563"/>
      <c r="AA53" s="563"/>
      <c r="AB53" s="563"/>
      <c r="AC53" s="563"/>
      <c r="AD53" s="563"/>
      <c r="AE53" s="563"/>
      <c r="AF53" s="563"/>
      <c r="AG53" s="563"/>
      <c r="AH53" s="563"/>
      <c r="AI53" s="563"/>
      <c r="AJ53" s="563"/>
      <c r="AK53" s="563"/>
      <c r="AL53" s="563"/>
      <c r="AM53" s="563"/>
      <c r="AN53" s="563"/>
      <c r="AO53" s="563"/>
      <c r="AP53" s="563"/>
      <c r="AQ53" s="563"/>
      <c r="AR53" s="563"/>
      <c r="AS53" s="563"/>
      <c r="AT53" s="563"/>
      <c r="AU53" s="563"/>
      <c r="AV53" s="563"/>
      <c r="AW53" s="563"/>
      <c r="AX53" s="563"/>
      <c r="AY53" s="563"/>
      <c r="AZ53" s="563"/>
      <c r="BA53" s="563"/>
      <c r="BB53" s="563"/>
      <c r="BC53" s="563"/>
      <c r="BD53" s="563"/>
      <c r="BE53" s="563"/>
      <c r="BF53" s="563"/>
      <c r="BG53" s="563"/>
      <c r="BH53" s="563"/>
      <c r="BI53" s="563"/>
      <c r="BJ53" s="563"/>
      <c r="BK53" s="563"/>
      <c r="BL53" s="563"/>
      <c r="BM53" s="563"/>
      <c r="BN53" s="563"/>
      <c r="BO53" s="563"/>
      <c r="BP53" s="563"/>
      <c r="BQ53" s="563"/>
      <c r="BR53" s="563"/>
      <c r="BS53" s="563"/>
      <c r="BT53" s="563"/>
      <c r="BU53" s="564"/>
      <c r="BV53" s="563"/>
      <c r="BW53" s="563"/>
      <c r="BX53" s="563"/>
      <c r="BY53" s="563"/>
      <c r="BZ53" s="563"/>
      <c r="CA53" s="563"/>
      <c r="CB53" s="563"/>
      <c r="CC53" s="563"/>
      <c r="CD53" s="563"/>
      <c r="CE53" s="563"/>
      <c r="CF53" s="563"/>
      <c r="CG53" s="563"/>
      <c r="CH53" s="563"/>
      <c r="CI53" s="563"/>
      <c r="CJ53" s="563"/>
      <c r="CK53" s="563"/>
      <c r="CL53" s="563"/>
      <c r="CM53" s="563"/>
      <c r="CN53" s="565"/>
      <c r="CO53" s="563"/>
      <c r="CP53" s="563"/>
      <c r="CQ53" s="563"/>
      <c r="CR53" s="563"/>
      <c r="CS53" s="563"/>
      <c r="CT53" s="563"/>
      <c r="CU53" s="563"/>
      <c r="CV53" s="563"/>
      <c r="CW53" s="563"/>
      <c r="CX53" s="563"/>
      <c r="CY53" s="563"/>
      <c r="CZ53" s="563"/>
      <c r="DA53" s="563"/>
      <c r="DB53" s="563"/>
      <c r="DC53" s="563"/>
    </row>
    <row r="54" spans="1:107" ht="16" customHeight="1" x14ac:dyDescent="0.2">
      <c r="A54" s="566" t="s">
        <v>338</v>
      </c>
      <c r="B54" s="567" t="s">
        <v>7</v>
      </c>
      <c r="C54" s="568" t="str">
        <f>IF('3. Sem'!$E$7="","",'3. Sem'!$E$7)</f>
        <v/>
      </c>
      <c r="D54" s="569" t="str">
        <f>IF('3. Sem'!$F$7="","",'3. Sem'!$F$7)</f>
        <v/>
      </c>
      <c r="E54" s="569" t="str">
        <f>IF('3. Sem'!$G$7="","",'3. Sem'!$G$7)</f>
        <v/>
      </c>
      <c r="F54" s="569" t="str">
        <f>IF('3. Sem'!$H$7="","",'3. Sem'!$H$7)</f>
        <v/>
      </c>
      <c r="G54" s="570" t="str">
        <f>IF('3. Sem'!$I$7="","",'3. Sem'!$I$7)</f>
        <v/>
      </c>
      <c r="H54" s="571" t="str">
        <f>IF('3. Sem'!$J$7="","",'3. Sem'!$J$7)</f>
        <v/>
      </c>
      <c r="I54" s="572" t="str">
        <f>IF('3. Sem'!$K$7="","",'3. Sem'!$K$7)</f>
        <v/>
      </c>
      <c r="J54" s="572" t="str">
        <f>IF('3. Sem'!$L$7="","",'3. Sem'!$L$7)</f>
        <v/>
      </c>
      <c r="K54" s="572" t="str">
        <f>IF('3. Sem'!$M$7="","",'3. Sem'!$M$7)</f>
        <v/>
      </c>
      <c r="L54" s="573" t="str">
        <f>IF('3. Sem'!$N$7="","",'3. Sem'!$N$7)</f>
        <v/>
      </c>
      <c r="M54" s="574" t="str">
        <f>IF('3. Sem'!$O$7="","",'3. Sem'!$O$7)</f>
        <v/>
      </c>
      <c r="N54" s="569" t="str">
        <f>IF('3. Sem'!$P$7="","",'3. Sem'!$P$7)</f>
        <v/>
      </c>
      <c r="O54" s="569" t="str">
        <f>IF('3. Sem'!$Q$7="","",'3. Sem'!$Q$7)</f>
        <v/>
      </c>
      <c r="P54" s="569" t="str">
        <f>IF('3. Sem'!$R$7="","",'3. Sem'!$R$7)</f>
        <v/>
      </c>
      <c r="Q54" s="570" t="str">
        <f>IF('3. Sem'!$S$7="","",'3. Sem'!$S$7)</f>
        <v/>
      </c>
      <c r="R54" s="571" t="str">
        <f>IF('3. Sem'!$T$7="","",'3. Sem'!$T$7)</f>
        <v/>
      </c>
      <c r="S54" s="572" t="str">
        <f>IF('3. Sem'!$U$7="","",'3. Sem'!$U$7)</f>
        <v/>
      </c>
      <c r="T54" s="572" t="str">
        <f>IF('3. Sem'!$V$7="","",'3. Sem'!$V$7)</f>
        <v/>
      </c>
      <c r="U54" s="572" t="str">
        <f>IF('3. Sem'!$W$7="","",'3. Sem'!$W$7)</f>
        <v/>
      </c>
      <c r="V54" s="573" t="str">
        <f>IF('3. Sem'!$X$7="","",'3. Sem'!$X$7)</f>
        <v/>
      </c>
      <c r="W54" s="574" t="str">
        <f>IF('3. Sem'!$Y$7="","",'3. Sem'!$Y$7)</f>
        <v/>
      </c>
      <c r="X54" s="569" t="str">
        <f>IF('3. Sem'!$Z$7="","",'3. Sem'!$Z$7)</f>
        <v/>
      </c>
      <c r="Y54" s="569" t="str">
        <f>IF('3. Sem'!$AA$7="","",'3. Sem'!$AA$7)</f>
        <v/>
      </c>
      <c r="Z54" s="569" t="str">
        <f>IF('3. Sem'!$AB$7="","",'3. Sem'!$AB$7)</f>
        <v/>
      </c>
      <c r="AA54" s="570" t="str">
        <f>IF('3. Sem'!$AC$7="","",'3. Sem'!$AC$7)</f>
        <v/>
      </c>
      <c r="AB54" s="571" t="str">
        <f>IF('3. Sem'!$AD$7="","",'3. Sem'!$AD$7)</f>
        <v/>
      </c>
      <c r="AC54" s="572" t="str">
        <f>IF('3. Sem'!$AE$7="","",'3. Sem'!$AE$7)</f>
        <v/>
      </c>
      <c r="AD54" s="572" t="str">
        <f>IF('3. Sem'!$AF$7="","",'3. Sem'!$AF$7)</f>
        <v/>
      </c>
      <c r="AE54" s="572" t="str">
        <f>IF('3. Sem'!$AG$7="","",'3. Sem'!$AG$7)</f>
        <v/>
      </c>
      <c r="AF54" s="573" t="str">
        <f>IF('3. Sem'!$AH$7="","",'3. Sem'!$AH$7)</f>
        <v/>
      </c>
      <c r="AG54" s="574" t="str">
        <f>IF('3. Sem'!$AI$7="","",'3. Sem'!$AI$7)</f>
        <v/>
      </c>
      <c r="AH54" s="569" t="str">
        <f>IF('3. Sem'!$AJ$7="","",'3. Sem'!$AJ$7)</f>
        <v/>
      </c>
      <c r="AI54" s="569" t="str">
        <f>IF('3. Sem'!$AK$7="","",'3. Sem'!$AK$7)</f>
        <v/>
      </c>
      <c r="AJ54" s="569" t="str">
        <f>IF('3. Sem'!$AL$7="","",'3. Sem'!$AL$7)</f>
        <v/>
      </c>
      <c r="AK54" s="570" t="str">
        <f>IF('3. Sem'!$AM$7="","",'3. Sem'!$AM$7)</f>
        <v/>
      </c>
      <c r="AL54" s="578" t="str">
        <f>IF('3. Sem'!$AN$7="","",'3. Sem'!$AN$7)</f>
        <v/>
      </c>
      <c r="AM54" s="576" t="str">
        <f>IF('3. Sem'!$AO$7="","",'3. Sem'!$AO$7)</f>
        <v/>
      </c>
      <c r="AN54" s="576" t="str">
        <f>IF('3. Sem'!$AP$7="","",'3. Sem'!$AP$7)</f>
        <v/>
      </c>
      <c r="AO54" s="576" t="str">
        <f>IF('3. Sem'!$AQ$7="","",'3. Sem'!$AQ$7)</f>
        <v/>
      </c>
      <c r="AP54" s="577" t="str">
        <f>IF('3. Sem'!$AR$7="","",'3. Sem'!$AR$7)</f>
        <v/>
      </c>
      <c r="AQ54" s="575" t="str">
        <f>IF('3. Sem'!$AS$7="","",'3. Sem'!$AS$7)</f>
        <v/>
      </c>
      <c r="AR54" s="569" t="str">
        <f>IF('3. Sem'!$AT$7="","",'3. Sem'!$AT$7)</f>
        <v/>
      </c>
      <c r="AS54" s="569" t="str">
        <f>IF('3. Sem'!$AU$7="","",'3. Sem'!$AU$7)</f>
        <v/>
      </c>
      <c r="AT54" s="569" t="str">
        <f>IF('3. Sem'!$AV$7="","",'3. Sem'!$AV$7)</f>
        <v/>
      </c>
      <c r="AU54" s="570" t="str">
        <f>IF('3. Sem'!$AW$7="","",'3. Sem'!$AW$7)</f>
        <v/>
      </c>
      <c r="AV54" s="571" t="str">
        <f>IF('3. Sem'!$AX$7="","",'3. Sem'!$AX$7)</f>
        <v/>
      </c>
      <c r="AW54" s="572" t="str">
        <f>IF('3. Sem'!$AY$7="","",'3. Sem'!$AY$7)</f>
        <v/>
      </c>
      <c r="AX54" s="572" t="str">
        <f>IF('3. Sem'!$AZ$7="","",'3. Sem'!$AZ$7)</f>
        <v/>
      </c>
      <c r="AY54" s="572" t="str">
        <f>IF('3. Sem'!$BA$7="","",'3. Sem'!$BA$7)</f>
        <v/>
      </c>
      <c r="AZ54" s="573" t="str">
        <f>IF('3. Sem'!$BB$7="","",'3. Sem'!$BB$7)</f>
        <v/>
      </c>
      <c r="BA54" s="574" t="str">
        <f>IF('3. Sem'!$BC$7="","",'3. Sem'!$BC$7)</f>
        <v/>
      </c>
      <c r="BB54" s="569" t="str">
        <f>IF('3. Sem'!$BD$7="","",'3. Sem'!$BD$7)</f>
        <v/>
      </c>
      <c r="BC54" s="569" t="str">
        <f>IF('3. Sem'!$BE$7="","",'3. Sem'!$BE$7)</f>
        <v/>
      </c>
      <c r="BD54" s="569" t="str">
        <f>IF('3. Sem'!$BF$7="","",'3. Sem'!$BF$7)</f>
        <v/>
      </c>
      <c r="BE54" s="570" t="str">
        <f>IF('3. Sem'!$BG$7="","",'3. Sem'!$BG$7)</f>
        <v/>
      </c>
      <c r="BF54" s="571" t="str">
        <f>IF('3. Sem'!$BH$7="","",'3. Sem'!$BH$7)</f>
        <v/>
      </c>
      <c r="BG54" s="572" t="str">
        <f>IF('3. Sem'!$BI$7="","",'3. Sem'!$BI$7)</f>
        <v/>
      </c>
      <c r="BH54" s="572" t="str">
        <f>IF('3. Sem'!$BJ$7="","",'3. Sem'!$BJ$7)</f>
        <v/>
      </c>
      <c r="BI54" s="572" t="str">
        <f>IF('3. Sem'!$BK$7="","",'3. Sem'!$BK$7)</f>
        <v/>
      </c>
      <c r="BJ54" s="573" t="str">
        <f>IF('3. Sem'!$BL$7="","",'3. Sem'!$BL$7)</f>
        <v/>
      </c>
      <c r="BK54" s="574" t="str">
        <f>IF('3. Sem'!$BM$7="","",'3. Sem'!$BM$7)</f>
        <v/>
      </c>
      <c r="BL54" s="569" t="str">
        <f>IF('3. Sem'!$BN$7="","",'3. Sem'!$BN$7)</f>
        <v/>
      </c>
      <c r="BM54" s="569" t="str">
        <f>IF('3. Sem'!$BO$7="","",'3. Sem'!$BO$7)</f>
        <v/>
      </c>
      <c r="BN54" s="569" t="str">
        <f>IF('3. Sem'!$BP$7="","",'3. Sem'!$BP$7)</f>
        <v/>
      </c>
      <c r="BO54" s="570" t="str">
        <f>IF('3. Sem'!$BQ$7="","",'3. Sem'!$BQ$7)</f>
        <v/>
      </c>
      <c r="BP54" s="571" t="str">
        <f>IF('3. Sem'!$BR$7="","",'3. Sem'!$BR$7)</f>
        <v/>
      </c>
      <c r="BQ54" s="572" t="str">
        <f>IF('3. Sem'!$BS$7="","",'3. Sem'!$BS$7)</f>
        <v/>
      </c>
      <c r="BR54" s="572" t="str">
        <f>IF('3. Sem'!$BT$7="","",'3. Sem'!$BT$7)</f>
        <v/>
      </c>
      <c r="BS54" s="576" t="str">
        <f>IF('3. Sem'!$BU$7="","",'3. Sem'!$BU$7)</f>
        <v/>
      </c>
      <c r="BT54" s="577" t="str">
        <f>IF('3. Sem'!$BV$7="","",'3. Sem'!$BV$7)</f>
        <v/>
      </c>
      <c r="BU54" s="574" t="str">
        <f>IF('3. Sem'!$BW$7="","",'3. Sem'!$BW$7)</f>
        <v/>
      </c>
      <c r="BV54" s="569" t="str">
        <f>IF('3. Sem'!$BX$7="","",'3. Sem'!$BX$7)</f>
        <v/>
      </c>
      <c r="BW54" s="569" t="str">
        <f>IF('3. Sem'!$BY$7="","",'3. Sem'!$BY$7)</f>
        <v/>
      </c>
      <c r="BX54" s="569" t="str">
        <f>IF('3. Sem'!$BZ$7="","",'3. Sem'!$BZ$7)</f>
        <v/>
      </c>
      <c r="BY54" s="570" t="str">
        <f>IF('3. Sem'!$CA$7="","",'3. Sem'!$CA$7)</f>
        <v/>
      </c>
      <c r="BZ54" s="578" t="str">
        <f>IF('3. Sem'!$CB$7="","",'3. Sem'!$CB$7)</f>
        <v/>
      </c>
      <c r="CA54" s="572" t="str">
        <f>IF('3. Sem'!$CC$7="","",'3. Sem'!$CC$7)</f>
        <v/>
      </c>
      <c r="CB54" s="572" t="str">
        <f>IF('3. Sem'!$CD$7="","",'3. Sem'!$CD$7)</f>
        <v/>
      </c>
      <c r="CC54" s="572" t="str">
        <f>IF('3. Sem'!$CE$7="","",'3. Sem'!$CE$7)</f>
        <v/>
      </c>
      <c r="CD54" s="573" t="str">
        <f>IF('3. Sem'!$CF$7="","",'3. Sem'!$CF$7)</f>
        <v/>
      </c>
      <c r="CE54" s="574" t="str">
        <f>IF('3. Sem'!$CG$7="","",'3. Sem'!$CG$7)</f>
        <v/>
      </c>
      <c r="CF54" s="569" t="str">
        <f>IF('3. Sem'!$CH$7="","",'3. Sem'!$CH$7)</f>
        <v/>
      </c>
      <c r="CG54" s="569" t="str">
        <f>IF('3. Sem'!$CI$7="","",'3. Sem'!$CI$7)</f>
        <v/>
      </c>
      <c r="CH54" s="569" t="str">
        <f>IF('3. Sem'!$CJ$7="","",'3. Sem'!$CJ$7)</f>
        <v/>
      </c>
      <c r="CI54" s="570" t="str">
        <f>IF('3. Sem'!$CK$7="","",'3. Sem'!$CK$7)</f>
        <v/>
      </c>
      <c r="CJ54" s="571" t="str">
        <f>IF('3. Sem'!$CL$7="","",'3. Sem'!$CL$7)</f>
        <v/>
      </c>
      <c r="CK54" s="572" t="str">
        <f>IF('3. Sem'!$CM$7="","",'3. Sem'!$CM$7)</f>
        <v/>
      </c>
      <c r="CL54" s="572" t="str">
        <f>IF('3. Sem'!$CN$7="","",'3. Sem'!$CN$7)</f>
        <v/>
      </c>
      <c r="CM54" s="572" t="str">
        <f>IF('3. Sem'!$CO$7="","",'3. Sem'!$CO$7)</f>
        <v/>
      </c>
      <c r="CN54" s="573" t="str">
        <f>IF('3. Sem'!$CP$7="","",'3. Sem'!$CP$7)</f>
        <v/>
      </c>
      <c r="CO54" s="574" t="str">
        <f>IF('3. Sem'!$CQ$7="","",'3. Sem'!$CQ$7)</f>
        <v/>
      </c>
      <c r="CP54" s="569" t="str">
        <f>IF('3. Sem'!$CR$7="","",'3. Sem'!$CR$7)</f>
        <v/>
      </c>
      <c r="CQ54" s="569" t="str">
        <f>IF('3. Sem'!$CS$7="","",'3. Sem'!$CS$7)</f>
        <v/>
      </c>
      <c r="CR54" s="569" t="str">
        <f>IF('3. Sem'!$CT$7="","",'3. Sem'!$CT$7)</f>
        <v/>
      </c>
      <c r="CS54" s="570" t="str">
        <f>IF('3. Sem'!$CU$7="","",'3. Sem'!$CU$7)</f>
        <v/>
      </c>
      <c r="CT54" s="571" t="str">
        <f>IF('3. Sem'!$CV$7="","",'3. Sem'!$CV$7)</f>
        <v/>
      </c>
      <c r="CU54" s="572" t="str">
        <f>IF('3. Sem'!$CW$7="","",'3. Sem'!$CW$7)</f>
        <v/>
      </c>
      <c r="CV54" s="572" t="str">
        <f>IF('3. Sem'!$CX$7="","",'3. Sem'!$CX$7)</f>
        <v/>
      </c>
      <c r="CW54" s="572" t="str">
        <f>IF('3. Sem'!$CY$7="","",'3. Sem'!$CY$7)</f>
        <v/>
      </c>
      <c r="CX54" s="573" t="str">
        <f>IF('3. Sem'!$CZ$7="","",'3. Sem'!$CZ$7)</f>
        <v/>
      </c>
      <c r="CY54" s="574" t="str">
        <f>IF('3. Sem'!$DA$7="","",'3. Sem'!$DA$7)</f>
        <v/>
      </c>
      <c r="CZ54" s="569" t="str">
        <f>IF('3. Sem'!$DB$7="","",'3. Sem'!$DB$7)</f>
        <v/>
      </c>
      <c r="DA54" s="569" t="str">
        <f>IF('3. Sem'!$DC$7="","",'3. Sem'!$DC$7)</f>
        <v/>
      </c>
      <c r="DB54" s="569" t="str">
        <f>IF('3. Sem'!$DD$7="","",'3. Sem'!$DD$7)</f>
        <v/>
      </c>
      <c r="DC54" s="570" t="str">
        <f>IF('3. Sem'!$DE$7="","",'3. Sem'!$DE$7)</f>
        <v/>
      </c>
    </row>
    <row r="55" spans="1:107" ht="16" customHeight="1" x14ac:dyDescent="0.2">
      <c r="A55" s="566"/>
      <c r="B55" s="579" t="s">
        <v>15</v>
      </c>
      <c r="C55" s="580" t="str">
        <f>IF('3. Sem'!$E$8="","",'3. Sem'!$E$8)</f>
        <v/>
      </c>
      <c r="D55" s="581" t="str">
        <f>IF('3. Sem'!$F$8="","",'3. Sem'!$F$8)</f>
        <v/>
      </c>
      <c r="E55" s="581" t="str">
        <f>IF('3. Sem'!$G$8="","",'3. Sem'!$G$8)</f>
        <v/>
      </c>
      <c r="F55" s="581" t="str">
        <f>IF('3. Sem'!$H$8="","",'3. Sem'!$H$8)</f>
        <v/>
      </c>
      <c r="G55" s="582" t="str">
        <f>IF('3. Sem'!$I$8="","",'3. Sem'!$I$8)</f>
        <v/>
      </c>
      <c r="H55" s="583" t="str">
        <f>IF('3. Sem'!$J$8="","",'3. Sem'!$J$8)</f>
        <v/>
      </c>
      <c r="I55" s="584" t="str">
        <f>IF('3. Sem'!$K$8="","",'3. Sem'!$K$8)</f>
        <v/>
      </c>
      <c r="J55" s="584" t="str">
        <f>IF('3. Sem'!$L$8="","",'3. Sem'!$L$8)</f>
        <v/>
      </c>
      <c r="K55" s="584" t="str">
        <f>IF('3. Sem'!$M$8="","",'3. Sem'!$M$8)</f>
        <v/>
      </c>
      <c r="L55" s="585" t="str">
        <f>IF('3. Sem'!$N$8="","",'3. Sem'!$N$8)</f>
        <v/>
      </c>
      <c r="M55" s="586" t="str">
        <f>IF('3. Sem'!$O$8="","",'3. Sem'!$O$8)</f>
        <v/>
      </c>
      <c r="N55" s="581" t="str">
        <f>IF('3. Sem'!$P$8="","",'3. Sem'!$P$8)</f>
        <v/>
      </c>
      <c r="O55" s="581" t="str">
        <f>IF('3. Sem'!$Q$8="","",'3. Sem'!$Q$8)</f>
        <v/>
      </c>
      <c r="P55" s="581" t="str">
        <f>IF('3. Sem'!$R$8="","",'3. Sem'!$R$8)</f>
        <v/>
      </c>
      <c r="Q55" s="582" t="str">
        <f>IF('3. Sem'!$S$8="","",'3. Sem'!$S$8)</f>
        <v/>
      </c>
      <c r="R55" s="583" t="str">
        <f>IF('3. Sem'!$T$8="","",'3. Sem'!$T$8)</f>
        <v/>
      </c>
      <c r="S55" s="584" t="str">
        <f>IF('3. Sem'!$U$8="","",'3. Sem'!$U$8)</f>
        <v/>
      </c>
      <c r="T55" s="584" t="str">
        <f>IF('3. Sem'!$V$8="","",'3. Sem'!$V$8)</f>
        <v/>
      </c>
      <c r="U55" s="584" t="str">
        <f>IF('3. Sem'!$W$8="","",'3. Sem'!$W$8)</f>
        <v/>
      </c>
      <c r="V55" s="585" t="str">
        <f>IF('3. Sem'!$X$8="","",'3. Sem'!$X$8)</f>
        <v/>
      </c>
      <c r="W55" s="586" t="str">
        <f>IF('3. Sem'!$Y$8="","",'3. Sem'!$Y$8)</f>
        <v/>
      </c>
      <c r="X55" s="581" t="str">
        <f>IF('3. Sem'!$Z$8="","",'3. Sem'!$Z$8)</f>
        <v/>
      </c>
      <c r="Y55" s="581" t="str">
        <f>IF('3. Sem'!$AA$8="","",'3. Sem'!$AA$8)</f>
        <v/>
      </c>
      <c r="Z55" s="581" t="str">
        <f>IF('3. Sem'!$AB$8="","",'3. Sem'!$AB$8)</f>
        <v/>
      </c>
      <c r="AA55" s="582" t="str">
        <f>IF('3. Sem'!$AC$8="","",'3. Sem'!$AC$8)</f>
        <v/>
      </c>
      <c r="AB55" s="583" t="str">
        <f>IF('3. Sem'!$AD$8="","",'3. Sem'!$AD$8)</f>
        <v/>
      </c>
      <c r="AC55" s="584" t="str">
        <f>IF('3. Sem'!$AE$8="","",'3. Sem'!$AE$8)</f>
        <v/>
      </c>
      <c r="AD55" s="584" t="str">
        <f>IF('3. Sem'!$AF$8="","",'3. Sem'!$AF$8)</f>
        <v/>
      </c>
      <c r="AE55" s="584" t="str">
        <f>IF('3. Sem'!$AG$8="","",'3. Sem'!$AG$8)</f>
        <v/>
      </c>
      <c r="AF55" s="585" t="str">
        <f>IF('3. Sem'!$AH$8="","",'3. Sem'!$AH$8)</f>
        <v/>
      </c>
      <c r="AG55" s="586" t="str">
        <f>IF('3. Sem'!$AI$8="","",'3. Sem'!$AI$8)</f>
        <v/>
      </c>
      <c r="AH55" s="581" t="str">
        <f>IF('3. Sem'!$AJ$8="","",'3. Sem'!$AJ$8)</f>
        <v/>
      </c>
      <c r="AI55" s="581" t="str">
        <f>IF('3. Sem'!$AK$8="","",'3. Sem'!$AK$8)</f>
        <v/>
      </c>
      <c r="AJ55" s="581" t="str">
        <f>IF('3. Sem'!$AL$8="","",'3. Sem'!$AL$8)</f>
        <v/>
      </c>
      <c r="AK55" s="582" t="str">
        <f>IF('3. Sem'!$AM$8="","",'3. Sem'!$AM$8)</f>
        <v/>
      </c>
      <c r="AL55" s="590" t="str">
        <f>IF('3. Sem'!$AN$8="","",'3. Sem'!$AN$8)</f>
        <v/>
      </c>
      <c r="AM55" s="588" t="str">
        <f>IF('3. Sem'!$AO$8="","",'3. Sem'!$AO$8)</f>
        <v/>
      </c>
      <c r="AN55" s="588" t="str">
        <f>IF('3. Sem'!$AP$8="","",'3. Sem'!$AP$8)</f>
        <v/>
      </c>
      <c r="AO55" s="588" t="str">
        <f>IF('3. Sem'!$AQ$8="","",'3. Sem'!$AQ$8)</f>
        <v/>
      </c>
      <c r="AP55" s="589" t="str">
        <f>IF('3. Sem'!$AR$8="","",'3. Sem'!$AR$8)</f>
        <v/>
      </c>
      <c r="AQ55" s="587" t="str">
        <f>IF('3. Sem'!$AS$8="","",'3. Sem'!$AS$8)</f>
        <v/>
      </c>
      <c r="AR55" s="581" t="str">
        <f>IF('3. Sem'!$AT$8="","",'3. Sem'!$AT$8)</f>
        <v/>
      </c>
      <c r="AS55" s="581" t="str">
        <f>IF('3. Sem'!$AU$8="","",'3. Sem'!$AU$8)</f>
        <v/>
      </c>
      <c r="AT55" s="581" t="str">
        <f>IF('3. Sem'!$AV$8="","",'3. Sem'!$AV$8)</f>
        <v/>
      </c>
      <c r="AU55" s="582" t="str">
        <f>IF('3. Sem'!$AW$8="","",'3. Sem'!$AW$8)</f>
        <v/>
      </c>
      <c r="AV55" s="583" t="str">
        <f>IF('3. Sem'!$AX$8="","",'3. Sem'!$AX$8)</f>
        <v/>
      </c>
      <c r="AW55" s="584" t="str">
        <f>IF('3. Sem'!$AY$8="","",'3. Sem'!$AY$8)</f>
        <v/>
      </c>
      <c r="AX55" s="584" t="str">
        <f>IF('3. Sem'!$AZ$8="","",'3. Sem'!$AZ$8)</f>
        <v/>
      </c>
      <c r="AY55" s="584" t="str">
        <f>IF('3. Sem'!$BA$8="","",'3. Sem'!$BA$8)</f>
        <v/>
      </c>
      <c r="AZ55" s="585" t="str">
        <f>IF('3. Sem'!$BB$8="","",'3. Sem'!$BB$8)</f>
        <v/>
      </c>
      <c r="BA55" s="586" t="str">
        <f>IF('3. Sem'!$BC$8="","",'3. Sem'!$BC$8)</f>
        <v/>
      </c>
      <c r="BB55" s="581" t="str">
        <f>IF('3. Sem'!$BD$8="","",'3. Sem'!$BD$8)</f>
        <v/>
      </c>
      <c r="BC55" s="581" t="str">
        <f>IF('3. Sem'!$BE$8="","",'3. Sem'!$BE$8)</f>
        <v/>
      </c>
      <c r="BD55" s="581" t="str">
        <f>IF('3. Sem'!$BF$8="","",'3. Sem'!$BF$8)</f>
        <v/>
      </c>
      <c r="BE55" s="582" t="str">
        <f>IF('3. Sem'!$BG$8="","",'3. Sem'!$BG$8)</f>
        <v/>
      </c>
      <c r="BF55" s="583" t="str">
        <f>IF('3. Sem'!$BH$8="","",'3. Sem'!$BH$8)</f>
        <v/>
      </c>
      <c r="BG55" s="584" t="str">
        <f>IF('3. Sem'!$BI$8="","",'3. Sem'!$BI$8)</f>
        <v/>
      </c>
      <c r="BH55" s="584" t="str">
        <f>IF('3. Sem'!$BJ$8="","",'3. Sem'!$BJ$8)</f>
        <v/>
      </c>
      <c r="BI55" s="584" t="str">
        <f>IF('3. Sem'!$BK$8="","",'3. Sem'!$BK$8)</f>
        <v/>
      </c>
      <c r="BJ55" s="585" t="str">
        <f>IF('3. Sem'!$BL$8="","",'3. Sem'!$BL$8)</f>
        <v/>
      </c>
      <c r="BK55" s="586" t="str">
        <f>IF('3. Sem'!$BM$8="","",'3. Sem'!$BM$8)</f>
        <v/>
      </c>
      <c r="BL55" s="581" t="str">
        <f>IF('3. Sem'!$BN$8="","",'3. Sem'!$BN$8)</f>
        <v/>
      </c>
      <c r="BM55" s="581" t="str">
        <f>IF('3. Sem'!$BO$8="","",'3. Sem'!$BO$8)</f>
        <v/>
      </c>
      <c r="BN55" s="581" t="str">
        <f>IF('3. Sem'!$BP$8="","",'3. Sem'!$BP$8)</f>
        <v/>
      </c>
      <c r="BO55" s="582" t="str">
        <f>IF('3. Sem'!$BQ$8="","",'3. Sem'!$BQ$8)</f>
        <v/>
      </c>
      <c r="BP55" s="583" t="str">
        <f>IF('3. Sem'!$BR$8="","",'3. Sem'!$BR$8)</f>
        <v/>
      </c>
      <c r="BQ55" s="584" t="str">
        <f>IF('3. Sem'!$BS$8="","",'3. Sem'!$BS$8)</f>
        <v/>
      </c>
      <c r="BR55" s="584" t="str">
        <f>IF('3. Sem'!$BT$8="","",'3. Sem'!$BT$8)</f>
        <v/>
      </c>
      <c r="BS55" s="588" t="str">
        <f>IF('3. Sem'!$BU$8="","",'3. Sem'!$BU$8)</f>
        <v/>
      </c>
      <c r="BT55" s="589" t="str">
        <f>IF('3. Sem'!$BV$8="","",'3. Sem'!$BV$8)</f>
        <v/>
      </c>
      <c r="BU55" s="586" t="str">
        <f>IF('3. Sem'!$BW$8="","",'3. Sem'!$BW$8)</f>
        <v/>
      </c>
      <c r="BV55" s="581" t="str">
        <f>IF('3. Sem'!$BX$8="","",'3. Sem'!$BX$8)</f>
        <v/>
      </c>
      <c r="BW55" s="581" t="str">
        <f>IF('3. Sem'!$BY$8="","",'3. Sem'!$BY$8)</f>
        <v/>
      </c>
      <c r="BX55" s="581" t="str">
        <f>IF('3. Sem'!$BZ$8="","",'3. Sem'!$BZ$8)</f>
        <v/>
      </c>
      <c r="BY55" s="582" t="str">
        <f>IF('3. Sem'!$CA$8="","",'3. Sem'!$CA$8)</f>
        <v/>
      </c>
      <c r="BZ55" s="590" t="str">
        <f>IF('3. Sem'!$CB$8="","",'3. Sem'!$CB$8)</f>
        <v/>
      </c>
      <c r="CA55" s="584" t="str">
        <f>IF('3. Sem'!$CC$8="","",'3. Sem'!$CC$8)</f>
        <v/>
      </c>
      <c r="CB55" s="584" t="str">
        <f>IF('3. Sem'!$CD$8="","",'3. Sem'!$CD$8)</f>
        <v/>
      </c>
      <c r="CC55" s="584" t="str">
        <f>IF('3. Sem'!$CE$8="","",'3. Sem'!$CE$8)</f>
        <v/>
      </c>
      <c r="CD55" s="585" t="str">
        <f>IF('3. Sem'!$CF$8="","",'3. Sem'!$CF$8)</f>
        <v/>
      </c>
      <c r="CE55" s="586" t="str">
        <f>IF('3. Sem'!$CG$8="","",'3. Sem'!$CG$8)</f>
        <v/>
      </c>
      <c r="CF55" s="581" t="str">
        <f>IF('3. Sem'!$CH$8="","",'3. Sem'!$CH$8)</f>
        <v/>
      </c>
      <c r="CG55" s="581" t="str">
        <f>IF('3. Sem'!$CI$8="","",'3. Sem'!$CI$8)</f>
        <v/>
      </c>
      <c r="CH55" s="581" t="str">
        <f>IF('3. Sem'!$CJ$8="","",'3. Sem'!$CJ$8)</f>
        <v/>
      </c>
      <c r="CI55" s="582" t="str">
        <f>IF('3. Sem'!$CK$8="","",'3. Sem'!$CK$8)</f>
        <v/>
      </c>
      <c r="CJ55" s="583" t="str">
        <f>IF('3. Sem'!$CL$8="","",'3. Sem'!$CL$8)</f>
        <v/>
      </c>
      <c r="CK55" s="584" t="str">
        <f>IF('3. Sem'!$CM$8="","",'3. Sem'!$CM$8)</f>
        <v/>
      </c>
      <c r="CL55" s="584" t="str">
        <f>IF('3. Sem'!$CN$8="","",'3. Sem'!$CN$8)</f>
        <v/>
      </c>
      <c r="CM55" s="584" t="str">
        <f>IF('3. Sem'!$CO$8="","",'3. Sem'!$CO$8)</f>
        <v/>
      </c>
      <c r="CN55" s="585" t="str">
        <f>IF('3. Sem'!$CP$8="","",'3. Sem'!$CP$8)</f>
        <v/>
      </c>
      <c r="CO55" s="586" t="str">
        <f>IF('3. Sem'!$CQ$8="","",'3. Sem'!$CQ$8)</f>
        <v/>
      </c>
      <c r="CP55" s="581" t="str">
        <f>IF('3. Sem'!$CR$8="","",'3. Sem'!$CR$8)</f>
        <v/>
      </c>
      <c r="CQ55" s="581" t="str">
        <f>IF('3. Sem'!$CS$8="","",'3. Sem'!$CS$8)</f>
        <v/>
      </c>
      <c r="CR55" s="581" t="str">
        <f>IF('3. Sem'!$CT$8="","",'3. Sem'!$CT$8)</f>
        <v/>
      </c>
      <c r="CS55" s="582" t="str">
        <f>IF('3. Sem'!$CU$8="","",'3. Sem'!$CU$8)</f>
        <v/>
      </c>
      <c r="CT55" s="583" t="str">
        <f>IF('3. Sem'!$CV$8="","",'3. Sem'!$CV$8)</f>
        <v/>
      </c>
      <c r="CU55" s="584" t="str">
        <f>IF('3. Sem'!$CW$8="","",'3. Sem'!$CW$8)</f>
        <v/>
      </c>
      <c r="CV55" s="584" t="str">
        <f>IF('3. Sem'!$CX$8="","",'3. Sem'!$CX$8)</f>
        <v/>
      </c>
      <c r="CW55" s="584" t="str">
        <f>IF('3. Sem'!$CY$8="","",'3. Sem'!$CY$8)</f>
        <v/>
      </c>
      <c r="CX55" s="585" t="str">
        <f>IF('3. Sem'!$CZ$8="","",'3. Sem'!$CZ$8)</f>
        <v/>
      </c>
      <c r="CY55" s="586" t="str">
        <f>IF('3. Sem'!$DA$8="","",'3. Sem'!$DA$8)</f>
        <v/>
      </c>
      <c r="CZ55" s="581" t="str">
        <f>IF('3. Sem'!$DB$8="","",'3. Sem'!$DB$8)</f>
        <v/>
      </c>
      <c r="DA55" s="581" t="str">
        <f>IF('3. Sem'!$DC$8="","",'3. Sem'!$DC$8)</f>
        <v/>
      </c>
      <c r="DB55" s="581" t="str">
        <f>IF('3. Sem'!$DD$8="","",'3. Sem'!$DD$8)</f>
        <v/>
      </c>
      <c r="DC55" s="582" t="str">
        <f>IF('3. Sem'!$DE$8="","",'3. Sem'!$DE$8)</f>
        <v/>
      </c>
    </row>
    <row r="56" spans="1:107" ht="16" customHeight="1" x14ac:dyDescent="0.2">
      <c r="A56" s="566"/>
      <c r="B56" s="579" t="s">
        <v>16</v>
      </c>
      <c r="C56" s="591" t="str">
        <f>IF('3. Sem'!$E$9="","",'3. Sem'!$E$9)</f>
        <v/>
      </c>
      <c r="D56" s="581" t="str">
        <f>IF('3. Sem'!$F$9="","",'3. Sem'!$F$9)</f>
        <v/>
      </c>
      <c r="E56" s="581" t="str">
        <f>IF('3. Sem'!$G$9="","",'3. Sem'!$G$9)</f>
        <v/>
      </c>
      <c r="F56" s="581" t="str">
        <f>IF('3. Sem'!$H$9="","",'3. Sem'!$H$9)</f>
        <v/>
      </c>
      <c r="G56" s="582" t="str">
        <f>IF('3. Sem'!$I$9="","",'3. Sem'!$I$9)</f>
        <v/>
      </c>
      <c r="H56" s="583" t="str">
        <f>IF('3. Sem'!$J$9="","",'3. Sem'!$J$9)</f>
        <v/>
      </c>
      <c r="I56" s="584" t="str">
        <f>IF('3. Sem'!$K$9="","",'3. Sem'!$K$9)</f>
        <v/>
      </c>
      <c r="J56" s="584" t="str">
        <f>IF('3. Sem'!$L$9="","",'3. Sem'!$L$9)</f>
        <v/>
      </c>
      <c r="K56" s="584" t="str">
        <f>IF('3. Sem'!$M$9="","",'3. Sem'!$M$9)</f>
        <v/>
      </c>
      <c r="L56" s="592" t="str">
        <f>IF('3. Sem'!$N$9="","",'3. Sem'!$N$9)</f>
        <v/>
      </c>
      <c r="M56" s="593" t="str">
        <f>IF('3. Sem'!$O$9="","",'3. Sem'!$O$9)</f>
        <v/>
      </c>
      <c r="N56" s="581" t="str">
        <f>IF('3. Sem'!$P$9="","",'3. Sem'!$P$9)</f>
        <v/>
      </c>
      <c r="O56" s="581" t="str">
        <f>IF('3. Sem'!$Q$9="","",'3. Sem'!$Q$9)</f>
        <v/>
      </c>
      <c r="P56" s="581" t="str">
        <f>IF('3. Sem'!$R$9="","",'3. Sem'!$R$9)</f>
        <v/>
      </c>
      <c r="Q56" s="582" t="str">
        <f>IF('3. Sem'!$S$9="","",'3. Sem'!$S$9)</f>
        <v/>
      </c>
      <c r="R56" s="583" t="str">
        <f>IF('3. Sem'!$T$9="","",'3. Sem'!$T$9)</f>
        <v/>
      </c>
      <c r="S56" s="584" t="str">
        <f>IF('3. Sem'!$U$9="","",'3. Sem'!$U$9)</f>
        <v/>
      </c>
      <c r="T56" s="584" t="str">
        <f>IF('3. Sem'!$V$9="","",'3. Sem'!$V$9)</f>
        <v/>
      </c>
      <c r="U56" s="584" t="str">
        <f>IF('3. Sem'!$W$9="","",'3. Sem'!$W$9)</f>
        <v/>
      </c>
      <c r="V56" s="592" t="str">
        <f>IF('3. Sem'!$X$9="","",'3. Sem'!$X$9)</f>
        <v/>
      </c>
      <c r="W56" s="593" t="str">
        <f>IF('3. Sem'!$Y$9="","",'3. Sem'!$Y$9)</f>
        <v/>
      </c>
      <c r="X56" s="581" t="str">
        <f>IF('3. Sem'!$Z$9="","",'3. Sem'!$Z$9)</f>
        <v/>
      </c>
      <c r="Y56" s="581" t="str">
        <f>IF('3. Sem'!$AA$9="","",'3. Sem'!$AA$9)</f>
        <v/>
      </c>
      <c r="Z56" s="581" t="str">
        <f>IF('3. Sem'!$AB$9="","",'3. Sem'!$AB$9)</f>
        <v/>
      </c>
      <c r="AA56" s="582" t="str">
        <f>IF('3. Sem'!$AC$9="","",'3. Sem'!$AC$9)</f>
        <v/>
      </c>
      <c r="AB56" s="583" t="str">
        <f>IF('3. Sem'!$AD$9="","",'3. Sem'!$AD$9)</f>
        <v/>
      </c>
      <c r="AC56" s="584" t="str">
        <f>IF('3. Sem'!$AE$9="","",'3. Sem'!$AE$9)</f>
        <v/>
      </c>
      <c r="AD56" s="584" t="str">
        <f>IF('3. Sem'!$AF$9="","",'3. Sem'!$AF$9)</f>
        <v/>
      </c>
      <c r="AE56" s="584" t="str">
        <f>IF('3. Sem'!$AG$9="","",'3. Sem'!$AG$9)</f>
        <v/>
      </c>
      <c r="AF56" s="592" t="str">
        <f>IF('3. Sem'!$AH$9="","",'3. Sem'!$AH$9)</f>
        <v/>
      </c>
      <c r="AG56" s="593" t="str">
        <f>IF('3. Sem'!$AI$9="","",'3. Sem'!$AI$9)</f>
        <v/>
      </c>
      <c r="AH56" s="581" t="str">
        <f>IF('3. Sem'!$AJ$9="","",'3. Sem'!$AJ$9)</f>
        <v/>
      </c>
      <c r="AI56" s="581" t="str">
        <f>IF('3. Sem'!$AK$9="","",'3. Sem'!$AK$9)</f>
        <v/>
      </c>
      <c r="AJ56" s="581" t="str">
        <f>IF('3. Sem'!$AL$9="","",'3. Sem'!$AL$9)</f>
        <v/>
      </c>
      <c r="AK56" s="582" t="str">
        <f>IF('3. Sem'!$AM$9="","",'3. Sem'!$AM$9)</f>
        <v/>
      </c>
      <c r="AL56" s="590" t="str">
        <f>IF('3. Sem'!$AN$9="","",'3. Sem'!$AN$9)</f>
        <v/>
      </c>
      <c r="AM56" s="588" t="str">
        <f>IF('3. Sem'!$AO$9="","",'3. Sem'!$AO$9)</f>
        <v/>
      </c>
      <c r="AN56" s="588" t="str">
        <f>IF('3. Sem'!$AP$9="","",'3. Sem'!$AP$9)</f>
        <v/>
      </c>
      <c r="AO56" s="588" t="str">
        <f>IF('3. Sem'!$AQ$9="","",'3. Sem'!$AQ$9)</f>
        <v/>
      </c>
      <c r="AP56" s="595" t="str">
        <f>IF('3. Sem'!$AR$9="","",'3. Sem'!$AR$9)</f>
        <v/>
      </c>
      <c r="AQ56" s="594" t="str">
        <f>IF('3. Sem'!$AS$9="","",'3. Sem'!$AS$9)</f>
        <v/>
      </c>
      <c r="AR56" s="581" t="str">
        <f>IF('3. Sem'!$AT$9="","",'3. Sem'!$AT$9)</f>
        <v/>
      </c>
      <c r="AS56" s="581" t="str">
        <f>IF('3. Sem'!$AU$9="","",'3. Sem'!$AU$9)</f>
        <v/>
      </c>
      <c r="AT56" s="581" t="str">
        <f>IF('3. Sem'!$AV$9="","",'3. Sem'!$AV$9)</f>
        <v/>
      </c>
      <c r="AU56" s="582" t="str">
        <f>IF('3. Sem'!$AW$9="","",'3. Sem'!$AW$9)</f>
        <v/>
      </c>
      <c r="AV56" s="583" t="str">
        <f>IF('3. Sem'!$AX$9="","",'3. Sem'!$AX$9)</f>
        <v/>
      </c>
      <c r="AW56" s="584" t="str">
        <f>IF('3. Sem'!$AY$9="","",'3. Sem'!$AY$9)</f>
        <v/>
      </c>
      <c r="AX56" s="584" t="str">
        <f>IF('3. Sem'!$AZ$9="","",'3. Sem'!$AZ$9)</f>
        <v/>
      </c>
      <c r="AY56" s="584" t="str">
        <f>IF('3. Sem'!$BA$9="","",'3. Sem'!$BA$9)</f>
        <v/>
      </c>
      <c r="AZ56" s="592" t="str">
        <f>IF('3. Sem'!$BB$9="","",'3. Sem'!$BB$9)</f>
        <v/>
      </c>
      <c r="BA56" s="593" t="str">
        <f>IF('3. Sem'!$BC$9="","",'3. Sem'!$BC$9)</f>
        <v/>
      </c>
      <c r="BB56" s="581" t="str">
        <f>IF('3. Sem'!$BD$9="","",'3. Sem'!$BD$9)</f>
        <v/>
      </c>
      <c r="BC56" s="581" t="str">
        <f>IF('3. Sem'!$BE$9="","",'3. Sem'!$BE$9)</f>
        <v/>
      </c>
      <c r="BD56" s="581" t="str">
        <f>IF('3. Sem'!$BF$9="","",'3. Sem'!$BF$9)</f>
        <v/>
      </c>
      <c r="BE56" s="582" t="str">
        <f>IF('3. Sem'!$BG$9="","",'3. Sem'!$BG$9)</f>
        <v/>
      </c>
      <c r="BF56" s="583" t="str">
        <f>IF('3. Sem'!$BH$9="","",'3. Sem'!$BH$9)</f>
        <v/>
      </c>
      <c r="BG56" s="584" t="str">
        <f>IF('3. Sem'!$BI$9="","",'3. Sem'!$BI$9)</f>
        <v/>
      </c>
      <c r="BH56" s="584" t="str">
        <f>IF('3. Sem'!$BJ$9="","",'3. Sem'!$BJ$9)</f>
        <v/>
      </c>
      <c r="BI56" s="584" t="str">
        <f>IF('3. Sem'!$BK$9="","",'3. Sem'!$BK$9)</f>
        <v/>
      </c>
      <c r="BJ56" s="592" t="str">
        <f>IF('3. Sem'!$BL$9="","",'3. Sem'!$BL$9)</f>
        <v/>
      </c>
      <c r="BK56" s="593" t="str">
        <f>IF('3. Sem'!$BM$9="","",'3. Sem'!$BM$9)</f>
        <v/>
      </c>
      <c r="BL56" s="581" t="str">
        <f>IF('3. Sem'!$BN$9="","",'3. Sem'!$BN$9)</f>
        <v/>
      </c>
      <c r="BM56" s="581" t="str">
        <f>IF('3. Sem'!$BO$9="","",'3. Sem'!$BO$9)</f>
        <v/>
      </c>
      <c r="BN56" s="581" t="str">
        <f>IF('3. Sem'!$BP$9="","",'3. Sem'!$BP$9)</f>
        <v/>
      </c>
      <c r="BO56" s="582" t="str">
        <f>IF('3. Sem'!$BQ$9="","",'3. Sem'!$BQ$9)</f>
        <v/>
      </c>
      <c r="BP56" s="583" t="str">
        <f>IF('3. Sem'!$BR$9="","",'3. Sem'!$BR$9)</f>
        <v/>
      </c>
      <c r="BQ56" s="584" t="str">
        <f>IF('3. Sem'!$BS$9="","",'3. Sem'!$BS$9)</f>
        <v/>
      </c>
      <c r="BR56" s="584" t="str">
        <f>IF('3. Sem'!$BT$9="","",'3. Sem'!$BT$9)</f>
        <v/>
      </c>
      <c r="BS56" s="588" t="str">
        <f>IF('3. Sem'!$BU$9="","",'3. Sem'!$BU$9)</f>
        <v/>
      </c>
      <c r="BT56" s="595" t="str">
        <f>IF('3. Sem'!$BV$9="","",'3. Sem'!$BV$9)</f>
        <v/>
      </c>
      <c r="BU56" s="593" t="str">
        <f>IF('3. Sem'!$BW$9="","",'3. Sem'!$BW$9)</f>
        <v/>
      </c>
      <c r="BV56" s="581" t="str">
        <f>IF('3. Sem'!$BX$9="","",'3. Sem'!$BX$9)</f>
        <v/>
      </c>
      <c r="BW56" s="581" t="str">
        <f>IF('3. Sem'!$BY$9="","",'3. Sem'!$BY$9)</f>
        <v/>
      </c>
      <c r="BX56" s="581" t="str">
        <f>IF('3. Sem'!$BZ$9="","",'3. Sem'!$BZ$9)</f>
        <v/>
      </c>
      <c r="BY56" s="582" t="str">
        <f>IF('3. Sem'!$CA$9="","",'3. Sem'!$CA$9)</f>
        <v/>
      </c>
      <c r="BZ56" s="590" t="str">
        <f>IF('3. Sem'!$CB$9="","",'3. Sem'!$CB$9)</f>
        <v/>
      </c>
      <c r="CA56" s="584" t="str">
        <f>IF('3. Sem'!$CC$9="","",'3. Sem'!$CC$9)</f>
        <v/>
      </c>
      <c r="CB56" s="584" t="str">
        <f>IF('3. Sem'!$CD$9="","",'3. Sem'!$CD$9)</f>
        <v/>
      </c>
      <c r="CC56" s="584" t="str">
        <f>IF('3. Sem'!$CE$9="","",'3. Sem'!$CE$9)</f>
        <v/>
      </c>
      <c r="CD56" s="592" t="str">
        <f>IF('3. Sem'!$CF$9="","",'3. Sem'!$CF$9)</f>
        <v/>
      </c>
      <c r="CE56" s="593" t="str">
        <f>IF('3. Sem'!$CG$9="","",'3. Sem'!$CG$9)</f>
        <v/>
      </c>
      <c r="CF56" s="581" t="str">
        <f>IF('3. Sem'!$CH$9="","",'3. Sem'!$CH$9)</f>
        <v/>
      </c>
      <c r="CG56" s="581" t="str">
        <f>IF('3. Sem'!$CI$9="","",'3. Sem'!$CI$9)</f>
        <v/>
      </c>
      <c r="CH56" s="581" t="str">
        <f>IF('3. Sem'!$CJ$9="","",'3. Sem'!$CJ$9)</f>
        <v/>
      </c>
      <c r="CI56" s="582" t="str">
        <f>IF('3. Sem'!$CK$9="","",'3. Sem'!$CK$9)</f>
        <v/>
      </c>
      <c r="CJ56" s="583" t="str">
        <f>IF('3. Sem'!$CL$9="","",'3. Sem'!$CL$9)</f>
        <v/>
      </c>
      <c r="CK56" s="584" t="str">
        <f>IF('3. Sem'!$CM$9="","",'3. Sem'!$CM$9)</f>
        <v/>
      </c>
      <c r="CL56" s="584" t="str">
        <f>IF('3. Sem'!$CN$9="","",'3. Sem'!$CN$9)</f>
        <v/>
      </c>
      <c r="CM56" s="584" t="str">
        <f>IF('3. Sem'!$CO$9="","",'3. Sem'!$CO$9)</f>
        <v/>
      </c>
      <c r="CN56" s="592" t="str">
        <f>IF('3. Sem'!$CP$9="","",'3. Sem'!$CP$9)</f>
        <v/>
      </c>
      <c r="CO56" s="593" t="str">
        <f>IF('3. Sem'!$CQ$9="","",'3. Sem'!$CQ$9)</f>
        <v/>
      </c>
      <c r="CP56" s="581" t="str">
        <f>IF('3. Sem'!$CR$9="","",'3. Sem'!$CR$9)</f>
        <v/>
      </c>
      <c r="CQ56" s="581" t="str">
        <f>IF('3. Sem'!$CS$9="","",'3. Sem'!$CS$9)</f>
        <v/>
      </c>
      <c r="CR56" s="581" t="str">
        <f>IF('3. Sem'!$CT$9="","",'3. Sem'!$CT$9)</f>
        <v/>
      </c>
      <c r="CS56" s="582" t="str">
        <f>IF('3. Sem'!$CU$9="","",'3. Sem'!$CU$9)</f>
        <v/>
      </c>
      <c r="CT56" s="583" t="str">
        <f>IF('3. Sem'!$CV$9="","",'3. Sem'!$CV$9)</f>
        <v/>
      </c>
      <c r="CU56" s="584" t="str">
        <f>IF('3. Sem'!$CW$9="","",'3. Sem'!$CW$9)</f>
        <v/>
      </c>
      <c r="CV56" s="584" t="str">
        <f>IF('3. Sem'!$CX$9="","",'3. Sem'!$CX$9)</f>
        <v/>
      </c>
      <c r="CW56" s="584" t="str">
        <f>IF('3. Sem'!$CY$9="","",'3. Sem'!$CY$9)</f>
        <v/>
      </c>
      <c r="CX56" s="592" t="str">
        <f>IF('3. Sem'!$CZ$9="","",'3. Sem'!$CZ$9)</f>
        <v/>
      </c>
      <c r="CY56" s="593" t="str">
        <f>IF('3. Sem'!$DA$9="","",'3. Sem'!$DA$9)</f>
        <v/>
      </c>
      <c r="CZ56" s="581" t="str">
        <f>IF('3. Sem'!$DB$9="","",'3. Sem'!$DB$9)</f>
        <v/>
      </c>
      <c r="DA56" s="581" t="str">
        <f>IF('3. Sem'!$DC$9="","",'3. Sem'!$DC$9)</f>
        <v/>
      </c>
      <c r="DB56" s="581" t="str">
        <f>IF('3. Sem'!$DD$9="","",'3. Sem'!$DD$9)</f>
        <v/>
      </c>
      <c r="DC56" s="582" t="str">
        <f>IF('3. Sem'!$DE$9="","",'3. Sem'!$DE$9)</f>
        <v/>
      </c>
    </row>
    <row r="57" spans="1:107" ht="17" customHeight="1" thickBot="1" x14ac:dyDescent="0.25">
      <c r="A57" s="566"/>
      <c r="B57" s="579" t="s">
        <v>17</v>
      </c>
      <c r="C57" s="591" t="str">
        <f>IF('3. Sem'!$E$10="","",'3. Sem'!$E$10)</f>
        <v/>
      </c>
      <c r="D57" s="581" t="str">
        <f>IF('3. Sem'!$F$10="","",'3. Sem'!$F$10)</f>
        <v/>
      </c>
      <c r="E57" s="581" t="str">
        <f>IF('3. Sem'!$G$10="","",'3. Sem'!$G$10)</f>
        <v/>
      </c>
      <c r="F57" s="581" t="str">
        <f>IF('3. Sem'!$H$10="","",'3. Sem'!$H$10)</f>
        <v/>
      </c>
      <c r="G57" s="582" t="str">
        <f>IF('3. Sem'!$I$10="","",'3. Sem'!$I$10)</f>
        <v/>
      </c>
      <c r="H57" s="583" t="str">
        <f>IF('3. Sem'!$J$10="","",'3. Sem'!$J$10)</f>
        <v/>
      </c>
      <c r="I57" s="584" t="str">
        <f>IF('3. Sem'!$K$10="","",'3. Sem'!$K$10)</f>
        <v/>
      </c>
      <c r="J57" s="584" t="str">
        <f>IF('3. Sem'!$L$10="","",'3. Sem'!$L$10)</f>
        <v/>
      </c>
      <c r="K57" s="584" t="str">
        <f>IF('3. Sem'!$M$10="","",'3. Sem'!$M$10)</f>
        <v/>
      </c>
      <c r="L57" s="592" t="str">
        <f>IF('3. Sem'!$N$10="","",'3. Sem'!$N$10)</f>
        <v/>
      </c>
      <c r="M57" s="593" t="str">
        <f>IF('3. Sem'!$O$10="","",'3. Sem'!$O$10)</f>
        <v/>
      </c>
      <c r="N57" s="581" t="str">
        <f>IF('3. Sem'!$P$10="","",'3. Sem'!$P$10)</f>
        <v/>
      </c>
      <c r="O57" s="581" t="str">
        <f>IF('3. Sem'!$Q$10="","",'3. Sem'!$Q$10)</f>
        <v/>
      </c>
      <c r="P57" s="581" t="str">
        <f>IF('3. Sem'!$R$10="","",'3. Sem'!$R$10)</f>
        <v/>
      </c>
      <c r="Q57" s="582" t="str">
        <f>IF('3. Sem'!$S$10="","",'3. Sem'!$S$10)</f>
        <v/>
      </c>
      <c r="R57" s="583" t="str">
        <f>IF('3. Sem'!$T$10="","",'3. Sem'!$T$10)</f>
        <v/>
      </c>
      <c r="S57" s="584" t="str">
        <f>IF('3. Sem'!$U$10="","",'3. Sem'!$U$10)</f>
        <v/>
      </c>
      <c r="T57" s="584" t="str">
        <f>IF('3. Sem'!$V$10="","",'3. Sem'!$V$10)</f>
        <v/>
      </c>
      <c r="U57" s="584" t="str">
        <f>IF('3. Sem'!$W$10="","",'3. Sem'!$W$10)</f>
        <v/>
      </c>
      <c r="V57" s="592" t="str">
        <f>IF('3. Sem'!$X$10="","",'3. Sem'!$X$10)</f>
        <v/>
      </c>
      <c r="W57" s="593" t="str">
        <f>IF('3. Sem'!$Y$10="","",'3. Sem'!$Y$10)</f>
        <v/>
      </c>
      <c r="X57" s="581" t="str">
        <f>IF('3. Sem'!$Z$10="","",'3. Sem'!$Z$10)</f>
        <v/>
      </c>
      <c r="Y57" s="581" t="str">
        <f>IF('3. Sem'!$AA$10="","",'3. Sem'!$AA$10)</f>
        <v/>
      </c>
      <c r="Z57" s="581" t="str">
        <f>IF('3. Sem'!$AB$10="","",'3. Sem'!$AB$10)</f>
        <v/>
      </c>
      <c r="AA57" s="582" t="str">
        <f>IF('3. Sem'!$AC$10="","",'3. Sem'!$AC$10)</f>
        <v/>
      </c>
      <c r="AB57" s="583" t="str">
        <f>IF('3. Sem'!$AD$10="","",'3. Sem'!$AD$10)</f>
        <v/>
      </c>
      <c r="AC57" s="584" t="str">
        <f>IF('3. Sem'!$AE$10="","",'3. Sem'!$AE$10)</f>
        <v/>
      </c>
      <c r="AD57" s="584" t="str">
        <f>IF('3. Sem'!$AF$10="","",'3. Sem'!$AF$10)</f>
        <v/>
      </c>
      <c r="AE57" s="584" t="str">
        <f>IF('3. Sem'!$AG$10="","",'3. Sem'!$AG$10)</f>
        <v/>
      </c>
      <c r="AF57" s="592" t="str">
        <f>IF('3. Sem'!$AH$10="","",'3. Sem'!$AH$10)</f>
        <v/>
      </c>
      <c r="AG57" s="593" t="str">
        <f>IF('3. Sem'!$AI$10="","",'3. Sem'!$AI$10)</f>
        <v/>
      </c>
      <c r="AH57" s="581" t="str">
        <f>IF('3. Sem'!$AJ$10="","",'3. Sem'!$AJ$10)</f>
        <v/>
      </c>
      <c r="AI57" s="581" t="str">
        <f>IF('3. Sem'!$AK$10="","",'3. Sem'!$AK$10)</f>
        <v/>
      </c>
      <c r="AJ57" s="581" t="str">
        <f>IF('3. Sem'!$AL$10="","",'3. Sem'!$AL$10)</f>
        <v/>
      </c>
      <c r="AK57" s="582" t="str">
        <f>IF('3. Sem'!$AM$10="","",'3. Sem'!$AM$10)</f>
        <v/>
      </c>
      <c r="AL57" s="590" t="str">
        <f>IF('3. Sem'!$AN$10="","",'3. Sem'!$AN$10)</f>
        <v/>
      </c>
      <c r="AM57" s="588" t="str">
        <f>IF('3. Sem'!$AO$10="","",'3. Sem'!$AO$10)</f>
        <v/>
      </c>
      <c r="AN57" s="588" t="str">
        <f>IF('3. Sem'!$AP$10="","",'3. Sem'!$AP$10)</f>
        <v/>
      </c>
      <c r="AO57" s="588" t="str">
        <f>IF('3. Sem'!$AQ$10="","",'3. Sem'!$AQ$10)</f>
        <v/>
      </c>
      <c r="AP57" s="595" t="str">
        <f>IF('3. Sem'!$AR$10="","",'3. Sem'!$AR$10)</f>
        <v/>
      </c>
      <c r="AQ57" s="594" t="str">
        <f>IF('3. Sem'!$AS$10="","",'3. Sem'!$AS$10)</f>
        <v/>
      </c>
      <c r="AR57" s="581" t="str">
        <f>IF('3. Sem'!$AT$10="","",'3. Sem'!$AT$10)</f>
        <v/>
      </c>
      <c r="AS57" s="581" t="str">
        <f>IF('3. Sem'!$AU$10="","",'3. Sem'!$AU$10)</f>
        <v/>
      </c>
      <c r="AT57" s="581" t="str">
        <f>IF('3. Sem'!$AV$10="","",'3. Sem'!$AV$10)</f>
        <v/>
      </c>
      <c r="AU57" s="582" t="str">
        <f>IF('3. Sem'!$AW$10="","",'3. Sem'!$AW$10)</f>
        <v/>
      </c>
      <c r="AV57" s="583" t="str">
        <f>IF('3. Sem'!$AX$10="","",'3. Sem'!$AX$10)</f>
        <v/>
      </c>
      <c r="AW57" s="584" t="str">
        <f>IF('3. Sem'!$AY$10="","",'3. Sem'!$AY$10)</f>
        <v/>
      </c>
      <c r="AX57" s="584" t="str">
        <f>IF('3. Sem'!$AZ$10="","",'3. Sem'!$AZ$10)</f>
        <v/>
      </c>
      <c r="AY57" s="584" t="str">
        <f>IF('3. Sem'!$BA$10="","",'3. Sem'!$BA$10)</f>
        <v/>
      </c>
      <c r="AZ57" s="592" t="str">
        <f>IF('3. Sem'!$BB$10="","",'3. Sem'!$BB$10)</f>
        <v/>
      </c>
      <c r="BA57" s="593" t="str">
        <f>IF('3. Sem'!$BC$10="","",'3. Sem'!$BC$10)</f>
        <v/>
      </c>
      <c r="BB57" s="581" t="str">
        <f>IF('3. Sem'!$BD$10="","",'3. Sem'!$BD$10)</f>
        <v/>
      </c>
      <c r="BC57" s="581" t="str">
        <f>IF('3. Sem'!$BE$10="","",'3. Sem'!$BE$10)</f>
        <v/>
      </c>
      <c r="BD57" s="581" t="str">
        <f>IF('3. Sem'!$BF$10="","",'3. Sem'!$BF$10)</f>
        <v/>
      </c>
      <c r="BE57" s="582" t="str">
        <f>IF('3. Sem'!$BG$10="","",'3. Sem'!$BG$10)</f>
        <v/>
      </c>
      <c r="BF57" s="583" t="str">
        <f>IF('3. Sem'!$BH$10="","",'3. Sem'!$BH$10)</f>
        <v/>
      </c>
      <c r="BG57" s="584" t="str">
        <f>IF('3. Sem'!$BI$10="","",'3. Sem'!$BI$10)</f>
        <v/>
      </c>
      <c r="BH57" s="584" t="str">
        <f>IF('3. Sem'!$BJ$10="","",'3. Sem'!$BJ$10)</f>
        <v/>
      </c>
      <c r="BI57" s="584" t="str">
        <f>IF('3. Sem'!$BK$10="","",'3. Sem'!$BK$10)</f>
        <v/>
      </c>
      <c r="BJ57" s="592" t="str">
        <f>IF('3. Sem'!$BL$10="","",'3. Sem'!$BL$10)</f>
        <v/>
      </c>
      <c r="BK57" s="593" t="str">
        <f>IF('3. Sem'!$BM$10="","",'3. Sem'!$BM$10)</f>
        <v/>
      </c>
      <c r="BL57" s="581" t="str">
        <f>IF('3. Sem'!$BN$10="","",'3. Sem'!$BN$10)</f>
        <v/>
      </c>
      <c r="BM57" s="581" t="str">
        <f>IF('3. Sem'!$BO$10="","",'3. Sem'!$BO$10)</f>
        <v/>
      </c>
      <c r="BN57" s="581" t="str">
        <f>IF('3. Sem'!$BP$10="","",'3. Sem'!$BP$10)</f>
        <v/>
      </c>
      <c r="BO57" s="582" t="str">
        <f>IF('3. Sem'!$BQ$10="","",'3. Sem'!$BQ$10)</f>
        <v/>
      </c>
      <c r="BP57" s="583" t="str">
        <f>IF('3. Sem'!$BR$10="","",'3. Sem'!$BR$10)</f>
        <v/>
      </c>
      <c r="BQ57" s="584" t="str">
        <f>IF('3. Sem'!$BS$10="","",'3. Sem'!$BS$10)</f>
        <v/>
      </c>
      <c r="BR57" s="584" t="str">
        <f>IF('3. Sem'!$BT$10="","",'3. Sem'!$BT$10)</f>
        <v/>
      </c>
      <c r="BS57" s="588" t="str">
        <f>IF('3. Sem'!$BU$10="","",'3. Sem'!$BU$10)</f>
        <v/>
      </c>
      <c r="BT57" s="595" t="str">
        <f>IF('3. Sem'!$BV$10="","",'3. Sem'!$BV$10)</f>
        <v/>
      </c>
      <c r="BU57" s="593" t="str">
        <f>IF('3. Sem'!$BW$10="","",'3. Sem'!$BW$10)</f>
        <v/>
      </c>
      <c r="BV57" s="581" t="str">
        <f>IF('3. Sem'!$BX$10="","",'3. Sem'!$BX$10)</f>
        <v/>
      </c>
      <c r="BW57" s="581" t="str">
        <f>IF('3. Sem'!$BY$10="","",'3. Sem'!$BY$10)</f>
        <v/>
      </c>
      <c r="BX57" s="581" t="str">
        <f>IF('3. Sem'!$BZ$10="","",'3. Sem'!$BZ$10)</f>
        <v/>
      </c>
      <c r="BY57" s="582" t="str">
        <f>IF('3. Sem'!$CA$10="","",'3. Sem'!$CA$10)</f>
        <v/>
      </c>
      <c r="BZ57" s="590" t="str">
        <f>IF('3. Sem'!$CB$10="","",'3. Sem'!$CB$10)</f>
        <v/>
      </c>
      <c r="CA57" s="584" t="str">
        <f>IF('3. Sem'!$CC$10="","",'3. Sem'!$CC$10)</f>
        <v/>
      </c>
      <c r="CB57" s="584" t="str">
        <f>IF('3. Sem'!$CD$10="","",'3. Sem'!$CD$10)</f>
        <v/>
      </c>
      <c r="CC57" s="584" t="str">
        <f>IF('3. Sem'!$CE$10="","",'3. Sem'!$CE$10)</f>
        <v/>
      </c>
      <c r="CD57" s="592" t="str">
        <f>IF('3. Sem'!$CF$10="","",'3. Sem'!$CF$10)</f>
        <v/>
      </c>
      <c r="CE57" s="593" t="str">
        <f>IF('3. Sem'!$CG$10="","",'3. Sem'!$CG$10)</f>
        <v/>
      </c>
      <c r="CF57" s="581" t="str">
        <f>IF('3. Sem'!$CH$10="","",'3. Sem'!$CH$10)</f>
        <v/>
      </c>
      <c r="CG57" s="581" t="str">
        <f>IF('3. Sem'!$CI$10="","",'3. Sem'!$CI$10)</f>
        <v/>
      </c>
      <c r="CH57" s="581" t="str">
        <f>IF('3. Sem'!$CJ$10="","",'3. Sem'!$CJ$10)</f>
        <v/>
      </c>
      <c r="CI57" s="582" t="str">
        <f>IF('3. Sem'!$CK$10="","",'3. Sem'!$CK$10)</f>
        <v/>
      </c>
      <c r="CJ57" s="583" t="str">
        <f>IF('3. Sem'!$CL$10="","",'3. Sem'!$CL$10)</f>
        <v/>
      </c>
      <c r="CK57" s="584" t="str">
        <f>IF('3. Sem'!$CM$10="","",'3. Sem'!$CM$10)</f>
        <v/>
      </c>
      <c r="CL57" s="584" t="str">
        <f>IF('3. Sem'!$CN$10="","",'3. Sem'!$CN$10)</f>
        <v/>
      </c>
      <c r="CM57" s="584" t="str">
        <f>IF('3. Sem'!$CO$10="","",'3. Sem'!$CO$10)</f>
        <v/>
      </c>
      <c r="CN57" s="592" t="str">
        <f>IF('3. Sem'!$CP$10="","",'3. Sem'!$CP$10)</f>
        <v/>
      </c>
      <c r="CO57" s="593" t="str">
        <f>IF('3. Sem'!$CQ$10="","",'3. Sem'!$CQ$10)</f>
        <v/>
      </c>
      <c r="CP57" s="581" t="str">
        <f>IF('3. Sem'!$CR$10="","",'3. Sem'!$CR$10)</f>
        <v/>
      </c>
      <c r="CQ57" s="581" t="str">
        <f>IF('3. Sem'!$CS$10="","",'3. Sem'!$CS$10)</f>
        <v/>
      </c>
      <c r="CR57" s="581" t="str">
        <f>IF('3. Sem'!$CT$10="","",'3. Sem'!$CT$10)</f>
        <v/>
      </c>
      <c r="CS57" s="582" t="str">
        <f>IF('3. Sem'!$CU$10="","",'3. Sem'!$CU$10)</f>
        <v/>
      </c>
      <c r="CT57" s="583" t="str">
        <f>IF('3. Sem'!$CV$10="","",'3. Sem'!$CV$10)</f>
        <v/>
      </c>
      <c r="CU57" s="584" t="str">
        <f>IF('3. Sem'!$CW$10="","",'3. Sem'!$CW$10)</f>
        <v/>
      </c>
      <c r="CV57" s="584" t="str">
        <f>IF('3. Sem'!$CX$10="","",'3. Sem'!$CX$10)</f>
        <v/>
      </c>
      <c r="CW57" s="584" t="str">
        <f>IF('3. Sem'!$CY$10="","",'3. Sem'!$CY$10)</f>
        <v/>
      </c>
      <c r="CX57" s="592" t="str">
        <f>IF('3. Sem'!$CZ$10="","",'3. Sem'!$CZ$10)</f>
        <v/>
      </c>
      <c r="CY57" s="593" t="str">
        <f>IF('3. Sem'!$DA$10="","",'3. Sem'!$DA$10)</f>
        <v/>
      </c>
      <c r="CZ57" s="581" t="str">
        <f>IF('3. Sem'!$DB$10="","",'3. Sem'!$DB$10)</f>
        <v/>
      </c>
      <c r="DA57" s="581" t="str">
        <f>IF('3. Sem'!$DC$10="","",'3. Sem'!$DC$10)</f>
        <v/>
      </c>
      <c r="DB57" s="581" t="str">
        <f>IF('3. Sem'!$DD$10="","",'3. Sem'!$DD$10)</f>
        <v/>
      </c>
      <c r="DC57" s="582" t="str">
        <f>IF('3. Sem'!$DE$10="","",'3. Sem'!$DE$10)</f>
        <v/>
      </c>
    </row>
    <row r="58" spans="1:107" ht="17" customHeight="1" thickBot="1" x14ac:dyDescent="0.25">
      <c r="A58" s="566"/>
      <c r="B58" s="579" t="s">
        <v>18</v>
      </c>
      <c r="C58" s="596" t="str">
        <f>IF('3. Sem'!$E$11="","",'3. Sem'!$E$11)</f>
        <v/>
      </c>
      <c r="D58" s="597" t="str">
        <f>IF('3. Sem'!$F$11="","",'3. Sem'!$F$11)</f>
        <v/>
      </c>
      <c r="E58" s="597" t="str">
        <f>IF('3. Sem'!$G$11="","",'3. Sem'!$G$11)</f>
        <v/>
      </c>
      <c r="F58" s="597" t="str">
        <f>IF('3. Sem'!$H$11="","",'3. Sem'!$H$11)</f>
        <v/>
      </c>
      <c r="G58" s="598" t="str">
        <f>IF('3. Sem'!$I$11="","",'3. Sem'!$I$11)</f>
        <v/>
      </c>
      <c r="H58" s="599" t="str">
        <f>IF('3. Sem'!$J$11="","",'3. Sem'!$J$11)</f>
        <v/>
      </c>
      <c r="I58" s="600" t="str">
        <f>IF('3. Sem'!$K$11="","",'3. Sem'!$K$11)</f>
        <v/>
      </c>
      <c r="J58" s="600" t="str">
        <f>IF('3. Sem'!$L$11="","",'3. Sem'!$L$11)</f>
        <v/>
      </c>
      <c r="K58" s="600" t="str">
        <f>IF('3. Sem'!$M$11="","",'3. Sem'!$M$11)</f>
        <v/>
      </c>
      <c r="L58" s="601" t="str">
        <f>IF('3. Sem'!$N$11="","",'3. Sem'!$N$11)</f>
        <v/>
      </c>
      <c r="M58" s="596" t="str">
        <f>IF('3. Sem'!$O$11="","",'3. Sem'!$O$11)</f>
        <v/>
      </c>
      <c r="N58" s="597" t="str">
        <f>IF('3. Sem'!$P$11="","",'3. Sem'!$P$11)</f>
        <v/>
      </c>
      <c r="O58" s="597" t="str">
        <f>IF('3. Sem'!$Q$11="","",'3. Sem'!$Q$11)</f>
        <v/>
      </c>
      <c r="P58" s="597" t="str">
        <f>IF('3. Sem'!$R$11="","",'3. Sem'!$R$11)</f>
        <v/>
      </c>
      <c r="Q58" s="598" t="str">
        <f>IF('3. Sem'!$S$11="","",'3. Sem'!$S$11)</f>
        <v/>
      </c>
      <c r="R58" s="599" t="str">
        <f>IF('3. Sem'!$T$11="","",'3. Sem'!$T$11)</f>
        <v/>
      </c>
      <c r="S58" s="600" t="str">
        <f>IF('3. Sem'!$U$11="","",'3. Sem'!$U$11)</f>
        <v/>
      </c>
      <c r="T58" s="600" t="str">
        <f>IF('3. Sem'!$V$11="","",'3. Sem'!$V$11)</f>
        <v/>
      </c>
      <c r="U58" s="600" t="str">
        <f>IF('3. Sem'!$W$11="","",'3. Sem'!$W$11)</f>
        <v/>
      </c>
      <c r="V58" s="601" t="str">
        <f>IF('3. Sem'!$X$11="","",'3. Sem'!$X$11)</f>
        <v/>
      </c>
      <c r="W58" s="596" t="str">
        <f>IF('3. Sem'!$Y$11="","",'3. Sem'!$Y$11)</f>
        <v/>
      </c>
      <c r="X58" s="597" t="str">
        <f>IF('3. Sem'!$Z$11="","",'3. Sem'!$Z$11)</f>
        <v/>
      </c>
      <c r="Y58" s="597" t="str">
        <f>IF('3. Sem'!$AA$11="","",'3. Sem'!$AA$11)</f>
        <v/>
      </c>
      <c r="Z58" s="597" t="str">
        <f>IF('3. Sem'!$AB$11="","",'3. Sem'!$AB$11)</f>
        <v/>
      </c>
      <c r="AA58" s="598" t="str">
        <f>IF('3. Sem'!$AC$11="","",'3. Sem'!$AC$11)</f>
        <v/>
      </c>
      <c r="AB58" s="599" t="str">
        <f>IF('3. Sem'!$AD$11="","",'3. Sem'!$AD$11)</f>
        <v/>
      </c>
      <c r="AC58" s="600" t="str">
        <f>IF('3. Sem'!$AE$11="","",'3. Sem'!$AE$11)</f>
        <v/>
      </c>
      <c r="AD58" s="600" t="str">
        <f>IF('3. Sem'!$AF$11="","",'3. Sem'!$AF$11)</f>
        <v/>
      </c>
      <c r="AE58" s="600" t="str">
        <f>IF('3. Sem'!$AG$11="","",'3. Sem'!$AG$11)</f>
        <v/>
      </c>
      <c r="AF58" s="601" t="str">
        <f>IF('3. Sem'!$AH$11="","",'3. Sem'!$AH$11)</f>
        <v/>
      </c>
      <c r="AG58" s="596" t="str">
        <f>IF('3. Sem'!$AI$11="","",'3. Sem'!$AI$11)</f>
        <v/>
      </c>
      <c r="AH58" s="597" t="str">
        <f>IF('3. Sem'!$AJ$11="","",'3. Sem'!$AJ$11)</f>
        <v/>
      </c>
      <c r="AI58" s="597" t="str">
        <f>IF('3. Sem'!$AK$11="","",'3. Sem'!$AK$11)</f>
        <v/>
      </c>
      <c r="AJ58" s="597" t="str">
        <f>IF('3. Sem'!$AL$11="","",'3. Sem'!$AL$11)</f>
        <v/>
      </c>
      <c r="AK58" s="598" t="str">
        <f>IF('3. Sem'!$AM$11="","",'3. Sem'!$AM$11)</f>
        <v/>
      </c>
      <c r="AL58" s="605" t="str">
        <f>IF('3. Sem'!$AN$11="","",'3. Sem'!$AN$11)</f>
        <v/>
      </c>
      <c r="AM58" s="603" t="str">
        <f>IF('3. Sem'!$AO$11="","",'3. Sem'!$AO$11)</f>
        <v/>
      </c>
      <c r="AN58" s="603" t="str">
        <f>IF('3. Sem'!$AP$11="","",'3. Sem'!$AP$11)</f>
        <v/>
      </c>
      <c r="AO58" s="603" t="str">
        <f>IF('3. Sem'!$AQ$11="","",'3. Sem'!$AQ$11)</f>
        <v/>
      </c>
      <c r="AP58" s="604" t="str">
        <f>IF('3. Sem'!$AR$11="","",'3. Sem'!$AR$11)</f>
        <v/>
      </c>
      <c r="AQ58" s="602" t="str">
        <f>IF('3. Sem'!$AS$11="","",'3. Sem'!$AS$11)</f>
        <v/>
      </c>
      <c r="AR58" s="597" t="str">
        <f>IF('3. Sem'!$AT$11="","",'3. Sem'!$AT$11)</f>
        <v/>
      </c>
      <c r="AS58" s="597" t="str">
        <f>IF('3. Sem'!$AU$11="","",'3. Sem'!$AU$11)</f>
        <v/>
      </c>
      <c r="AT58" s="597" t="str">
        <f>IF('3. Sem'!$AV$11="","",'3. Sem'!$AV$11)</f>
        <v/>
      </c>
      <c r="AU58" s="598" t="str">
        <f>IF('3. Sem'!$AW$11="","",'3. Sem'!$AW$11)</f>
        <v/>
      </c>
      <c r="AV58" s="599" t="str">
        <f>IF('3. Sem'!$AX$11="","",'3. Sem'!$AX$11)</f>
        <v/>
      </c>
      <c r="AW58" s="600" t="str">
        <f>IF('3. Sem'!$AY$11="","",'3. Sem'!$AY$11)</f>
        <v/>
      </c>
      <c r="AX58" s="600" t="str">
        <f>IF('3. Sem'!$AZ$11="","",'3. Sem'!$AZ$11)</f>
        <v/>
      </c>
      <c r="AY58" s="600" t="str">
        <f>IF('3. Sem'!$BA$11="","",'3. Sem'!$BA$11)</f>
        <v/>
      </c>
      <c r="AZ58" s="601" t="str">
        <f>IF('3. Sem'!$BB$11="","",'3. Sem'!$BB$11)</f>
        <v/>
      </c>
      <c r="BA58" s="596" t="str">
        <f>IF('3. Sem'!$BC$11="","",'3. Sem'!$BC$11)</f>
        <v/>
      </c>
      <c r="BB58" s="597" t="str">
        <f>IF('3. Sem'!$BD$11="","",'3. Sem'!$BD$11)</f>
        <v/>
      </c>
      <c r="BC58" s="597" t="str">
        <f>IF('3. Sem'!$BE$11="","",'3. Sem'!$BE$11)</f>
        <v/>
      </c>
      <c r="BD58" s="597" t="str">
        <f>IF('3. Sem'!$BF$11="","",'3. Sem'!$BF$11)</f>
        <v/>
      </c>
      <c r="BE58" s="598" t="str">
        <f>IF('3. Sem'!$BG$11="","",'3. Sem'!$BG$11)</f>
        <v/>
      </c>
      <c r="BF58" s="599" t="str">
        <f>IF('3. Sem'!$BH$11="","",'3. Sem'!$BH$11)</f>
        <v/>
      </c>
      <c r="BG58" s="600" t="str">
        <f>IF('3. Sem'!$BI$11="","",'3. Sem'!$BI$11)</f>
        <v/>
      </c>
      <c r="BH58" s="600" t="str">
        <f>IF('3. Sem'!$BJ$11="","",'3. Sem'!$BJ$11)</f>
        <v/>
      </c>
      <c r="BI58" s="600" t="str">
        <f>IF('3. Sem'!$BK$11="","",'3. Sem'!$BK$11)</f>
        <v/>
      </c>
      <c r="BJ58" s="601" t="str">
        <f>IF('3. Sem'!$BL$11="","",'3. Sem'!$BL$11)</f>
        <v/>
      </c>
      <c r="BK58" s="596" t="str">
        <f>IF('3. Sem'!$BM$11="","",'3. Sem'!$BM$11)</f>
        <v/>
      </c>
      <c r="BL58" s="597" t="str">
        <f>IF('3. Sem'!$BN$11="","",'3. Sem'!$BN$11)</f>
        <v/>
      </c>
      <c r="BM58" s="597" t="str">
        <f>IF('3. Sem'!$BO$11="","",'3. Sem'!$BO$11)</f>
        <v/>
      </c>
      <c r="BN58" s="597" t="str">
        <f>IF('3. Sem'!$BP$11="","",'3. Sem'!$BP$11)</f>
        <v/>
      </c>
      <c r="BO58" s="598" t="str">
        <f>IF('3. Sem'!$BQ$11="","",'3. Sem'!$BQ$11)</f>
        <v/>
      </c>
      <c r="BP58" s="599" t="str">
        <f>IF('3. Sem'!$BR$11="","",'3. Sem'!$BR$11)</f>
        <v/>
      </c>
      <c r="BQ58" s="600" t="str">
        <f>IF('3. Sem'!$BS$11="","",'3. Sem'!$BS$11)</f>
        <v/>
      </c>
      <c r="BR58" s="600" t="str">
        <f>IF('3. Sem'!$BT$11="","",'3. Sem'!$BT$11)</f>
        <v/>
      </c>
      <c r="BS58" s="603" t="str">
        <f>IF('3. Sem'!$BU$11="","",'3. Sem'!$BU$11)</f>
        <v/>
      </c>
      <c r="BT58" s="604" t="str">
        <f>IF('3. Sem'!$BV$11="","",'3. Sem'!$BV$11)</f>
        <v/>
      </c>
      <c r="BU58" s="596" t="str">
        <f>IF('3. Sem'!$BW$11="","",'3. Sem'!$BW$11)</f>
        <v/>
      </c>
      <c r="BV58" s="597" t="str">
        <f>IF('3. Sem'!$BX$11="","",'3. Sem'!$BX$11)</f>
        <v/>
      </c>
      <c r="BW58" s="597" t="str">
        <f>IF('3. Sem'!$BY$11="","",'3. Sem'!$BY$11)</f>
        <v/>
      </c>
      <c r="BX58" s="597" t="str">
        <f>IF('3. Sem'!$BZ$11="","",'3. Sem'!$BZ$11)</f>
        <v/>
      </c>
      <c r="BY58" s="598" t="str">
        <f>IF('3. Sem'!$CA$11="","",'3. Sem'!$CA$11)</f>
        <v/>
      </c>
      <c r="BZ58" s="605" t="str">
        <f>IF('3. Sem'!$CB$11="","",'3. Sem'!$CB$11)</f>
        <v/>
      </c>
      <c r="CA58" s="600" t="str">
        <f>IF('3. Sem'!$CC$11="","",'3. Sem'!$CC$11)</f>
        <v/>
      </c>
      <c r="CB58" s="600" t="str">
        <f>IF('3. Sem'!$CD$11="","",'3. Sem'!$CD$11)</f>
        <v/>
      </c>
      <c r="CC58" s="600" t="str">
        <f>IF('3. Sem'!$CE$11="","",'3. Sem'!$CE$11)</f>
        <v/>
      </c>
      <c r="CD58" s="601" t="str">
        <f>IF('3. Sem'!$CF$11="","",'3. Sem'!$CF$11)</f>
        <v/>
      </c>
      <c r="CE58" s="596" t="str">
        <f>IF('3. Sem'!$CG$11="","",'3. Sem'!$CG$11)</f>
        <v/>
      </c>
      <c r="CF58" s="597" t="str">
        <f>IF('3. Sem'!$CH$11="","",'3. Sem'!$CH$11)</f>
        <v/>
      </c>
      <c r="CG58" s="597" t="str">
        <f>IF('3. Sem'!$CI$11="","",'3. Sem'!$CI$11)</f>
        <v/>
      </c>
      <c r="CH58" s="597" t="str">
        <f>IF('3. Sem'!$CJ$11="","",'3. Sem'!$CJ$11)</f>
        <v/>
      </c>
      <c r="CI58" s="598" t="str">
        <f>IF('3. Sem'!$CK$11="","",'3. Sem'!$CK$11)</f>
        <v/>
      </c>
      <c r="CJ58" s="599" t="str">
        <f>IF('3. Sem'!$CL$11="","",'3. Sem'!$CL$11)</f>
        <v/>
      </c>
      <c r="CK58" s="600" t="str">
        <f>IF('3. Sem'!$CM$11="","",'3. Sem'!$CM$11)</f>
        <v/>
      </c>
      <c r="CL58" s="600" t="str">
        <f>IF('3. Sem'!$CN$11="","",'3. Sem'!$CN$11)</f>
        <v/>
      </c>
      <c r="CM58" s="600" t="str">
        <f>IF('3. Sem'!$CO$11="","",'3. Sem'!$CO$11)</f>
        <v/>
      </c>
      <c r="CN58" s="601" t="str">
        <f>IF('3. Sem'!$CP$11="","",'3. Sem'!$CP$11)</f>
        <v/>
      </c>
      <c r="CO58" s="596" t="str">
        <f>IF('3. Sem'!$CQ$11="","",'3. Sem'!$CQ$11)</f>
        <v/>
      </c>
      <c r="CP58" s="597" t="str">
        <f>IF('3. Sem'!$CR$11="","",'3. Sem'!$CR$11)</f>
        <v/>
      </c>
      <c r="CQ58" s="597" t="str">
        <f>IF('3. Sem'!$CS$11="","",'3. Sem'!$CS$11)</f>
        <v/>
      </c>
      <c r="CR58" s="597" t="str">
        <f>IF('3. Sem'!$CT$11="","",'3. Sem'!$CT$11)</f>
        <v/>
      </c>
      <c r="CS58" s="598" t="str">
        <f>IF('3. Sem'!$CU$11="","",'3. Sem'!$CU$11)</f>
        <v/>
      </c>
      <c r="CT58" s="599" t="str">
        <f>IF('3. Sem'!$CV$11="","",'3. Sem'!$CV$11)</f>
        <v/>
      </c>
      <c r="CU58" s="600" t="str">
        <f>IF('3. Sem'!$CW$11="","",'3. Sem'!$CW$11)</f>
        <v/>
      </c>
      <c r="CV58" s="600" t="str">
        <f>IF('3. Sem'!$CX$11="","",'3. Sem'!$CX$11)</f>
        <v/>
      </c>
      <c r="CW58" s="600" t="str">
        <f>IF('3. Sem'!$CY$11="","",'3. Sem'!$CY$11)</f>
        <v/>
      </c>
      <c r="CX58" s="601" t="str">
        <f>IF('3. Sem'!$CZ$11="","",'3. Sem'!$CZ$11)</f>
        <v/>
      </c>
      <c r="CY58" s="596" t="str">
        <f>IF('3. Sem'!$DA$11="","",'3. Sem'!$DA$11)</f>
        <v/>
      </c>
      <c r="CZ58" s="597" t="str">
        <f>IF('3. Sem'!$DB$11="","",'3. Sem'!$DB$11)</f>
        <v/>
      </c>
      <c r="DA58" s="597" t="str">
        <f>IF('3. Sem'!$DC$11="","",'3. Sem'!$DC$11)</f>
        <v/>
      </c>
      <c r="DB58" s="597" t="str">
        <f>IF('3. Sem'!$DD$11="","",'3. Sem'!$DD$11)</f>
        <v/>
      </c>
      <c r="DC58" s="598" t="str">
        <f>IF('3. Sem'!$DE$11="","",'3. Sem'!$DE$11)</f>
        <v/>
      </c>
    </row>
    <row r="59" spans="1:107" ht="16" customHeight="1" x14ac:dyDescent="0.2">
      <c r="A59" s="566"/>
      <c r="B59" s="579" t="s">
        <v>19</v>
      </c>
      <c r="C59" s="568" t="str">
        <f>IF('3. Sem'!$E$12="","",'3. Sem'!$E$12)</f>
        <v/>
      </c>
      <c r="D59" s="569" t="str">
        <f>IF('3. Sem'!$F$12="","",'3. Sem'!$F$12)</f>
        <v/>
      </c>
      <c r="E59" s="576" t="str">
        <f>IF('3. Sem'!$G$12="","",'3. Sem'!$G$12)</f>
        <v/>
      </c>
      <c r="F59" s="569" t="str">
        <f>IF('3. Sem'!$H$12="","",'3. Sem'!$H$12)</f>
        <v/>
      </c>
      <c r="G59" s="570" t="str">
        <f>IF('3. Sem'!$I$12="","",'3. Sem'!$I$12)</f>
        <v/>
      </c>
      <c r="H59" s="571" t="str">
        <f>IF('3. Sem'!$J$12="","",'3. Sem'!$J$12)</f>
        <v/>
      </c>
      <c r="I59" s="572" t="str">
        <f>IF('3. Sem'!$K$12="","",'3. Sem'!$K$12)</f>
        <v/>
      </c>
      <c r="J59" s="576" t="str">
        <f>IF('3. Sem'!$L$12="","",'3. Sem'!$L$12)</f>
        <v/>
      </c>
      <c r="K59" s="572" t="str">
        <f>IF('3. Sem'!$M$12="","",'3. Sem'!$M$12)</f>
        <v/>
      </c>
      <c r="L59" s="573" t="str">
        <f>IF('3. Sem'!$N$12="","",'3. Sem'!$N$12)</f>
        <v/>
      </c>
      <c r="M59" s="574" t="str">
        <f>IF('3. Sem'!$O$12="","",'3. Sem'!$O$12)</f>
        <v/>
      </c>
      <c r="N59" s="569" t="str">
        <f>IF('3. Sem'!$P$12="","",'3. Sem'!$P$12)</f>
        <v/>
      </c>
      <c r="O59" s="576" t="str">
        <f>IF('3. Sem'!$Q$12="","",'3. Sem'!$Q$12)</f>
        <v/>
      </c>
      <c r="P59" s="569" t="str">
        <f>IF('3. Sem'!$R$12="","",'3. Sem'!$R$12)</f>
        <v/>
      </c>
      <c r="Q59" s="570" t="str">
        <f>IF('3. Sem'!$S$12="","",'3. Sem'!$S$12)</f>
        <v/>
      </c>
      <c r="R59" s="571" t="str">
        <f>IF('3. Sem'!$T$12="","",'3. Sem'!$T$12)</f>
        <v/>
      </c>
      <c r="S59" s="572" t="str">
        <f>IF('3. Sem'!$U$12="","",'3. Sem'!$U$12)</f>
        <v/>
      </c>
      <c r="T59" s="576" t="str">
        <f>IF('3. Sem'!$V$12="","",'3. Sem'!$V$12)</f>
        <v/>
      </c>
      <c r="U59" s="572" t="str">
        <f>IF('3. Sem'!$W$12="","",'3. Sem'!$W$12)</f>
        <v/>
      </c>
      <c r="V59" s="573" t="str">
        <f>IF('3. Sem'!$X$12="","",'3. Sem'!$X$12)</f>
        <v/>
      </c>
      <c r="W59" s="574" t="str">
        <f>IF('3. Sem'!$Y$12="","",'3. Sem'!$Y$12)</f>
        <v/>
      </c>
      <c r="X59" s="569" t="str">
        <f>IF('3. Sem'!$Z$12="","",'3. Sem'!$Z$12)</f>
        <v/>
      </c>
      <c r="Y59" s="576" t="str">
        <f>IF('3. Sem'!$AA$12="","",'3. Sem'!$AA$12)</f>
        <v/>
      </c>
      <c r="Z59" s="569" t="str">
        <f>IF('3. Sem'!$AB$12="","",'3. Sem'!$AB$12)</f>
        <v/>
      </c>
      <c r="AA59" s="570" t="str">
        <f>IF('3. Sem'!$AC$12="","",'3. Sem'!$AC$12)</f>
        <v/>
      </c>
      <c r="AB59" s="571" t="str">
        <f>IF('3. Sem'!$AD$12="","",'3. Sem'!$AD$12)</f>
        <v/>
      </c>
      <c r="AC59" s="572" t="str">
        <f>IF('3. Sem'!$AE$12="","",'3. Sem'!$AE$12)</f>
        <v/>
      </c>
      <c r="AD59" s="576" t="str">
        <f>IF('3. Sem'!$AF$12="","",'3. Sem'!$AF$12)</f>
        <v/>
      </c>
      <c r="AE59" s="572" t="str">
        <f>IF('3. Sem'!$AG$12="","",'3. Sem'!$AG$12)</f>
        <v/>
      </c>
      <c r="AF59" s="573" t="str">
        <f>IF('3. Sem'!$AH$12="","",'3. Sem'!$AH$12)</f>
        <v/>
      </c>
      <c r="AG59" s="574" t="str">
        <f>IF('3. Sem'!$AI$12="","",'3. Sem'!$AI$12)</f>
        <v/>
      </c>
      <c r="AH59" s="569" t="str">
        <f>IF('3. Sem'!$AJ$12="","",'3. Sem'!$AJ$12)</f>
        <v/>
      </c>
      <c r="AI59" s="576" t="str">
        <f>IF('3. Sem'!$AK$12="","",'3. Sem'!$AK$12)</f>
        <v/>
      </c>
      <c r="AJ59" s="569" t="str">
        <f>IF('3. Sem'!$AL$12="","",'3. Sem'!$AL$12)</f>
        <v/>
      </c>
      <c r="AK59" s="570" t="str">
        <f>IF('3. Sem'!$AM$12="","",'3. Sem'!$AM$12)</f>
        <v/>
      </c>
      <c r="AL59" s="578" t="str">
        <f>IF('3. Sem'!$AN$12="","",'3. Sem'!$AN$12)</f>
        <v/>
      </c>
      <c r="AM59" s="576" t="str">
        <f>IF('3. Sem'!$AO$12="","",'3. Sem'!$AO$12)</f>
        <v/>
      </c>
      <c r="AN59" s="576" t="str">
        <f>IF('3. Sem'!$AP$12="","",'3. Sem'!$AP$12)</f>
        <v/>
      </c>
      <c r="AO59" s="576" t="str">
        <f>IF('3. Sem'!$AQ$12="","",'3. Sem'!$AQ$12)</f>
        <v/>
      </c>
      <c r="AP59" s="577" t="str">
        <f>IF('3. Sem'!$AR$12="","",'3. Sem'!$AR$12)</f>
        <v/>
      </c>
      <c r="AQ59" s="575" t="str">
        <f>IF('3. Sem'!$AS$12="","",'3. Sem'!$AS$12)</f>
        <v/>
      </c>
      <c r="AR59" s="569" t="str">
        <f>IF('3. Sem'!$AT$12="","",'3. Sem'!$AT$12)</f>
        <v/>
      </c>
      <c r="AS59" s="576" t="str">
        <f>IF('3. Sem'!$AU$12="","",'3. Sem'!$AU$12)</f>
        <v/>
      </c>
      <c r="AT59" s="569" t="str">
        <f>IF('3. Sem'!$AV$12="","",'3. Sem'!$AV$12)</f>
        <v/>
      </c>
      <c r="AU59" s="570" t="str">
        <f>IF('3. Sem'!$AW$12="","",'3. Sem'!$AW$12)</f>
        <v/>
      </c>
      <c r="AV59" s="571" t="str">
        <f>IF('3. Sem'!$AX$12="","",'3. Sem'!$AX$12)</f>
        <v/>
      </c>
      <c r="AW59" s="572" t="str">
        <f>IF('3. Sem'!$AY$12="","",'3. Sem'!$AY$12)</f>
        <v/>
      </c>
      <c r="AX59" s="576" t="str">
        <f>IF('3. Sem'!$AZ$12="","",'3. Sem'!$AZ$12)</f>
        <v/>
      </c>
      <c r="AY59" s="572" t="str">
        <f>IF('3. Sem'!$BA$12="","",'3. Sem'!$BA$12)</f>
        <v/>
      </c>
      <c r="AZ59" s="573" t="str">
        <f>IF('3. Sem'!$BB$12="","",'3. Sem'!$BB$12)</f>
        <v/>
      </c>
      <c r="BA59" s="574" t="str">
        <f>IF('3. Sem'!$BC$12="","",'3. Sem'!$BC$12)</f>
        <v/>
      </c>
      <c r="BB59" s="569" t="str">
        <f>IF('3. Sem'!$BD$12="","",'3. Sem'!$BD$12)</f>
        <v/>
      </c>
      <c r="BC59" s="576" t="str">
        <f>IF('3. Sem'!$BE$12="","",'3. Sem'!$BE$12)</f>
        <v/>
      </c>
      <c r="BD59" s="569" t="str">
        <f>IF('3. Sem'!$BF$12="","",'3. Sem'!$BF$12)</f>
        <v/>
      </c>
      <c r="BE59" s="570" t="str">
        <f>IF('3. Sem'!$BG$12="","",'3. Sem'!$BG$12)</f>
        <v/>
      </c>
      <c r="BF59" s="571" t="str">
        <f>IF('3. Sem'!$BH$12="","",'3. Sem'!$BH$12)</f>
        <v/>
      </c>
      <c r="BG59" s="572" t="str">
        <f>IF('3. Sem'!$BI$12="","",'3. Sem'!$BI$12)</f>
        <v/>
      </c>
      <c r="BH59" s="576" t="str">
        <f>IF('3. Sem'!$BJ$12="","",'3. Sem'!$BJ$12)</f>
        <v/>
      </c>
      <c r="BI59" s="572" t="str">
        <f>IF('3. Sem'!$BK$12="","",'3. Sem'!$BK$12)</f>
        <v/>
      </c>
      <c r="BJ59" s="573" t="str">
        <f>IF('3. Sem'!$BL$12="","",'3. Sem'!$BL$12)</f>
        <v/>
      </c>
      <c r="BK59" s="574" t="str">
        <f>IF('3. Sem'!$BM$12="","",'3. Sem'!$BM$12)</f>
        <v/>
      </c>
      <c r="BL59" s="569" t="str">
        <f>IF('3. Sem'!$BN$12="","",'3. Sem'!$BN$12)</f>
        <v/>
      </c>
      <c r="BM59" s="576" t="str">
        <f>IF('3. Sem'!$BO$12="","",'3. Sem'!$BO$12)</f>
        <v/>
      </c>
      <c r="BN59" s="569" t="str">
        <f>IF('3. Sem'!$BP$12="","",'3. Sem'!$BP$12)</f>
        <v/>
      </c>
      <c r="BO59" s="570" t="str">
        <f>IF('3. Sem'!$BQ$12="","",'3. Sem'!$BQ$12)</f>
        <v/>
      </c>
      <c r="BP59" s="571" t="str">
        <f>IF('3. Sem'!$BR$12="","",'3. Sem'!$BR$12)</f>
        <v/>
      </c>
      <c r="BQ59" s="572" t="str">
        <f>IF('3. Sem'!$BS$12="","",'3. Sem'!$BS$12)</f>
        <v/>
      </c>
      <c r="BR59" s="576" t="str">
        <f>IF('3. Sem'!$BT$12="","",'3. Sem'!$BT$12)</f>
        <v/>
      </c>
      <c r="BS59" s="576" t="str">
        <f>IF('3. Sem'!$BU$12="","",'3. Sem'!$BU$12)</f>
        <v/>
      </c>
      <c r="BT59" s="577" t="str">
        <f>IF('3. Sem'!$BV$12="","",'3. Sem'!$BV$12)</f>
        <v/>
      </c>
      <c r="BU59" s="574" t="str">
        <f>IF('3. Sem'!$BW$12="","",'3. Sem'!$BW$12)</f>
        <v/>
      </c>
      <c r="BV59" s="569" t="str">
        <f>IF('3. Sem'!$BX$12="","",'3. Sem'!$BX$12)</f>
        <v/>
      </c>
      <c r="BW59" s="576" t="str">
        <f>IF('3. Sem'!$BY$12="","",'3. Sem'!$BY$12)</f>
        <v/>
      </c>
      <c r="BX59" s="569" t="str">
        <f>IF('3. Sem'!$BZ$12="","",'3. Sem'!$BZ$12)</f>
        <v/>
      </c>
      <c r="BY59" s="570" t="str">
        <f>IF('3. Sem'!$CA$12="","",'3. Sem'!$CA$12)</f>
        <v/>
      </c>
      <c r="BZ59" s="578" t="str">
        <f>IF('3. Sem'!$CB$12="","",'3. Sem'!$CB$12)</f>
        <v/>
      </c>
      <c r="CA59" s="572" t="str">
        <f>IF('3. Sem'!$CC$12="","",'3. Sem'!$CC$12)</f>
        <v/>
      </c>
      <c r="CB59" s="576" t="str">
        <f>IF('3. Sem'!$CD$12="","",'3. Sem'!$CD$12)</f>
        <v/>
      </c>
      <c r="CC59" s="572" t="str">
        <f>IF('3. Sem'!$CE$12="","",'3. Sem'!$CE$12)</f>
        <v/>
      </c>
      <c r="CD59" s="573" t="str">
        <f>IF('3. Sem'!$CF$12="","",'3. Sem'!$CF$12)</f>
        <v/>
      </c>
      <c r="CE59" s="574" t="str">
        <f>IF('3. Sem'!$CG$12="","",'3. Sem'!$CG$12)</f>
        <v/>
      </c>
      <c r="CF59" s="569" t="str">
        <f>IF('3. Sem'!$CH$12="","",'3. Sem'!$CH$12)</f>
        <v/>
      </c>
      <c r="CG59" s="576" t="str">
        <f>IF('3. Sem'!$CI$12="","",'3. Sem'!$CI$12)</f>
        <v/>
      </c>
      <c r="CH59" s="569" t="str">
        <f>IF('3. Sem'!$CJ$12="","",'3. Sem'!$CJ$12)</f>
        <v/>
      </c>
      <c r="CI59" s="570" t="str">
        <f>IF('3. Sem'!$CK$12="","",'3. Sem'!$CK$12)</f>
        <v/>
      </c>
      <c r="CJ59" s="571" t="str">
        <f>IF('3. Sem'!$CL$12="","",'3. Sem'!$CL$12)</f>
        <v/>
      </c>
      <c r="CK59" s="572" t="str">
        <f>IF('3. Sem'!$CM$12="","",'3. Sem'!$CM$12)</f>
        <v/>
      </c>
      <c r="CL59" s="576" t="str">
        <f>IF('3. Sem'!$CN$12="","",'3. Sem'!$CN$12)</f>
        <v/>
      </c>
      <c r="CM59" s="572" t="str">
        <f>IF('3. Sem'!$CO$12="","",'3. Sem'!$CO$12)</f>
        <v/>
      </c>
      <c r="CN59" s="573" t="str">
        <f>IF('3. Sem'!$CP$12="","",'3. Sem'!$CP$12)</f>
        <v/>
      </c>
      <c r="CO59" s="574" t="str">
        <f>IF('3. Sem'!$CQ$12="","",'3. Sem'!$CQ$12)</f>
        <v/>
      </c>
      <c r="CP59" s="569" t="str">
        <f>IF('3. Sem'!$CR$12="","",'3. Sem'!$CR$12)</f>
        <v/>
      </c>
      <c r="CQ59" s="576" t="str">
        <f>IF('3. Sem'!$CS$12="","",'3. Sem'!$CS$12)</f>
        <v/>
      </c>
      <c r="CR59" s="569" t="str">
        <f>IF('3. Sem'!$CT$12="","",'3. Sem'!$CT$12)</f>
        <v/>
      </c>
      <c r="CS59" s="570" t="str">
        <f>IF('3. Sem'!$CU$12="","",'3. Sem'!$CU$12)</f>
        <v/>
      </c>
      <c r="CT59" s="571" t="str">
        <f>IF('3. Sem'!$CV$12="","",'3. Sem'!$CV$12)</f>
        <v/>
      </c>
      <c r="CU59" s="572" t="str">
        <f>IF('3. Sem'!$CW$12="","",'3. Sem'!$CW$12)</f>
        <v/>
      </c>
      <c r="CV59" s="576" t="str">
        <f>IF('3. Sem'!$CX$12="","",'3. Sem'!$CX$12)</f>
        <v/>
      </c>
      <c r="CW59" s="572" t="str">
        <f>IF('3. Sem'!$CY$12="","",'3. Sem'!$CY$12)</f>
        <v/>
      </c>
      <c r="CX59" s="573" t="str">
        <f>IF('3. Sem'!$CZ$12="","",'3. Sem'!$CZ$12)</f>
        <v/>
      </c>
      <c r="CY59" s="574" t="str">
        <f>IF('3. Sem'!$DA$12="","",'3. Sem'!$DA$12)</f>
        <v/>
      </c>
      <c r="CZ59" s="569" t="str">
        <f>IF('3. Sem'!$DB$12="","",'3. Sem'!$DB$12)</f>
        <v/>
      </c>
      <c r="DA59" s="576" t="str">
        <f>IF('3. Sem'!$DC$12="","",'3. Sem'!$DC$12)</f>
        <v/>
      </c>
      <c r="DB59" s="569" t="str">
        <f>IF('3. Sem'!$DD$12="","",'3. Sem'!$DD$12)</f>
        <v/>
      </c>
      <c r="DC59" s="570" t="str">
        <f>IF('3. Sem'!$DE$12="","",'3. Sem'!$DE$12)</f>
        <v/>
      </c>
    </row>
    <row r="60" spans="1:107" ht="16" customHeight="1" x14ac:dyDescent="0.2">
      <c r="A60" s="566"/>
      <c r="B60" s="579" t="s">
        <v>21</v>
      </c>
      <c r="C60" s="580" t="str">
        <f>IF('3. Sem'!$E$13="","",'3. Sem'!$E$13)</f>
        <v/>
      </c>
      <c r="D60" s="581" t="str">
        <f>IF('3. Sem'!$F$13="","",'3. Sem'!$F$13)</f>
        <v/>
      </c>
      <c r="E60" s="588" t="str">
        <f>IF('3. Sem'!$G$13="","",'3. Sem'!$G$13)</f>
        <v/>
      </c>
      <c r="F60" s="581" t="str">
        <f>IF('3. Sem'!$H$13="","",'3. Sem'!$H$13)</f>
        <v/>
      </c>
      <c r="G60" s="582" t="str">
        <f>IF('3. Sem'!$I$13="","",'3. Sem'!$I$13)</f>
        <v/>
      </c>
      <c r="H60" s="583" t="str">
        <f>IF('3. Sem'!$J$13="","",'3. Sem'!$J$13)</f>
        <v/>
      </c>
      <c r="I60" s="584" t="str">
        <f>IF('3. Sem'!$K$13="","",'3. Sem'!$K$13)</f>
        <v/>
      </c>
      <c r="J60" s="588" t="str">
        <f>IF('3. Sem'!$L$13="","",'3. Sem'!$L$13)</f>
        <v/>
      </c>
      <c r="K60" s="584" t="str">
        <f>IF('3. Sem'!$M$13="","",'3. Sem'!$M$13)</f>
        <v/>
      </c>
      <c r="L60" s="585" t="str">
        <f>IF('3. Sem'!$N$13="","",'3. Sem'!$N$13)</f>
        <v/>
      </c>
      <c r="M60" s="586" t="str">
        <f>IF('3. Sem'!$O$13="","",'3. Sem'!$O$13)</f>
        <v/>
      </c>
      <c r="N60" s="581" t="str">
        <f>IF('3. Sem'!$P$13="","",'3. Sem'!$P$13)</f>
        <v/>
      </c>
      <c r="O60" s="588" t="str">
        <f>IF('3. Sem'!$Q$13="","",'3. Sem'!$Q$13)</f>
        <v/>
      </c>
      <c r="P60" s="581" t="str">
        <f>IF('3. Sem'!$R$13="","",'3. Sem'!$R$13)</f>
        <v/>
      </c>
      <c r="Q60" s="582" t="str">
        <f>IF('3. Sem'!$S$13="","",'3. Sem'!$S$13)</f>
        <v/>
      </c>
      <c r="R60" s="583" t="str">
        <f>IF('3. Sem'!$T$13="","",'3. Sem'!$T$13)</f>
        <v/>
      </c>
      <c r="S60" s="584" t="str">
        <f>IF('3. Sem'!$U$13="","",'3. Sem'!$U$13)</f>
        <v/>
      </c>
      <c r="T60" s="588" t="str">
        <f>IF('3. Sem'!$V$13="","",'3. Sem'!$V$13)</f>
        <v/>
      </c>
      <c r="U60" s="584" t="str">
        <f>IF('3. Sem'!$W$13="","",'3. Sem'!$W$13)</f>
        <v/>
      </c>
      <c r="V60" s="585" t="str">
        <f>IF('3. Sem'!$X$13="","",'3. Sem'!$X$13)</f>
        <v/>
      </c>
      <c r="W60" s="586" t="str">
        <f>IF('3. Sem'!$Y$13="","",'3. Sem'!$Y$13)</f>
        <v/>
      </c>
      <c r="X60" s="581" t="str">
        <f>IF('3. Sem'!$Z$13="","",'3. Sem'!$Z$13)</f>
        <v/>
      </c>
      <c r="Y60" s="588" t="str">
        <f>IF('3. Sem'!$AA$13="","",'3. Sem'!$AA$13)</f>
        <v/>
      </c>
      <c r="Z60" s="581" t="str">
        <f>IF('3. Sem'!$AB$13="","",'3. Sem'!$AB$13)</f>
        <v/>
      </c>
      <c r="AA60" s="582" t="str">
        <f>IF('3. Sem'!$AC$13="","",'3. Sem'!$AC$13)</f>
        <v/>
      </c>
      <c r="AB60" s="583" t="str">
        <f>IF('3. Sem'!$AD$13="","",'3. Sem'!$AD$13)</f>
        <v/>
      </c>
      <c r="AC60" s="584" t="str">
        <f>IF('3. Sem'!$AE$13="","",'3. Sem'!$AE$13)</f>
        <v/>
      </c>
      <c r="AD60" s="588" t="str">
        <f>IF('3. Sem'!$AF$13="","",'3. Sem'!$AF$13)</f>
        <v/>
      </c>
      <c r="AE60" s="584" t="str">
        <f>IF('3. Sem'!$AG$13="","",'3. Sem'!$AG$13)</f>
        <v/>
      </c>
      <c r="AF60" s="585" t="str">
        <f>IF('3. Sem'!$AH$13="","",'3. Sem'!$AH$13)</f>
        <v/>
      </c>
      <c r="AG60" s="586" t="str">
        <f>IF('3. Sem'!$AI$13="","",'3. Sem'!$AI$13)</f>
        <v/>
      </c>
      <c r="AH60" s="581" t="str">
        <f>IF('3. Sem'!$AJ$13="","",'3. Sem'!$AJ$13)</f>
        <v/>
      </c>
      <c r="AI60" s="588" t="str">
        <f>IF('3. Sem'!$AK$13="","",'3. Sem'!$AK$13)</f>
        <v/>
      </c>
      <c r="AJ60" s="581" t="str">
        <f>IF('3. Sem'!$AL$13="","",'3. Sem'!$AL$13)</f>
        <v/>
      </c>
      <c r="AK60" s="582" t="str">
        <f>IF('3. Sem'!$AM$13="","",'3. Sem'!$AM$13)</f>
        <v/>
      </c>
      <c r="AL60" s="590" t="str">
        <f>IF('3. Sem'!$AN$13="","",'3. Sem'!$AN$13)</f>
        <v/>
      </c>
      <c r="AM60" s="588" t="str">
        <f>IF('3. Sem'!$AO$13="","",'3. Sem'!$AO$13)</f>
        <v/>
      </c>
      <c r="AN60" s="588" t="str">
        <f>IF('3. Sem'!$AP$13="","",'3. Sem'!$AP$13)</f>
        <v/>
      </c>
      <c r="AO60" s="588" t="str">
        <f>IF('3. Sem'!$AQ$13="","",'3. Sem'!$AQ$13)</f>
        <v/>
      </c>
      <c r="AP60" s="589" t="str">
        <f>IF('3. Sem'!$AR$13="","",'3. Sem'!$AR$13)</f>
        <v/>
      </c>
      <c r="AQ60" s="587" t="str">
        <f>IF('3. Sem'!$AS$13="","",'3. Sem'!$AS$13)</f>
        <v/>
      </c>
      <c r="AR60" s="581" t="str">
        <f>IF('3. Sem'!$AT$13="","",'3. Sem'!$AT$13)</f>
        <v/>
      </c>
      <c r="AS60" s="588" t="str">
        <f>IF('3. Sem'!$AU$13="","",'3. Sem'!$AU$13)</f>
        <v/>
      </c>
      <c r="AT60" s="581" t="str">
        <f>IF('3. Sem'!$AV$13="","",'3. Sem'!$AV$13)</f>
        <v/>
      </c>
      <c r="AU60" s="582" t="str">
        <f>IF('3. Sem'!$AW$13="","",'3. Sem'!$AW$13)</f>
        <v/>
      </c>
      <c r="AV60" s="583" t="str">
        <f>IF('3. Sem'!$AX$13="","",'3. Sem'!$AX$13)</f>
        <v/>
      </c>
      <c r="AW60" s="584" t="str">
        <f>IF('3. Sem'!$AY$13="","",'3. Sem'!$AY$13)</f>
        <v/>
      </c>
      <c r="AX60" s="588" t="str">
        <f>IF('3. Sem'!$AZ$13="","",'3. Sem'!$AZ$13)</f>
        <v/>
      </c>
      <c r="AY60" s="584" t="str">
        <f>IF('3. Sem'!$BA$13="","",'3. Sem'!$BA$13)</f>
        <v/>
      </c>
      <c r="AZ60" s="585" t="str">
        <f>IF('3. Sem'!$BB$13="","",'3. Sem'!$BB$13)</f>
        <v/>
      </c>
      <c r="BA60" s="586" t="str">
        <f>IF('3. Sem'!$BC$13="","",'3. Sem'!$BC$13)</f>
        <v/>
      </c>
      <c r="BB60" s="581" t="str">
        <f>IF('3. Sem'!$BD$13="","",'3. Sem'!$BD$13)</f>
        <v/>
      </c>
      <c r="BC60" s="588" t="str">
        <f>IF('3. Sem'!$BE$13="","",'3. Sem'!$BE$13)</f>
        <v/>
      </c>
      <c r="BD60" s="581" t="str">
        <f>IF('3. Sem'!$BF$13="","",'3. Sem'!$BF$13)</f>
        <v/>
      </c>
      <c r="BE60" s="582" t="str">
        <f>IF('3. Sem'!$BG$13="","",'3. Sem'!$BG$13)</f>
        <v/>
      </c>
      <c r="BF60" s="583" t="str">
        <f>IF('3. Sem'!$BH$13="","",'3. Sem'!$BH$13)</f>
        <v/>
      </c>
      <c r="BG60" s="584" t="str">
        <f>IF('3. Sem'!$BI$13="","",'3. Sem'!$BI$13)</f>
        <v/>
      </c>
      <c r="BH60" s="588" t="str">
        <f>IF('3. Sem'!$BJ$13="","",'3. Sem'!$BJ$13)</f>
        <v/>
      </c>
      <c r="BI60" s="584" t="str">
        <f>IF('3. Sem'!$BK$13="","",'3. Sem'!$BK$13)</f>
        <v/>
      </c>
      <c r="BJ60" s="585" t="str">
        <f>IF('3. Sem'!$BL$13="","",'3. Sem'!$BL$13)</f>
        <v/>
      </c>
      <c r="BK60" s="586" t="str">
        <f>IF('3. Sem'!$BM$13="","",'3. Sem'!$BM$13)</f>
        <v/>
      </c>
      <c r="BL60" s="581" t="str">
        <f>IF('3. Sem'!$BN$13="","",'3. Sem'!$BN$13)</f>
        <v/>
      </c>
      <c r="BM60" s="588" t="str">
        <f>IF('3. Sem'!$BO$13="","",'3. Sem'!$BO$13)</f>
        <v/>
      </c>
      <c r="BN60" s="581" t="str">
        <f>IF('3. Sem'!$BP$13="","",'3. Sem'!$BP$13)</f>
        <v/>
      </c>
      <c r="BO60" s="582" t="str">
        <f>IF('3. Sem'!$BQ$13="","",'3. Sem'!$BQ$13)</f>
        <v/>
      </c>
      <c r="BP60" s="583" t="str">
        <f>IF('3. Sem'!$BR$13="","",'3. Sem'!$BR$13)</f>
        <v/>
      </c>
      <c r="BQ60" s="584" t="str">
        <f>IF('3. Sem'!$BS$13="","",'3. Sem'!$BS$13)</f>
        <v/>
      </c>
      <c r="BR60" s="588" t="str">
        <f>IF('3. Sem'!$BT$13="","",'3. Sem'!$BT$13)</f>
        <v/>
      </c>
      <c r="BS60" s="588" t="str">
        <f>IF('3. Sem'!$BU$13="","",'3. Sem'!$BU$13)</f>
        <v/>
      </c>
      <c r="BT60" s="589" t="str">
        <f>IF('3. Sem'!$BV$13="","",'3. Sem'!$BV$13)</f>
        <v/>
      </c>
      <c r="BU60" s="586" t="str">
        <f>IF('3. Sem'!$BW$13="","",'3. Sem'!$BW$13)</f>
        <v/>
      </c>
      <c r="BV60" s="581" t="str">
        <f>IF('3. Sem'!$BX$13="","",'3. Sem'!$BX$13)</f>
        <v/>
      </c>
      <c r="BW60" s="588" t="str">
        <f>IF('3. Sem'!$BY$13="","",'3. Sem'!$BY$13)</f>
        <v/>
      </c>
      <c r="BX60" s="581" t="str">
        <f>IF('3. Sem'!$BZ$13="","",'3. Sem'!$BZ$13)</f>
        <v/>
      </c>
      <c r="BY60" s="582" t="str">
        <f>IF('3. Sem'!$CA$13="","",'3. Sem'!$CA$13)</f>
        <v/>
      </c>
      <c r="BZ60" s="590" t="str">
        <f>IF('3. Sem'!$CB$13="","",'3. Sem'!$CB$13)</f>
        <v/>
      </c>
      <c r="CA60" s="584" t="str">
        <f>IF('3. Sem'!$CC$13="","",'3. Sem'!$CC$13)</f>
        <v/>
      </c>
      <c r="CB60" s="588" t="str">
        <f>IF('3. Sem'!$CD$13="","",'3. Sem'!$CD$13)</f>
        <v/>
      </c>
      <c r="CC60" s="584" t="str">
        <f>IF('3. Sem'!$CE$13="","",'3. Sem'!$CE$13)</f>
        <v/>
      </c>
      <c r="CD60" s="585" t="str">
        <f>IF('3. Sem'!$CF$13="","",'3. Sem'!$CF$13)</f>
        <v/>
      </c>
      <c r="CE60" s="586" t="str">
        <f>IF('3. Sem'!$CG$13="","",'3. Sem'!$CG$13)</f>
        <v/>
      </c>
      <c r="CF60" s="581" t="str">
        <f>IF('3. Sem'!$CH$13="","",'3. Sem'!$CH$13)</f>
        <v/>
      </c>
      <c r="CG60" s="588" t="str">
        <f>IF('3. Sem'!$CI$13="","",'3. Sem'!$CI$13)</f>
        <v/>
      </c>
      <c r="CH60" s="581" t="str">
        <f>IF('3. Sem'!$CJ$13="","",'3. Sem'!$CJ$13)</f>
        <v/>
      </c>
      <c r="CI60" s="582" t="str">
        <f>IF('3. Sem'!$CK$13="","",'3. Sem'!$CK$13)</f>
        <v/>
      </c>
      <c r="CJ60" s="583" t="str">
        <f>IF('3. Sem'!$CL$13="","",'3. Sem'!$CL$13)</f>
        <v/>
      </c>
      <c r="CK60" s="584" t="str">
        <f>IF('3. Sem'!$CM$13="","",'3. Sem'!$CM$13)</f>
        <v/>
      </c>
      <c r="CL60" s="588" t="str">
        <f>IF('3. Sem'!$CN$13="","",'3. Sem'!$CN$13)</f>
        <v/>
      </c>
      <c r="CM60" s="584" t="str">
        <f>IF('3. Sem'!$CO$13="","",'3. Sem'!$CO$13)</f>
        <v/>
      </c>
      <c r="CN60" s="585" t="str">
        <f>IF('3. Sem'!$CP$13="","",'3. Sem'!$CP$13)</f>
        <v/>
      </c>
      <c r="CO60" s="586" t="str">
        <f>IF('3. Sem'!$CQ$13="","",'3. Sem'!$CQ$13)</f>
        <v/>
      </c>
      <c r="CP60" s="581" t="str">
        <f>IF('3. Sem'!$CR$13="","",'3. Sem'!$CR$13)</f>
        <v/>
      </c>
      <c r="CQ60" s="588" t="str">
        <f>IF('3. Sem'!$CS$13="","",'3. Sem'!$CS$13)</f>
        <v/>
      </c>
      <c r="CR60" s="581" t="str">
        <f>IF('3. Sem'!$CT$13="","",'3. Sem'!$CT$13)</f>
        <v/>
      </c>
      <c r="CS60" s="582" t="str">
        <f>IF('3. Sem'!$CU$13="","",'3. Sem'!$CU$13)</f>
        <v/>
      </c>
      <c r="CT60" s="583" t="str">
        <f>IF('3. Sem'!$CV$13="","",'3. Sem'!$CV$13)</f>
        <v/>
      </c>
      <c r="CU60" s="584" t="str">
        <f>IF('3. Sem'!$CW$13="","",'3. Sem'!$CW$13)</f>
        <v/>
      </c>
      <c r="CV60" s="588" t="str">
        <f>IF('3. Sem'!$CX$13="","",'3. Sem'!$CX$13)</f>
        <v/>
      </c>
      <c r="CW60" s="584" t="str">
        <f>IF('3. Sem'!$CY$13="","",'3. Sem'!$CY$13)</f>
        <v/>
      </c>
      <c r="CX60" s="585" t="str">
        <f>IF('3. Sem'!$CZ$13="","",'3. Sem'!$CZ$13)</f>
        <v/>
      </c>
      <c r="CY60" s="586" t="str">
        <f>IF('3. Sem'!$DA$13="","",'3. Sem'!$DA$13)</f>
        <v/>
      </c>
      <c r="CZ60" s="581" t="str">
        <f>IF('3. Sem'!$DB$13="","",'3. Sem'!$DB$13)</f>
        <v/>
      </c>
      <c r="DA60" s="588" t="str">
        <f>IF('3. Sem'!$DC$13="","",'3. Sem'!$DC$13)</f>
        <v/>
      </c>
      <c r="DB60" s="581" t="str">
        <f>IF('3. Sem'!$DD$13="","",'3. Sem'!$DD$13)</f>
        <v/>
      </c>
      <c r="DC60" s="582" t="str">
        <f>IF('3. Sem'!$DE$13="","",'3. Sem'!$DE$13)</f>
        <v/>
      </c>
    </row>
    <row r="61" spans="1:107" ht="16" customHeight="1" x14ac:dyDescent="0.2">
      <c r="A61" s="566"/>
      <c r="B61" s="579" t="s">
        <v>22</v>
      </c>
      <c r="C61" s="591" t="str">
        <f>IF('3. Sem'!$E$14="","",'3. Sem'!$E$14)</f>
        <v/>
      </c>
      <c r="D61" s="581" t="str">
        <f>IF('3. Sem'!$F$14="","",'3. Sem'!$F$14)</f>
        <v/>
      </c>
      <c r="E61" s="588" t="str">
        <f>IF('3. Sem'!$G$14="","",'3. Sem'!$G$14)</f>
        <v/>
      </c>
      <c r="F61" s="581" t="str">
        <f>IF('3. Sem'!$H$14="","",'3. Sem'!$H$14)</f>
        <v/>
      </c>
      <c r="G61" s="582" t="str">
        <f>IF('3. Sem'!$I$14="","",'3. Sem'!$I$14)</f>
        <v/>
      </c>
      <c r="H61" s="583" t="str">
        <f>IF('3. Sem'!$J$14="","",'3. Sem'!$J$14)</f>
        <v/>
      </c>
      <c r="I61" s="584" t="str">
        <f>IF('3. Sem'!$K$14="","",'3. Sem'!$K$14)</f>
        <v/>
      </c>
      <c r="J61" s="588" t="str">
        <f>IF('3. Sem'!$L$14="","",'3. Sem'!$L$14)</f>
        <v/>
      </c>
      <c r="K61" s="584" t="str">
        <f>IF('3. Sem'!$M$14="","",'3. Sem'!$M$14)</f>
        <v/>
      </c>
      <c r="L61" s="592" t="str">
        <f>IF('3. Sem'!$N$14="","",'3. Sem'!$N$14)</f>
        <v/>
      </c>
      <c r="M61" s="593" t="str">
        <f>IF('3. Sem'!$O$14="","",'3. Sem'!$O$14)</f>
        <v/>
      </c>
      <c r="N61" s="581" t="str">
        <f>IF('3. Sem'!$P$14="","",'3. Sem'!$P$14)</f>
        <v/>
      </c>
      <c r="O61" s="588" t="str">
        <f>IF('3. Sem'!$Q$14="","",'3. Sem'!$Q$14)</f>
        <v/>
      </c>
      <c r="P61" s="581" t="str">
        <f>IF('3. Sem'!$R$14="","",'3. Sem'!$R$14)</f>
        <v/>
      </c>
      <c r="Q61" s="582" t="str">
        <f>IF('3. Sem'!$S$14="","",'3. Sem'!$S$14)</f>
        <v/>
      </c>
      <c r="R61" s="583" t="str">
        <f>IF('3. Sem'!$T$14="","",'3. Sem'!$T$14)</f>
        <v/>
      </c>
      <c r="S61" s="584" t="str">
        <f>IF('3. Sem'!$U$14="","",'3. Sem'!$U$14)</f>
        <v/>
      </c>
      <c r="T61" s="588" t="str">
        <f>IF('3. Sem'!$V$14="","",'3. Sem'!$V$14)</f>
        <v/>
      </c>
      <c r="U61" s="584" t="str">
        <f>IF('3. Sem'!$W$14="","",'3. Sem'!$W$14)</f>
        <v/>
      </c>
      <c r="V61" s="592" t="str">
        <f>IF('3. Sem'!$X$14="","",'3. Sem'!$X$14)</f>
        <v/>
      </c>
      <c r="W61" s="593" t="str">
        <f>IF('3. Sem'!$Y$14="","",'3. Sem'!$Y$14)</f>
        <v/>
      </c>
      <c r="X61" s="581" t="str">
        <f>IF('3. Sem'!$Z$14="","",'3. Sem'!$Z$14)</f>
        <v/>
      </c>
      <c r="Y61" s="588" t="str">
        <f>IF('3. Sem'!$AA$14="","",'3. Sem'!$AA$14)</f>
        <v/>
      </c>
      <c r="Z61" s="581" t="str">
        <f>IF('3. Sem'!$AB$14="","",'3. Sem'!$AB$14)</f>
        <v/>
      </c>
      <c r="AA61" s="582" t="str">
        <f>IF('3. Sem'!$AC$14="","",'3. Sem'!$AC$14)</f>
        <v/>
      </c>
      <c r="AB61" s="583" t="str">
        <f>IF('3. Sem'!$AD$14="","",'3. Sem'!$AD$14)</f>
        <v/>
      </c>
      <c r="AC61" s="584" t="str">
        <f>IF('3. Sem'!$AE$14="","",'3. Sem'!$AE$14)</f>
        <v/>
      </c>
      <c r="AD61" s="588" t="str">
        <f>IF('3. Sem'!$AF$14="","",'3. Sem'!$AF$14)</f>
        <v/>
      </c>
      <c r="AE61" s="584" t="str">
        <f>IF('3. Sem'!$AG$14="","",'3. Sem'!$AG$14)</f>
        <v/>
      </c>
      <c r="AF61" s="592" t="str">
        <f>IF('3. Sem'!$AH$14="","",'3. Sem'!$AH$14)</f>
        <v/>
      </c>
      <c r="AG61" s="593" t="str">
        <f>IF('3. Sem'!$AI$14="","",'3. Sem'!$AI$14)</f>
        <v/>
      </c>
      <c r="AH61" s="581" t="str">
        <f>IF('3. Sem'!$AJ$14="","",'3. Sem'!$AJ$14)</f>
        <v/>
      </c>
      <c r="AI61" s="588" t="str">
        <f>IF('3. Sem'!$AK$14="","",'3. Sem'!$AK$14)</f>
        <v/>
      </c>
      <c r="AJ61" s="581" t="str">
        <f>IF('3. Sem'!$AL$14="","",'3. Sem'!$AL$14)</f>
        <v/>
      </c>
      <c r="AK61" s="582" t="str">
        <f>IF('3. Sem'!$AM$14="","",'3. Sem'!$AM$14)</f>
        <v/>
      </c>
      <c r="AL61" s="590" t="str">
        <f>IF('3. Sem'!$AN$14="","",'3. Sem'!$AN$14)</f>
        <v/>
      </c>
      <c r="AM61" s="588" t="str">
        <f>IF('3. Sem'!$AO$14="","",'3. Sem'!$AO$14)</f>
        <v/>
      </c>
      <c r="AN61" s="588" t="str">
        <f>IF('3. Sem'!$AP$14="","",'3. Sem'!$AP$14)</f>
        <v/>
      </c>
      <c r="AO61" s="588" t="str">
        <f>IF('3. Sem'!$AQ$14="","",'3. Sem'!$AQ$14)</f>
        <v/>
      </c>
      <c r="AP61" s="595" t="str">
        <f>IF('3. Sem'!$AR$14="","",'3. Sem'!$AR$14)</f>
        <v/>
      </c>
      <c r="AQ61" s="594" t="str">
        <f>IF('3. Sem'!$AS$14="","",'3. Sem'!$AS$14)</f>
        <v/>
      </c>
      <c r="AR61" s="581" t="str">
        <f>IF('3. Sem'!$AT$14="","",'3. Sem'!$AT$14)</f>
        <v/>
      </c>
      <c r="AS61" s="588" t="str">
        <f>IF('3. Sem'!$AU$14="","",'3. Sem'!$AU$14)</f>
        <v/>
      </c>
      <c r="AT61" s="581" t="str">
        <f>IF('3. Sem'!$AV$14="","",'3. Sem'!$AV$14)</f>
        <v/>
      </c>
      <c r="AU61" s="582" t="str">
        <f>IF('3. Sem'!$AW$14="","",'3. Sem'!$AW$14)</f>
        <v/>
      </c>
      <c r="AV61" s="583" t="str">
        <f>IF('3. Sem'!$AX$14="","",'3. Sem'!$AX$14)</f>
        <v/>
      </c>
      <c r="AW61" s="584" t="str">
        <f>IF('3. Sem'!$AY$14="","",'3. Sem'!$AY$14)</f>
        <v/>
      </c>
      <c r="AX61" s="588" t="str">
        <f>IF('3. Sem'!$AZ$14="","",'3. Sem'!$AZ$14)</f>
        <v/>
      </c>
      <c r="AY61" s="584" t="str">
        <f>IF('3. Sem'!$BA$14="","",'3. Sem'!$BA$14)</f>
        <v/>
      </c>
      <c r="AZ61" s="592" t="str">
        <f>IF('3. Sem'!$BB$14="","",'3. Sem'!$BB$14)</f>
        <v/>
      </c>
      <c r="BA61" s="593" t="str">
        <f>IF('3. Sem'!$BC$14="","",'3. Sem'!$BC$14)</f>
        <v/>
      </c>
      <c r="BB61" s="581" t="str">
        <f>IF('3. Sem'!$BD$14="","",'3. Sem'!$BD$14)</f>
        <v/>
      </c>
      <c r="BC61" s="588" t="str">
        <f>IF('3. Sem'!$BE$14="","",'3. Sem'!$BE$14)</f>
        <v/>
      </c>
      <c r="BD61" s="581" t="str">
        <f>IF('3. Sem'!$BF$14="","",'3. Sem'!$BF$14)</f>
        <v/>
      </c>
      <c r="BE61" s="582" t="str">
        <f>IF('3. Sem'!$BG$14="","",'3. Sem'!$BG$14)</f>
        <v/>
      </c>
      <c r="BF61" s="583" t="str">
        <f>IF('3. Sem'!$BH$14="","",'3. Sem'!$BH$14)</f>
        <v/>
      </c>
      <c r="BG61" s="584" t="str">
        <f>IF('3. Sem'!$BI$14="","",'3. Sem'!$BI$14)</f>
        <v/>
      </c>
      <c r="BH61" s="588" t="str">
        <f>IF('3. Sem'!$BJ$14="","",'3. Sem'!$BJ$14)</f>
        <v/>
      </c>
      <c r="BI61" s="584" t="str">
        <f>IF('3. Sem'!$BK$14="","",'3. Sem'!$BK$14)</f>
        <v/>
      </c>
      <c r="BJ61" s="592" t="str">
        <f>IF('3. Sem'!$BL$14="","",'3. Sem'!$BL$14)</f>
        <v/>
      </c>
      <c r="BK61" s="593" t="str">
        <f>IF('3. Sem'!$BM$14="","",'3. Sem'!$BM$14)</f>
        <v/>
      </c>
      <c r="BL61" s="581" t="str">
        <f>IF('3. Sem'!$BN$14="","",'3. Sem'!$BN$14)</f>
        <v/>
      </c>
      <c r="BM61" s="588" t="str">
        <f>IF('3. Sem'!$BO$14="","",'3. Sem'!$BO$14)</f>
        <v/>
      </c>
      <c r="BN61" s="581" t="str">
        <f>IF('3. Sem'!$BP$14="","",'3. Sem'!$BP$14)</f>
        <v/>
      </c>
      <c r="BO61" s="582" t="str">
        <f>IF('3. Sem'!$BQ$14="","",'3. Sem'!$BQ$14)</f>
        <v/>
      </c>
      <c r="BP61" s="583" t="str">
        <f>IF('3. Sem'!$BR$14="","",'3. Sem'!$BR$14)</f>
        <v/>
      </c>
      <c r="BQ61" s="584" t="str">
        <f>IF('3. Sem'!$BS$14="","",'3. Sem'!$BS$14)</f>
        <v/>
      </c>
      <c r="BR61" s="588" t="str">
        <f>IF('3. Sem'!$BT$14="","",'3. Sem'!$BT$14)</f>
        <v/>
      </c>
      <c r="BS61" s="588" t="str">
        <f>IF('3. Sem'!$BU$14="","",'3. Sem'!$BU$14)</f>
        <v/>
      </c>
      <c r="BT61" s="595" t="str">
        <f>IF('3. Sem'!$BV$14="","",'3. Sem'!$BV$14)</f>
        <v/>
      </c>
      <c r="BU61" s="593" t="str">
        <f>IF('3. Sem'!$BW$14="","",'3. Sem'!$BW$14)</f>
        <v/>
      </c>
      <c r="BV61" s="581" t="str">
        <f>IF('3. Sem'!$BX$14="","",'3. Sem'!$BX$14)</f>
        <v/>
      </c>
      <c r="BW61" s="588" t="str">
        <f>IF('3. Sem'!$BY$14="","",'3. Sem'!$BY$14)</f>
        <v/>
      </c>
      <c r="BX61" s="581" t="str">
        <f>IF('3. Sem'!$BZ$14="","",'3. Sem'!$BZ$14)</f>
        <v/>
      </c>
      <c r="BY61" s="582" t="str">
        <f>IF('3. Sem'!$CA$14="","",'3. Sem'!$CA$14)</f>
        <v/>
      </c>
      <c r="BZ61" s="590" t="str">
        <f>IF('3. Sem'!$CB$14="","",'3. Sem'!$CB$14)</f>
        <v/>
      </c>
      <c r="CA61" s="584" t="str">
        <f>IF('3. Sem'!$CC$14="","",'3. Sem'!$CC$14)</f>
        <v/>
      </c>
      <c r="CB61" s="588" t="str">
        <f>IF('3. Sem'!$CD$14="","",'3. Sem'!$CD$14)</f>
        <v/>
      </c>
      <c r="CC61" s="584" t="str">
        <f>IF('3. Sem'!$CE$14="","",'3. Sem'!$CE$14)</f>
        <v/>
      </c>
      <c r="CD61" s="592" t="str">
        <f>IF('3. Sem'!$CF$14="","",'3. Sem'!$CF$14)</f>
        <v/>
      </c>
      <c r="CE61" s="593" t="str">
        <f>IF('3. Sem'!$CG$14="","",'3. Sem'!$CG$14)</f>
        <v/>
      </c>
      <c r="CF61" s="581" t="str">
        <f>IF('3. Sem'!$CH$14="","",'3. Sem'!$CH$14)</f>
        <v/>
      </c>
      <c r="CG61" s="588" t="str">
        <f>IF('3. Sem'!$CI$14="","",'3. Sem'!$CI$14)</f>
        <v/>
      </c>
      <c r="CH61" s="581" t="str">
        <f>IF('3. Sem'!$CJ$14="","",'3. Sem'!$CJ$14)</f>
        <v/>
      </c>
      <c r="CI61" s="582" t="str">
        <f>IF('3. Sem'!$CK$14="","",'3. Sem'!$CK$14)</f>
        <v/>
      </c>
      <c r="CJ61" s="583" t="str">
        <f>IF('3. Sem'!$CL$14="","",'3. Sem'!$CL$14)</f>
        <v/>
      </c>
      <c r="CK61" s="584" t="str">
        <f>IF('3. Sem'!$CM$14="","",'3. Sem'!$CM$14)</f>
        <v/>
      </c>
      <c r="CL61" s="588" t="str">
        <f>IF('3. Sem'!$CN$14="","",'3. Sem'!$CN$14)</f>
        <v/>
      </c>
      <c r="CM61" s="584" t="str">
        <f>IF('3. Sem'!$CO$14="","",'3. Sem'!$CO$14)</f>
        <v/>
      </c>
      <c r="CN61" s="592" t="str">
        <f>IF('3. Sem'!$CP$14="","",'3. Sem'!$CP$14)</f>
        <v/>
      </c>
      <c r="CO61" s="593" t="str">
        <f>IF('3. Sem'!$CQ$14="","",'3. Sem'!$CQ$14)</f>
        <v/>
      </c>
      <c r="CP61" s="581" t="str">
        <f>IF('3. Sem'!$CR$14="","",'3. Sem'!$CR$14)</f>
        <v/>
      </c>
      <c r="CQ61" s="588" t="str">
        <f>IF('3. Sem'!$CS$14="","",'3. Sem'!$CS$14)</f>
        <v/>
      </c>
      <c r="CR61" s="581" t="str">
        <f>IF('3. Sem'!$CT$14="","",'3. Sem'!$CT$14)</f>
        <v/>
      </c>
      <c r="CS61" s="582" t="str">
        <f>IF('3. Sem'!$CU$14="","",'3. Sem'!$CU$14)</f>
        <v/>
      </c>
      <c r="CT61" s="583" t="str">
        <f>IF('3. Sem'!$CV$14="","",'3. Sem'!$CV$14)</f>
        <v/>
      </c>
      <c r="CU61" s="584" t="str">
        <f>IF('3. Sem'!$CW$14="","",'3. Sem'!$CW$14)</f>
        <v/>
      </c>
      <c r="CV61" s="588" t="str">
        <f>IF('3. Sem'!$CX$14="","",'3. Sem'!$CX$14)</f>
        <v/>
      </c>
      <c r="CW61" s="584" t="str">
        <f>IF('3. Sem'!$CY$14="","",'3. Sem'!$CY$14)</f>
        <v/>
      </c>
      <c r="CX61" s="592" t="str">
        <f>IF('3. Sem'!$CZ$14="","",'3. Sem'!$CZ$14)</f>
        <v/>
      </c>
      <c r="CY61" s="593" t="str">
        <f>IF('3. Sem'!$DA$14="","",'3. Sem'!$DA$14)</f>
        <v/>
      </c>
      <c r="CZ61" s="581" t="str">
        <f>IF('3. Sem'!$DB$14="","",'3. Sem'!$DB$14)</f>
        <v/>
      </c>
      <c r="DA61" s="588" t="str">
        <f>IF('3. Sem'!$DC$14="","",'3. Sem'!$DC$14)</f>
        <v/>
      </c>
      <c r="DB61" s="581" t="str">
        <f>IF('3. Sem'!$DD$14="","",'3. Sem'!$DD$14)</f>
        <v/>
      </c>
      <c r="DC61" s="582" t="str">
        <f>IF('3. Sem'!$DE$14="","",'3. Sem'!$DE$14)</f>
        <v/>
      </c>
    </row>
    <row r="62" spans="1:107" ht="17" customHeight="1" thickBot="1" x14ac:dyDescent="0.25">
      <c r="A62" s="566"/>
      <c r="B62" s="579" t="s">
        <v>23</v>
      </c>
      <c r="C62" s="606" t="str">
        <f>IF('3. Sem'!$E$15="","",'3. Sem'!$E$15)</f>
        <v/>
      </c>
      <c r="D62" s="607" t="str">
        <f>IF('3. Sem'!$F$15="","",'3. Sem'!$F$15)</f>
        <v/>
      </c>
      <c r="E62" s="608" t="str">
        <f>IF('3. Sem'!$G$15="","",'3. Sem'!$G$15)</f>
        <v/>
      </c>
      <c r="F62" s="607" t="str">
        <f>IF('3. Sem'!$H$15="","",'3. Sem'!$H$15)</f>
        <v/>
      </c>
      <c r="G62" s="609" t="str">
        <f>IF('3. Sem'!$I$15="","",'3. Sem'!$I$15)</f>
        <v/>
      </c>
      <c r="H62" s="610" t="str">
        <f>IF('3. Sem'!$J$15="","",'3. Sem'!$J$15)</f>
        <v/>
      </c>
      <c r="I62" s="611" t="str">
        <f>IF('3. Sem'!$K$15="","",'3. Sem'!$K$15)</f>
        <v/>
      </c>
      <c r="J62" s="608" t="str">
        <f>IF('3. Sem'!$L$15="","",'3. Sem'!$L$15)</f>
        <v/>
      </c>
      <c r="K62" s="611" t="str">
        <f>IF('3. Sem'!$M$15="","",'3. Sem'!$M$15)</f>
        <v/>
      </c>
      <c r="L62" s="612" t="str">
        <f>IF('3. Sem'!$N$15="","",'3. Sem'!$N$15)</f>
        <v/>
      </c>
      <c r="M62" s="613" t="str">
        <f>IF('3. Sem'!$O$15="","",'3. Sem'!$O$15)</f>
        <v/>
      </c>
      <c r="N62" s="607" t="str">
        <f>IF('3. Sem'!$P$15="","",'3. Sem'!$P$15)</f>
        <v/>
      </c>
      <c r="O62" s="608" t="str">
        <f>IF('3. Sem'!$Q$15="","",'3. Sem'!$Q$15)</f>
        <v/>
      </c>
      <c r="P62" s="607" t="str">
        <f>IF('3. Sem'!$R$15="","",'3. Sem'!$R$15)</f>
        <v/>
      </c>
      <c r="Q62" s="609" t="str">
        <f>IF('3. Sem'!$S$15="","",'3. Sem'!$S$15)</f>
        <v/>
      </c>
      <c r="R62" s="610" t="str">
        <f>IF('3. Sem'!$T$15="","",'3. Sem'!$T$15)</f>
        <v/>
      </c>
      <c r="S62" s="611" t="str">
        <f>IF('3. Sem'!$U$15="","",'3. Sem'!$U$15)</f>
        <v/>
      </c>
      <c r="T62" s="608" t="str">
        <f>IF('3. Sem'!$V$15="","",'3. Sem'!$V$15)</f>
        <v/>
      </c>
      <c r="U62" s="611" t="str">
        <f>IF('3. Sem'!$W$15="","",'3. Sem'!$W$15)</f>
        <v/>
      </c>
      <c r="V62" s="612" t="str">
        <f>IF('3. Sem'!$X$15="","",'3. Sem'!$X$15)</f>
        <v/>
      </c>
      <c r="W62" s="613" t="str">
        <f>IF('3. Sem'!$Y$15="","",'3. Sem'!$Y$15)</f>
        <v/>
      </c>
      <c r="X62" s="607" t="str">
        <f>IF('3. Sem'!$Z$15="","",'3. Sem'!$Z$15)</f>
        <v/>
      </c>
      <c r="Y62" s="608" t="str">
        <f>IF('3. Sem'!$AA$15="","",'3. Sem'!$AA$15)</f>
        <v/>
      </c>
      <c r="Z62" s="607" t="str">
        <f>IF('3. Sem'!$AB$15="","",'3. Sem'!$AB$15)</f>
        <v/>
      </c>
      <c r="AA62" s="609" t="str">
        <f>IF('3. Sem'!$AC$15="","",'3. Sem'!$AC$15)</f>
        <v/>
      </c>
      <c r="AB62" s="610" t="str">
        <f>IF('3. Sem'!$AD$15="","",'3. Sem'!$AD$15)</f>
        <v/>
      </c>
      <c r="AC62" s="611" t="str">
        <f>IF('3. Sem'!$AE$15="","",'3. Sem'!$AE$15)</f>
        <v/>
      </c>
      <c r="AD62" s="608" t="str">
        <f>IF('3. Sem'!$AF$15="","",'3. Sem'!$AF$15)</f>
        <v/>
      </c>
      <c r="AE62" s="611" t="str">
        <f>IF('3. Sem'!$AG$15="","",'3. Sem'!$AG$15)</f>
        <v/>
      </c>
      <c r="AF62" s="612" t="str">
        <f>IF('3. Sem'!$AH$15="","",'3. Sem'!$AH$15)</f>
        <v/>
      </c>
      <c r="AG62" s="613" t="str">
        <f>IF('3. Sem'!$AI$15="","",'3. Sem'!$AI$15)</f>
        <v/>
      </c>
      <c r="AH62" s="607" t="str">
        <f>IF('3. Sem'!$AJ$15="","",'3. Sem'!$AJ$15)</f>
        <v/>
      </c>
      <c r="AI62" s="608" t="str">
        <f>IF('3. Sem'!$AK$15="","",'3. Sem'!$AK$15)</f>
        <v/>
      </c>
      <c r="AJ62" s="607" t="str">
        <f>IF('3. Sem'!$AL$15="","",'3. Sem'!$AL$15)</f>
        <v/>
      </c>
      <c r="AK62" s="609" t="str">
        <f>IF('3. Sem'!$AM$15="","",'3. Sem'!$AM$15)</f>
        <v/>
      </c>
      <c r="AL62" s="616" t="str">
        <f>IF('3. Sem'!$AN$15="","",'3. Sem'!$AN$15)</f>
        <v/>
      </c>
      <c r="AM62" s="608" t="str">
        <f>IF('3. Sem'!$AO$15="","",'3. Sem'!$AO$15)</f>
        <v/>
      </c>
      <c r="AN62" s="608" t="str">
        <f>IF('3. Sem'!$AP$15="","",'3. Sem'!$AP$15)</f>
        <v/>
      </c>
      <c r="AO62" s="608" t="str">
        <f>IF('3. Sem'!$AQ$15="","",'3. Sem'!$AQ$15)</f>
        <v/>
      </c>
      <c r="AP62" s="615" t="str">
        <f>IF('3. Sem'!$AR$15="","",'3. Sem'!$AR$15)</f>
        <v/>
      </c>
      <c r="AQ62" s="614" t="str">
        <f>IF('3. Sem'!$AS$15="","",'3. Sem'!$AS$15)</f>
        <v/>
      </c>
      <c r="AR62" s="607" t="str">
        <f>IF('3. Sem'!$AT$15="","",'3. Sem'!$AT$15)</f>
        <v/>
      </c>
      <c r="AS62" s="608" t="str">
        <f>IF('3. Sem'!$AU$15="","",'3. Sem'!$AU$15)</f>
        <v/>
      </c>
      <c r="AT62" s="607" t="str">
        <f>IF('3. Sem'!$AV$15="","",'3. Sem'!$AV$15)</f>
        <v/>
      </c>
      <c r="AU62" s="609" t="str">
        <f>IF('3. Sem'!$AW$15="","",'3. Sem'!$AW$15)</f>
        <v/>
      </c>
      <c r="AV62" s="610" t="str">
        <f>IF('3. Sem'!$AX$15="","",'3. Sem'!$AX$15)</f>
        <v/>
      </c>
      <c r="AW62" s="611" t="str">
        <f>IF('3. Sem'!$AY$15="","",'3. Sem'!$AY$15)</f>
        <v/>
      </c>
      <c r="AX62" s="608" t="str">
        <f>IF('3. Sem'!$AZ$15="","",'3. Sem'!$AZ$15)</f>
        <v/>
      </c>
      <c r="AY62" s="611" t="str">
        <f>IF('3. Sem'!$BA$15="","",'3. Sem'!$BA$15)</f>
        <v/>
      </c>
      <c r="AZ62" s="612" t="str">
        <f>IF('3. Sem'!$BB$15="","",'3. Sem'!$BB$15)</f>
        <v/>
      </c>
      <c r="BA62" s="613" t="str">
        <f>IF('3. Sem'!$BC$15="","",'3. Sem'!$BC$15)</f>
        <v/>
      </c>
      <c r="BB62" s="607" t="str">
        <f>IF('3. Sem'!$BD$15="","",'3. Sem'!$BD$15)</f>
        <v/>
      </c>
      <c r="BC62" s="608" t="str">
        <f>IF('3. Sem'!$BE$15="","",'3. Sem'!$BE$15)</f>
        <v/>
      </c>
      <c r="BD62" s="607" t="str">
        <f>IF('3. Sem'!$BF$15="","",'3. Sem'!$BF$15)</f>
        <v/>
      </c>
      <c r="BE62" s="609" t="str">
        <f>IF('3. Sem'!$BG$15="","",'3. Sem'!$BG$15)</f>
        <v/>
      </c>
      <c r="BF62" s="610" t="str">
        <f>IF('3. Sem'!$BH$15="","",'3. Sem'!$BH$15)</f>
        <v/>
      </c>
      <c r="BG62" s="611" t="str">
        <f>IF('3. Sem'!$BI$15="","",'3. Sem'!$BI$15)</f>
        <v/>
      </c>
      <c r="BH62" s="608" t="str">
        <f>IF('3. Sem'!$BJ$15="","",'3. Sem'!$BJ$15)</f>
        <v/>
      </c>
      <c r="BI62" s="611" t="str">
        <f>IF('3. Sem'!$BK$15="","",'3. Sem'!$BK$15)</f>
        <v/>
      </c>
      <c r="BJ62" s="612" t="str">
        <f>IF('3. Sem'!$BL$15="","",'3. Sem'!$BL$15)</f>
        <v/>
      </c>
      <c r="BK62" s="613" t="str">
        <f>IF('3. Sem'!$BM$15="","",'3. Sem'!$BM$15)</f>
        <v/>
      </c>
      <c r="BL62" s="607" t="str">
        <f>IF('3. Sem'!$BN$15="","",'3. Sem'!$BN$15)</f>
        <v/>
      </c>
      <c r="BM62" s="608" t="str">
        <f>IF('3. Sem'!$BO$15="","",'3. Sem'!$BO$15)</f>
        <v/>
      </c>
      <c r="BN62" s="607" t="str">
        <f>IF('3. Sem'!$BP$15="","",'3. Sem'!$BP$15)</f>
        <v/>
      </c>
      <c r="BO62" s="609" t="str">
        <f>IF('3. Sem'!$BQ$15="","",'3. Sem'!$BQ$15)</f>
        <v/>
      </c>
      <c r="BP62" s="610" t="str">
        <f>IF('3. Sem'!$BR$15="","",'3. Sem'!$BR$15)</f>
        <v/>
      </c>
      <c r="BQ62" s="611" t="str">
        <f>IF('3. Sem'!$BS$15="","",'3. Sem'!$BS$15)</f>
        <v/>
      </c>
      <c r="BR62" s="608" t="str">
        <f>IF('3. Sem'!$BT$15="","",'3. Sem'!$BT$15)</f>
        <v/>
      </c>
      <c r="BS62" s="608" t="str">
        <f>IF('3. Sem'!$BU$15="","",'3. Sem'!$BU$15)</f>
        <v/>
      </c>
      <c r="BT62" s="615" t="str">
        <f>IF('3. Sem'!$BV$15="","",'3. Sem'!$BV$15)</f>
        <v/>
      </c>
      <c r="BU62" s="613" t="str">
        <f>IF('3. Sem'!$BW$15="","",'3. Sem'!$BW$15)</f>
        <v/>
      </c>
      <c r="BV62" s="607" t="str">
        <f>IF('3. Sem'!$BX$15="","",'3. Sem'!$BX$15)</f>
        <v/>
      </c>
      <c r="BW62" s="608" t="str">
        <f>IF('3. Sem'!$BY$15="","",'3. Sem'!$BY$15)</f>
        <v/>
      </c>
      <c r="BX62" s="607" t="str">
        <f>IF('3. Sem'!$BZ$15="","",'3. Sem'!$BZ$15)</f>
        <v/>
      </c>
      <c r="BY62" s="609" t="str">
        <f>IF('3. Sem'!$CA$15="","",'3. Sem'!$CA$15)</f>
        <v/>
      </c>
      <c r="BZ62" s="616" t="str">
        <f>IF('3. Sem'!$CB$15="","",'3. Sem'!$CB$15)</f>
        <v/>
      </c>
      <c r="CA62" s="611" t="str">
        <f>IF('3. Sem'!$CC$15="","",'3. Sem'!$CC$15)</f>
        <v/>
      </c>
      <c r="CB62" s="608" t="str">
        <f>IF('3. Sem'!$CD$15="","",'3. Sem'!$CD$15)</f>
        <v/>
      </c>
      <c r="CC62" s="611" t="str">
        <f>IF('3. Sem'!$CE$15="","",'3. Sem'!$CE$15)</f>
        <v/>
      </c>
      <c r="CD62" s="612" t="str">
        <f>IF('3. Sem'!$CF$15="","",'3. Sem'!$CF$15)</f>
        <v/>
      </c>
      <c r="CE62" s="613" t="str">
        <f>IF('3. Sem'!$CG$15="","",'3. Sem'!$CG$15)</f>
        <v/>
      </c>
      <c r="CF62" s="607" t="str">
        <f>IF('3. Sem'!$CH$15="","",'3. Sem'!$CH$15)</f>
        <v/>
      </c>
      <c r="CG62" s="608" t="str">
        <f>IF('3. Sem'!$CI$15="","",'3. Sem'!$CI$15)</f>
        <v/>
      </c>
      <c r="CH62" s="607" t="str">
        <f>IF('3. Sem'!$CJ$15="","",'3. Sem'!$CJ$15)</f>
        <v/>
      </c>
      <c r="CI62" s="609" t="str">
        <f>IF('3. Sem'!$CK$15="","",'3. Sem'!$CK$15)</f>
        <v/>
      </c>
      <c r="CJ62" s="610" t="str">
        <f>IF('3. Sem'!$CL$15="","",'3. Sem'!$CL$15)</f>
        <v/>
      </c>
      <c r="CK62" s="611" t="str">
        <f>IF('3. Sem'!$CM$15="","",'3. Sem'!$CM$15)</f>
        <v/>
      </c>
      <c r="CL62" s="608" t="str">
        <f>IF('3. Sem'!$CN$15="","",'3. Sem'!$CN$15)</f>
        <v/>
      </c>
      <c r="CM62" s="611" t="str">
        <f>IF('3. Sem'!$CO$15="","",'3. Sem'!$CO$15)</f>
        <v/>
      </c>
      <c r="CN62" s="612" t="str">
        <f>IF('3. Sem'!$CP$15="","",'3. Sem'!$CP$15)</f>
        <v/>
      </c>
      <c r="CO62" s="613" t="str">
        <f>IF('3. Sem'!$CQ$15="","",'3. Sem'!$CQ$15)</f>
        <v/>
      </c>
      <c r="CP62" s="607" t="str">
        <f>IF('3. Sem'!$CR$15="","",'3. Sem'!$CR$15)</f>
        <v/>
      </c>
      <c r="CQ62" s="608" t="str">
        <f>IF('3. Sem'!$CS$15="","",'3. Sem'!$CS$15)</f>
        <v/>
      </c>
      <c r="CR62" s="607" t="str">
        <f>IF('3. Sem'!$CT$15="","",'3. Sem'!$CT$15)</f>
        <v/>
      </c>
      <c r="CS62" s="609" t="str">
        <f>IF('3. Sem'!$CU$15="","",'3. Sem'!$CU$15)</f>
        <v/>
      </c>
      <c r="CT62" s="610" t="str">
        <f>IF('3. Sem'!$CV$15="","",'3. Sem'!$CV$15)</f>
        <v/>
      </c>
      <c r="CU62" s="611" t="str">
        <f>IF('3. Sem'!$CW$15="","",'3. Sem'!$CW$15)</f>
        <v/>
      </c>
      <c r="CV62" s="608" t="str">
        <f>IF('3. Sem'!$CX$15="","",'3. Sem'!$CX$15)</f>
        <v/>
      </c>
      <c r="CW62" s="611" t="str">
        <f>IF('3. Sem'!$CY$15="","",'3. Sem'!$CY$15)</f>
        <v/>
      </c>
      <c r="CX62" s="612" t="str">
        <f>IF('3. Sem'!$CZ$15="","",'3. Sem'!$CZ$15)</f>
        <v/>
      </c>
      <c r="CY62" s="613" t="str">
        <f>IF('3. Sem'!$DA$15="","",'3. Sem'!$DA$15)</f>
        <v/>
      </c>
      <c r="CZ62" s="607" t="str">
        <f>IF('3. Sem'!$DB$15="","",'3. Sem'!$DB$15)</f>
        <v/>
      </c>
      <c r="DA62" s="608" t="str">
        <f>IF('3. Sem'!$DC$15="","",'3. Sem'!$DC$15)</f>
        <v/>
      </c>
      <c r="DB62" s="607" t="str">
        <f>IF('3. Sem'!$DD$15="","",'3. Sem'!$DD$15)</f>
        <v/>
      </c>
      <c r="DC62" s="609" t="str">
        <f>IF('3. Sem'!$DE$15="","",'3. Sem'!$DE$15)</f>
        <v/>
      </c>
    </row>
    <row r="63" spans="1:107" ht="16" customHeight="1" x14ac:dyDescent="0.2">
      <c r="A63" s="566"/>
      <c r="B63" s="579" t="s">
        <v>24</v>
      </c>
      <c r="C63" s="617" t="str">
        <f>IF('3. Sem'!$E$16="","",'3. Sem'!$E$16)</f>
        <v/>
      </c>
      <c r="D63" s="618" t="str">
        <f>IF('3. Sem'!$F$16="","",'3. Sem'!$F$16)</f>
        <v/>
      </c>
      <c r="E63" s="618" t="str">
        <f>IF('3. Sem'!$G$16="","",'3. Sem'!$G$16)</f>
        <v/>
      </c>
      <c r="F63" s="618" t="str">
        <f>IF('3. Sem'!$H$16="","",'3. Sem'!$H$16)</f>
        <v/>
      </c>
      <c r="G63" s="619" t="str">
        <f>IF('3. Sem'!$I$16="","",'3. Sem'!$I$16)</f>
        <v/>
      </c>
      <c r="H63" s="620" t="str">
        <f>IF('3. Sem'!$J$16="","",'3. Sem'!$J$16)</f>
        <v/>
      </c>
      <c r="I63" s="621" t="str">
        <f>IF('3. Sem'!$K$16="","",'3. Sem'!$K$16)</f>
        <v/>
      </c>
      <c r="J63" s="621" t="str">
        <f>IF('3. Sem'!$L$16="","",'3. Sem'!$L$16)</f>
        <v/>
      </c>
      <c r="K63" s="621" t="str">
        <f>IF('3. Sem'!$M$16="","",'3. Sem'!$M$16)</f>
        <v/>
      </c>
      <c r="L63" s="622" t="str">
        <f>IF('3. Sem'!$N$16="","",'3. Sem'!$N$16)</f>
        <v/>
      </c>
      <c r="M63" s="617" t="str">
        <f>IF('3. Sem'!$O$16="","",'3. Sem'!$O$16)</f>
        <v/>
      </c>
      <c r="N63" s="618" t="str">
        <f>IF('3. Sem'!$P$16="","",'3. Sem'!$P$16)</f>
        <v/>
      </c>
      <c r="O63" s="618" t="str">
        <f>IF('3. Sem'!$Q$16="","",'3. Sem'!$Q$16)</f>
        <v/>
      </c>
      <c r="P63" s="618" t="str">
        <f>IF('3. Sem'!$R$16="","",'3. Sem'!$R$16)</f>
        <v/>
      </c>
      <c r="Q63" s="619" t="str">
        <f>IF('3. Sem'!$S$16="","",'3. Sem'!$S$16)</f>
        <v/>
      </c>
      <c r="R63" s="620" t="str">
        <f>IF('3. Sem'!$T$16="","",'3. Sem'!$T$16)</f>
        <v/>
      </c>
      <c r="S63" s="621" t="str">
        <f>IF('3. Sem'!$U$16="","",'3. Sem'!$U$16)</f>
        <v/>
      </c>
      <c r="T63" s="621" t="str">
        <f>IF('3. Sem'!$V$16="","",'3. Sem'!$V$16)</f>
        <v/>
      </c>
      <c r="U63" s="621" t="str">
        <f>IF('3. Sem'!$W$16="","",'3. Sem'!$W$16)</f>
        <v/>
      </c>
      <c r="V63" s="622" t="str">
        <f>IF('3. Sem'!$X$16="","",'3. Sem'!$X$16)</f>
        <v/>
      </c>
      <c r="W63" s="617" t="str">
        <f>IF('3. Sem'!$Y$16="","",'3. Sem'!$Y$16)</f>
        <v/>
      </c>
      <c r="X63" s="618" t="str">
        <f>IF('3. Sem'!$Z$16="","",'3. Sem'!$Z$16)</f>
        <v/>
      </c>
      <c r="Y63" s="618" t="str">
        <f>IF('3. Sem'!$AA$16="","",'3. Sem'!$AA$16)</f>
        <v/>
      </c>
      <c r="Z63" s="618" t="str">
        <f>IF('3. Sem'!$AB$16="","",'3. Sem'!$AB$16)</f>
        <v/>
      </c>
      <c r="AA63" s="619" t="str">
        <f>IF('3. Sem'!$AC$16="","",'3. Sem'!$AC$16)</f>
        <v/>
      </c>
      <c r="AB63" s="620" t="str">
        <f>IF('3. Sem'!$AD$16="","",'3. Sem'!$AD$16)</f>
        <v/>
      </c>
      <c r="AC63" s="621" t="str">
        <f>IF('3. Sem'!$AE$16="","",'3. Sem'!$AE$16)</f>
        <v/>
      </c>
      <c r="AD63" s="621" t="str">
        <f>IF('3. Sem'!$AF$16="","",'3. Sem'!$AF$16)</f>
        <v/>
      </c>
      <c r="AE63" s="621" t="str">
        <f>IF('3. Sem'!$AG$16="","",'3. Sem'!$AG$16)</f>
        <v/>
      </c>
      <c r="AF63" s="622" t="str">
        <f>IF('3. Sem'!$AH$16="","",'3. Sem'!$AH$16)</f>
        <v/>
      </c>
      <c r="AG63" s="617" t="str">
        <f>IF('3. Sem'!$AI$16="","",'3. Sem'!$AI$16)</f>
        <v/>
      </c>
      <c r="AH63" s="618" t="str">
        <f>IF('3. Sem'!$AJ$16="","",'3. Sem'!$AJ$16)</f>
        <v/>
      </c>
      <c r="AI63" s="618" t="str">
        <f>IF('3. Sem'!$AK$16="","",'3. Sem'!$AK$16)</f>
        <v/>
      </c>
      <c r="AJ63" s="618" t="str">
        <f>IF('3. Sem'!$AL$16="","",'3. Sem'!$AL$16)</f>
        <v/>
      </c>
      <c r="AK63" s="619" t="str">
        <f>IF('3. Sem'!$AM$16="","",'3. Sem'!$AM$16)</f>
        <v/>
      </c>
      <c r="AL63" s="620" t="str">
        <f>IF('3. Sem'!$AN$16="","",'3. Sem'!$AN$16)</f>
        <v/>
      </c>
      <c r="AM63" s="621" t="str">
        <f>IF('3. Sem'!$AO$16="","",'3. Sem'!$AO$16)</f>
        <v/>
      </c>
      <c r="AN63" s="621" t="str">
        <f>IF('3. Sem'!$AP$16="","",'3. Sem'!$AP$16)</f>
        <v/>
      </c>
      <c r="AO63" s="621" t="str">
        <f>IF('3. Sem'!$AQ$16="","",'3. Sem'!$AQ$16)</f>
        <v/>
      </c>
      <c r="AP63" s="622" t="str">
        <f>IF('3. Sem'!$AR$16="","",'3. Sem'!$AR$16)</f>
        <v/>
      </c>
      <c r="AQ63" s="617" t="str">
        <f>IF('3. Sem'!$AS$16="","",'3. Sem'!$AS$16)</f>
        <v/>
      </c>
      <c r="AR63" s="618" t="str">
        <f>IF('3. Sem'!$AT$16="","",'3. Sem'!$AT$16)</f>
        <v/>
      </c>
      <c r="AS63" s="618" t="str">
        <f>IF('3. Sem'!$AU$16="","",'3. Sem'!$AU$16)</f>
        <v/>
      </c>
      <c r="AT63" s="618" t="str">
        <f>IF('3. Sem'!$AV$16="","",'3. Sem'!$AV$16)</f>
        <v/>
      </c>
      <c r="AU63" s="619" t="str">
        <f>IF('3. Sem'!$AW$16="","",'3. Sem'!$AW$16)</f>
        <v/>
      </c>
      <c r="AV63" s="620" t="str">
        <f>IF('3. Sem'!$AX$16="","",'3. Sem'!$AX$16)</f>
        <v/>
      </c>
      <c r="AW63" s="621" t="str">
        <f>IF('3. Sem'!$AY$16="","",'3. Sem'!$AY$16)</f>
        <v/>
      </c>
      <c r="AX63" s="621" t="str">
        <f>IF('3. Sem'!$AZ$16="","",'3. Sem'!$AZ$16)</f>
        <v/>
      </c>
      <c r="AY63" s="621" t="str">
        <f>IF('3. Sem'!$BA$16="","",'3. Sem'!$BA$16)</f>
        <v/>
      </c>
      <c r="AZ63" s="622" t="str">
        <f>IF('3. Sem'!$BB$16="","",'3. Sem'!$BB$16)</f>
        <v/>
      </c>
      <c r="BA63" s="617" t="str">
        <f>IF('3. Sem'!$BC$16="","",'3. Sem'!$BC$16)</f>
        <v/>
      </c>
      <c r="BB63" s="618" t="str">
        <f>IF('3. Sem'!$BD$16="","",'3. Sem'!$BD$16)</f>
        <v/>
      </c>
      <c r="BC63" s="618" t="str">
        <f>IF('3. Sem'!$BE$16="","",'3. Sem'!$BE$16)</f>
        <v/>
      </c>
      <c r="BD63" s="618" t="str">
        <f>IF('3. Sem'!$BF$16="","",'3. Sem'!$BF$16)</f>
        <v/>
      </c>
      <c r="BE63" s="619" t="str">
        <f>IF('3. Sem'!$BG$16="","",'3. Sem'!$BG$16)</f>
        <v/>
      </c>
      <c r="BF63" s="620" t="str">
        <f>IF('3. Sem'!$BH$16="","",'3. Sem'!$BH$16)</f>
        <v/>
      </c>
      <c r="BG63" s="621" t="str">
        <f>IF('3. Sem'!$BI$16="","",'3. Sem'!$BI$16)</f>
        <v/>
      </c>
      <c r="BH63" s="621" t="str">
        <f>IF('3. Sem'!$BJ$16="","",'3. Sem'!$BJ$16)</f>
        <v/>
      </c>
      <c r="BI63" s="621" t="str">
        <f>IF('3. Sem'!$BK$16="","",'3. Sem'!$BK$16)</f>
        <v/>
      </c>
      <c r="BJ63" s="622" t="str">
        <f>IF('3. Sem'!$BL$16="","",'3. Sem'!$BL$16)</f>
        <v/>
      </c>
      <c r="BK63" s="617" t="str">
        <f>IF('3. Sem'!$BM$16="","",'3. Sem'!$BM$16)</f>
        <v/>
      </c>
      <c r="BL63" s="618" t="str">
        <f>IF('3. Sem'!$BN$16="","",'3. Sem'!$BN$16)</f>
        <v/>
      </c>
      <c r="BM63" s="618" t="str">
        <f>IF('3. Sem'!$BO$16="","",'3. Sem'!$BO$16)</f>
        <v/>
      </c>
      <c r="BN63" s="618" t="str">
        <f>IF('3. Sem'!$BP$16="","",'3. Sem'!$BP$16)</f>
        <v/>
      </c>
      <c r="BO63" s="619" t="str">
        <f>IF('3. Sem'!$BQ$16="","",'3. Sem'!$BQ$16)</f>
        <v/>
      </c>
      <c r="BP63" s="620" t="str">
        <f>IF('3. Sem'!$BR$16="","",'3. Sem'!$BR$16)</f>
        <v/>
      </c>
      <c r="BQ63" s="621" t="str">
        <f>IF('3. Sem'!$BS$16="","",'3. Sem'!$BS$16)</f>
        <v/>
      </c>
      <c r="BR63" s="621" t="str">
        <f>IF('3. Sem'!$BT$16="","",'3. Sem'!$BT$16)</f>
        <v/>
      </c>
      <c r="BS63" s="621" t="str">
        <f>IF('3. Sem'!$BU$16="","",'3. Sem'!$BU$16)</f>
        <v/>
      </c>
      <c r="BT63" s="622" t="str">
        <f>IF('3. Sem'!$BV$16="","",'3. Sem'!$BV$16)</f>
        <v/>
      </c>
      <c r="BU63" s="617" t="str">
        <f>IF('3. Sem'!$BW$16="","",'3. Sem'!$BW$16)</f>
        <v/>
      </c>
      <c r="BV63" s="618" t="str">
        <f>IF('3. Sem'!$BX$16="","",'3. Sem'!$BX$16)</f>
        <v/>
      </c>
      <c r="BW63" s="618" t="str">
        <f>IF('3. Sem'!$BY$16="","",'3. Sem'!$BY$16)</f>
        <v/>
      </c>
      <c r="BX63" s="618" t="str">
        <f>IF('3. Sem'!$BZ$16="","",'3. Sem'!$BZ$16)</f>
        <v/>
      </c>
      <c r="BY63" s="619" t="str">
        <f>IF('3. Sem'!$CA$16="","",'3. Sem'!$CA$16)</f>
        <v/>
      </c>
      <c r="BZ63" s="620" t="str">
        <f>IF('3. Sem'!$CB$16="","",'3. Sem'!$CB$16)</f>
        <v/>
      </c>
      <c r="CA63" s="621" t="str">
        <f>IF('3. Sem'!$CC$16="","",'3. Sem'!$CC$16)</f>
        <v/>
      </c>
      <c r="CB63" s="621" t="str">
        <f>IF('3. Sem'!$CD$16="","",'3. Sem'!$CD$16)</f>
        <v/>
      </c>
      <c r="CC63" s="621" t="str">
        <f>IF('3. Sem'!$CE$16="","",'3. Sem'!$CE$16)</f>
        <v/>
      </c>
      <c r="CD63" s="622" t="str">
        <f>IF('3. Sem'!$CF$16="","",'3. Sem'!$CF$16)</f>
        <v/>
      </c>
      <c r="CE63" s="617" t="str">
        <f>IF('3. Sem'!$CG$16="","",'3. Sem'!$CG$16)</f>
        <v/>
      </c>
      <c r="CF63" s="618" t="str">
        <f>IF('3. Sem'!$CH$16="","",'3. Sem'!$CH$16)</f>
        <v/>
      </c>
      <c r="CG63" s="618" t="str">
        <f>IF('3. Sem'!$CI$16="","",'3. Sem'!$CI$16)</f>
        <v/>
      </c>
      <c r="CH63" s="618" t="str">
        <f>IF('3. Sem'!$CJ$16="","",'3. Sem'!$CJ$16)</f>
        <v/>
      </c>
      <c r="CI63" s="619" t="str">
        <f>IF('3. Sem'!$CK$16="","",'3. Sem'!$CK$16)</f>
        <v/>
      </c>
      <c r="CJ63" s="620" t="str">
        <f>IF('3. Sem'!$CL$16="","",'3. Sem'!$CL$16)</f>
        <v/>
      </c>
      <c r="CK63" s="621" t="str">
        <f>IF('3. Sem'!$CM$16="","",'3. Sem'!$CM$16)</f>
        <v/>
      </c>
      <c r="CL63" s="621" t="str">
        <f>IF('3. Sem'!$CN$16="","",'3. Sem'!$CN$16)</f>
        <v/>
      </c>
      <c r="CM63" s="621" t="str">
        <f>IF('3. Sem'!$CO$16="","",'3. Sem'!$CO$16)</f>
        <v/>
      </c>
      <c r="CN63" s="622" t="str">
        <f>IF('3. Sem'!$CP$16="","",'3. Sem'!$CP$16)</f>
        <v/>
      </c>
      <c r="CO63" s="617" t="str">
        <f>IF('3. Sem'!$CQ$16="","",'3. Sem'!$CQ$16)</f>
        <v/>
      </c>
      <c r="CP63" s="618" t="str">
        <f>IF('3. Sem'!$CR$16="","",'3. Sem'!$CR$16)</f>
        <v/>
      </c>
      <c r="CQ63" s="618" t="str">
        <f>IF('3. Sem'!$CS$16="","",'3. Sem'!$CS$16)</f>
        <v/>
      </c>
      <c r="CR63" s="618" t="str">
        <f>IF('3. Sem'!$CT$16="","",'3. Sem'!$CT$16)</f>
        <v/>
      </c>
      <c r="CS63" s="619" t="str">
        <f>IF('3. Sem'!$CU$16="","",'3. Sem'!$CU$16)</f>
        <v/>
      </c>
      <c r="CT63" s="620" t="str">
        <f>IF('3. Sem'!$CV$16="","",'3. Sem'!$CV$16)</f>
        <v/>
      </c>
      <c r="CU63" s="621" t="str">
        <f>IF('3. Sem'!$CW$16="","",'3. Sem'!$CW$16)</f>
        <v/>
      </c>
      <c r="CV63" s="621" t="str">
        <f>IF('3. Sem'!$CX$16="","",'3. Sem'!$CX$16)</f>
        <v/>
      </c>
      <c r="CW63" s="621" t="str">
        <f>IF('3. Sem'!$CY$16="","",'3. Sem'!$CY$16)</f>
        <v/>
      </c>
      <c r="CX63" s="622" t="str">
        <f>IF('3. Sem'!$CZ$16="","",'3. Sem'!$CZ$16)</f>
        <v/>
      </c>
      <c r="CY63" s="617" t="str">
        <f>IF('3. Sem'!$DA$16="","",'3. Sem'!$DA$16)</f>
        <v/>
      </c>
      <c r="CZ63" s="618" t="str">
        <f>IF('3. Sem'!$DB$16="","",'3. Sem'!$DB$16)</f>
        <v/>
      </c>
      <c r="DA63" s="618" t="str">
        <f>IF('3. Sem'!$DC$16="","",'3. Sem'!$DC$16)</f>
        <v/>
      </c>
      <c r="DB63" s="618" t="str">
        <f>IF('3. Sem'!$DD$16="","",'3. Sem'!$DD$16)</f>
        <v/>
      </c>
      <c r="DC63" s="619" t="str">
        <f>IF('3. Sem'!$DE$16="","",'3. Sem'!$DE$16)</f>
        <v/>
      </c>
    </row>
    <row r="64" spans="1:107" ht="16" customHeight="1" x14ac:dyDescent="0.2">
      <c r="A64" s="566"/>
      <c r="B64" s="579" t="s">
        <v>30</v>
      </c>
      <c r="C64" s="623" t="str">
        <f>IF('3. Sem'!$E$17="","",'3. Sem'!$E$17)</f>
        <v/>
      </c>
      <c r="D64" s="624" t="str">
        <f>IF('3. Sem'!$F$17="","",'3. Sem'!$F$17)</f>
        <v/>
      </c>
      <c r="E64" s="624" t="str">
        <f>IF('3. Sem'!$G$17="","",'3. Sem'!$G$17)</f>
        <v/>
      </c>
      <c r="F64" s="624" t="str">
        <f>IF('3. Sem'!$H$17="","",'3. Sem'!$H$17)</f>
        <v/>
      </c>
      <c r="G64" s="625" t="str">
        <f>IF('3. Sem'!$I$17="","",'3. Sem'!$I$17)</f>
        <v/>
      </c>
      <c r="H64" s="626" t="str">
        <f>IF('3. Sem'!$J$17="","",'3. Sem'!$J$17)</f>
        <v/>
      </c>
      <c r="I64" s="627" t="str">
        <f>IF('3. Sem'!$K$17="","",'3. Sem'!$K$17)</f>
        <v/>
      </c>
      <c r="J64" s="627" t="str">
        <f>IF('3. Sem'!$L$17="","",'3. Sem'!$L$17)</f>
        <v/>
      </c>
      <c r="K64" s="627" t="str">
        <f>IF('3. Sem'!$M$17="","",'3. Sem'!$M$17)</f>
        <v/>
      </c>
      <c r="L64" s="628" t="str">
        <f>IF('3. Sem'!$N$17="","",'3. Sem'!$N$17)</f>
        <v/>
      </c>
      <c r="M64" s="623" t="str">
        <f>IF('3. Sem'!$O$17="","",'3. Sem'!$O$17)</f>
        <v/>
      </c>
      <c r="N64" s="624" t="str">
        <f>IF('3. Sem'!$P$17="","",'3. Sem'!$P$17)</f>
        <v/>
      </c>
      <c r="O64" s="624" t="str">
        <f>IF('3. Sem'!$Q$17="","",'3. Sem'!$Q$17)</f>
        <v/>
      </c>
      <c r="P64" s="624" t="str">
        <f>IF('3. Sem'!$R$17="","",'3. Sem'!$R$17)</f>
        <v/>
      </c>
      <c r="Q64" s="625" t="str">
        <f>IF('3. Sem'!$S$17="","",'3. Sem'!$S$17)</f>
        <v/>
      </c>
      <c r="R64" s="626" t="str">
        <f>IF('3. Sem'!$T$17="","",'3. Sem'!$T$17)</f>
        <v/>
      </c>
      <c r="S64" s="627" t="str">
        <f>IF('3. Sem'!$U$17="","",'3. Sem'!$U$17)</f>
        <v/>
      </c>
      <c r="T64" s="627" t="str">
        <f>IF('3. Sem'!$V$17="","",'3. Sem'!$V$17)</f>
        <v/>
      </c>
      <c r="U64" s="627" t="str">
        <f>IF('3. Sem'!$W$17="","",'3. Sem'!$W$17)</f>
        <v/>
      </c>
      <c r="V64" s="628" t="str">
        <f>IF('3. Sem'!$X$17="","",'3. Sem'!$X$17)</f>
        <v/>
      </c>
      <c r="W64" s="623" t="str">
        <f>IF('3. Sem'!$Y$17="","",'3. Sem'!$Y$17)</f>
        <v/>
      </c>
      <c r="X64" s="624" t="str">
        <f>IF('3. Sem'!$Z$17="","",'3. Sem'!$Z$17)</f>
        <v/>
      </c>
      <c r="Y64" s="624" t="str">
        <f>IF('3. Sem'!$AA$17="","",'3. Sem'!$AA$17)</f>
        <v/>
      </c>
      <c r="Z64" s="624" t="str">
        <f>IF('3. Sem'!$AB$17="","",'3. Sem'!$AB$17)</f>
        <v/>
      </c>
      <c r="AA64" s="625" t="str">
        <f>IF('3. Sem'!$AC$17="","",'3. Sem'!$AC$17)</f>
        <v/>
      </c>
      <c r="AB64" s="626" t="str">
        <f>IF('3. Sem'!$AD$17="","",'3. Sem'!$AD$17)</f>
        <v/>
      </c>
      <c r="AC64" s="627" t="str">
        <f>IF('3. Sem'!$AE$17="","",'3. Sem'!$AE$17)</f>
        <v/>
      </c>
      <c r="AD64" s="627" t="str">
        <f>IF('3. Sem'!$AF$17="","",'3. Sem'!$AF$17)</f>
        <v/>
      </c>
      <c r="AE64" s="627" t="str">
        <f>IF('3. Sem'!$AG$17="","",'3. Sem'!$AG$17)</f>
        <v/>
      </c>
      <c r="AF64" s="628" t="str">
        <f>IF('3. Sem'!$AH$17="","",'3. Sem'!$AH$17)</f>
        <v/>
      </c>
      <c r="AG64" s="623" t="str">
        <f>IF('3. Sem'!$AI$17="","",'3. Sem'!$AI$17)</f>
        <v/>
      </c>
      <c r="AH64" s="624" t="str">
        <f>IF('3. Sem'!$AJ$17="","",'3. Sem'!$AJ$17)</f>
        <v/>
      </c>
      <c r="AI64" s="624" t="str">
        <f>IF('3. Sem'!$AK$17="","",'3. Sem'!$AK$17)</f>
        <v/>
      </c>
      <c r="AJ64" s="624" t="str">
        <f>IF('3. Sem'!$AL$17="","",'3. Sem'!$AL$17)</f>
        <v/>
      </c>
      <c r="AK64" s="625" t="str">
        <f>IF('3. Sem'!$AM$17="","",'3. Sem'!$AM$17)</f>
        <v/>
      </c>
      <c r="AL64" s="626" t="str">
        <f>IF('3. Sem'!$AN$17="","",'3. Sem'!$AN$17)</f>
        <v/>
      </c>
      <c r="AM64" s="627" t="str">
        <f>IF('3. Sem'!$AO$17="","",'3. Sem'!$AO$17)</f>
        <v/>
      </c>
      <c r="AN64" s="627" t="str">
        <f>IF('3. Sem'!$AP$17="","",'3. Sem'!$AP$17)</f>
        <v/>
      </c>
      <c r="AO64" s="627" t="str">
        <f>IF('3. Sem'!$AQ$17="","",'3. Sem'!$AQ$17)</f>
        <v/>
      </c>
      <c r="AP64" s="628" t="str">
        <f>IF('3. Sem'!$AR$17="","",'3. Sem'!$AR$17)</f>
        <v/>
      </c>
      <c r="AQ64" s="623" t="str">
        <f>IF('3. Sem'!$AS$17="","",'3. Sem'!$AS$17)</f>
        <v/>
      </c>
      <c r="AR64" s="624" t="str">
        <f>IF('3. Sem'!$AT$17="","",'3. Sem'!$AT$17)</f>
        <v/>
      </c>
      <c r="AS64" s="624" t="str">
        <f>IF('3. Sem'!$AU$17="","",'3. Sem'!$AU$17)</f>
        <v/>
      </c>
      <c r="AT64" s="624" t="str">
        <f>IF('3. Sem'!$AV$17="","",'3. Sem'!$AV$17)</f>
        <v/>
      </c>
      <c r="AU64" s="625" t="str">
        <f>IF('3. Sem'!$AW$17="","",'3. Sem'!$AW$17)</f>
        <v/>
      </c>
      <c r="AV64" s="626" t="str">
        <f>IF('3. Sem'!$AX$17="","",'3. Sem'!$AX$17)</f>
        <v/>
      </c>
      <c r="AW64" s="627" t="str">
        <f>IF('3. Sem'!$AY$17="","",'3. Sem'!$AY$17)</f>
        <v/>
      </c>
      <c r="AX64" s="627" t="str">
        <f>IF('3. Sem'!$AZ$17="","",'3. Sem'!$AZ$17)</f>
        <v/>
      </c>
      <c r="AY64" s="627" t="str">
        <f>IF('3. Sem'!$BA$17="","",'3. Sem'!$BA$17)</f>
        <v/>
      </c>
      <c r="AZ64" s="628" t="str">
        <f>IF('3. Sem'!$BB$17="","",'3. Sem'!$BB$17)</f>
        <v/>
      </c>
      <c r="BA64" s="623" t="str">
        <f>IF('3. Sem'!$BC$17="","",'3. Sem'!$BC$17)</f>
        <v/>
      </c>
      <c r="BB64" s="624" t="str">
        <f>IF('3. Sem'!$BD$17="","",'3. Sem'!$BD$17)</f>
        <v/>
      </c>
      <c r="BC64" s="624" t="str">
        <f>IF('3. Sem'!$BE$17="","",'3. Sem'!$BE$17)</f>
        <v/>
      </c>
      <c r="BD64" s="624" t="str">
        <f>IF('3. Sem'!$BF$17="","",'3. Sem'!$BF$17)</f>
        <v/>
      </c>
      <c r="BE64" s="625" t="str">
        <f>IF('3. Sem'!$BG$17="","",'3. Sem'!$BG$17)</f>
        <v/>
      </c>
      <c r="BF64" s="626" t="str">
        <f>IF('3. Sem'!$BH$17="","",'3. Sem'!$BH$17)</f>
        <v/>
      </c>
      <c r="BG64" s="627" t="str">
        <f>IF('3. Sem'!$BI$17="","",'3. Sem'!$BI$17)</f>
        <v/>
      </c>
      <c r="BH64" s="627" t="str">
        <f>IF('3. Sem'!$BJ$17="","",'3. Sem'!$BJ$17)</f>
        <v/>
      </c>
      <c r="BI64" s="627" t="str">
        <f>IF('3. Sem'!$BK$17="","",'3. Sem'!$BK$17)</f>
        <v/>
      </c>
      <c r="BJ64" s="628" t="str">
        <f>IF('3. Sem'!$BL$17="","",'3. Sem'!$BL$17)</f>
        <v/>
      </c>
      <c r="BK64" s="623" t="str">
        <f>IF('3. Sem'!$BM$17="","",'3. Sem'!$BM$17)</f>
        <v/>
      </c>
      <c r="BL64" s="624" t="str">
        <f>IF('3. Sem'!$BN$17="","",'3. Sem'!$BN$17)</f>
        <v/>
      </c>
      <c r="BM64" s="624" t="str">
        <f>IF('3. Sem'!$BO$17="","",'3. Sem'!$BO$17)</f>
        <v/>
      </c>
      <c r="BN64" s="624" t="str">
        <f>IF('3. Sem'!$BP$17="","",'3. Sem'!$BP$17)</f>
        <v/>
      </c>
      <c r="BO64" s="625" t="str">
        <f>IF('3. Sem'!$BQ$17="","",'3. Sem'!$BQ$17)</f>
        <v/>
      </c>
      <c r="BP64" s="626" t="str">
        <f>IF('3. Sem'!$BR$17="","",'3. Sem'!$BR$17)</f>
        <v/>
      </c>
      <c r="BQ64" s="627" t="str">
        <f>IF('3. Sem'!$BS$17="","",'3. Sem'!$BS$17)</f>
        <v/>
      </c>
      <c r="BR64" s="627" t="str">
        <f>IF('3. Sem'!$BT$17="","",'3. Sem'!$BT$17)</f>
        <v/>
      </c>
      <c r="BS64" s="627" t="str">
        <f>IF('3. Sem'!$BU$17="","",'3. Sem'!$BU$17)</f>
        <v/>
      </c>
      <c r="BT64" s="628" t="str">
        <f>IF('3. Sem'!$BV$17="","",'3. Sem'!$BV$17)</f>
        <v/>
      </c>
      <c r="BU64" s="623" t="str">
        <f>IF('3. Sem'!$BW$17="","",'3. Sem'!$BW$17)</f>
        <v/>
      </c>
      <c r="BV64" s="624" t="str">
        <f>IF('3. Sem'!$BX$17="","",'3. Sem'!$BX$17)</f>
        <v/>
      </c>
      <c r="BW64" s="624" t="str">
        <f>IF('3. Sem'!$BY$17="","",'3. Sem'!$BY$17)</f>
        <v/>
      </c>
      <c r="BX64" s="624" t="str">
        <f>IF('3. Sem'!$BZ$17="","",'3. Sem'!$BZ$17)</f>
        <v/>
      </c>
      <c r="BY64" s="625" t="str">
        <f>IF('3. Sem'!$CA$17="","",'3. Sem'!$CA$17)</f>
        <v/>
      </c>
      <c r="BZ64" s="626" t="str">
        <f>IF('3. Sem'!$CB$17="","",'3. Sem'!$CB$17)</f>
        <v/>
      </c>
      <c r="CA64" s="627" t="str">
        <f>IF('3. Sem'!$CC$17="","",'3. Sem'!$CC$17)</f>
        <v/>
      </c>
      <c r="CB64" s="627" t="str">
        <f>IF('3. Sem'!$CD$17="","",'3. Sem'!$CD$17)</f>
        <v/>
      </c>
      <c r="CC64" s="627" t="str">
        <f>IF('3. Sem'!$CE$17="","",'3. Sem'!$CE$17)</f>
        <v/>
      </c>
      <c r="CD64" s="628" t="str">
        <f>IF('3. Sem'!$CF$17="","",'3. Sem'!$CF$17)</f>
        <v/>
      </c>
      <c r="CE64" s="623" t="str">
        <f>IF('3. Sem'!$CG$17="","",'3. Sem'!$CG$17)</f>
        <v/>
      </c>
      <c r="CF64" s="624" t="str">
        <f>IF('3. Sem'!$CH$17="","",'3. Sem'!$CH$17)</f>
        <v/>
      </c>
      <c r="CG64" s="624" t="str">
        <f>IF('3. Sem'!$CI$17="","",'3. Sem'!$CI$17)</f>
        <v/>
      </c>
      <c r="CH64" s="624" t="str">
        <f>IF('3. Sem'!$CJ$17="","",'3. Sem'!$CJ$17)</f>
        <v/>
      </c>
      <c r="CI64" s="625" t="str">
        <f>IF('3. Sem'!$CK$17="","",'3. Sem'!$CK$17)</f>
        <v/>
      </c>
      <c r="CJ64" s="626" t="str">
        <f>IF('3. Sem'!$CL$17="","",'3. Sem'!$CL$17)</f>
        <v/>
      </c>
      <c r="CK64" s="627" t="str">
        <f>IF('3. Sem'!$CM$17="","",'3. Sem'!$CM$17)</f>
        <v/>
      </c>
      <c r="CL64" s="627" t="str">
        <f>IF('3. Sem'!$CN$17="","",'3. Sem'!$CN$17)</f>
        <v/>
      </c>
      <c r="CM64" s="627" t="str">
        <f>IF('3. Sem'!$CO$17="","",'3. Sem'!$CO$17)</f>
        <v/>
      </c>
      <c r="CN64" s="628" t="str">
        <f>IF('3. Sem'!$CP$17="","",'3. Sem'!$CP$17)</f>
        <v/>
      </c>
      <c r="CO64" s="623" t="str">
        <f>IF('3. Sem'!$CQ$17="","",'3. Sem'!$CQ$17)</f>
        <v/>
      </c>
      <c r="CP64" s="624" t="str">
        <f>IF('3. Sem'!$CR$17="","",'3. Sem'!$CR$17)</f>
        <v/>
      </c>
      <c r="CQ64" s="624" t="str">
        <f>IF('3. Sem'!$CS$17="","",'3. Sem'!$CS$17)</f>
        <v/>
      </c>
      <c r="CR64" s="624" t="str">
        <f>IF('3. Sem'!$CT$17="","",'3. Sem'!$CT$17)</f>
        <v/>
      </c>
      <c r="CS64" s="625" t="str">
        <f>IF('3. Sem'!$CU$17="","",'3. Sem'!$CU$17)</f>
        <v/>
      </c>
      <c r="CT64" s="626" t="str">
        <f>IF('3. Sem'!$CV$17="","",'3. Sem'!$CV$17)</f>
        <v/>
      </c>
      <c r="CU64" s="627" t="str">
        <f>IF('3. Sem'!$CW$17="","",'3. Sem'!$CW$17)</f>
        <v/>
      </c>
      <c r="CV64" s="627" t="str">
        <f>IF('3. Sem'!$CX$17="","",'3. Sem'!$CX$17)</f>
        <v/>
      </c>
      <c r="CW64" s="627" t="str">
        <f>IF('3. Sem'!$CY$17="","",'3. Sem'!$CY$17)</f>
        <v/>
      </c>
      <c r="CX64" s="628" t="str">
        <f>IF('3. Sem'!$CZ$17="","",'3. Sem'!$CZ$17)</f>
        <v/>
      </c>
      <c r="CY64" s="623" t="str">
        <f>IF('3. Sem'!$DA$17="","",'3. Sem'!$DA$17)</f>
        <v/>
      </c>
      <c r="CZ64" s="624" t="str">
        <f>IF('3. Sem'!$DB$17="","",'3. Sem'!$DB$17)</f>
        <v/>
      </c>
      <c r="DA64" s="624" t="str">
        <f>IF('3. Sem'!$DC$17="","",'3. Sem'!$DC$17)</f>
        <v/>
      </c>
      <c r="DB64" s="624" t="str">
        <f>IF('3. Sem'!$DD$17="","",'3. Sem'!$DD$17)</f>
        <v/>
      </c>
      <c r="DC64" s="625" t="str">
        <f>IF('3. Sem'!$DE$17="","",'3. Sem'!$DE$17)</f>
        <v/>
      </c>
    </row>
    <row r="65" spans="1:107" ht="16" customHeight="1" x14ac:dyDescent="0.2">
      <c r="A65" s="566"/>
      <c r="B65" s="579" t="s">
        <v>31</v>
      </c>
      <c r="C65" s="623" t="str">
        <f>IF('3. Sem'!$E$18="","",'3. Sem'!$E$18)</f>
        <v/>
      </c>
      <c r="D65" s="624" t="str">
        <f>IF('3. Sem'!$F$18="","",'3. Sem'!$F$18)</f>
        <v/>
      </c>
      <c r="E65" s="624" t="str">
        <f>IF('3. Sem'!$G$18="","",'3. Sem'!$G$18)</f>
        <v/>
      </c>
      <c r="F65" s="624" t="str">
        <f>IF('3. Sem'!$H$18="","",'3. Sem'!$H$18)</f>
        <v/>
      </c>
      <c r="G65" s="625" t="str">
        <f>IF('3. Sem'!$I$18="","",'3. Sem'!$I$18)</f>
        <v/>
      </c>
      <c r="H65" s="626" t="str">
        <f>IF('3. Sem'!$J$18="","",'3. Sem'!$J$18)</f>
        <v/>
      </c>
      <c r="I65" s="627" t="str">
        <f>IF('3. Sem'!$K$18="","",'3. Sem'!$K$18)</f>
        <v/>
      </c>
      <c r="J65" s="627" t="str">
        <f>IF('3. Sem'!$L$18="","",'3. Sem'!$L$18)</f>
        <v/>
      </c>
      <c r="K65" s="627" t="str">
        <f>IF('3. Sem'!$M$18="","",'3. Sem'!$M$18)</f>
        <v/>
      </c>
      <c r="L65" s="628" t="str">
        <f>IF('3. Sem'!$N$18="","",'3. Sem'!$N$18)</f>
        <v/>
      </c>
      <c r="M65" s="623" t="str">
        <f>IF('3. Sem'!$O$18="","",'3. Sem'!$O$18)</f>
        <v/>
      </c>
      <c r="N65" s="624" t="str">
        <f>IF('3. Sem'!$P$18="","",'3. Sem'!$P$18)</f>
        <v/>
      </c>
      <c r="O65" s="624" t="str">
        <f>IF('3. Sem'!$Q$18="","",'3. Sem'!$Q$18)</f>
        <v/>
      </c>
      <c r="P65" s="624" t="str">
        <f>IF('3. Sem'!$R$18="","",'3. Sem'!$R$18)</f>
        <v/>
      </c>
      <c r="Q65" s="625" t="str">
        <f>IF('3. Sem'!$S$18="","",'3. Sem'!$S$18)</f>
        <v/>
      </c>
      <c r="R65" s="626" t="str">
        <f>IF('3. Sem'!$T$18="","",'3. Sem'!$T$18)</f>
        <v/>
      </c>
      <c r="S65" s="627" t="str">
        <f>IF('3. Sem'!$U$18="","",'3. Sem'!$U$18)</f>
        <v/>
      </c>
      <c r="T65" s="627" t="str">
        <f>IF('3. Sem'!$V$18="","",'3. Sem'!$V$18)</f>
        <v/>
      </c>
      <c r="U65" s="627" t="str">
        <f>IF('3. Sem'!$W$18="","",'3. Sem'!$W$18)</f>
        <v/>
      </c>
      <c r="V65" s="628" t="str">
        <f>IF('3. Sem'!$X$18="","",'3. Sem'!$X$18)</f>
        <v/>
      </c>
      <c r="W65" s="623" t="str">
        <f>IF('3. Sem'!$Y$18="","",'3. Sem'!$Y$18)</f>
        <v/>
      </c>
      <c r="X65" s="624" t="str">
        <f>IF('3. Sem'!$Z$18="","",'3. Sem'!$Z$18)</f>
        <v/>
      </c>
      <c r="Y65" s="624" t="str">
        <f>IF('3. Sem'!$AA$18="","",'3. Sem'!$AA$18)</f>
        <v/>
      </c>
      <c r="Z65" s="624" t="str">
        <f>IF('3. Sem'!$AB$18="","",'3. Sem'!$AB$18)</f>
        <v/>
      </c>
      <c r="AA65" s="625" t="str">
        <f>IF('3. Sem'!$AC$18="","",'3. Sem'!$AC$18)</f>
        <v/>
      </c>
      <c r="AB65" s="626" t="str">
        <f>IF('3. Sem'!$AD$18="","",'3. Sem'!$AD$18)</f>
        <v/>
      </c>
      <c r="AC65" s="627" t="str">
        <f>IF('3. Sem'!$AE$18="","",'3. Sem'!$AE$18)</f>
        <v/>
      </c>
      <c r="AD65" s="627" t="str">
        <f>IF('3. Sem'!$AF$18="","",'3. Sem'!$AF$18)</f>
        <v/>
      </c>
      <c r="AE65" s="627" t="str">
        <f>IF('3. Sem'!$AG$18="","",'3. Sem'!$AG$18)</f>
        <v/>
      </c>
      <c r="AF65" s="628" t="str">
        <f>IF('3. Sem'!$AH$18="","",'3. Sem'!$AH$18)</f>
        <v/>
      </c>
      <c r="AG65" s="623" t="str">
        <f>IF('3. Sem'!$AI$18="","",'3. Sem'!$AI$18)</f>
        <v/>
      </c>
      <c r="AH65" s="624" t="str">
        <f>IF('3. Sem'!$AJ$18="","",'3. Sem'!$AJ$18)</f>
        <v/>
      </c>
      <c r="AI65" s="624" t="str">
        <f>IF('3. Sem'!$AK$18="","",'3. Sem'!$AK$18)</f>
        <v/>
      </c>
      <c r="AJ65" s="624" t="str">
        <f>IF('3. Sem'!$AL$18="","",'3. Sem'!$AL$18)</f>
        <v/>
      </c>
      <c r="AK65" s="625" t="str">
        <f>IF('3. Sem'!$AM$18="","",'3. Sem'!$AM$18)</f>
        <v/>
      </c>
      <c r="AL65" s="626" t="str">
        <f>IF('3. Sem'!$AN$18="","",'3. Sem'!$AN$18)</f>
        <v/>
      </c>
      <c r="AM65" s="627" t="str">
        <f>IF('3. Sem'!$AO$18="","",'3. Sem'!$AO$18)</f>
        <v/>
      </c>
      <c r="AN65" s="627" t="str">
        <f>IF('3. Sem'!$AP$18="","",'3. Sem'!$AP$18)</f>
        <v/>
      </c>
      <c r="AO65" s="627" t="str">
        <f>IF('3. Sem'!$AQ$18="","",'3. Sem'!$AQ$18)</f>
        <v/>
      </c>
      <c r="AP65" s="628" t="str">
        <f>IF('3. Sem'!$AR$18="","",'3. Sem'!$AR$18)</f>
        <v/>
      </c>
      <c r="AQ65" s="623" t="str">
        <f>IF('3. Sem'!$AS$18="","",'3. Sem'!$AS$18)</f>
        <v/>
      </c>
      <c r="AR65" s="624" t="str">
        <f>IF('3. Sem'!$AT$18="","",'3. Sem'!$AT$18)</f>
        <v/>
      </c>
      <c r="AS65" s="624" t="str">
        <f>IF('3. Sem'!$AU$18="","",'3. Sem'!$AU$18)</f>
        <v/>
      </c>
      <c r="AT65" s="624" t="str">
        <f>IF('3. Sem'!$AV$18="","",'3. Sem'!$AV$18)</f>
        <v/>
      </c>
      <c r="AU65" s="625" t="str">
        <f>IF('3. Sem'!$AW$18="","",'3. Sem'!$AW$18)</f>
        <v/>
      </c>
      <c r="AV65" s="626" t="str">
        <f>IF('3. Sem'!$AX$18="","",'3. Sem'!$AX$18)</f>
        <v/>
      </c>
      <c r="AW65" s="627" t="str">
        <f>IF('3. Sem'!$AY$18="","",'3. Sem'!$AY$18)</f>
        <v/>
      </c>
      <c r="AX65" s="627" t="str">
        <f>IF('3. Sem'!$AZ$18="","",'3. Sem'!$AZ$18)</f>
        <v/>
      </c>
      <c r="AY65" s="627" t="str">
        <f>IF('3. Sem'!$BA$18="","",'3. Sem'!$BA$18)</f>
        <v/>
      </c>
      <c r="AZ65" s="628" t="str">
        <f>IF('3. Sem'!$BB$18="","",'3. Sem'!$BB$18)</f>
        <v/>
      </c>
      <c r="BA65" s="623" t="str">
        <f>IF('3. Sem'!$BC$18="","",'3. Sem'!$BC$18)</f>
        <v/>
      </c>
      <c r="BB65" s="624" t="str">
        <f>IF('3. Sem'!$BD$18="","",'3. Sem'!$BD$18)</f>
        <v/>
      </c>
      <c r="BC65" s="624" t="str">
        <f>IF('3. Sem'!$BE$18="","",'3. Sem'!$BE$18)</f>
        <v/>
      </c>
      <c r="BD65" s="624" t="str">
        <f>IF('3. Sem'!$BF$18="","",'3. Sem'!$BF$18)</f>
        <v/>
      </c>
      <c r="BE65" s="625" t="str">
        <f>IF('3. Sem'!$BG$18="","",'3. Sem'!$BG$18)</f>
        <v/>
      </c>
      <c r="BF65" s="626" t="str">
        <f>IF('3. Sem'!$BH$18="","",'3. Sem'!$BH$18)</f>
        <v/>
      </c>
      <c r="BG65" s="627" t="str">
        <f>IF('3. Sem'!$BI$18="","",'3. Sem'!$BI$18)</f>
        <v/>
      </c>
      <c r="BH65" s="627" t="str">
        <f>IF('3. Sem'!$BJ$18="","",'3. Sem'!$BJ$18)</f>
        <v/>
      </c>
      <c r="BI65" s="627" t="str">
        <f>IF('3. Sem'!$BK$18="","",'3. Sem'!$BK$18)</f>
        <v/>
      </c>
      <c r="BJ65" s="628" t="str">
        <f>IF('3. Sem'!$BL$18="","",'3. Sem'!$BL$18)</f>
        <v/>
      </c>
      <c r="BK65" s="623" t="str">
        <f>IF('3. Sem'!$BM$18="","",'3. Sem'!$BM$18)</f>
        <v/>
      </c>
      <c r="BL65" s="624" t="str">
        <f>IF('3. Sem'!$BN$18="","",'3. Sem'!$BN$18)</f>
        <v/>
      </c>
      <c r="BM65" s="624" t="str">
        <f>IF('3. Sem'!$BO$18="","",'3. Sem'!$BO$18)</f>
        <v/>
      </c>
      <c r="BN65" s="624" t="str">
        <f>IF('3. Sem'!$BP$18="","",'3. Sem'!$BP$18)</f>
        <v/>
      </c>
      <c r="BO65" s="625" t="str">
        <f>IF('3. Sem'!$BQ$18="","",'3. Sem'!$BQ$18)</f>
        <v/>
      </c>
      <c r="BP65" s="626" t="str">
        <f>IF('3. Sem'!$BR$18="","",'3. Sem'!$BR$18)</f>
        <v/>
      </c>
      <c r="BQ65" s="627" t="str">
        <f>IF('3. Sem'!$BS$18="","",'3. Sem'!$BS$18)</f>
        <v/>
      </c>
      <c r="BR65" s="627" t="str">
        <f>IF('3. Sem'!$BT$18="","",'3. Sem'!$BT$18)</f>
        <v/>
      </c>
      <c r="BS65" s="627" t="str">
        <f>IF('3. Sem'!$BU$18="","",'3. Sem'!$BU$18)</f>
        <v/>
      </c>
      <c r="BT65" s="628" t="str">
        <f>IF('3. Sem'!$BV$18="","",'3. Sem'!$BV$18)</f>
        <v/>
      </c>
      <c r="BU65" s="623" t="str">
        <f>IF('3. Sem'!$BW$18="","",'3. Sem'!$BW$18)</f>
        <v/>
      </c>
      <c r="BV65" s="624" t="str">
        <f>IF('3. Sem'!$BX$18="","",'3. Sem'!$BX$18)</f>
        <v/>
      </c>
      <c r="BW65" s="624" t="str">
        <f>IF('3. Sem'!$BY$18="","",'3. Sem'!$BY$18)</f>
        <v/>
      </c>
      <c r="BX65" s="624" t="str">
        <f>IF('3. Sem'!$BZ$18="","",'3. Sem'!$BZ$18)</f>
        <v/>
      </c>
      <c r="BY65" s="625" t="str">
        <f>IF('3. Sem'!$CA$18="","",'3. Sem'!$CA$18)</f>
        <v/>
      </c>
      <c r="BZ65" s="626" t="str">
        <f>IF('3. Sem'!$CB$18="","",'3. Sem'!$CB$18)</f>
        <v/>
      </c>
      <c r="CA65" s="627" t="str">
        <f>IF('3. Sem'!$CC$18="","",'3. Sem'!$CC$18)</f>
        <v/>
      </c>
      <c r="CB65" s="627" t="str">
        <f>IF('3. Sem'!$CD$18="","",'3. Sem'!$CD$18)</f>
        <v/>
      </c>
      <c r="CC65" s="627" t="str">
        <f>IF('3. Sem'!$CE$18="","",'3. Sem'!$CE$18)</f>
        <v/>
      </c>
      <c r="CD65" s="628" t="str">
        <f>IF('3. Sem'!$CF$18="","",'3. Sem'!$CF$18)</f>
        <v/>
      </c>
      <c r="CE65" s="623" t="str">
        <f>IF('3. Sem'!$CG$18="","",'3. Sem'!$CG$18)</f>
        <v/>
      </c>
      <c r="CF65" s="624" t="str">
        <f>IF('3. Sem'!$CH$18="","",'3. Sem'!$CH$18)</f>
        <v/>
      </c>
      <c r="CG65" s="624" t="str">
        <f>IF('3. Sem'!$CI$18="","",'3. Sem'!$CI$18)</f>
        <v/>
      </c>
      <c r="CH65" s="624" t="str">
        <f>IF('3. Sem'!$CJ$18="","",'3. Sem'!$CJ$18)</f>
        <v/>
      </c>
      <c r="CI65" s="625" t="str">
        <f>IF('3. Sem'!$CK$18="","",'3. Sem'!$CK$18)</f>
        <v/>
      </c>
      <c r="CJ65" s="626" t="str">
        <f>IF('3. Sem'!$CL$18="","",'3. Sem'!$CL$18)</f>
        <v/>
      </c>
      <c r="CK65" s="627" t="str">
        <f>IF('3. Sem'!$CM$18="","",'3. Sem'!$CM$18)</f>
        <v/>
      </c>
      <c r="CL65" s="627" t="str">
        <f>IF('3. Sem'!$CN$18="","",'3. Sem'!$CN$18)</f>
        <v/>
      </c>
      <c r="CM65" s="627" t="str">
        <f>IF('3. Sem'!$CO$18="","",'3. Sem'!$CO$18)</f>
        <v/>
      </c>
      <c r="CN65" s="628" t="str">
        <f>IF('3. Sem'!$CP$18="","",'3. Sem'!$CP$18)</f>
        <v/>
      </c>
      <c r="CO65" s="623" t="str">
        <f>IF('3. Sem'!$CQ$18="","",'3. Sem'!$CQ$18)</f>
        <v/>
      </c>
      <c r="CP65" s="624" t="str">
        <f>IF('3. Sem'!$CR$18="","",'3. Sem'!$CR$18)</f>
        <v/>
      </c>
      <c r="CQ65" s="624" t="str">
        <f>IF('3. Sem'!$CS$18="","",'3. Sem'!$CS$18)</f>
        <v/>
      </c>
      <c r="CR65" s="624" t="str">
        <f>IF('3. Sem'!$CT$18="","",'3. Sem'!$CT$18)</f>
        <v/>
      </c>
      <c r="CS65" s="625" t="str">
        <f>IF('3. Sem'!$CU$18="","",'3. Sem'!$CU$18)</f>
        <v/>
      </c>
      <c r="CT65" s="626" t="str">
        <f>IF('3. Sem'!$CV$18="","",'3. Sem'!$CV$18)</f>
        <v/>
      </c>
      <c r="CU65" s="627" t="str">
        <f>IF('3. Sem'!$CW$18="","",'3. Sem'!$CW$18)</f>
        <v/>
      </c>
      <c r="CV65" s="627" t="str">
        <f>IF('3. Sem'!$CX$18="","",'3. Sem'!$CX$18)</f>
        <v/>
      </c>
      <c r="CW65" s="627" t="str">
        <f>IF('3. Sem'!$CY$18="","",'3. Sem'!$CY$18)</f>
        <v/>
      </c>
      <c r="CX65" s="628" t="str">
        <f>IF('3. Sem'!$CZ$18="","",'3. Sem'!$CZ$18)</f>
        <v/>
      </c>
      <c r="CY65" s="623" t="str">
        <f>IF('3. Sem'!$DA$18="","",'3. Sem'!$DA$18)</f>
        <v/>
      </c>
      <c r="CZ65" s="624" t="str">
        <f>IF('3. Sem'!$DB$18="","",'3. Sem'!$DB$18)</f>
        <v/>
      </c>
      <c r="DA65" s="624" t="str">
        <f>IF('3. Sem'!$DC$18="","",'3. Sem'!$DC$18)</f>
        <v/>
      </c>
      <c r="DB65" s="624" t="str">
        <f>IF('3. Sem'!$DD$18="","",'3. Sem'!$DD$18)</f>
        <v/>
      </c>
      <c r="DC65" s="625" t="str">
        <f>IF('3. Sem'!$DE$18="","",'3. Sem'!$DE$18)</f>
        <v/>
      </c>
    </row>
    <row r="66" spans="1:107" ht="16" customHeight="1" x14ac:dyDescent="0.2">
      <c r="A66" s="566"/>
      <c r="B66" s="579" t="s">
        <v>32</v>
      </c>
      <c r="C66" s="623" t="str">
        <f>IF('3. Sem'!$E$19="","",'3. Sem'!$E$19)</f>
        <v/>
      </c>
      <c r="D66" s="624" t="str">
        <f>IF('3. Sem'!$F$19="","",'3. Sem'!$F$19)</f>
        <v/>
      </c>
      <c r="E66" s="624" t="str">
        <f>IF('3. Sem'!$G$19="","",'3. Sem'!$G$19)</f>
        <v/>
      </c>
      <c r="F66" s="624" t="str">
        <f>IF('3. Sem'!$H$19="","",'3. Sem'!$H$19)</f>
        <v/>
      </c>
      <c r="G66" s="625" t="str">
        <f>IF('3. Sem'!$I$19="","",'3. Sem'!$I$19)</f>
        <v/>
      </c>
      <c r="H66" s="626" t="str">
        <f>IF('3. Sem'!$J$19="","",'3. Sem'!$J$19)</f>
        <v/>
      </c>
      <c r="I66" s="627" t="str">
        <f>IF('3. Sem'!$K$19="","",'3. Sem'!$K$19)</f>
        <v/>
      </c>
      <c r="J66" s="627" t="str">
        <f>IF('3. Sem'!$L$19="","",'3. Sem'!$L$19)</f>
        <v/>
      </c>
      <c r="K66" s="627" t="str">
        <f>IF('3. Sem'!$M$19="","",'3. Sem'!$M$19)</f>
        <v/>
      </c>
      <c r="L66" s="628" t="str">
        <f>IF('3. Sem'!$N$19="","",'3. Sem'!$N$19)</f>
        <v/>
      </c>
      <c r="M66" s="623" t="str">
        <f>IF('3. Sem'!$O$19="","",'3. Sem'!$O$19)</f>
        <v/>
      </c>
      <c r="N66" s="624" t="str">
        <f>IF('3. Sem'!$P$19="","",'3. Sem'!$P$19)</f>
        <v/>
      </c>
      <c r="O66" s="624" t="str">
        <f>IF('3. Sem'!$Q$19="","",'3. Sem'!$Q$19)</f>
        <v/>
      </c>
      <c r="P66" s="624" t="str">
        <f>IF('3. Sem'!$R$19="","",'3. Sem'!$R$19)</f>
        <v/>
      </c>
      <c r="Q66" s="625" t="str">
        <f>IF('3. Sem'!$S$19="","",'3. Sem'!$S$19)</f>
        <v/>
      </c>
      <c r="R66" s="626" t="str">
        <f>IF('3. Sem'!$T$19="","",'3. Sem'!$T$19)</f>
        <v/>
      </c>
      <c r="S66" s="627" t="str">
        <f>IF('3. Sem'!$U$19="","",'3. Sem'!$U$19)</f>
        <v/>
      </c>
      <c r="T66" s="627" t="str">
        <f>IF('3. Sem'!$V$19="","",'3. Sem'!$V$19)</f>
        <v/>
      </c>
      <c r="U66" s="627" t="str">
        <f>IF('3. Sem'!$W$19="","",'3. Sem'!$W$19)</f>
        <v/>
      </c>
      <c r="V66" s="628" t="str">
        <f>IF('3. Sem'!$X$19="","",'3. Sem'!$X$19)</f>
        <v/>
      </c>
      <c r="W66" s="623" t="str">
        <f>IF('3. Sem'!$Y$19="","",'3. Sem'!$Y$19)</f>
        <v/>
      </c>
      <c r="X66" s="624" t="str">
        <f>IF('3. Sem'!$Z$19="","",'3. Sem'!$Z$19)</f>
        <v/>
      </c>
      <c r="Y66" s="624" t="str">
        <f>IF('3. Sem'!$AA$19="","",'3. Sem'!$AA$19)</f>
        <v/>
      </c>
      <c r="Z66" s="624" t="str">
        <f>IF('3. Sem'!$AB$19="","",'3. Sem'!$AB$19)</f>
        <v/>
      </c>
      <c r="AA66" s="625" t="str">
        <f>IF('3. Sem'!$AC$19="","",'3. Sem'!$AC$19)</f>
        <v/>
      </c>
      <c r="AB66" s="626" t="str">
        <f>IF('3. Sem'!$AD$19="","",'3. Sem'!$AD$19)</f>
        <v/>
      </c>
      <c r="AC66" s="627" t="str">
        <f>IF('3. Sem'!$AE$19="","",'3. Sem'!$AE$19)</f>
        <v/>
      </c>
      <c r="AD66" s="627" t="str">
        <f>IF('3. Sem'!$AF$19="","",'3. Sem'!$AF$19)</f>
        <v/>
      </c>
      <c r="AE66" s="627" t="str">
        <f>IF('3. Sem'!$AG$19="","",'3. Sem'!$AG$19)</f>
        <v/>
      </c>
      <c r="AF66" s="628" t="str">
        <f>IF('3. Sem'!$AH$19="","",'3. Sem'!$AH$19)</f>
        <v/>
      </c>
      <c r="AG66" s="623" t="str">
        <f>IF('3. Sem'!$AI$19="","",'3. Sem'!$AI$19)</f>
        <v/>
      </c>
      <c r="AH66" s="624" t="str">
        <f>IF('3. Sem'!$AJ$19="","",'3. Sem'!$AJ$19)</f>
        <v/>
      </c>
      <c r="AI66" s="624" t="str">
        <f>IF('3. Sem'!$AK$19="","",'3. Sem'!$AK$19)</f>
        <v/>
      </c>
      <c r="AJ66" s="624" t="str">
        <f>IF('3. Sem'!$AL$19="","",'3. Sem'!$AL$19)</f>
        <v/>
      </c>
      <c r="AK66" s="625" t="str">
        <f>IF('3. Sem'!$AM$19="","",'3. Sem'!$AM$19)</f>
        <v/>
      </c>
      <c r="AL66" s="626" t="str">
        <f>IF('3. Sem'!$AN$19="","",'3. Sem'!$AN$19)</f>
        <v/>
      </c>
      <c r="AM66" s="627" t="str">
        <f>IF('3. Sem'!$AO$19="","",'3. Sem'!$AO$19)</f>
        <v/>
      </c>
      <c r="AN66" s="627" t="str">
        <f>IF('3. Sem'!$AP$19="","",'3. Sem'!$AP$19)</f>
        <v/>
      </c>
      <c r="AO66" s="627" t="str">
        <f>IF('3. Sem'!$AQ$19="","",'3. Sem'!$AQ$19)</f>
        <v/>
      </c>
      <c r="AP66" s="628" t="str">
        <f>IF('3. Sem'!$AR$19="","",'3. Sem'!$AR$19)</f>
        <v/>
      </c>
      <c r="AQ66" s="623" t="str">
        <f>IF('3. Sem'!$AS$19="","",'3. Sem'!$AS$19)</f>
        <v/>
      </c>
      <c r="AR66" s="624" t="str">
        <f>IF('3. Sem'!$AT$19="","",'3. Sem'!$AT$19)</f>
        <v/>
      </c>
      <c r="AS66" s="624" t="str">
        <f>IF('3. Sem'!$AU$19="","",'3. Sem'!$AU$19)</f>
        <v/>
      </c>
      <c r="AT66" s="624" t="str">
        <f>IF('3. Sem'!$AV$19="","",'3. Sem'!$AV$19)</f>
        <v/>
      </c>
      <c r="AU66" s="625" t="str">
        <f>IF('3. Sem'!$AW$19="","",'3. Sem'!$AW$19)</f>
        <v/>
      </c>
      <c r="AV66" s="626" t="str">
        <f>IF('3. Sem'!$AX$19="","",'3. Sem'!$AX$19)</f>
        <v/>
      </c>
      <c r="AW66" s="627" t="str">
        <f>IF('3. Sem'!$AY$19="","",'3. Sem'!$AY$19)</f>
        <v/>
      </c>
      <c r="AX66" s="627" t="str">
        <f>IF('3. Sem'!$AZ$19="","",'3. Sem'!$AZ$19)</f>
        <v/>
      </c>
      <c r="AY66" s="627" t="str">
        <f>IF('3. Sem'!$BA$19="","",'3. Sem'!$BA$19)</f>
        <v/>
      </c>
      <c r="AZ66" s="628" t="str">
        <f>IF('3. Sem'!$BB$19="","",'3. Sem'!$BB$19)</f>
        <v/>
      </c>
      <c r="BA66" s="623" t="str">
        <f>IF('3. Sem'!$BC$19="","",'3. Sem'!$BC$19)</f>
        <v/>
      </c>
      <c r="BB66" s="624" t="str">
        <f>IF('3. Sem'!$BD$19="","",'3. Sem'!$BD$19)</f>
        <v/>
      </c>
      <c r="BC66" s="624" t="str">
        <f>IF('3. Sem'!$BE$19="","",'3. Sem'!$BE$19)</f>
        <v/>
      </c>
      <c r="BD66" s="624" t="str">
        <f>IF('3. Sem'!$BF$19="","",'3. Sem'!$BF$19)</f>
        <v/>
      </c>
      <c r="BE66" s="625" t="str">
        <f>IF('3. Sem'!$BG$19="","",'3. Sem'!$BG$19)</f>
        <v/>
      </c>
      <c r="BF66" s="626" t="str">
        <f>IF('3. Sem'!$BH$19="","",'3. Sem'!$BH$19)</f>
        <v/>
      </c>
      <c r="BG66" s="627" t="str">
        <f>IF('3. Sem'!$BI$19="","",'3. Sem'!$BI$19)</f>
        <v/>
      </c>
      <c r="BH66" s="627" t="str">
        <f>IF('3. Sem'!$BJ$19="","",'3. Sem'!$BJ$19)</f>
        <v/>
      </c>
      <c r="BI66" s="627" t="str">
        <f>IF('3. Sem'!$BK$19="","",'3. Sem'!$BK$19)</f>
        <v/>
      </c>
      <c r="BJ66" s="628" t="str">
        <f>IF('3. Sem'!$BL$19="","",'3. Sem'!$BL$19)</f>
        <v/>
      </c>
      <c r="BK66" s="623" t="str">
        <f>IF('3. Sem'!$BM$19="","",'3. Sem'!$BM$19)</f>
        <v/>
      </c>
      <c r="BL66" s="624" t="str">
        <f>IF('3. Sem'!$BN$19="","",'3. Sem'!$BN$19)</f>
        <v/>
      </c>
      <c r="BM66" s="624" t="str">
        <f>IF('3. Sem'!$BO$19="","",'3. Sem'!$BO$19)</f>
        <v/>
      </c>
      <c r="BN66" s="624" t="str">
        <f>IF('3. Sem'!$BP$19="","",'3. Sem'!$BP$19)</f>
        <v/>
      </c>
      <c r="BO66" s="625" t="str">
        <f>IF('3. Sem'!$BQ$19="","",'3. Sem'!$BQ$19)</f>
        <v/>
      </c>
      <c r="BP66" s="626" t="str">
        <f>IF('3. Sem'!$BR$19="","",'3. Sem'!$BR$19)</f>
        <v/>
      </c>
      <c r="BQ66" s="627" t="str">
        <f>IF('3. Sem'!$BS$19="","",'3. Sem'!$BS$19)</f>
        <v/>
      </c>
      <c r="BR66" s="627" t="str">
        <f>IF('3. Sem'!$BT$19="","",'3. Sem'!$BT$19)</f>
        <v/>
      </c>
      <c r="BS66" s="627" t="str">
        <f>IF('3. Sem'!$BU$19="","",'3. Sem'!$BU$19)</f>
        <v/>
      </c>
      <c r="BT66" s="628" t="str">
        <f>IF('3. Sem'!$BV$19="","",'3. Sem'!$BV$19)</f>
        <v/>
      </c>
      <c r="BU66" s="623" t="str">
        <f>IF('3. Sem'!$BW$19="","",'3. Sem'!$BW$19)</f>
        <v/>
      </c>
      <c r="BV66" s="624" t="str">
        <f>IF('3. Sem'!$BX$19="","",'3. Sem'!$BX$19)</f>
        <v/>
      </c>
      <c r="BW66" s="624" t="str">
        <f>IF('3. Sem'!$BY$19="","",'3. Sem'!$BY$19)</f>
        <v/>
      </c>
      <c r="BX66" s="624" t="str">
        <f>IF('3. Sem'!$BZ$19="","",'3. Sem'!$BZ$19)</f>
        <v/>
      </c>
      <c r="BY66" s="625" t="str">
        <f>IF('3. Sem'!$CA$19="","",'3. Sem'!$CA$19)</f>
        <v/>
      </c>
      <c r="BZ66" s="626" t="str">
        <f>IF('3. Sem'!$CB$19="","",'3. Sem'!$CB$19)</f>
        <v/>
      </c>
      <c r="CA66" s="627" t="str">
        <f>IF('3. Sem'!$CC$19="","",'3. Sem'!$CC$19)</f>
        <v/>
      </c>
      <c r="CB66" s="627" t="str">
        <f>IF('3. Sem'!$CD$19="","",'3. Sem'!$CD$19)</f>
        <v/>
      </c>
      <c r="CC66" s="627" t="str">
        <f>IF('3. Sem'!$CE$19="","",'3. Sem'!$CE$19)</f>
        <v/>
      </c>
      <c r="CD66" s="628" t="str">
        <f>IF('3. Sem'!$CF$19="","",'3. Sem'!$CF$19)</f>
        <v/>
      </c>
      <c r="CE66" s="623" t="str">
        <f>IF('3. Sem'!$CG$19="","",'3. Sem'!$CG$19)</f>
        <v/>
      </c>
      <c r="CF66" s="624" t="str">
        <f>IF('3. Sem'!$CH$19="","",'3. Sem'!$CH$19)</f>
        <v/>
      </c>
      <c r="CG66" s="624" t="str">
        <f>IF('3. Sem'!$CI$19="","",'3. Sem'!$CI$19)</f>
        <v/>
      </c>
      <c r="CH66" s="624" t="str">
        <f>IF('3. Sem'!$CJ$19="","",'3. Sem'!$CJ$19)</f>
        <v/>
      </c>
      <c r="CI66" s="625" t="str">
        <f>IF('3. Sem'!$CK$19="","",'3. Sem'!$CK$19)</f>
        <v/>
      </c>
      <c r="CJ66" s="626" t="str">
        <f>IF('3. Sem'!$CL$19="","",'3. Sem'!$CL$19)</f>
        <v/>
      </c>
      <c r="CK66" s="627" t="str">
        <f>IF('3. Sem'!$CM$19="","",'3. Sem'!$CM$19)</f>
        <v/>
      </c>
      <c r="CL66" s="627" t="str">
        <f>IF('3. Sem'!$CN$19="","",'3. Sem'!$CN$19)</f>
        <v/>
      </c>
      <c r="CM66" s="627" t="str">
        <f>IF('3. Sem'!$CO$19="","",'3. Sem'!$CO$19)</f>
        <v/>
      </c>
      <c r="CN66" s="628" t="str">
        <f>IF('3. Sem'!$CP$19="","",'3. Sem'!$CP$19)</f>
        <v/>
      </c>
      <c r="CO66" s="623" t="str">
        <f>IF('3. Sem'!$CQ$19="","",'3. Sem'!$CQ$19)</f>
        <v/>
      </c>
      <c r="CP66" s="624" t="str">
        <f>IF('3. Sem'!$CR$19="","",'3. Sem'!$CR$19)</f>
        <v/>
      </c>
      <c r="CQ66" s="624" t="str">
        <f>IF('3. Sem'!$CS$19="","",'3. Sem'!$CS$19)</f>
        <v/>
      </c>
      <c r="CR66" s="624" t="str">
        <f>IF('3. Sem'!$CT$19="","",'3. Sem'!$CT$19)</f>
        <v/>
      </c>
      <c r="CS66" s="625" t="str">
        <f>IF('3. Sem'!$CU$19="","",'3. Sem'!$CU$19)</f>
        <v/>
      </c>
      <c r="CT66" s="626" t="str">
        <f>IF('3. Sem'!$CV$19="","",'3. Sem'!$CV$19)</f>
        <v/>
      </c>
      <c r="CU66" s="627" t="str">
        <f>IF('3. Sem'!$CW$19="","",'3. Sem'!$CW$19)</f>
        <v/>
      </c>
      <c r="CV66" s="627" t="str">
        <f>IF('3. Sem'!$CX$19="","",'3. Sem'!$CX$19)</f>
        <v/>
      </c>
      <c r="CW66" s="627" t="str">
        <f>IF('3. Sem'!$CY$19="","",'3. Sem'!$CY$19)</f>
        <v/>
      </c>
      <c r="CX66" s="628" t="str">
        <f>IF('3. Sem'!$CZ$19="","",'3. Sem'!$CZ$19)</f>
        <v/>
      </c>
      <c r="CY66" s="623" t="str">
        <f>IF('3. Sem'!$DA$19="","",'3. Sem'!$DA$19)</f>
        <v/>
      </c>
      <c r="CZ66" s="624" t="str">
        <f>IF('3. Sem'!$DB$19="","",'3. Sem'!$DB$19)</f>
        <v/>
      </c>
      <c r="DA66" s="624" t="str">
        <f>IF('3. Sem'!$DC$19="","",'3. Sem'!$DC$19)</f>
        <v/>
      </c>
      <c r="DB66" s="624" t="str">
        <f>IF('3. Sem'!$DD$19="","",'3. Sem'!$DD$19)</f>
        <v/>
      </c>
      <c r="DC66" s="625" t="str">
        <f>IF('3. Sem'!$DE$19="","",'3. Sem'!$DE$19)</f>
        <v/>
      </c>
    </row>
    <row r="67" spans="1:107" ht="16" customHeight="1" x14ac:dyDescent="0.2">
      <c r="A67" s="566"/>
      <c r="B67" s="579" t="s">
        <v>33</v>
      </c>
      <c r="C67" s="623" t="str">
        <f>IF('3. Sem'!$E$20="","",'3. Sem'!$E$20)</f>
        <v/>
      </c>
      <c r="D67" s="624" t="str">
        <f>IF('3. Sem'!$F$20="","",'3. Sem'!$F$20)</f>
        <v/>
      </c>
      <c r="E67" s="624" t="str">
        <f>IF('3. Sem'!$G$20="","",'3. Sem'!$G$20)</f>
        <v/>
      </c>
      <c r="F67" s="624" t="str">
        <f>IF('3. Sem'!$H$20="","",'3. Sem'!$H$20)</f>
        <v/>
      </c>
      <c r="G67" s="625" t="str">
        <f>IF('3. Sem'!$I$20="","",'3. Sem'!$I$20)</f>
        <v/>
      </c>
      <c r="H67" s="626" t="str">
        <f>IF('3. Sem'!$J$20="","",'3. Sem'!$J$20)</f>
        <v/>
      </c>
      <c r="I67" s="627" t="str">
        <f>IF('3. Sem'!$K$20="","",'3. Sem'!$K$20)</f>
        <v/>
      </c>
      <c r="J67" s="627" t="str">
        <f>IF('3. Sem'!$L$20="","",'3. Sem'!$L$20)</f>
        <v/>
      </c>
      <c r="K67" s="627" t="str">
        <f>IF('3. Sem'!$M$20="","",'3. Sem'!$M$20)</f>
        <v/>
      </c>
      <c r="L67" s="628" t="str">
        <f>IF('3. Sem'!$N$20="","",'3. Sem'!$N$20)</f>
        <v/>
      </c>
      <c r="M67" s="623" t="str">
        <f>IF('3. Sem'!$O$20="","",'3. Sem'!$O$20)</f>
        <v/>
      </c>
      <c r="N67" s="624" t="str">
        <f>IF('3. Sem'!$P$20="","",'3. Sem'!$P$20)</f>
        <v/>
      </c>
      <c r="O67" s="624" t="str">
        <f>IF('3. Sem'!$Q$20="","",'3. Sem'!$Q$20)</f>
        <v/>
      </c>
      <c r="P67" s="624" t="str">
        <f>IF('3. Sem'!$R$20="","",'3. Sem'!$R$20)</f>
        <v/>
      </c>
      <c r="Q67" s="625" t="str">
        <f>IF('3. Sem'!$S$20="","",'3. Sem'!$S$20)</f>
        <v/>
      </c>
      <c r="R67" s="626" t="str">
        <f>IF('3. Sem'!$T$20="","",'3. Sem'!$T$20)</f>
        <v/>
      </c>
      <c r="S67" s="627" t="str">
        <f>IF('3. Sem'!$U$20="","",'3. Sem'!$U$20)</f>
        <v/>
      </c>
      <c r="T67" s="627" t="str">
        <f>IF('3. Sem'!$V$20="","",'3. Sem'!$V$20)</f>
        <v/>
      </c>
      <c r="U67" s="627" t="str">
        <f>IF('3. Sem'!$W$20="","",'3. Sem'!$W$20)</f>
        <v/>
      </c>
      <c r="V67" s="628" t="str">
        <f>IF('3. Sem'!$X$20="","",'3. Sem'!$X$20)</f>
        <v/>
      </c>
      <c r="W67" s="623" t="str">
        <f>IF('3. Sem'!$Y$20="","",'3. Sem'!$Y$20)</f>
        <v/>
      </c>
      <c r="X67" s="624" t="str">
        <f>IF('3. Sem'!$Z$20="","",'3. Sem'!$Z$20)</f>
        <v/>
      </c>
      <c r="Y67" s="624" t="str">
        <f>IF('3. Sem'!$AA$20="","",'3. Sem'!$AA$20)</f>
        <v/>
      </c>
      <c r="Z67" s="624" t="str">
        <f>IF('3. Sem'!$AB$20="","",'3. Sem'!$AB$20)</f>
        <v/>
      </c>
      <c r="AA67" s="625" t="str">
        <f>IF('3. Sem'!$AC$20="","",'3. Sem'!$AC$20)</f>
        <v/>
      </c>
      <c r="AB67" s="626" t="str">
        <f>IF('3. Sem'!$AD$20="","",'3. Sem'!$AD$20)</f>
        <v/>
      </c>
      <c r="AC67" s="627" t="str">
        <f>IF('3. Sem'!$AE$20="","",'3. Sem'!$AE$20)</f>
        <v/>
      </c>
      <c r="AD67" s="627" t="str">
        <f>IF('3. Sem'!$AF$20="","",'3. Sem'!$AF$20)</f>
        <v/>
      </c>
      <c r="AE67" s="627" t="str">
        <f>IF('3. Sem'!$AG$20="","",'3. Sem'!$AG$20)</f>
        <v/>
      </c>
      <c r="AF67" s="628" t="str">
        <f>IF('3. Sem'!$AH$20="","",'3. Sem'!$AH$20)</f>
        <v/>
      </c>
      <c r="AG67" s="623" t="str">
        <f>IF('3. Sem'!$AI$20="","",'3. Sem'!$AI$20)</f>
        <v/>
      </c>
      <c r="AH67" s="624" t="str">
        <f>IF('3. Sem'!$AJ$20="","",'3. Sem'!$AJ$20)</f>
        <v/>
      </c>
      <c r="AI67" s="624" t="str">
        <f>IF('3. Sem'!$AK$20="","",'3. Sem'!$AK$20)</f>
        <v/>
      </c>
      <c r="AJ67" s="624" t="str">
        <f>IF('3. Sem'!$AL$20="","",'3. Sem'!$AL$20)</f>
        <v/>
      </c>
      <c r="AK67" s="625" t="str">
        <f>IF('3. Sem'!$AM$20="","",'3. Sem'!$AM$20)</f>
        <v/>
      </c>
      <c r="AL67" s="626" t="str">
        <f>IF('3. Sem'!$AN$20="","",'3. Sem'!$AN$20)</f>
        <v/>
      </c>
      <c r="AM67" s="627" t="str">
        <f>IF('3. Sem'!$AO$20="","",'3. Sem'!$AO$20)</f>
        <v/>
      </c>
      <c r="AN67" s="627" t="str">
        <f>IF('3. Sem'!$AP$20="","",'3. Sem'!$AP$20)</f>
        <v/>
      </c>
      <c r="AO67" s="627" t="str">
        <f>IF('3. Sem'!$AQ$20="","",'3. Sem'!$AQ$20)</f>
        <v/>
      </c>
      <c r="AP67" s="628" t="str">
        <f>IF('3. Sem'!$AR$20="","",'3. Sem'!$AR$20)</f>
        <v/>
      </c>
      <c r="AQ67" s="623" t="str">
        <f>IF('3. Sem'!$AS$20="","",'3. Sem'!$AS$20)</f>
        <v/>
      </c>
      <c r="AR67" s="624" t="str">
        <f>IF('3. Sem'!$AT$20="","",'3. Sem'!$AT$20)</f>
        <v/>
      </c>
      <c r="AS67" s="624" t="str">
        <f>IF('3. Sem'!$AU$20="","",'3. Sem'!$AU$20)</f>
        <v/>
      </c>
      <c r="AT67" s="624" t="str">
        <f>IF('3. Sem'!$AV$20="","",'3. Sem'!$AV$20)</f>
        <v/>
      </c>
      <c r="AU67" s="625" t="str">
        <f>IF('3. Sem'!$AW$20="","",'3. Sem'!$AW$20)</f>
        <v/>
      </c>
      <c r="AV67" s="626" t="str">
        <f>IF('3. Sem'!$AX$20="","",'3. Sem'!$AX$20)</f>
        <v/>
      </c>
      <c r="AW67" s="627" t="str">
        <f>IF('3. Sem'!$AY$20="","",'3. Sem'!$AY$20)</f>
        <v/>
      </c>
      <c r="AX67" s="627" t="str">
        <f>IF('3. Sem'!$AZ$20="","",'3. Sem'!$AZ$20)</f>
        <v/>
      </c>
      <c r="AY67" s="627" t="str">
        <f>IF('3. Sem'!$BA$20="","",'3. Sem'!$BA$20)</f>
        <v/>
      </c>
      <c r="AZ67" s="628" t="str">
        <f>IF('3. Sem'!$BB$20="","",'3. Sem'!$BB$20)</f>
        <v/>
      </c>
      <c r="BA67" s="623" t="str">
        <f>IF('3. Sem'!$BC$20="","",'3. Sem'!$BC$20)</f>
        <v/>
      </c>
      <c r="BB67" s="624" t="str">
        <f>IF('3. Sem'!$BD$20="","",'3. Sem'!$BD$20)</f>
        <v/>
      </c>
      <c r="BC67" s="624" t="str">
        <f>IF('3. Sem'!$BE$20="","",'3. Sem'!$BE$20)</f>
        <v/>
      </c>
      <c r="BD67" s="624" t="str">
        <f>IF('3. Sem'!$BF$20="","",'3. Sem'!$BF$20)</f>
        <v/>
      </c>
      <c r="BE67" s="625" t="str">
        <f>IF('3. Sem'!$BG$20="","",'3. Sem'!$BG$20)</f>
        <v/>
      </c>
      <c r="BF67" s="626" t="str">
        <f>IF('3. Sem'!$BH$20="","",'3. Sem'!$BH$20)</f>
        <v/>
      </c>
      <c r="BG67" s="627" t="str">
        <f>IF('3. Sem'!$BI$20="","",'3. Sem'!$BI$20)</f>
        <v/>
      </c>
      <c r="BH67" s="627" t="str">
        <f>IF('3. Sem'!$BJ$20="","",'3. Sem'!$BJ$20)</f>
        <v/>
      </c>
      <c r="BI67" s="627" t="str">
        <f>IF('3. Sem'!$BK$20="","",'3. Sem'!$BK$20)</f>
        <v/>
      </c>
      <c r="BJ67" s="628" t="str">
        <f>IF('3. Sem'!$BL$20="","",'3. Sem'!$BL$20)</f>
        <v/>
      </c>
      <c r="BK67" s="623" t="str">
        <f>IF('3. Sem'!$BM$20="","",'3. Sem'!$BM$20)</f>
        <v/>
      </c>
      <c r="BL67" s="624" t="str">
        <f>IF('3. Sem'!$BN$20="","",'3. Sem'!$BN$20)</f>
        <v/>
      </c>
      <c r="BM67" s="624" t="str">
        <f>IF('3. Sem'!$BO$20="","",'3. Sem'!$BO$20)</f>
        <v/>
      </c>
      <c r="BN67" s="624" t="str">
        <f>IF('3. Sem'!$BP$20="","",'3. Sem'!$BP$20)</f>
        <v/>
      </c>
      <c r="BO67" s="625" t="str">
        <f>IF('3. Sem'!$BQ$20="","",'3. Sem'!$BQ$20)</f>
        <v/>
      </c>
      <c r="BP67" s="626" t="str">
        <f>IF('3. Sem'!$BR$20="","",'3. Sem'!$BR$20)</f>
        <v/>
      </c>
      <c r="BQ67" s="627" t="str">
        <f>IF('3. Sem'!$BS$20="","",'3. Sem'!$BS$20)</f>
        <v/>
      </c>
      <c r="BR67" s="627" t="str">
        <f>IF('3. Sem'!$BT$20="","",'3. Sem'!$BT$20)</f>
        <v/>
      </c>
      <c r="BS67" s="627" t="str">
        <f>IF('3. Sem'!$BU$20="","",'3. Sem'!$BU$20)</f>
        <v/>
      </c>
      <c r="BT67" s="628" t="str">
        <f>IF('3. Sem'!$BV$20="","",'3. Sem'!$BV$20)</f>
        <v/>
      </c>
      <c r="BU67" s="623" t="str">
        <f>IF('3. Sem'!$BW$20="","",'3. Sem'!$BW$20)</f>
        <v/>
      </c>
      <c r="BV67" s="624" t="str">
        <f>IF('3. Sem'!$BX$20="","",'3. Sem'!$BX$20)</f>
        <v/>
      </c>
      <c r="BW67" s="624" t="str">
        <f>IF('3. Sem'!$BY$20="","",'3. Sem'!$BY$20)</f>
        <v/>
      </c>
      <c r="BX67" s="624" t="str">
        <f>IF('3. Sem'!$BZ$20="","",'3. Sem'!$BZ$20)</f>
        <v/>
      </c>
      <c r="BY67" s="625" t="str">
        <f>IF('3. Sem'!$CA$20="","",'3. Sem'!$CA$20)</f>
        <v/>
      </c>
      <c r="BZ67" s="626" t="str">
        <f>IF('3. Sem'!$CB$20="","",'3. Sem'!$CB$20)</f>
        <v/>
      </c>
      <c r="CA67" s="627" t="str">
        <f>IF('3. Sem'!$CC$20="","",'3. Sem'!$CC$20)</f>
        <v/>
      </c>
      <c r="CB67" s="627" t="str">
        <f>IF('3. Sem'!$CD$20="","",'3. Sem'!$CD$20)</f>
        <v/>
      </c>
      <c r="CC67" s="627" t="str">
        <f>IF('3. Sem'!$CE$20="","",'3. Sem'!$CE$20)</f>
        <v/>
      </c>
      <c r="CD67" s="628" t="str">
        <f>IF('3. Sem'!$CF$20="","",'3. Sem'!$CF$20)</f>
        <v/>
      </c>
      <c r="CE67" s="623" t="str">
        <f>IF('3. Sem'!$CG$20="","",'3. Sem'!$CG$20)</f>
        <v/>
      </c>
      <c r="CF67" s="624" t="str">
        <f>IF('3. Sem'!$CH$20="","",'3. Sem'!$CH$20)</f>
        <v/>
      </c>
      <c r="CG67" s="624" t="str">
        <f>IF('3. Sem'!$CI$20="","",'3. Sem'!$CI$20)</f>
        <v/>
      </c>
      <c r="CH67" s="624" t="str">
        <f>IF('3. Sem'!$CJ$20="","",'3. Sem'!$CJ$20)</f>
        <v/>
      </c>
      <c r="CI67" s="625" t="str">
        <f>IF('3. Sem'!$CK$20="","",'3. Sem'!$CK$20)</f>
        <v/>
      </c>
      <c r="CJ67" s="626" t="str">
        <f>IF('3. Sem'!$CL$20="","",'3. Sem'!$CL$20)</f>
        <v/>
      </c>
      <c r="CK67" s="627" t="str">
        <f>IF('3. Sem'!$CM$20="","",'3. Sem'!$CM$20)</f>
        <v/>
      </c>
      <c r="CL67" s="627" t="str">
        <f>IF('3. Sem'!$CN$20="","",'3. Sem'!$CN$20)</f>
        <v/>
      </c>
      <c r="CM67" s="627" t="str">
        <f>IF('3. Sem'!$CO$20="","",'3. Sem'!$CO$20)</f>
        <v/>
      </c>
      <c r="CN67" s="628" t="str">
        <f>IF('3. Sem'!$CP$20="","",'3. Sem'!$CP$20)</f>
        <v/>
      </c>
      <c r="CO67" s="623" t="str">
        <f>IF('3. Sem'!$CQ$20="","",'3. Sem'!$CQ$20)</f>
        <v/>
      </c>
      <c r="CP67" s="624" t="str">
        <f>IF('3. Sem'!$CR$20="","",'3. Sem'!$CR$20)</f>
        <v/>
      </c>
      <c r="CQ67" s="624" t="str">
        <f>IF('3. Sem'!$CS$20="","",'3. Sem'!$CS$20)</f>
        <v/>
      </c>
      <c r="CR67" s="624" t="str">
        <f>IF('3. Sem'!$CT$20="","",'3. Sem'!$CT$20)</f>
        <v/>
      </c>
      <c r="CS67" s="625" t="str">
        <f>IF('3. Sem'!$CU$20="","",'3. Sem'!$CU$20)</f>
        <v/>
      </c>
      <c r="CT67" s="626" t="str">
        <f>IF('3. Sem'!$CV$20="","",'3. Sem'!$CV$20)</f>
        <v/>
      </c>
      <c r="CU67" s="627" t="str">
        <f>IF('3. Sem'!$CW$20="","",'3. Sem'!$CW$20)</f>
        <v/>
      </c>
      <c r="CV67" s="627" t="str">
        <f>IF('3. Sem'!$CX$20="","",'3. Sem'!$CX$20)</f>
        <v/>
      </c>
      <c r="CW67" s="627" t="str">
        <f>IF('3. Sem'!$CY$20="","",'3. Sem'!$CY$20)</f>
        <v/>
      </c>
      <c r="CX67" s="628" t="str">
        <f>IF('3. Sem'!$CZ$20="","",'3. Sem'!$CZ$20)</f>
        <v/>
      </c>
      <c r="CY67" s="623" t="str">
        <f>IF('3. Sem'!$DA$20="","",'3. Sem'!$DA$20)</f>
        <v/>
      </c>
      <c r="CZ67" s="624" t="str">
        <f>IF('3. Sem'!$DB$20="","",'3. Sem'!$DB$20)</f>
        <v/>
      </c>
      <c r="DA67" s="624" t="str">
        <f>IF('3. Sem'!$DC$20="","",'3. Sem'!$DC$20)</f>
        <v/>
      </c>
      <c r="DB67" s="624" t="str">
        <f>IF('3. Sem'!$DD$20="","",'3. Sem'!$DD$20)</f>
        <v/>
      </c>
      <c r="DC67" s="625" t="str">
        <f>IF('3. Sem'!$DE$20="","",'3. Sem'!$DE$20)</f>
        <v/>
      </c>
    </row>
    <row r="68" spans="1:107" ht="17" customHeight="1" thickBot="1" x14ac:dyDescent="0.25">
      <c r="A68" s="566"/>
      <c r="B68" s="629" t="s">
        <v>34</v>
      </c>
      <c r="C68" s="630" t="str">
        <f>IF('3. Sem'!$E$21="","",'3. Sem'!$E$21)</f>
        <v/>
      </c>
      <c r="D68" s="631" t="str">
        <f>IF('3. Sem'!$F$21="","",'3. Sem'!$F$21)</f>
        <v/>
      </c>
      <c r="E68" s="631" t="str">
        <f>IF('3. Sem'!$G$21="","",'3. Sem'!$G$21)</f>
        <v/>
      </c>
      <c r="F68" s="631" t="str">
        <f>IF('3. Sem'!$H$21="","",'3. Sem'!$H$21)</f>
        <v/>
      </c>
      <c r="G68" s="632" t="str">
        <f>IF('3. Sem'!$I$21="","",'3. Sem'!$I$21)</f>
        <v/>
      </c>
      <c r="H68" s="633" t="str">
        <f>IF('3. Sem'!$J$21="","",'3. Sem'!$J$21)</f>
        <v/>
      </c>
      <c r="I68" s="634" t="str">
        <f>IF('3. Sem'!$K$21="","",'3. Sem'!$K$21)</f>
        <v/>
      </c>
      <c r="J68" s="634" t="str">
        <f>IF('3. Sem'!$L$21="","",'3. Sem'!$L$21)</f>
        <v/>
      </c>
      <c r="K68" s="634" t="str">
        <f>IF('3. Sem'!$M$21="","",'3. Sem'!$M$21)</f>
        <v/>
      </c>
      <c r="L68" s="635" t="str">
        <f>IF('3. Sem'!$N$21="","",'3. Sem'!$N$21)</f>
        <v/>
      </c>
      <c r="M68" s="630" t="str">
        <f>IF('3. Sem'!$O$21="","",'3. Sem'!$O$21)</f>
        <v/>
      </c>
      <c r="N68" s="631" t="str">
        <f>IF('3. Sem'!$P$21="","",'3. Sem'!$P$21)</f>
        <v/>
      </c>
      <c r="O68" s="631" t="str">
        <f>IF('3. Sem'!$Q$21="","",'3. Sem'!$Q$21)</f>
        <v/>
      </c>
      <c r="P68" s="631" t="str">
        <f>IF('3. Sem'!$R$21="","",'3. Sem'!$R$21)</f>
        <v/>
      </c>
      <c r="Q68" s="632" t="str">
        <f>IF('3. Sem'!$S$21="","",'3. Sem'!$S$21)</f>
        <v/>
      </c>
      <c r="R68" s="633" t="str">
        <f>IF('3. Sem'!$T$21="","",'3. Sem'!$T$21)</f>
        <v/>
      </c>
      <c r="S68" s="634" t="str">
        <f>IF('3. Sem'!$U$21="","",'3. Sem'!$U$21)</f>
        <v/>
      </c>
      <c r="T68" s="634" t="str">
        <f>IF('3. Sem'!$V$21="","",'3. Sem'!$V$21)</f>
        <v/>
      </c>
      <c r="U68" s="634" t="str">
        <f>IF('3. Sem'!$W$21="","",'3. Sem'!$W$21)</f>
        <v/>
      </c>
      <c r="V68" s="635" t="str">
        <f>IF('3. Sem'!$X$21="","",'3. Sem'!$X$21)</f>
        <v/>
      </c>
      <c r="W68" s="630" t="str">
        <f>IF('3. Sem'!$Y$21="","",'3. Sem'!$Y$21)</f>
        <v/>
      </c>
      <c r="X68" s="631" t="str">
        <f>IF('3. Sem'!$Z$21="","",'3. Sem'!$Z$21)</f>
        <v/>
      </c>
      <c r="Y68" s="631" t="str">
        <f>IF('3. Sem'!$AA$21="","",'3. Sem'!$AA$21)</f>
        <v/>
      </c>
      <c r="Z68" s="631" t="str">
        <f>IF('3. Sem'!$AB$21="","",'3. Sem'!$AB$21)</f>
        <v/>
      </c>
      <c r="AA68" s="632" t="str">
        <f>IF('3. Sem'!$AC$21="","",'3. Sem'!$AC$21)</f>
        <v/>
      </c>
      <c r="AB68" s="633" t="str">
        <f>IF('3. Sem'!$AD$21="","",'3. Sem'!$AD$21)</f>
        <v/>
      </c>
      <c r="AC68" s="634" t="str">
        <f>IF('3. Sem'!$AE$21="","",'3. Sem'!$AE$21)</f>
        <v/>
      </c>
      <c r="AD68" s="634" t="str">
        <f>IF('3. Sem'!$AF$21="","",'3. Sem'!$AF$21)</f>
        <v/>
      </c>
      <c r="AE68" s="634" t="str">
        <f>IF('3. Sem'!$AG$21="","",'3. Sem'!$AG$21)</f>
        <v/>
      </c>
      <c r="AF68" s="635" t="str">
        <f>IF('3. Sem'!$AH$21="","",'3. Sem'!$AH$21)</f>
        <v/>
      </c>
      <c r="AG68" s="630" t="str">
        <f>IF('3. Sem'!$AI$21="","",'3. Sem'!$AI$21)</f>
        <v/>
      </c>
      <c r="AH68" s="631" t="str">
        <f>IF('3. Sem'!$AJ$21="","",'3. Sem'!$AJ$21)</f>
        <v/>
      </c>
      <c r="AI68" s="631" t="str">
        <f>IF('3. Sem'!$AK$21="","",'3. Sem'!$AK$21)</f>
        <v/>
      </c>
      <c r="AJ68" s="631" t="str">
        <f>IF('3. Sem'!$AL$21="","",'3. Sem'!$AL$21)</f>
        <v/>
      </c>
      <c r="AK68" s="632" t="str">
        <f>IF('3. Sem'!$AM$21="","",'3. Sem'!$AM$21)</f>
        <v/>
      </c>
      <c r="AL68" s="633" t="str">
        <f>IF('3. Sem'!$AN$21="","",'3. Sem'!$AN$21)</f>
        <v/>
      </c>
      <c r="AM68" s="634" t="str">
        <f>IF('3. Sem'!$AO$21="","",'3. Sem'!$AO$21)</f>
        <v/>
      </c>
      <c r="AN68" s="634" t="str">
        <f>IF('3. Sem'!$AP$21="","",'3. Sem'!$AP$21)</f>
        <v/>
      </c>
      <c r="AO68" s="634" t="str">
        <f>IF('3. Sem'!$AQ$21="","",'3. Sem'!$AQ$21)</f>
        <v/>
      </c>
      <c r="AP68" s="635" t="str">
        <f>IF('3. Sem'!$AR$21="","",'3. Sem'!$AR$21)</f>
        <v/>
      </c>
      <c r="AQ68" s="630" t="str">
        <f>IF('3. Sem'!$AS$21="","",'3. Sem'!$AS$21)</f>
        <v/>
      </c>
      <c r="AR68" s="631" t="str">
        <f>IF('3. Sem'!$AT$21="","",'3. Sem'!$AT$21)</f>
        <v/>
      </c>
      <c r="AS68" s="631" t="str">
        <f>IF('3. Sem'!$AU$21="","",'3. Sem'!$AU$21)</f>
        <v/>
      </c>
      <c r="AT68" s="631" t="str">
        <f>IF('3. Sem'!$AV$21="","",'3. Sem'!$AV$21)</f>
        <v/>
      </c>
      <c r="AU68" s="632" t="str">
        <f>IF('3. Sem'!$AW$21="","",'3. Sem'!$AW$21)</f>
        <v/>
      </c>
      <c r="AV68" s="633" t="str">
        <f>IF('3. Sem'!$AX$21="","",'3. Sem'!$AX$21)</f>
        <v/>
      </c>
      <c r="AW68" s="634" t="str">
        <f>IF('3. Sem'!$AY$21="","",'3. Sem'!$AY$21)</f>
        <v/>
      </c>
      <c r="AX68" s="634" t="str">
        <f>IF('3. Sem'!$AZ$21="","",'3. Sem'!$AZ$21)</f>
        <v/>
      </c>
      <c r="AY68" s="634" t="str">
        <f>IF('3. Sem'!$BA$21="","",'3. Sem'!$BA$21)</f>
        <v/>
      </c>
      <c r="AZ68" s="635" t="str">
        <f>IF('3. Sem'!$BB$21="","",'3. Sem'!$BB$21)</f>
        <v/>
      </c>
      <c r="BA68" s="630" t="str">
        <f>IF('3. Sem'!$BC$21="","",'3. Sem'!$BC$21)</f>
        <v/>
      </c>
      <c r="BB68" s="631" t="str">
        <f>IF('3. Sem'!$BD$21="","",'3. Sem'!$BD$21)</f>
        <v/>
      </c>
      <c r="BC68" s="631" t="str">
        <f>IF('3. Sem'!$BE$21="","",'3. Sem'!$BE$21)</f>
        <v/>
      </c>
      <c r="BD68" s="631" t="str">
        <f>IF('3. Sem'!$BF$21="","",'3. Sem'!$BF$21)</f>
        <v/>
      </c>
      <c r="BE68" s="632" t="str">
        <f>IF('3. Sem'!$BG$21="","",'3. Sem'!$BG$21)</f>
        <v/>
      </c>
      <c r="BF68" s="633" t="str">
        <f>IF('3. Sem'!$BH$21="","",'3. Sem'!$BH$21)</f>
        <v/>
      </c>
      <c r="BG68" s="634" t="str">
        <f>IF('3. Sem'!$BI$21="","",'3. Sem'!$BI$21)</f>
        <v/>
      </c>
      <c r="BH68" s="634" t="str">
        <f>IF('3. Sem'!$BJ$21="","",'3. Sem'!$BJ$21)</f>
        <v/>
      </c>
      <c r="BI68" s="634" t="str">
        <f>IF('3. Sem'!$BK$21="","",'3. Sem'!$BK$21)</f>
        <v/>
      </c>
      <c r="BJ68" s="635" t="str">
        <f>IF('3. Sem'!$BL$21="","",'3. Sem'!$BL$21)</f>
        <v/>
      </c>
      <c r="BK68" s="630" t="str">
        <f>IF('3. Sem'!$BM$21="","",'3. Sem'!$BM$21)</f>
        <v/>
      </c>
      <c r="BL68" s="631" t="str">
        <f>IF('3. Sem'!$BN$21="","",'3. Sem'!$BN$21)</f>
        <v/>
      </c>
      <c r="BM68" s="631" t="str">
        <f>IF('3. Sem'!$BO$21="","",'3. Sem'!$BO$21)</f>
        <v/>
      </c>
      <c r="BN68" s="631" t="str">
        <f>IF('3. Sem'!$BP$21="","",'3. Sem'!$BP$21)</f>
        <v/>
      </c>
      <c r="BO68" s="632" t="str">
        <f>IF('3. Sem'!$BQ$21="","",'3. Sem'!$BQ$21)</f>
        <v/>
      </c>
      <c r="BP68" s="633" t="str">
        <f>IF('3. Sem'!$BR$21="","",'3. Sem'!$BR$21)</f>
        <v/>
      </c>
      <c r="BQ68" s="634" t="str">
        <f>IF('3. Sem'!$BS$21="","",'3. Sem'!$BS$21)</f>
        <v/>
      </c>
      <c r="BR68" s="634" t="str">
        <f>IF('3. Sem'!$BT$21="","",'3. Sem'!$BT$21)</f>
        <v/>
      </c>
      <c r="BS68" s="634" t="str">
        <f>IF('3. Sem'!$BU$21="","",'3. Sem'!$BU$21)</f>
        <v/>
      </c>
      <c r="BT68" s="635" t="str">
        <f>IF('3. Sem'!$BV$21="","",'3. Sem'!$BV$21)</f>
        <v/>
      </c>
      <c r="BU68" s="630" t="str">
        <f>IF('3. Sem'!$BW$21="","",'3. Sem'!$BW$21)</f>
        <v/>
      </c>
      <c r="BV68" s="631" t="str">
        <f>IF('3. Sem'!$BX$21="","",'3. Sem'!$BX$21)</f>
        <v/>
      </c>
      <c r="BW68" s="631" t="str">
        <f>IF('3. Sem'!$BY$21="","",'3. Sem'!$BY$21)</f>
        <v/>
      </c>
      <c r="BX68" s="631" t="str">
        <f>IF('3. Sem'!$BZ$21="","",'3. Sem'!$BZ$21)</f>
        <v/>
      </c>
      <c r="BY68" s="632" t="str">
        <f>IF('3. Sem'!$CA$21="","",'3. Sem'!$CA$21)</f>
        <v/>
      </c>
      <c r="BZ68" s="633" t="str">
        <f>IF('3. Sem'!$CB$21="","",'3. Sem'!$CB$21)</f>
        <v/>
      </c>
      <c r="CA68" s="634" t="str">
        <f>IF('3. Sem'!$CC$21="","",'3. Sem'!$CC$21)</f>
        <v/>
      </c>
      <c r="CB68" s="634" t="str">
        <f>IF('3. Sem'!$CD$21="","",'3. Sem'!$CD$21)</f>
        <v/>
      </c>
      <c r="CC68" s="634" t="str">
        <f>IF('3. Sem'!$CE$21="","",'3. Sem'!$CE$21)</f>
        <v/>
      </c>
      <c r="CD68" s="635" t="str">
        <f>IF('3. Sem'!$CF$21="","",'3. Sem'!$CF$21)</f>
        <v/>
      </c>
      <c r="CE68" s="630" t="str">
        <f>IF('3. Sem'!$CG$21="","",'3. Sem'!$CG$21)</f>
        <v/>
      </c>
      <c r="CF68" s="631" t="str">
        <f>IF('3. Sem'!$CH$21="","",'3. Sem'!$CH$21)</f>
        <v/>
      </c>
      <c r="CG68" s="631" t="str">
        <f>IF('3. Sem'!$CI$21="","",'3. Sem'!$CI$21)</f>
        <v/>
      </c>
      <c r="CH68" s="631" t="str">
        <f>IF('3. Sem'!$CJ$21="","",'3. Sem'!$CJ$21)</f>
        <v/>
      </c>
      <c r="CI68" s="632" t="str">
        <f>IF('3. Sem'!$CK$21="","",'3. Sem'!$CK$21)</f>
        <v/>
      </c>
      <c r="CJ68" s="633" t="str">
        <f>IF('3. Sem'!$CL$21="","",'3. Sem'!$CL$21)</f>
        <v/>
      </c>
      <c r="CK68" s="634" t="str">
        <f>IF('3. Sem'!$CM$21="","",'3. Sem'!$CM$21)</f>
        <v/>
      </c>
      <c r="CL68" s="634" t="str">
        <f>IF('3. Sem'!$CN$21="","",'3. Sem'!$CN$21)</f>
        <v/>
      </c>
      <c r="CM68" s="634" t="str">
        <f>IF('3. Sem'!$CO$21="","",'3. Sem'!$CO$21)</f>
        <v/>
      </c>
      <c r="CN68" s="635" t="str">
        <f>IF('3. Sem'!$CP$21="","",'3. Sem'!$CP$21)</f>
        <v/>
      </c>
      <c r="CO68" s="630" t="str">
        <f>IF('3. Sem'!$CQ$21="","",'3. Sem'!$CQ$21)</f>
        <v/>
      </c>
      <c r="CP68" s="631" t="str">
        <f>IF('3. Sem'!$CR$21="","",'3. Sem'!$CR$21)</f>
        <v/>
      </c>
      <c r="CQ68" s="631" t="str">
        <f>IF('3. Sem'!$CS$21="","",'3. Sem'!$CS$21)</f>
        <v/>
      </c>
      <c r="CR68" s="631" t="str">
        <f>IF('3. Sem'!$CT$21="","",'3. Sem'!$CT$21)</f>
        <v/>
      </c>
      <c r="CS68" s="632" t="str">
        <f>IF('3. Sem'!$CU$21="","",'3. Sem'!$CU$21)</f>
        <v/>
      </c>
      <c r="CT68" s="633" t="str">
        <f>IF('3. Sem'!$CV$21="","",'3. Sem'!$CV$21)</f>
        <v/>
      </c>
      <c r="CU68" s="634" t="str">
        <f>IF('3. Sem'!$CW$21="","",'3. Sem'!$CW$21)</f>
        <v/>
      </c>
      <c r="CV68" s="634" t="str">
        <f>IF('3. Sem'!$CX$21="","",'3. Sem'!$CX$21)</f>
        <v/>
      </c>
      <c r="CW68" s="634" t="str">
        <f>IF('3. Sem'!$CY$21="","",'3. Sem'!$CY$21)</f>
        <v/>
      </c>
      <c r="CX68" s="635" t="str">
        <f>IF('3. Sem'!$CZ$21="","",'3. Sem'!$CZ$21)</f>
        <v/>
      </c>
      <c r="CY68" s="630" t="str">
        <f>IF('3. Sem'!$DA$21="","",'3. Sem'!$DA$21)</f>
        <v/>
      </c>
      <c r="CZ68" s="631" t="str">
        <f>IF('3. Sem'!$DB$21="","",'3. Sem'!$DB$21)</f>
        <v/>
      </c>
      <c r="DA68" s="631" t="str">
        <f>IF('3. Sem'!$DC$21="","",'3. Sem'!$DC$21)</f>
        <v/>
      </c>
      <c r="DB68" s="631" t="str">
        <f>IF('3. Sem'!$DD$21="","",'3. Sem'!$DD$21)</f>
        <v/>
      </c>
      <c r="DC68" s="632" t="str">
        <f>IF('3. Sem'!$DE$21="","",'3. Sem'!$DE$21)</f>
        <v/>
      </c>
    </row>
    <row r="69" spans="1:107" ht="17" thickBot="1" x14ac:dyDescent="0.25">
      <c r="A69" s="562"/>
      <c r="B69" s="562"/>
      <c r="C69" s="563"/>
      <c r="D69" s="563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3"/>
      <c r="BE69" s="563"/>
      <c r="BF69" s="563"/>
      <c r="BG69" s="563"/>
      <c r="BH69" s="563"/>
      <c r="BI69" s="563"/>
      <c r="BJ69" s="563"/>
      <c r="BK69" s="563"/>
      <c r="BL69" s="563"/>
      <c r="BM69" s="563"/>
      <c r="BN69" s="563"/>
      <c r="BO69" s="563"/>
      <c r="BP69" s="563"/>
      <c r="BQ69" s="563"/>
      <c r="BR69" s="563"/>
      <c r="BS69" s="563"/>
      <c r="BT69" s="563"/>
      <c r="BU69" s="564"/>
      <c r="BV69" s="563"/>
      <c r="BW69" s="563"/>
      <c r="BX69" s="563"/>
      <c r="BY69" s="563"/>
      <c r="BZ69" s="563"/>
      <c r="CA69" s="563"/>
      <c r="CB69" s="563"/>
      <c r="CC69" s="563"/>
      <c r="CD69" s="563"/>
      <c r="CE69" s="563"/>
      <c r="CF69" s="563"/>
      <c r="CG69" s="563"/>
      <c r="CH69" s="563"/>
      <c r="CI69" s="563"/>
      <c r="CJ69" s="563"/>
      <c r="CK69" s="563"/>
      <c r="CL69" s="563"/>
      <c r="CM69" s="563"/>
      <c r="CN69" s="565"/>
      <c r="CO69" s="563"/>
      <c r="CP69" s="563"/>
      <c r="CQ69" s="563"/>
      <c r="CR69" s="563"/>
      <c r="CS69" s="563"/>
      <c r="CT69" s="563"/>
      <c r="CU69" s="563"/>
      <c r="CV69" s="563"/>
      <c r="CW69" s="563"/>
      <c r="CX69" s="563"/>
      <c r="CY69" s="563"/>
      <c r="CZ69" s="563"/>
      <c r="DA69" s="563"/>
      <c r="DB69" s="563"/>
      <c r="DC69" s="563"/>
    </row>
    <row r="70" spans="1:107" ht="16" customHeight="1" x14ac:dyDescent="0.2">
      <c r="A70" s="566" t="s">
        <v>381</v>
      </c>
      <c r="B70" s="567" t="s">
        <v>7</v>
      </c>
      <c r="C70" s="568" t="str">
        <f>IF('4. Sem'!$E$7="","",'4. Sem'!$E$7)</f>
        <v/>
      </c>
      <c r="D70" s="569" t="str">
        <f>IF('4. Sem'!$F$7="","",'4. Sem'!$F$7)</f>
        <v/>
      </c>
      <c r="E70" s="569" t="str">
        <f>IF('4. Sem'!$G$7="","",'4. Sem'!$G$7)</f>
        <v/>
      </c>
      <c r="F70" s="569" t="str">
        <f>IF('4. Sem'!$H$7="","",'4. Sem'!$H$7)</f>
        <v/>
      </c>
      <c r="G70" s="570" t="str">
        <f>IF('4. Sem'!$I$7="","",'4. Sem'!$I$7)</f>
        <v/>
      </c>
      <c r="H70" s="571" t="str">
        <f>IF('4. Sem'!$J$7="","",'4. Sem'!$J$7)</f>
        <v/>
      </c>
      <c r="I70" s="572" t="str">
        <f>IF('4. Sem'!$K$7="","",'4. Sem'!$K$7)</f>
        <v/>
      </c>
      <c r="J70" s="572" t="str">
        <f>IF('4. Sem'!$L$7="","",'4. Sem'!$L$7)</f>
        <v/>
      </c>
      <c r="K70" s="572" t="str">
        <f>IF('4. Sem'!$M$7="","",'4. Sem'!$M$7)</f>
        <v/>
      </c>
      <c r="L70" s="573" t="str">
        <f>IF('4. Sem'!$N$7="","",'4. Sem'!$N$7)</f>
        <v/>
      </c>
      <c r="M70" s="574" t="str">
        <f>IF('4. Sem'!$O$7="","",'4. Sem'!$O$7)</f>
        <v/>
      </c>
      <c r="N70" s="569" t="str">
        <f>IF('4. Sem'!$P$7="","",'4. Sem'!$P$7)</f>
        <v/>
      </c>
      <c r="O70" s="569" t="str">
        <f>IF('4. Sem'!$Q$7="","",'4. Sem'!$Q$7)</f>
        <v/>
      </c>
      <c r="P70" s="569" t="str">
        <f>IF('4. Sem'!$R$7="","",'4. Sem'!$R$7)</f>
        <v/>
      </c>
      <c r="Q70" s="570" t="str">
        <f>IF('4. Sem'!$S$7="","",'4. Sem'!$S$7)</f>
        <v/>
      </c>
      <c r="R70" s="571" t="str">
        <f>IF('4. Sem'!$T$7="","",'4. Sem'!$T$7)</f>
        <v/>
      </c>
      <c r="S70" s="572" t="str">
        <f>IF('4. Sem'!$U$7="","",'4. Sem'!$U$7)</f>
        <v/>
      </c>
      <c r="T70" s="572" t="str">
        <f>IF('4. Sem'!$V$7="","",'4. Sem'!$V$7)</f>
        <v/>
      </c>
      <c r="U70" s="572" t="str">
        <f>IF('4. Sem'!$W$7="","",'4. Sem'!$W$7)</f>
        <v/>
      </c>
      <c r="V70" s="573" t="str">
        <f>IF('4. Sem'!$X$7="","",'4. Sem'!$X$7)</f>
        <v/>
      </c>
      <c r="W70" s="574" t="str">
        <f>IF('4. Sem'!$Y$7="","",'4. Sem'!$Y$7)</f>
        <v/>
      </c>
      <c r="X70" s="569" t="str">
        <f>IF('4. Sem'!$Z$7="","",'4. Sem'!$Z$7)</f>
        <v/>
      </c>
      <c r="Y70" s="569" t="str">
        <f>IF('4. Sem'!$AA$7="","",'4. Sem'!$AA$7)</f>
        <v/>
      </c>
      <c r="Z70" s="569" t="str">
        <f>IF('4. Sem'!$AB$7="","",'4. Sem'!$AB$7)</f>
        <v/>
      </c>
      <c r="AA70" s="570" t="str">
        <f>IF('4. Sem'!$AC$7="","",'4. Sem'!$AC$7)</f>
        <v/>
      </c>
      <c r="AB70" s="571" t="str">
        <f>IF('4. Sem'!$AD$7="","",'4. Sem'!$AD$7)</f>
        <v/>
      </c>
      <c r="AC70" s="572" t="str">
        <f>IF('4. Sem'!$AE$7="","",'4. Sem'!$AE$7)</f>
        <v/>
      </c>
      <c r="AD70" s="572" t="str">
        <f>IF('4. Sem'!$AF$7="","",'4. Sem'!$AF$7)</f>
        <v/>
      </c>
      <c r="AE70" s="572" t="str">
        <f>IF('4. Sem'!$AG$7="","",'4. Sem'!$AG$7)</f>
        <v/>
      </c>
      <c r="AF70" s="573" t="str">
        <f>IF('4. Sem'!$AH$7="","",'4. Sem'!$AH$7)</f>
        <v/>
      </c>
      <c r="AG70" s="574" t="str">
        <f>IF('4. Sem'!$AI$7="","",'4. Sem'!$AI$7)</f>
        <v/>
      </c>
      <c r="AH70" s="569" t="str">
        <f>IF('4. Sem'!$AJ$7="","",'4. Sem'!$AJ$7)</f>
        <v/>
      </c>
      <c r="AI70" s="569" t="str">
        <f>IF('4. Sem'!$AK$7="","",'4. Sem'!$AK$7)</f>
        <v/>
      </c>
      <c r="AJ70" s="569" t="str">
        <f>IF('4. Sem'!$AL$7="","",'4. Sem'!$AL$7)</f>
        <v/>
      </c>
      <c r="AK70" s="570" t="str">
        <f>IF('4. Sem'!$AM$7="","",'4. Sem'!$AM$7)</f>
        <v/>
      </c>
      <c r="AL70" s="578" t="str">
        <f>IF('4. Sem'!$AN$7="","",'4. Sem'!$AN$7)</f>
        <v/>
      </c>
      <c r="AM70" s="576" t="str">
        <f>IF('4. Sem'!$AO$7="","",'4. Sem'!$AO$7)</f>
        <v/>
      </c>
      <c r="AN70" s="576" t="str">
        <f>IF('4. Sem'!$AP$7="","",'4. Sem'!$AP$7)</f>
        <v/>
      </c>
      <c r="AO70" s="576" t="str">
        <f>IF('4. Sem'!$AQ$7="","",'4. Sem'!$AQ$7)</f>
        <v/>
      </c>
      <c r="AP70" s="577" t="str">
        <f>IF('4. Sem'!$AR$7="","",'4. Sem'!$AR$7)</f>
        <v/>
      </c>
      <c r="AQ70" s="575" t="str">
        <f>IF('4. Sem'!$AS$7="","",'4. Sem'!$AS$7)</f>
        <v/>
      </c>
      <c r="AR70" s="569" t="str">
        <f>IF('4. Sem'!$AT$7="","",'4. Sem'!$AT$7)</f>
        <v/>
      </c>
      <c r="AS70" s="569" t="str">
        <f>IF('4. Sem'!$AU$7="","",'4. Sem'!$AU$7)</f>
        <v/>
      </c>
      <c r="AT70" s="569" t="str">
        <f>IF('4. Sem'!$AV$7="","",'4. Sem'!$AV$7)</f>
        <v/>
      </c>
      <c r="AU70" s="570" t="str">
        <f>IF('4. Sem'!$AW$7="","",'4. Sem'!$AW$7)</f>
        <v/>
      </c>
      <c r="AV70" s="571" t="str">
        <f>IF('4. Sem'!$AX$7="","",'4. Sem'!$AX$7)</f>
        <v/>
      </c>
      <c r="AW70" s="572" t="str">
        <f>IF('4. Sem'!$AY$7="","",'4. Sem'!$AY$7)</f>
        <v/>
      </c>
      <c r="AX70" s="572" t="str">
        <f>IF('4. Sem'!$AZ$7="","",'4. Sem'!$AZ$7)</f>
        <v/>
      </c>
      <c r="AY70" s="572" t="str">
        <f>IF('4. Sem'!$BA$7="","",'4. Sem'!$BA$7)</f>
        <v/>
      </c>
      <c r="AZ70" s="573" t="str">
        <f>IF('4. Sem'!$BB$7="","",'4. Sem'!$BB$7)</f>
        <v/>
      </c>
      <c r="BA70" s="574" t="str">
        <f>IF('4. Sem'!$BC$7="","",'4. Sem'!$BC$7)</f>
        <v/>
      </c>
      <c r="BB70" s="569" t="str">
        <f>IF('4. Sem'!$BD$7="","",'4. Sem'!$BD$7)</f>
        <v/>
      </c>
      <c r="BC70" s="569" t="str">
        <f>IF('4. Sem'!$BE$7="","",'4. Sem'!$BE$7)</f>
        <v/>
      </c>
      <c r="BD70" s="569" t="str">
        <f>IF('4. Sem'!$BF$7="","",'4. Sem'!$BF$7)</f>
        <v/>
      </c>
      <c r="BE70" s="570" t="str">
        <f>IF('4. Sem'!$BG$7="","",'4. Sem'!$BG$7)</f>
        <v/>
      </c>
      <c r="BF70" s="571" t="str">
        <f>IF('4. Sem'!$BH$7="","",'4. Sem'!$BH$7)</f>
        <v/>
      </c>
      <c r="BG70" s="572" t="str">
        <f>IF('4. Sem'!$BI$7="","",'4. Sem'!$BI$7)</f>
        <v/>
      </c>
      <c r="BH70" s="572" t="str">
        <f>IF('4. Sem'!$BJ$7="","",'4. Sem'!$BJ$7)</f>
        <v/>
      </c>
      <c r="BI70" s="572" t="str">
        <f>IF('4. Sem'!$BK$7="","",'4. Sem'!$BK$7)</f>
        <v/>
      </c>
      <c r="BJ70" s="573" t="str">
        <f>IF('4. Sem'!$BL$7="","",'4. Sem'!$BL$7)</f>
        <v/>
      </c>
      <c r="BK70" s="574" t="str">
        <f>IF('4. Sem'!$BM$7="","",'4. Sem'!$BM$7)</f>
        <v/>
      </c>
      <c r="BL70" s="569" t="str">
        <f>IF('4. Sem'!$BN$7="","",'4. Sem'!$BN$7)</f>
        <v/>
      </c>
      <c r="BM70" s="569" t="str">
        <f>IF('4. Sem'!$BO$7="","",'4. Sem'!$BO$7)</f>
        <v/>
      </c>
      <c r="BN70" s="569" t="str">
        <f>IF('4. Sem'!$BP$7="","",'4. Sem'!$BP$7)</f>
        <v/>
      </c>
      <c r="BO70" s="570" t="str">
        <f>IF('4. Sem'!$BQ$7="","",'4. Sem'!$BQ$7)</f>
        <v/>
      </c>
      <c r="BP70" s="571" t="str">
        <f>IF('4. Sem'!$BR$7="","",'4. Sem'!$BR$7)</f>
        <v/>
      </c>
      <c r="BQ70" s="572" t="str">
        <f>IF('4. Sem'!$BS$7="","",'4. Sem'!$BS$7)</f>
        <v/>
      </c>
      <c r="BR70" s="572" t="str">
        <f>IF('4. Sem'!$BT$7="","",'4. Sem'!$BT$7)</f>
        <v/>
      </c>
      <c r="BS70" s="576" t="str">
        <f>IF('4. Sem'!$BU$7="","",'4. Sem'!$BU$7)</f>
        <v/>
      </c>
      <c r="BT70" s="577" t="str">
        <f>IF('4. Sem'!$BV$7="","",'4. Sem'!$BV$7)</f>
        <v/>
      </c>
      <c r="BU70" s="574" t="str">
        <f>IF('4. Sem'!$BW$7="","",'4. Sem'!$BW$7)</f>
        <v/>
      </c>
      <c r="BV70" s="569" t="str">
        <f>IF('4. Sem'!$BX$7="","",'4. Sem'!$BX$7)</f>
        <v/>
      </c>
      <c r="BW70" s="569" t="str">
        <f>IF('4. Sem'!$BY$7="","",'4. Sem'!$BY$7)</f>
        <v/>
      </c>
      <c r="BX70" s="569" t="str">
        <f>IF('4. Sem'!$BZ$7="","",'4. Sem'!$BZ$7)</f>
        <v/>
      </c>
      <c r="BY70" s="570" t="str">
        <f>IF('4. Sem'!$CA$7="","",'4. Sem'!$CA$7)</f>
        <v/>
      </c>
      <c r="BZ70" s="578" t="str">
        <f>IF('4. Sem'!$CB$7="","",'4. Sem'!$CB$7)</f>
        <v/>
      </c>
      <c r="CA70" s="572" t="str">
        <f>IF('4. Sem'!$CC$7="","",'4. Sem'!$CC$7)</f>
        <v/>
      </c>
      <c r="CB70" s="572" t="str">
        <f>IF('4. Sem'!$CD$7="","",'4. Sem'!$CD$7)</f>
        <v/>
      </c>
      <c r="CC70" s="572" t="str">
        <f>IF('4. Sem'!$CE$7="","",'4. Sem'!$CE$7)</f>
        <v/>
      </c>
      <c r="CD70" s="573" t="str">
        <f>IF('4. Sem'!$CF$7="","",'4. Sem'!$CF$7)</f>
        <v/>
      </c>
      <c r="CE70" s="574" t="str">
        <f>IF('4. Sem'!$CG$7="","",'4. Sem'!$CG$7)</f>
        <v/>
      </c>
      <c r="CF70" s="569" t="str">
        <f>IF('4. Sem'!$CH$7="","",'4. Sem'!$CH$7)</f>
        <v/>
      </c>
      <c r="CG70" s="569" t="str">
        <f>IF('4. Sem'!$CI$7="","",'4. Sem'!$CI$7)</f>
        <v/>
      </c>
      <c r="CH70" s="569" t="str">
        <f>IF('4. Sem'!$CJ$7="","",'4. Sem'!$CJ$7)</f>
        <v/>
      </c>
      <c r="CI70" s="570" t="str">
        <f>IF('4. Sem'!$CK$7="","",'4. Sem'!$CK$7)</f>
        <v/>
      </c>
      <c r="CJ70" s="571" t="str">
        <f>IF('4. Sem'!$CL$7="","",'4. Sem'!$CL$7)</f>
        <v/>
      </c>
      <c r="CK70" s="572" t="str">
        <f>IF('4. Sem'!$CM$7="","",'4. Sem'!$CM$7)</f>
        <v/>
      </c>
      <c r="CL70" s="572" t="str">
        <f>IF('4. Sem'!$CN$7="","",'4. Sem'!$CN$7)</f>
        <v/>
      </c>
      <c r="CM70" s="572" t="str">
        <f>IF('4. Sem'!$CO$7="","",'4. Sem'!$CO$7)</f>
        <v/>
      </c>
      <c r="CN70" s="573" t="str">
        <f>IF('4. Sem'!$CP$7="","",'4. Sem'!$CP$7)</f>
        <v/>
      </c>
      <c r="CO70" s="574" t="str">
        <f>IF('4. Sem'!$CQ$7="","",'4. Sem'!$CQ$7)</f>
        <v/>
      </c>
      <c r="CP70" s="569" t="str">
        <f>IF('4. Sem'!$CR$7="","",'4. Sem'!$CR$7)</f>
        <v/>
      </c>
      <c r="CQ70" s="569" t="str">
        <f>IF('4. Sem'!$CS$7="","",'4. Sem'!$CS$7)</f>
        <v/>
      </c>
      <c r="CR70" s="569" t="str">
        <f>IF('4. Sem'!$CT$7="","",'4. Sem'!$CT$7)</f>
        <v/>
      </c>
      <c r="CS70" s="570" t="str">
        <f>IF('4. Sem'!$CU$7="","",'4. Sem'!$CU$7)</f>
        <v/>
      </c>
      <c r="CT70" s="571" t="str">
        <f>IF('4. Sem'!$CV$7="","",'4. Sem'!$CV$7)</f>
        <v/>
      </c>
      <c r="CU70" s="572" t="str">
        <f>IF('4. Sem'!$CW$7="","",'4. Sem'!$CW$7)</f>
        <v/>
      </c>
      <c r="CV70" s="572" t="str">
        <f>IF('4. Sem'!$CX$7="","",'4. Sem'!$CX$7)</f>
        <v/>
      </c>
      <c r="CW70" s="572" t="str">
        <f>IF('4. Sem'!$CY$7="","",'4. Sem'!$CY$7)</f>
        <v/>
      </c>
      <c r="CX70" s="573" t="str">
        <f>IF('4. Sem'!$CZ$7="","",'4. Sem'!$CZ$7)</f>
        <v/>
      </c>
      <c r="CY70" s="574" t="str">
        <f>IF('4. Sem'!$DA$7="","",'4. Sem'!$DA$7)</f>
        <v/>
      </c>
      <c r="CZ70" s="569" t="str">
        <f>IF('4. Sem'!$DB$7="","",'4. Sem'!$DB$7)</f>
        <v/>
      </c>
      <c r="DA70" s="569" t="str">
        <f>IF('4. Sem'!$DC$7="","",'4. Sem'!$DC$7)</f>
        <v/>
      </c>
      <c r="DB70" s="569" t="str">
        <f>IF('4. Sem'!$DD$7="","",'4. Sem'!$DD$7)</f>
        <v/>
      </c>
      <c r="DC70" s="570" t="str">
        <f>IF('4. Sem'!$DE$7="","",'4. Sem'!$DE$7)</f>
        <v/>
      </c>
    </row>
    <row r="71" spans="1:107" ht="16" customHeight="1" x14ac:dyDescent="0.2">
      <c r="A71" s="566"/>
      <c r="B71" s="579" t="s">
        <v>15</v>
      </c>
      <c r="C71" s="580" t="str">
        <f>IF('4. Sem'!$E$8="","",'4. Sem'!$E$8)</f>
        <v/>
      </c>
      <c r="D71" s="581" t="str">
        <f>IF('4. Sem'!$F$8="","",'4. Sem'!$F$8)</f>
        <v/>
      </c>
      <c r="E71" s="581" t="str">
        <f>IF('4. Sem'!$G$8="","",'4. Sem'!$G$8)</f>
        <v/>
      </c>
      <c r="F71" s="581" t="str">
        <f>IF('4. Sem'!$H$8="","",'4. Sem'!$H$8)</f>
        <v/>
      </c>
      <c r="G71" s="582" t="str">
        <f>IF('4. Sem'!$I$8="","",'4. Sem'!$I$8)</f>
        <v/>
      </c>
      <c r="H71" s="583" t="str">
        <f>IF('4. Sem'!$J$8="","",'4. Sem'!$J$8)</f>
        <v/>
      </c>
      <c r="I71" s="584" t="str">
        <f>IF('4. Sem'!$K$8="","",'4. Sem'!$K$8)</f>
        <v/>
      </c>
      <c r="J71" s="584" t="str">
        <f>IF('4. Sem'!$L$8="","",'4. Sem'!$L$8)</f>
        <v/>
      </c>
      <c r="K71" s="584" t="str">
        <f>IF('4. Sem'!$M$8="","",'4. Sem'!$M$8)</f>
        <v/>
      </c>
      <c r="L71" s="585" t="str">
        <f>IF('4. Sem'!$N$8="","",'4. Sem'!$N$8)</f>
        <v/>
      </c>
      <c r="M71" s="586" t="str">
        <f>IF('4. Sem'!$O$8="","",'4. Sem'!$O$8)</f>
        <v/>
      </c>
      <c r="N71" s="581" t="str">
        <f>IF('4. Sem'!$P$8="","",'4. Sem'!$P$8)</f>
        <v/>
      </c>
      <c r="O71" s="581" t="str">
        <f>IF('4. Sem'!$Q$8="","",'4. Sem'!$Q$8)</f>
        <v/>
      </c>
      <c r="P71" s="581" t="str">
        <f>IF('4. Sem'!$R$8="","",'4. Sem'!$R$8)</f>
        <v/>
      </c>
      <c r="Q71" s="582" t="str">
        <f>IF('4. Sem'!$S$8="","",'4. Sem'!$S$8)</f>
        <v/>
      </c>
      <c r="R71" s="583" t="str">
        <f>IF('4. Sem'!$T$8="","",'4. Sem'!$T$8)</f>
        <v/>
      </c>
      <c r="S71" s="584" t="str">
        <f>IF('4. Sem'!$U$8="","",'4. Sem'!$U$8)</f>
        <v/>
      </c>
      <c r="T71" s="584" t="str">
        <f>IF('4. Sem'!$V$8="","",'4. Sem'!$V$8)</f>
        <v/>
      </c>
      <c r="U71" s="584" t="str">
        <f>IF('4. Sem'!$W$8="","",'4. Sem'!$W$8)</f>
        <v/>
      </c>
      <c r="V71" s="585" t="str">
        <f>IF('4. Sem'!$X$8="","",'4. Sem'!$X$8)</f>
        <v/>
      </c>
      <c r="W71" s="586" t="str">
        <f>IF('4. Sem'!$Y$8="","",'4. Sem'!$Y$8)</f>
        <v/>
      </c>
      <c r="X71" s="581" t="str">
        <f>IF('4. Sem'!$Z$8="","",'4. Sem'!$Z$8)</f>
        <v/>
      </c>
      <c r="Y71" s="581" t="str">
        <f>IF('4. Sem'!$AA$8="","",'4. Sem'!$AA$8)</f>
        <v/>
      </c>
      <c r="Z71" s="581" t="str">
        <f>IF('4. Sem'!$AB$8="","",'4. Sem'!$AB$8)</f>
        <v/>
      </c>
      <c r="AA71" s="582" t="str">
        <f>IF('4. Sem'!$AC$8="","",'4. Sem'!$AC$8)</f>
        <v/>
      </c>
      <c r="AB71" s="583" t="str">
        <f>IF('4. Sem'!$AD$8="","",'4. Sem'!$AD$8)</f>
        <v/>
      </c>
      <c r="AC71" s="584" t="str">
        <f>IF('4. Sem'!$AE$8="","",'4. Sem'!$AE$8)</f>
        <v/>
      </c>
      <c r="AD71" s="584" t="str">
        <f>IF('4. Sem'!$AF$8="","",'4. Sem'!$AF$8)</f>
        <v/>
      </c>
      <c r="AE71" s="584" t="str">
        <f>IF('4. Sem'!$AG$8="","",'4. Sem'!$AG$8)</f>
        <v/>
      </c>
      <c r="AF71" s="585" t="str">
        <f>IF('4. Sem'!$AH$8="","",'4. Sem'!$AH$8)</f>
        <v/>
      </c>
      <c r="AG71" s="586" t="str">
        <f>IF('4. Sem'!$AI$8="","",'4. Sem'!$AI$8)</f>
        <v/>
      </c>
      <c r="AH71" s="581" t="str">
        <f>IF('4. Sem'!$AJ$8="","",'4. Sem'!$AJ$8)</f>
        <v/>
      </c>
      <c r="AI71" s="581" t="str">
        <f>IF('4. Sem'!$AK$8="","",'4. Sem'!$AK$8)</f>
        <v/>
      </c>
      <c r="AJ71" s="581" t="str">
        <f>IF('4. Sem'!$AL$8="","",'4. Sem'!$AL$8)</f>
        <v/>
      </c>
      <c r="AK71" s="582" t="str">
        <f>IF('4. Sem'!$AM$8="","",'4. Sem'!$AM$8)</f>
        <v/>
      </c>
      <c r="AL71" s="590" t="str">
        <f>IF('4. Sem'!$AN$8="","",'4. Sem'!$AN$8)</f>
        <v/>
      </c>
      <c r="AM71" s="588" t="str">
        <f>IF('4. Sem'!$AO$8="","",'4. Sem'!$AO$8)</f>
        <v/>
      </c>
      <c r="AN71" s="588" t="str">
        <f>IF('4. Sem'!$AP$8="","",'4. Sem'!$AP$8)</f>
        <v/>
      </c>
      <c r="AO71" s="588" t="str">
        <f>IF('4. Sem'!$AQ$8="","",'4. Sem'!$AQ$8)</f>
        <v/>
      </c>
      <c r="AP71" s="589" t="str">
        <f>IF('4. Sem'!$AR$8="","",'4. Sem'!$AR$8)</f>
        <v/>
      </c>
      <c r="AQ71" s="587" t="str">
        <f>IF('4. Sem'!$AS$8="","",'4. Sem'!$AS$8)</f>
        <v/>
      </c>
      <c r="AR71" s="581" t="str">
        <f>IF('4. Sem'!$AT$8="","",'4. Sem'!$AT$8)</f>
        <v/>
      </c>
      <c r="AS71" s="581" t="str">
        <f>IF('4. Sem'!$AU$8="","",'4. Sem'!$AU$8)</f>
        <v/>
      </c>
      <c r="AT71" s="581" t="str">
        <f>IF('4. Sem'!$AV$8="","",'4. Sem'!$AV$8)</f>
        <v/>
      </c>
      <c r="AU71" s="582" t="str">
        <f>IF('4. Sem'!$AW$8="","",'4. Sem'!$AW$8)</f>
        <v/>
      </c>
      <c r="AV71" s="583" t="str">
        <f>IF('4. Sem'!$AX$8="","",'4. Sem'!$AX$8)</f>
        <v/>
      </c>
      <c r="AW71" s="584" t="str">
        <f>IF('4. Sem'!$AY$8="","",'4. Sem'!$AY$8)</f>
        <v/>
      </c>
      <c r="AX71" s="584" t="str">
        <f>IF('4. Sem'!$AZ$8="","",'4. Sem'!$AZ$8)</f>
        <v/>
      </c>
      <c r="AY71" s="584" t="str">
        <f>IF('4. Sem'!$BA$8="","",'4. Sem'!$BA$8)</f>
        <v/>
      </c>
      <c r="AZ71" s="585" t="str">
        <f>IF('4. Sem'!$BB$8="","",'4. Sem'!$BB$8)</f>
        <v/>
      </c>
      <c r="BA71" s="586" t="str">
        <f>IF('4. Sem'!$BC$8="","",'4. Sem'!$BC$8)</f>
        <v/>
      </c>
      <c r="BB71" s="581" t="str">
        <f>IF('4. Sem'!$BD$8="","",'4. Sem'!$BD$8)</f>
        <v/>
      </c>
      <c r="BC71" s="581" t="str">
        <f>IF('4. Sem'!$BE$8="","",'4. Sem'!$BE$8)</f>
        <v/>
      </c>
      <c r="BD71" s="581" t="str">
        <f>IF('4. Sem'!$BF$8="","",'4. Sem'!$BF$8)</f>
        <v/>
      </c>
      <c r="BE71" s="582" t="str">
        <f>IF('4. Sem'!$BG$8="","",'4. Sem'!$BG$8)</f>
        <v/>
      </c>
      <c r="BF71" s="583" t="str">
        <f>IF('4. Sem'!$BH$8="","",'4. Sem'!$BH$8)</f>
        <v/>
      </c>
      <c r="BG71" s="584" t="str">
        <f>IF('4. Sem'!$BI$8="","",'4. Sem'!$BI$8)</f>
        <v/>
      </c>
      <c r="BH71" s="584" t="str">
        <f>IF('4. Sem'!$BJ$8="","",'4. Sem'!$BJ$8)</f>
        <v/>
      </c>
      <c r="BI71" s="584" t="str">
        <f>IF('4. Sem'!$BK$8="","",'4. Sem'!$BK$8)</f>
        <v/>
      </c>
      <c r="BJ71" s="585" t="str">
        <f>IF('4. Sem'!$BL$8="","",'4. Sem'!$BL$8)</f>
        <v/>
      </c>
      <c r="BK71" s="586" t="str">
        <f>IF('4. Sem'!$BM$8="","",'4. Sem'!$BM$8)</f>
        <v/>
      </c>
      <c r="BL71" s="581" t="str">
        <f>IF('4. Sem'!$BN$8="","",'4. Sem'!$BN$8)</f>
        <v/>
      </c>
      <c r="BM71" s="581" t="str">
        <f>IF('4. Sem'!$BO$8="","",'4. Sem'!$BO$8)</f>
        <v/>
      </c>
      <c r="BN71" s="581" t="str">
        <f>IF('4. Sem'!$BP$8="","",'4. Sem'!$BP$8)</f>
        <v/>
      </c>
      <c r="BO71" s="582" t="str">
        <f>IF('4. Sem'!$BQ$8="","",'4. Sem'!$BQ$8)</f>
        <v/>
      </c>
      <c r="BP71" s="583" t="str">
        <f>IF('4. Sem'!$BR$8="","",'4. Sem'!$BR$8)</f>
        <v/>
      </c>
      <c r="BQ71" s="584" t="str">
        <f>IF('4. Sem'!$BS$8="","",'4. Sem'!$BS$8)</f>
        <v/>
      </c>
      <c r="BR71" s="584" t="str">
        <f>IF('4. Sem'!$BT$8="","",'4. Sem'!$BT$8)</f>
        <v/>
      </c>
      <c r="BS71" s="588" t="str">
        <f>IF('4. Sem'!$BU$8="","",'4. Sem'!$BU$8)</f>
        <v/>
      </c>
      <c r="BT71" s="589" t="str">
        <f>IF('4. Sem'!$BV$8="","",'4. Sem'!$BV$8)</f>
        <v/>
      </c>
      <c r="BU71" s="586" t="str">
        <f>IF('4. Sem'!$BW$8="","",'4. Sem'!$BW$8)</f>
        <v/>
      </c>
      <c r="BV71" s="581" t="str">
        <f>IF('4. Sem'!$BX$8="","",'4. Sem'!$BX$8)</f>
        <v/>
      </c>
      <c r="BW71" s="581" t="str">
        <f>IF('4. Sem'!$BY$8="","",'4. Sem'!$BY$8)</f>
        <v/>
      </c>
      <c r="BX71" s="581" t="str">
        <f>IF('4. Sem'!$BZ$8="","",'4. Sem'!$BZ$8)</f>
        <v/>
      </c>
      <c r="BY71" s="582" t="str">
        <f>IF('4. Sem'!$CA$8="","",'4. Sem'!$CA$8)</f>
        <v/>
      </c>
      <c r="BZ71" s="590" t="str">
        <f>IF('4. Sem'!$CB$8="","",'4. Sem'!$CB$8)</f>
        <v/>
      </c>
      <c r="CA71" s="584" t="str">
        <f>IF('4. Sem'!$CC$8="","",'4. Sem'!$CC$8)</f>
        <v/>
      </c>
      <c r="CB71" s="584" t="str">
        <f>IF('4. Sem'!$CD$8="","",'4. Sem'!$CD$8)</f>
        <v/>
      </c>
      <c r="CC71" s="584" t="str">
        <f>IF('4. Sem'!$CE$8="","",'4. Sem'!$CE$8)</f>
        <v/>
      </c>
      <c r="CD71" s="585" t="str">
        <f>IF('4. Sem'!$CF$8="","",'4. Sem'!$CF$8)</f>
        <v/>
      </c>
      <c r="CE71" s="586" t="str">
        <f>IF('4. Sem'!$CG$8="","",'4. Sem'!$CG$8)</f>
        <v/>
      </c>
      <c r="CF71" s="581" t="str">
        <f>IF('4. Sem'!$CH$8="","",'4. Sem'!$CH$8)</f>
        <v/>
      </c>
      <c r="CG71" s="581" t="str">
        <f>IF('4. Sem'!$CI$8="","",'4. Sem'!$CI$8)</f>
        <v/>
      </c>
      <c r="CH71" s="581" t="str">
        <f>IF('4. Sem'!$CJ$8="","",'4. Sem'!$CJ$8)</f>
        <v/>
      </c>
      <c r="CI71" s="582" t="str">
        <f>IF('4. Sem'!$CK$8="","",'4. Sem'!$CK$8)</f>
        <v/>
      </c>
      <c r="CJ71" s="583" t="str">
        <f>IF('4. Sem'!$CL$8="","",'4. Sem'!$CL$8)</f>
        <v/>
      </c>
      <c r="CK71" s="584" t="str">
        <f>IF('4. Sem'!$CM$8="","",'4. Sem'!$CM$8)</f>
        <v/>
      </c>
      <c r="CL71" s="584" t="str">
        <f>IF('4. Sem'!$CN$8="","",'4. Sem'!$CN$8)</f>
        <v/>
      </c>
      <c r="CM71" s="584" t="str">
        <f>IF('4. Sem'!$CO$8="","",'4. Sem'!$CO$8)</f>
        <v/>
      </c>
      <c r="CN71" s="585" t="str">
        <f>IF('4. Sem'!$CP$8="","",'4. Sem'!$CP$8)</f>
        <v/>
      </c>
      <c r="CO71" s="586" t="str">
        <f>IF('4. Sem'!$CQ$8="","",'4. Sem'!$CQ$8)</f>
        <v/>
      </c>
      <c r="CP71" s="581" t="str">
        <f>IF('4. Sem'!$CR$8="","",'4. Sem'!$CR$8)</f>
        <v/>
      </c>
      <c r="CQ71" s="581" t="str">
        <f>IF('4. Sem'!$CS$8="","",'4. Sem'!$CS$8)</f>
        <v/>
      </c>
      <c r="CR71" s="581" t="str">
        <f>IF('4. Sem'!$CT$8="","",'4. Sem'!$CT$8)</f>
        <v/>
      </c>
      <c r="CS71" s="582" t="str">
        <f>IF('4. Sem'!$CU$8="","",'4. Sem'!$CU$8)</f>
        <v/>
      </c>
      <c r="CT71" s="583" t="str">
        <f>IF('4. Sem'!$CV$8="","",'4. Sem'!$CV$8)</f>
        <v/>
      </c>
      <c r="CU71" s="584" t="str">
        <f>IF('4. Sem'!$CW$8="","",'4. Sem'!$CW$8)</f>
        <v/>
      </c>
      <c r="CV71" s="584" t="str">
        <f>IF('4. Sem'!$CX$8="","",'4. Sem'!$CX$8)</f>
        <v/>
      </c>
      <c r="CW71" s="584" t="str">
        <f>IF('4. Sem'!$CY$8="","",'4. Sem'!$CY$8)</f>
        <v/>
      </c>
      <c r="CX71" s="585" t="str">
        <f>IF('4. Sem'!$CZ$8="","",'4. Sem'!$CZ$8)</f>
        <v/>
      </c>
      <c r="CY71" s="586" t="str">
        <f>IF('4. Sem'!$DA$8="","",'4. Sem'!$DA$8)</f>
        <v/>
      </c>
      <c r="CZ71" s="581" t="str">
        <f>IF('4. Sem'!$DB$8="","",'4. Sem'!$DB$8)</f>
        <v/>
      </c>
      <c r="DA71" s="581" t="str">
        <f>IF('4. Sem'!$DC$8="","",'4. Sem'!$DC$8)</f>
        <v/>
      </c>
      <c r="DB71" s="581" t="str">
        <f>IF('4. Sem'!$DD$8="","",'4. Sem'!$DD$8)</f>
        <v/>
      </c>
      <c r="DC71" s="582" t="str">
        <f>IF('4. Sem'!$DE$8="","",'4. Sem'!$DE$8)</f>
        <v/>
      </c>
    </row>
    <row r="72" spans="1:107" ht="16" customHeight="1" x14ac:dyDescent="0.2">
      <c r="A72" s="566"/>
      <c r="B72" s="579" t="s">
        <v>16</v>
      </c>
      <c r="C72" s="591" t="str">
        <f>IF('4. Sem'!$E$9="","",'4. Sem'!$E$9)</f>
        <v/>
      </c>
      <c r="D72" s="581" t="str">
        <f>IF('4. Sem'!$F$9="","",'4. Sem'!$F$9)</f>
        <v/>
      </c>
      <c r="E72" s="581" t="str">
        <f>IF('4. Sem'!$G$9="","",'4. Sem'!$G$9)</f>
        <v/>
      </c>
      <c r="F72" s="581" t="str">
        <f>IF('4. Sem'!$H$9="","",'4. Sem'!$H$9)</f>
        <v/>
      </c>
      <c r="G72" s="582" t="str">
        <f>IF('4. Sem'!$I$9="","",'4. Sem'!$I$9)</f>
        <v/>
      </c>
      <c r="H72" s="583" t="str">
        <f>IF('4. Sem'!$J$9="","",'4. Sem'!$J$9)</f>
        <v/>
      </c>
      <c r="I72" s="584" t="str">
        <f>IF('4. Sem'!$K$9="","",'4. Sem'!$K$9)</f>
        <v/>
      </c>
      <c r="J72" s="584" t="str">
        <f>IF('4. Sem'!$L$9="","",'4. Sem'!$L$9)</f>
        <v/>
      </c>
      <c r="K72" s="584" t="str">
        <f>IF('4. Sem'!$M$9="","",'4. Sem'!$M$9)</f>
        <v/>
      </c>
      <c r="L72" s="592" t="str">
        <f>IF('4. Sem'!$N$9="","",'4. Sem'!$N$9)</f>
        <v/>
      </c>
      <c r="M72" s="593" t="str">
        <f>IF('4. Sem'!$O$9="","",'4. Sem'!$O$9)</f>
        <v/>
      </c>
      <c r="N72" s="581" t="str">
        <f>IF('4. Sem'!$P$9="","",'4. Sem'!$P$9)</f>
        <v/>
      </c>
      <c r="O72" s="581" t="str">
        <f>IF('4. Sem'!$Q$9="","",'4. Sem'!$Q$9)</f>
        <v/>
      </c>
      <c r="P72" s="581" t="str">
        <f>IF('4. Sem'!$R$9="","",'4. Sem'!$R$9)</f>
        <v/>
      </c>
      <c r="Q72" s="582" t="str">
        <f>IF('4. Sem'!$S$9="","",'4. Sem'!$S$9)</f>
        <v/>
      </c>
      <c r="R72" s="583" t="str">
        <f>IF('4. Sem'!$T$9="","",'4. Sem'!$T$9)</f>
        <v/>
      </c>
      <c r="S72" s="584" t="str">
        <f>IF('4. Sem'!$U$9="","",'4. Sem'!$U$9)</f>
        <v/>
      </c>
      <c r="T72" s="584" t="str">
        <f>IF('4. Sem'!$V$9="","",'4. Sem'!$V$9)</f>
        <v/>
      </c>
      <c r="U72" s="584" t="str">
        <f>IF('4. Sem'!$W$9="","",'4. Sem'!$W$9)</f>
        <v/>
      </c>
      <c r="V72" s="592" t="str">
        <f>IF('4. Sem'!$X$9="","",'4. Sem'!$X$9)</f>
        <v/>
      </c>
      <c r="W72" s="593" t="str">
        <f>IF('4. Sem'!$Y$9="","",'4. Sem'!$Y$9)</f>
        <v/>
      </c>
      <c r="X72" s="581" t="str">
        <f>IF('4. Sem'!$Z$9="","",'4. Sem'!$Z$9)</f>
        <v/>
      </c>
      <c r="Y72" s="581" t="str">
        <f>IF('4. Sem'!$AA$9="","",'4. Sem'!$AA$9)</f>
        <v/>
      </c>
      <c r="Z72" s="581" t="str">
        <f>IF('4. Sem'!$AB$9="","",'4. Sem'!$AB$9)</f>
        <v/>
      </c>
      <c r="AA72" s="582" t="str">
        <f>IF('4. Sem'!$AC$9="","",'4. Sem'!$AC$9)</f>
        <v/>
      </c>
      <c r="AB72" s="583" t="str">
        <f>IF('4. Sem'!$AD$9="","",'4. Sem'!$AD$9)</f>
        <v/>
      </c>
      <c r="AC72" s="584" t="str">
        <f>IF('4. Sem'!$AE$9="","",'4. Sem'!$AE$9)</f>
        <v/>
      </c>
      <c r="AD72" s="584" t="str">
        <f>IF('4. Sem'!$AF$9="","",'4. Sem'!$AF$9)</f>
        <v/>
      </c>
      <c r="AE72" s="584" t="str">
        <f>IF('4. Sem'!$AG$9="","",'4. Sem'!$AG$9)</f>
        <v/>
      </c>
      <c r="AF72" s="592" t="str">
        <f>IF('4. Sem'!$AH$9="","",'4. Sem'!$AH$9)</f>
        <v/>
      </c>
      <c r="AG72" s="593" t="str">
        <f>IF('4. Sem'!$AI$9="","",'4. Sem'!$AI$9)</f>
        <v/>
      </c>
      <c r="AH72" s="581" t="str">
        <f>IF('4. Sem'!$AJ$9="","",'4. Sem'!$AJ$9)</f>
        <v/>
      </c>
      <c r="AI72" s="581" t="str">
        <f>IF('4. Sem'!$AK$9="","",'4. Sem'!$AK$9)</f>
        <v/>
      </c>
      <c r="AJ72" s="581" t="str">
        <f>IF('4. Sem'!$AL$9="","",'4. Sem'!$AL$9)</f>
        <v/>
      </c>
      <c r="AK72" s="582" t="str">
        <f>IF('4. Sem'!$AM$9="","",'4. Sem'!$AM$9)</f>
        <v/>
      </c>
      <c r="AL72" s="590" t="str">
        <f>IF('4. Sem'!$AN$9="","",'4. Sem'!$AN$9)</f>
        <v/>
      </c>
      <c r="AM72" s="588" t="str">
        <f>IF('4. Sem'!$AO$9="","",'4. Sem'!$AO$9)</f>
        <v/>
      </c>
      <c r="AN72" s="588" t="str">
        <f>IF('4. Sem'!$AP$9="","",'4. Sem'!$AP$9)</f>
        <v/>
      </c>
      <c r="AO72" s="588" t="str">
        <f>IF('4. Sem'!$AQ$9="","",'4. Sem'!$AQ$9)</f>
        <v/>
      </c>
      <c r="AP72" s="595" t="str">
        <f>IF('4. Sem'!$AR$9="","",'4. Sem'!$AR$9)</f>
        <v/>
      </c>
      <c r="AQ72" s="594" t="str">
        <f>IF('4. Sem'!$AS$9="","",'4. Sem'!$AS$9)</f>
        <v/>
      </c>
      <c r="AR72" s="581" t="str">
        <f>IF('4. Sem'!$AT$9="","",'4. Sem'!$AT$9)</f>
        <v/>
      </c>
      <c r="AS72" s="581" t="str">
        <f>IF('4. Sem'!$AU$9="","",'4. Sem'!$AU$9)</f>
        <v/>
      </c>
      <c r="AT72" s="581" t="str">
        <f>IF('4. Sem'!$AV$9="","",'4. Sem'!$AV$9)</f>
        <v/>
      </c>
      <c r="AU72" s="582" t="str">
        <f>IF('4. Sem'!$AW$9="","",'4. Sem'!$AW$9)</f>
        <v/>
      </c>
      <c r="AV72" s="583" t="str">
        <f>IF('4. Sem'!$AX$9="","",'4. Sem'!$AX$9)</f>
        <v/>
      </c>
      <c r="AW72" s="584" t="str">
        <f>IF('4. Sem'!$AY$9="","",'4. Sem'!$AY$9)</f>
        <v/>
      </c>
      <c r="AX72" s="584" t="str">
        <f>IF('4. Sem'!$AZ$9="","",'4. Sem'!$AZ$9)</f>
        <v/>
      </c>
      <c r="AY72" s="584" t="str">
        <f>IF('4. Sem'!$BA$9="","",'4. Sem'!$BA$9)</f>
        <v/>
      </c>
      <c r="AZ72" s="592" t="str">
        <f>IF('4. Sem'!$BB$9="","",'4. Sem'!$BB$9)</f>
        <v/>
      </c>
      <c r="BA72" s="593" t="str">
        <f>IF('4. Sem'!$BC$9="","",'4. Sem'!$BC$9)</f>
        <v/>
      </c>
      <c r="BB72" s="581" t="str">
        <f>IF('4. Sem'!$BD$9="","",'4. Sem'!$BD$9)</f>
        <v/>
      </c>
      <c r="BC72" s="581" t="str">
        <f>IF('4. Sem'!$BE$9="","",'4. Sem'!$BE$9)</f>
        <v/>
      </c>
      <c r="BD72" s="581" t="str">
        <f>IF('4. Sem'!$BF$9="","",'4. Sem'!$BF$9)</f>
        <v/>
      </c>
      <c r="BE72" s="582" t="str">
        <f>IF('4. Sem'!$BG$9="","",'4. Sem'!$BG$9)</f>
        <v/>
      </c>
      <c r="BF72" s="583" t="str">
        <f>IF('4. Sem'!$BH$9="","",'4. Sem'!$BH$9)</f>
        <v/>
      </c>
      <c r="BG72" s="584" t="str">
        <f>IF('4. Sem'!$BI$9="","",'4. Sem'!$BI$9)</f>
        <v/>
      </c>
      <c r="BH72" s="584" t="str">
        <f>IF('4. Sem'!$BJ$9="","",'4. Sem'!$BJ$9)</f>
        <v/>
      </c>
      <c r="BI72" s="584" t="str">
        <f>IF('4. Sem'!$BK$9="","",'4. Sem'!$BK$9)</f>
        <v/>
      </c>
      <c r="BJ72" s="592" t="str">
        <f>IF('4. Sem'!$BL$9="","",'4. Sem'!$BL$9)</f>
        <v/>
      </c>
      <c r="BK72" s="593" t="str">
        <f>IF('4. Sem'!$BM$9="","",'4. Sem'!$BM$9)</f>
        <v/>
      </c>
      <c r="BL72" s="581" t="str">
        <f>IF('4. Sem'!$BN$9="","",'4. Sem'!$BN$9)</f>
        <v/>
      </c>
      <c r="BM72" s="581" t="str">
        <f>IF('4. Sem'!$BO$9="","",'4. Sem'!$BO$9)</f>
        <v/>
      </c>
      <c r="BN72" s="581" t="str">
        <f>IF('4. Sem'!$BP$9="","",'4. Sem'!$BP$9)</f>
        <v/>
      </c>
      <c r="BO72" s="582" t="str">
        <f>IF('4. Sem'!$BQ$9="","",'4. Sem'!$BQ$9)</f>
        <v/>
      </c>
      <c r="BP72" s="583" t="str">
        <f>IF('4. Sem'!$BR$9="","",'4. Sem'!$BR$9)</f>
        <v/>
      </c>
      <c r="BQ72" s="584" t="str">
        <f>IF('4. Sem'!$BS$9="","",'4. Sem'!$BS$9)</f>
        <v/>
      </c>
      <c r="BR72" s="584" t="str">
        <f>IF('4. Sem'!$BT$9="","",'4. Sem'!$BT$9)</f>
        <v/>
      </c>
      <c r="BS72" s="588" t="str">
        <f>IF('4. Sem'!$BU$9="","",'4. Sem'!$BU$9)</f>
        <v/>
      </c>
      <c r="BT72" s="595" t="str">
        <f>IF('4. Sem'!$BV$9="","",'4. Sem'!$BV$9)</f>
        <v/>
      </c>
      <c r="BU72" s="593" t="str">
        <f>IF('4. Sem'!$BW$9="","",'4. Sem'!$BW$9)</f>
        <v/>
      </c>
      <c r="BV72" s="581" t="str">
        <f>IF('4. Sem'!$BX$9="","",'4. Sem'!$BX$9)</f>
        <v/>
      </c>
      <c r="BW72" s="581" t="str">
        <f>IF('4. Sem'!$BY$9="","",'4. Sem'!$BY$9)</f>
        <v/>
      </c>
      <c r="BX72" s="581" t="str">
        <f>IF('4. Sem'!$BZ$9="","",'4. Sem'!$BZ$9)</f>
        <v/>
      </c>
      <c r="BY72" s="582" t="str">
        <f>IF('4. Sem'!$CA$9="","",'4. Sem'!$CA$9)</f>
        <v/>
      </c>
      <c r="BZ72" s="590" t="str">
        <f>IF('4. Sem'!$CB$9="","",'4. Sem'!$CB$9)</f>
        <v/>
      </c>
      <c r="CA72" s="584" t="str">
        <f>IF('4. Sem'!$CC$9="","",'4. Sem'!$CC$9)</f>
        <v/>
      </c>
      <c r="CB72" s="584" t="str">
        <f>IF('4. Sem'!$CD$9="","",'4. Sem'!$CD$9)</f>
        <v/>
      </c>
      <c r="CC72" s="584" t="str">
        <f>IF('4. Sem'!$CE$9="","",'4. Sem'!$CE$9)</f>
        <v/>
      </c>
      <c r="CD72" s="592" t="str">
        <f>IF('4. Sem'!$CF$9="","",'4. Sem'!$CF$9)</f>
        <v/>
      </c>
      <c r="CE72" s="593" t="str">
        <f>IF('4. Sem'!$CG$9="","",'4. Sem'!$CG$9)</f>
        <v/>
      </c>
      <c r="CF72" s="581" t="str">
        <f>IF('4. Sem'!$CH$9="","",'4. Sem'!$CH$9)</f>
        <v/>
      </c>
      <c r="CG72" s="581" t="str">
        <f>IF('4. Sem'!$CI$9="","",'4. Sem'!$CI$9)</f>
        <v/>
      </c>
      <c r="CH72" s="581" t="str">
        <f>IF('4. Sem'!$CJ$9="","",'4. Sem'!$CJ$9)</f>
        <v/>
      </c>
      <c r="CI72" s="582" t="str">
        <f>IF('4. Sem'!$CK$9="","",'4. Sem'!$CK$9)</f>
        <v/>
      </c>
      <c r="CJ72" s="583" t="str">
        <f>IF('4. Sem'!$CL$9="","",'4. Sem'!$CL$9)</f>
        <v/>
      </c>
      <c r="CK72" s="584" t="str">
        <f>IF('4. Sem'!$CM$9="","",'4. Sem'!$CM$9)</f>
        <v/>
      </c>
      <c r="CL72" s="584" t="str">
        <f>IF('4. Sem'!$CN$9="","",'4. Sem'!$CN$9)</f>
        <v/>
      </c>
      <c r="CM72" s="584" t="str">
        <f>IF('4. Sem'!$CO$9="","",'4. Sem'!$CO$9)</f>
        <v/>
      </c>
      <c r="CN72" s="592" t="str">
        <f>IF('4. Sem'!$CP$9="","",'4. Sem'!$CP$9)</f>
        <v/>
      </c>
      <c r="CO72" s="593" t="str">
        <f>IF('4. Sem'!$CQ$9="","",'4. Sem'!$CQ$9)</f>
        <v/>
      </c>
      <c r="CP72" s="581" t="str">
        <f>IF('4. Sem'!$CR$9="","",'4. Sem'!$CR$9)</f>
        <v/>
      </c>
      <c r="CQ72" s="581" t="str">
        <f>IF('4. Sem'!$CS$9="","",'4. Sem'!$CS$9)</f>
        <v/>
      </c>
      <c r="CR72" s="581" t="str">
        <f>IF('4. Sem'!$CT$9="","",'4. Sem'!$CT$9)</f>
        <v/>
      </c>
      <c r="CS72" s="582" t="str">
        <f>IF('4. Sem'!$CU$9="","",'4. Sem'!$CU$9)</f>
        <v/>
      </c>
      <c r="CT72" s="583" t="str">
        <f>IF('4. Sem'!$CV$9="","",'4. Sem'!$CV$9)</f>
        <v/>
      </c>
      <c r="CU72" s="584" t="str">
        <f>IF('4. Sem'!$CW$9="","",'4. Sem'!$CW$9)</f>
        <v/>
      </c>
      <c r="CV72" s="584" t="str">
        <f>IF('4. Sem'!$CX$9="","",'4. Sem'!$CX$9)</f>
        <v/>
      </c>
      <c r="CW72" s="584" t="str">
        <f>IF('4. Sem'!$CY$9="","",'4. Sem'!$CY$9)</f>
        <v/>
      </c>
      <c r="CX72" s="592" t="str">
        <f>IF('4. Sem'!$CZ$9="","",'4. Sem'!$CZ$9)</f>
        <v/>
      </c>
      <c r="CY72" s="593" t="str">
        <f>IF('4. Sem'!$DA$9="","",'4. Sem'!$DA$9)</f>
        <v/>
      </c>
      <c r="CZ72" s="581" t="str">
        <f>IF('4. Sem'!$DB$9="","",'4. Sem'!$DB$9)</f>
        <v/>
      </c>
      <c r="DA72" s="581" t="str">
        <f>IF('4. Sem'!$DC$9="","",'4. Sem'!$DC$9)</f>
        <v/>
      </c>
      <c r="DB72" s="581" t="str">
        <f>IF('4. Sem'!$DD$9="","",'4. Sem'!$DD$9)</f>
        <v/>
      </c>
      <c r="DC72" s="582" t="str">
        <f>IF('4. Sem'!$DE$9="","",'4. Sem'!$DE$9)</f>
        <v/>
      </c>
    </row>
    <row r="73" spans="1:107" ht="17" customHeight="1" thickBot="1" x14ac:dyDescent="0.25">
      <c r="A73" s="566"/>
      <c r="B73" s="579" t="s">
        <v>17</v>
      </c>
      <c r="C73" s="591" t="str">
        <f>IF('4. Sem'!$E$10="","",'4. Sem'!$E$10)</f>
        <v/>
      </c>
      <c r="D73" s="581" t="str">
        <f>IF('4. Sem'!$F$10="","",'4. Sem'!$F$10)</f>
        <v/>
      </c>
      <c r="E73" s="581" t="str">
        <f>IF('4. Sem'!$G$10="","",'4. Sem'!$G$10)</f>
        <v/>
      </c>
      <c r="F73" s="581" t="str">
        <f>IF('4. Sem'!$H$10="","",'4. Sem'!$H$10)</f>
        <v/>
      </c>
      <c r="G73" s="582" t="str">
        <f>IF('4. Sem'!$I$10="","",'4. Sem'!$I$10)</f>
        <v/>
      </c>
      <c r="H73" s="583" t="str">
        <f>IF('4. Sem'!$J$10="","",'4. Sem'!$J$10)</f>
        <v/>
      </c>
      <c r="I73" s="584" t="str">
        <f>IF('4. Sem'!$K$10="","",'4. Sem'!$K$10)</f>
        <v/>
      </c>
      <c r="J73" s="584" t="str">
        <f>IF('4. Sem'!$L$10="","",'4. Sem'!$L$10)</f>
        <v/>
      </c>
      <c r="K73" s="584" t="str">
        <f>IF('4. Sem'!$M$10="","",'4. Sem'!$M$10)</f>
        <v/>
      </c>
      <c r="L73" s="592" t="str">
        <f>IF('4. Sem'!$N$10="","",'4. Sem'!$N$10)</f>
        <v/>
      </c>
      <c r="M73" s="593" t="str">
        <f>IF('4. Sem'!$O$10="","",'4. Sem'!$O$10)</f>
        <v/>
      </c>
      <c r="N73" s="581" t="str">
        <f>IF('4. Sem'!$P$10="","",'4. Sem'!$P$10)</f>
        <v/>
      </c>
      <c r="O73" s="581" t="str">
        <f>IF('4. Sem'!$Q$10="","",'4. Sem'!$Q$10)</f>
        <v/>
      </c>
      <c r="P73" s="581" t="str">
        <f>IF('4. Sem'!$R$10="","",'4. Sem'!$R$10)</f>
        <v/>
      </c>
      <c r="Q73" s="582" t="str">
        <f>IF('4. Sem'!$S$10="","",'4. Sem'!$S$10)</f>
        <v/>
      </c>
      <c r="R73" s="583" t="str">
        <f>IF('4. Sem'!$T$10="","",'4. Sem'!$T$10)</f>
        <v/>
      </c>
      <c r="S73" s="584" t="str">
        <f>IF('4. Sem'!$U$10="","",'4. Sem'!$U$10)</f>
        <v/>
      </c>
      <c r="T73" s="584" t="str">
        <f>IF('4. Sem'!$V$10="","",'4. Sem'!$V$10)</f>
        <v/>
      </c>
      <c r="U73" s="584" t="str">
        <f>IF('4. Sem'!$W$10="","",'4. Sem'!$W$10)</f>
        <v/>
      </c>
      <c r="V73" s="592" t="str">
        <f>IF('4. Sem'!$X$10="","",'4. Sem'!$X$10)</f>
        <v/>
      </c>
      <c r="W73" s="593" t="str">
        <f>IF('4. Sem'!$Y$10="","",'4. Sem'!$Y$10)</f>
        <v/>
      </c>
      <c r="X73" s="581" t="str">
        <f>IF('4. Sem'!$Z$10="","",'4. Sem'!$Z$10)</f>
        <v/>
      </c>
      <c r="Y73" s="581" t="str">
        <f>IF('4. Sem'!$AA$10="","",'4. Sem'!$AA$10)</f>
        <v/>
      </c>
      <c r="Z73" s="581" t="str">
        <f>IF('4. Sem'!$AB$10="","",'4. Sem'!$AB$10)</f>
        <v/>
      </c>
      <c r="AA73" s="582" t="str">
        <f>IF('4. Sem'!$AC$10="","",'4. Sem'!$AC$10)</f>
        <v/>
      </c>
      <c r="AB73" s="583" t="str">
        <f>IF('4. Sem'!$AD$10="","",'4. Sem'!$AD$10)</f>
        <v/>
      </c>
      <c r="AC73" s="584" t="str">
        <f>IF('4. Sem'!$AE$10="","",'4. Sem'!$AE$10)</f>
        <v/>
      </c>
      <c r="AD73" s="584" t="str">
        <f>IF('4. Sem'!$AF$10="","",'4. Sem'!$AF$10)</f>
        <v/>
      </c>
      <c r="AE73" s="584" t="str">
        <f>IF('4. Sem'!$AG$10="","",'4. Sem'!$AG$10)</f>
        <v/>
      </c>
      <c r="AF73" s="592" t="str">
        <f>IF('4. Sem'!$AH$10="","",'4. Sem'!$AH$10)</f>
        <v/>
      </c>
      <c r="AG73" s="593" t="str">
        <f>IF('4. Sem'!$AI$10="","",'4. Sem'!$AI$10)</f>
        <v/>
      </c>
      <c r="AH73" s="581" t="str">
        <f>IF('4. Sem'!$AJ$10="","",'4. Sem'!$AJ$10)</f>
        <v/>
      </c>
      <c r="AI73" s="581" t="str">
        <f>IF('4. Sem'!$AK$10="","",'4. Sem'!$AK$10)</f>
        <v/>
      </c>
      <c r="AJ73" s="581" t="str">
        <f>IF('4. Sem'!$AL$10="","",'4. Sem'!$AL$10)</f>
        <v/>
      </c>
      <c r="AK73" s="582" t="str">
        <f>IF('4. Sem'!$AM$10="","",'4. Sem'!$AM$10)</f>
        <v/>
      </c>
      <c r="AL73" s="590" t="str">
        <f>IF('4. Sem'!$AN$10="","",'4. Sem'!$AN$10)</f>
        <v/>
      </c>
      <c r="AM73" s="588" t="str">
        <f>IF('4. Sem'!$AO$10="","",'4. Sem'!$AO$10)</f>
        <v/>
      </c>
      <c r="AN73" s="588" t="str">
        <f>IF('4. Sem'!$AP$10="","",'4. Sem'!$AP$10)</f>
        <v/>
      </c>
      <c r="AO73" s="588" t="str">
        <f>IF('4. Sem'!$AQ$10="","",'4. Sem'!$AQ$10)</f>
        <v/>
      </c>
      <c r="AP73" s="595" t="str">
        <f>IF('4. Sem'!$AR$10="","",'4. Sem'!$AR$10)</f>
        <v/>
      </c>
      <c r="AQ73" s="594" t="str">
        <f>IF('4. Sem'!$AS$10="","",'4. Sem'!$AS$10)</f>
        <v/>
      </c>
      <c r="AR73" s="581" t="str">
        <f>IF('4. Sem'!$AT$10="","",'4. Sem'!$AT$10)</f>
        <v/>
      </c>
      <c r="AS73" s="581" t="str">
        <f>IF('4. Sem'!$AU$10="","",'4. Sem'!$AU$10)</f>
        <v/>
      </c>
      <c r="AT73" s="581" t="str">
        <f>IF('4. Sem'!$AV$10="","",'4. Sem'!$AV$10)</f>
        <v/>
      </c>
      <c r="AU73" s="582" t="str">
        <f>IF('4. Sem'!$AW$10="","",'4. Sem'!$AW$10)</f>
        <v/>
      </c>
      <c r="AV73" s="583" t="str">
        <f>IF('4. Sem'!$AX$10="","",'4. Sem'!$AX$10)</f>
        <v/>
      </c>
      <c r="AW73" s="584" t="str">
        <f>IF('4. Sem'!$AY$10="","",'4. Sem'!$AY$10)</f>
        <v/>
      </c>
      <c r="AX73" s="584" t="str">
        <f>IF('4. Sem'!$AZ$10="","",'4. Sem'!$AZ$10)</f>
        <v/>
      </c>
      <c r="AY73" s="584" t="str">
        <f>IF('4. Sem'!$BA$10="","",'4. Sem'!$BA$10)</f>
        <v/>
      </c>
      <c r="AZ73" s="592" t="str">
        <f>IF('4. Sem'!$BB$10="","",'4. Sem'!$BB$10)</f>
        <v/>
      </c>
      <c r="BA73" s="593" t="str">
        <f>IF('4. Sem'!$BC$10="","",'4. Sem'!$BC$10)</f>
        <v/>
      </c>
      <c r="BB73" s="581" t="str">
        <f>IF('4. Sem'!$BD$10="","",'4. Sem'!$BD$10)</f>
        <v/>
      </c>
      <c r="BC73" s="581" t="str">
        <f>IF('4. Sem'!$BE$10="","",'4. Sem'!$BE$10)</f>
        <v/>
      </c>
      <c r="BD73" s="581" t="str">
        <f>IF('4. Sem'!$BF$10="","",'4. Sem'!$BF$10)</f>
        <v/>
      </c>
      <c r="BE73" s="582" t="str">
        <f>IF('4. Sem'!$BG$10="","",'4. Sem'!$BG$10)</f>
        <v/>
      </c>
      <c r="BF73" s="583" t="str">
        <f>IF('4. Sem'!$BH$10="","",'4. Sem'!$BH$10)</f>
        <v/>
      </c>
      <c r="BG73" s="584" t="str">
        <f>IF('4. Sem'!$BI$10="","",'4. Sem'!$BI$10)</f>
        <v/>
      </c>
      <c r="BH73" s="584" t="str">
        <f>IF('4. Sem'!$BJ$10="","",'4. Sem'!$BJ$10)</f>
        <v/>
      </c>
      <c r="BI73" s="584" t="str">
        <f>IF('4. Sem'!$BK$10="","",'4. Sem'!$BK$10)</f>
        <v/>
      </c>
      <c r="BJ73" s="592" t="str">
        <f>IF('4. Sem'!$BL$10="","",'4. Sem'!$BL$10)</f>
        <v/>
      </c>
      <c r="BK73" s="593" t="str">
        <f>IF('4. Sem'!$BM$10="","",'4. Sem'!$BM$10)</f>
        <v/>
      </c>
      <c r="BL73" s="581" t="str">
        <f>IF('4. Sem'!$BN$10="","",'4. Sem'!$BN$10)</f>
        <v/>
      </c>
      <c r="BM73" s="581" t="str">
        <f>IF('4. Sem'!$BO$10="","",'4. Sem'!$BO$10)</f>
        <v/>
      </c>
      <c r="BN73" s="581" t="str">
        <f>IF('4. Sem'!$BP$10="","",'4. Sem'!$BP$10)</f>
        <v/>
      </c>
      <c r="BO73" s="582" t="str">
        <f>IF('4. Sem'!$BQ$10="","",'4. Sem'!$BQ$10)</f>
        <v/>
      </c>
      <c r="BP73" s="583" t="str">
        <f>IF('4. Sem'!$BR$10="","",'4. Sem'!$BR$10)</f>
        <v/>
      </c>
      <c r="BQ73" s="584" t="str">
        <f>IF('4. Sem'!$BS$10="","",'4. Sem'!$BS$10)</f>
        <v/>
      </c>
      <c r="BR73" s="584" t="str">
        <f>IF('4. Sem'!$BT$10="","",'4. Sem'!$BT$10)</f>
        <v/>
      </c>
      <c r="BS73" s="588" t="str">
        <f>IF('4. Sem'!$BU$10="","",'4. Sem'!$BU$10)</f>
        <v/>
      </c>
      <c r="BT73" s="595" t="str">
        <f>IF('4. Sem'!$BV$10="","",'4. Sem'!$BV$10)</f>
        <v/>
      </c>
      <c r="BU73" s="593" t="str">
        <f>IF('4. Sem'!$BW$10="","",'4. Sem'!$BW$10)</f>
        <v/>
      </c>
      <c r="BV73" s="581" t="str">
        <f>IF('4. Sem'!$BX$10="","",'4. Sem'!$BX$10)</f>
        <v/>
      </c>
      <c r="BW73" s="581" t="str">
        <f>IF('4. Sem'!$BY$10="","",'4. Sem'!$BY$10)</f>
        <v/>
      </c>
      <c r="BX73" s="581" t="str">
        <f>IF('4. Sem'!$BZ$10="","",'4. Sem'!$BZ$10)</f>
        <v/>
      </c>
      <c r="BY73" s="582" t="str">
        <f>IF('4. Sem'!$CA$10="","",'4. Sem'!$CA$10)</f>
        <v/>
      </c>
      <c r="BZ73" s="590" t="str">
        <f>IF('4. Sem'!$CB$10="","",'4. Sem'!$CB$10)</f>
        <v/>
      </c>
      <c r="CA73" s="584" t="str">
        <f>IF('4. Sem'!$CC$10="","",'4. Sem'!$CC$10)</f>
        <v/>
      </c>
      <c r="CB73" s="584" t="str">
        <f>IF('4. Sem'!$CD$10="","",'4. Sem'!$CD$10)</f>
        <v/>
      </c>
      <c r="CC73" s="584" t="str">
        <f>IF('4. Sem'!$CE$10="","",'4. Sem'!$CE$10)</f>
        <v/>
      </c>
      <c r="CD73" s="592" t="str">
        <f>IF('4. Sem'!$CF$10="","",'4. Sem'!$CF$10)</f>
        <v/>
      </c>
      <c r="CE73" s="593" t="str">
        <f>IF('4. Sem'!$CG$10="","",'4. Sem'!$CG$10)</f>
        <v/>
      </c>
      <c r="CF73" s="581" t="str">
        <f>IF('4. Sem'!$CH$10="","",'4. Sem'!$CH$10)</f>
        <v/>
      </c>
      <c r="CG73" s="581" t="str">
        <f>IF('4. Sem'!$CI$10="","",'4. Sem'!$CI$10)</f>
        <v/>
      </c>
      <c r="CH73" s="581" t="str">
        <f>IF('4. Sem'!$CJ$10="","",'4. Sem'!$CJ$10)</f>
        <v/>
      </c>
      <c r="CI73" s="582" t="str">
        <f>IF('4. Sem'!$CK$10="","",'4. Sem'!$CK$10)</f>
        <v/>
      </c>
      <c r="CJ73" s="583" t="str">
        <f>IF('4. Sem'!$CL$10="","",'4. Sem'!$CL$10)</f>
        <v/>
      </c>
      <c r="CK73" s="584" t="str">
        <f>IF('4. Sem'!$CM$10="","",'4. Sem'!$CM$10)</f>
        <v/>
      </c>
      <c r="CL73" s="584" t="str">
        <f>IF('4. Sem'!$CN$10="","",'4. Sem'!$CN$10)</f>
        <v/>
      </c>
      <c r="CM73" s="584" t="str">
        <f>IF('4. Sem'!$CO$10="","",'4. Sem'!$CO$10)</f>
        <v/>
      </c>
      <c r="CN73" s="592" t="str">
        <f>IF('4. Sem'!$CP$10="","",'4. Sem'!$CP$10)</f>
        <v/>
      </c>
      <c r="CO73" s="593" t="str">
        <f>IF('4. Sem'!$CQ$10="","",'4. Sem'!$CQ$10)</f>
        <v/>
      </c>
      <c r="CP73" s="581" t="str">
        <f>IF('4. Sem'!$CR$10="","",'4. Sem'!$CR$10)</f>
        <v/>
      </c>
      <c r="CQ73" s="581" t="str">
        <f>IF('4. Sem'!$CS$10="","",'4. Sem'!$CS$10)</f>
        <v/>
      </c>
      <c r="CR73" s="581" t="str">
        <f>IF('4. Sem'!$CT$10="","",'4. Sem'!$CT$10)</f>
        <v/>
      </c>
      <c r="CS73" s="582" t="str">
        <f>IF('4. Sem'!$CU$10="","",'4. Sem'!$CU$10)</f>
        <v/>
      </c>
      <c r="CT73" s="583" t="str">
        <f>IF('4. Sem'!$CV$10="","",'4. Sem'!$CV$10)</f>
        <v/>
      </c>
      <c r="CU73" s="584" t="str">
        <f>IF('4. Sem'!$CW$10="","",'4. Sem'!$CW$10)</f>
        <v/>
      </c>
      <c r="CV73" s="584" t="str">
        <f>IF('4. Sem'!$CX$10="","",'4. Sem'!$CX$10)</f>
        <v/>
      </c>
      <c r="CW73" s="584" t="str">
        <f>IF('4. Sem'!$CY$10="","",'4. Sem'!$CY$10)</f>
        <v/>
      </c>
      <c r="CX73" s="592" t="str">
        <f>IF('4. Sem'!$CZ$10="","",'4. Sem'!$CZ$10)</f>
        <v/>
      </c>
      <c r="CY73" s="593" t="str">
        <f>IF('4. Sem'!$DA$10="","",'4. Sem'!$DA$10)</f>
        <v/>
      </c>
      <c r="CZ73" s="581" t="str">
        <f>IF('4. Sem'!$DB$10="","",'4. Sem'!$DB$10)</f>
        <v/>
      </c>
      <c r="DA73" s="581" t="str">
        <f>IF('4. Sem'!$DC$10="","",'4. Sem'!$DC$10)</f>
        <v/>
      </c>
      <c r="DB73" s="581" t="str">
        <f>IF('4. Sem'!$DD$10="","",'4. Sem'!$DD$10)</f>
        <v/>
      </c>
      <c r="DC73" s="582" t="str">
        <f>IF('4. Sem'!$DE$10="","",'4. Sem'!$DE$10)</f>
        <v/>
      </c>
    </row>
    <row r="74" spans="1:107" ht="17" customHeight="1" thickBot="1" x14ac:dyDescent="0.25">
      <c r="A74" s="566"/>
      <c r="B74" s="579" t="s">
        <v>18</v>
      </c>
      <c r="C74" s="596" t="str">
        <f>IF('4. Sem'!$E$11="","",'4. Sem'!$E$11)</f>
        <v/>
      </c>
      <c r="D74" s="597" t="str">
        <f>IF('4. Sem'!$F$11="","",'4. Sem'!$F$11)</f>
        <v/>
      </c>
      <c r="E74" s="597" t="str">
        <f>IF('4. Sem'!$G$11="","",'4. Sem'!$G$11)</f>
        <v/>
      </c>
      <c r="F74" s="597" t="str">
        <f>IF('4. Sem'!$H$11="","",'4. Sem'!$H$11)</f>
        <v/>
      </c>
      <c r="G74" s="598" t="str">
        <f>IF('4. Sem'!$I$11="","",'4. Sem'!$I$11)</f>
        <v/>
      </c>
      <c r="H74" s="599" t="str">
        <f>IF('4. Sem'!$J$11="","",'4. Sem'!$J$11)</f>
        <v/>
      </c>
      <c r="I74" s="600" t="str">
        <f>IF('4. Sem'!$K$11="","",'4. Sem'!$K$11)</f>
        <v/>
      </c>
      <c r="J74" s="600" t="str">
        <f>IF('4. Sem'!$L$11="","",'4. Sem'!$L$11)</f>
        <v/>
      </c>
      <c r="K74" s="600" t="str">
        <f>IF('4. Sem'!$M$11="","",'4. Sem'!$M$11)</f>
        <v/>
      </c>
      <c r="L74" s="601" t="str">
        <f>IF('4. Sem'!$N$11="","",'4. Sem'!$N$11)</f>
        <v/>
      </c>
      <c r="M74" s="596" t="str">
        <f>IF('4. Sem'!$O$11="","",'4. Sem'!$O$11)</f>
        <v/>
      </c>
      <c r="N74" s="597" t="str">
        <f>IF('4. Sem'!$P$11="","",'4. Sem'!$P$11)</f>
        <v/>
      </c>
      <c r="O74" s="597" t="str">
        <f>IF('4. Sem'!$Q$11="","",'4. Sem'!$Q$11)</f>
        <v/>
      </c>
      <c r="P74" s="597" t="str">
        <f>IF('4. Sem'!$R$11="","",'4. Sem'!$R$11)</f>
        <v/>
      </c>
      <c r="Q74" s="598" t="str">
        <f>IF('4. Sem'!$S$11="","",'4. Sem'!$S$11)</f>
        <v/>
      </c>
      <c r="R74" s="599" t="str">
        <f>IF('4. Sem'!$T$11="","",'4. Sem'!$T$11)</f>
        <v/>
      </c>
      <c r="S74" s="600" t="str">
        <f>IF('4. Sem'!$U$11="","",'4. Sem'!$U$11)</f>
        <v/>
      </c>
      <c r="T74" s="600" t="str">
        <f>IF('4. Sem'!$V$11="","",'4. Sem'!$V$11)</f>
        <v/>
      </c>
      <c r="U74" s="600" t="str">
        <f>IF('4. Sem'!$W$11="","",'4. Sem'!$W$11)</f>
        <v/>
      </c>
      <c r="V74" s="601" t="str">
        <f>IF('4. Sem'!$X$11="","",'4. Sem'!$X$11)</f>
        <v/>
      </c>
      <c r="W74" s="596" t="str">
        <f>IF('4. Sem'!$Y$11="","",'4. Sem'!$Y$11)</f>
        <v/>
      </c>
      <c r="X74" s="597" t="str">
        <f>IF('4. Sem'!$Z$11="","",'4. Sem'!$Z$11)</f>
        <v/>
      </c>
      <c r="Y74" s="597" t="str">
        <f>IF('4. Sem'!$AA$11="","",'4. Sem'!$AA$11)</f>
        <v/>
      </c>
      <c r="Z74" s="597" t="str">
        <f>IF('4. Sem'!$AB$11="","",'4. Sem'!$AB$11)</f>
        <v/>
      </c>
      <c r="AA74" s="598" t="str">
        <f>IF('4. Sem'!$AC$11="","",'4. Sem'!$AC$11)</f>
        <v/>
      </c>
      <c r="AB74" s="599" t="str">
        <f>IF('4. Sem'!$AD$11="","",'4. Sem'!$AD$11)</f>
        <v/>
      </c>
      <c r="AC74" s="600" t="str">
        <f>IF('4. Sem'!$AE$11="","",'4. Sem'!$AE$11)</f>
        <v/>
      </c>
      <c r="AD74" s="600" t="str">
        <f>IF('4. Sem'!$AF$11="","",'4. Sem'!$AF$11)</f>
        <v/>
      </c>
      <c r="AE74" s="600" t="str">
        <f>IF('4. Sem'!$AG$11="","",'4. Sem'!$AG$11)</f>
        <v/>
      </c>
      <c r="AF74" s="601" t="str">
        <f>IF('4. Sem'!$AH$11="","",'4. Sem'!$AH$11)</f>
        <v/>
      </c>
      <c r="AG74" s="596" t="str">
        <f>IF('4. Sem'!$AI$11="","",'4. Sem'!$AI$11)</f>
        <v/>
      </c>
      <c r="AH74" s="597" t="str">
        <f>IF('4. Sem'!$AJ$11="","",'4. Sem'!$AJ$11)</f>
        <v/>
      </c>
      <c r="AI74" s="597" t="str">
        <f>IF('4. Sem'!$AK$11="","",'4. Sem'!$AK$11)</f>
        <v/>
      </c>
      <c r="AJ74" s="597" t="str">
        <f>IF('4. Sem'!$AL$11="","",'4. Sem'!$AL$11)</f>
        <v/>
      </c>
      <c r="AK74" s="598" t="str">
        <f>IF('4. Sem'!$AM$11="","",'4. Sem'!$AM$11)</f>
        <v/>
      </c>
      <c r="AL74" s="605" t="str">
        <f>IF('4. Sem'!$AN$11="","",'4. Sem'!$AN$11)</f>
        <v/>
      </c>
      <c r="AM74" s="603" t="str">
        <f>IF('4. Sem'!$AO$11="","",'4. Sem'!$AO$11)</f>
        <v/>
      </c>
      <c r="AN74" s="603" t="str">
        <f>IF('4. Sem'!$AP$11="","",'4. Sem'!$AP$11)</f>
        <v/>
      </c>
      <c r="AO74" s="603" t="str">
        <f>IF('4. Sem'!$AQ$11="","",'4. Sem'!$AQ$11)</f>
        <v/>
      </c>
      <c r="AP74" s="604" t="str">
        <f>IF('4. Sem'!$AR$11="","",'4. Sem'!$AR$11)</f>
        <v/>
      </c>
      <c r="AQ74" s="602" t="str">
        <f>IF('4. Sem'!$AS$11="","",'4. Sem'!$AS$11)</f>
        <v/>
      </c>
      <c r="AR74" s="597" t="str">
        <f>IF('4. Sem'!$AT$11="","",'4. Sem'!$AT$11)</f>
        <v/>
      </c>
      <c r="AS74" s="597" t="str">
        <f>IF('4. Sem'!$AU$11="","",'4. Sem'!$AU$11)</f>
        <v/>
      </c>
      <c r="AT74" s="597" t="str">
        <f>IF('4. Sem'!$AV$11="","",'4. Sem'!$AV$11)</f>
        <v/>
      </c>
      <c r="AU74" s="598" t="str">
        <f>IF('4. Sem'!$AW$11="","",'4. Sem'!$AW$11)</f>
        <v/>
      </c>
      <c r="AV74" s="599" t="str">
        <f>IF('4. Sem'!$AX$11="","",'4. Sem'!$AX$11)</f>
        <v/>
      </c>
      <c r="AW74" s="600" t="str">
        <f>IF('4. Sem'!$AY$11="","",'4. Sem'!$AY$11)</f>
        <v/>
      </c>
      <c r="AX74" s="600" t="str">
        <f>IF('4. Sem'!$AZ$11="","",'4. Sem'!$AZ$11)</f>
        <v/>
      </c>
      <c r="AY74" s="600" t="str">
        <f>IF('4. Sem'!$BA$11="","",'4. Sem'!$BA$11)</f>
        <v/>
      </c>
      <c r="AZ74" s="601" t="str">
        <f>IF('4. Sem'!$BB$11="","",'4. Sem'!$BB$11)</f>
        <v/>
      </c>
      <c r="BA74" s="596" t="str">
        <f>IF('4. Sem'!$BC$11="","",'4. Sem'!$BC$11)</f>
        <v/>
      </c>
      <c r="BB74" s="597" t="str">
        <f>IF('4. Sem'!$BD$11="","",'4. Sem'!$BD$11)</f>
        <v/>
      </c>
      <c r="BC74" s="597" t="str">
        <f>IF('4. Sem'!$BE$11="","",'4. Sem'!$BE$11)</f>
        <v/>
      </c>
      <c r="BD74" s="597" t="str">
        <f>IF('4. Sem'!$BF$11="","",'4. Sem'!$BF$11)</f>
        <v/>
      </c>
      <c r="BE74" s="598" t="str">
        <f>IF('4. Sem'!$BG$11="","",'4. Sem'!$BG$11)</f>
        <v/>
      </c>
      <c r="BF74" s="599" t="str">
        <f>IF('4. Sem'!$BH$11="","",'4. Sem'!$BH$11)</f>
        <v/>
      </c>
      <c r="BG74" s="600" t="str">
        <f>IF('4. Sem'!$BI$11="","",'4. Sem'!$BI$11)</f>
        <v/>
      </c>
      <c r="BH74" s="600" t="str">
        <f>IF('4. Sem'!$BJ$11="","",'4. Sem'!$BJ$11)</f>
        <v/>
      </c>
      <c r="BI74" s="600" t="str">
        <f>IF('4. Sem'!$BK$11="","",'4. Sem'!$BK$11)</f>
        <v/>
      </c>
      <c r="BJ74" s="601" t="str">
        <f>IF('4. Sem'!$BL$11="","",'4. Sem'!$BL$11)</f>
        <v/>
      </c>
      <c r="BK74" s="596" t="str">
        <f>IF('4. Sem'!$BM$11="","",'4. Sem'!$BM$11)</f>
        <v/>
      </c>
      <c r="BL74" s="597" t="str">
        <f>IF('4. Sem'!$BN$11="","",'4. Sem'!$BN$11)</f>
        <v/>
      </c>
      <c r="BM74" s="597" t="str">
        <f>IF('4. Sem'!$BO$11="","",'4. Sem'!$BO$11)</f>
        <v/>
      </c>
      <c r="BN74" s="597" t="str">
        <f>IF('4. Sem'!$BP$11="","",'4. Sem'!$BP$11)</f>
        <v/>
      </c>
      <c r="BO74" s="598" t="str">
        <f>IF('4. Sem'!$BQ$11="","",'4. Sem'!$BQ$11)</f>
        <v/>
      </c>
      <c r="BP74" s="599" t="str">
        <f>IF('4. Sem'!$BR$11="","",'4. Sem'!$BR$11)</f>
        <v/>
      </c>
      <c r="BQ74" s="600" t="str">
        <f>IF('4. Sem'!$BS$11="","",'4. Sem'!$BS$11)</f>
        <v/>
      </c>
      <c r="BR74" s="600" t="str">
        <f>IF('4. Sem'!$BT$11="","",'4. Sem'!$BT$11)</f>
        <v/>
      </c>
      <c r="BS74" s="603" t="str">
        <f>IF('4. Sem'!$BU$11="","",'4. Sem'!$BU$11)</f>
        <v/>
      </c>
      <c r="BT74" s="604" t="str">
        <f>IF('4. Sem'!$BV$11="","",'4. Sem'!$BV$11)</f>
        <v/>
      </c>
      <c r="BU74" s="596" t="str">
        <f>IF('4. Sem'!$BW$11="","",'4. Sem'!$BW$11)</f>
        <v/>
      </c>
      <c r="BV74" s="597" t="str">
        <f>IF('4. Sem'!$BX$11="","",'4. Sem'!$BX$11)</f>
        <v/>
      </c>
      <c r="BW74" s="597" t="str">
        <f>IF('4. Sem'!$BY$11="","",'4. Sem'!$BY$11)</f>
        <v/>
      </c>
      <c r="BX74" s="597" t="str">
        <f>IF('4. Sem'!$BZ$11="","",'4. Sem'!$BZ$11)</f>
        <v/>
      </c>
      <c r="BY74" s="598" t="str">
        <f>IF('4. Sem'!$CA$11="","",'4. Sem'!$CA$11)</f>
        <v/>
      </c>
      <c r="BZ74" s="605" t="str">
        <f>IF('4. Sem'!$CB$11="","",'4. Sem'!$CB$11)</f>
        <v/>
      </c>
      <c r="CA74" s="600" t="str">
        <f>IF('4. Sem'!$CC$11="","",'4. Sem'!$CC$11)</f>
        <v/>
      </c>
      <c r="CB74" s="600" t="str">
        <f>IF('4. Sem'!$CD$11="","",'4. Sem'!$CD$11)</f>
        <v/>
      </c>
      <c r="CC74" s="600" t="str">
        <f>IF('4. Sem'!$CE$11="","",'4. Sem'!$CE$11)</f>
        <v/>
      </c>
      <c r="CD74" s="601" t="str">
        <f>IF('4. Sem'!$CF$11="","",'4. Sem'!$CF$11)</f>
        <v/>
      </c>
      <c r="CE74" s="596" t="str">
        <f>IF('4. Sem'!$CG$11="","",'4. Sem'!$CG$11)</f>
        <v/>
      </c>
      <c r="CF74" s="597" t="str">
        <f>IF('4. Sem'!$CH$11="","",'4. Sem'!$CH$11)</f>
        <v/>
      </c>
      <c r="CG74" s="597" t="str">
        <f>IF('4. Sem'!$CI$11="","",'4. Sem'!$CI$11)</f>
        <v/>
      </c>
      <c r="CH74" s="597" t="str">
        <f>IF('4. Sem'!$CJ$11="","",'4. Sem'!$CJ$11)</f>
        <v/>
      </c>
      <c r="CI74" s="598" t="str">
        <f>IF('4. Sem'!$CK$11="","",'4. Sem'!$CK$11)</f>
        <v/>
      </c>
      <c r="CJ74" s="599" t="str">
        <f>IF('4. Sem'!$CL$11="","",'4. Sem'!$CL$11)</f>
        <v/>
      </c>
      <c r="CK74" s="600" t="str">
        <f>IF('4. Sem'!$CM$11="","",'4. Sem'!$CM$11)</f>
        <v/>
      </c>
      <c r="CL74" s="600" t="str">
        <f>IF('4. Sem'!$CN$11="","",'4. Sem'!$CN$11)</f>
        <v/>
      </c>
      <c r="CM74" s="600" t="str">
        <f>IF('4. Sem'!$CO$11="","",'4. Sem'!$CO$11)</f>
        <v/>
      </c>
      <c r="CN74" s="601" t="str">
        <f>IF('4. Sem'!$CP$11="","",'4. Sem'!$CP$11)</f>
        <v/>
      </c>
      <c r="CO74" s="596" t="str">
        <f>IF('4. Sem'!$CQ$11="","",'4. Sem'!$CQ$11)</f>
        <v/>
      </c>
      <c r="CP74" s="597" t="str">
        <f>IF('4. Sem'!$CR$11="","",'4. Sem'!$CR$11)</f>
        <v/>
      </c>
      <c r="CQ74" s="597" t="str">
        <f>IF('4. Sem'!$CS$11="","",'4. Sem'!$CS$11)</f>
        <v/>
      </c>
      <c r="CR74" s="597" t="str">
        <f>IF('4. Sem'!$CT$11="","",'4. Sem'!$CT$11)</f>
        <v/>
      </c>
      <c r="CS74" s="598" t="str">
        <f>IF('4. Sem'!$CU$11="","",'4. Sem'!$CU$11)</f>
        <v/>
      </c>
      <c r="CT74" s="599" t="str">
        <f>IF('4. Sem'!$CV$11="","",'4. Sem'!$CV$11)</f>
        <v/>
      </c>
      <c r="CU74" s="600" t="str">
        <f>IF('4. Sem'!$CW$11="","",'4. Sem'!$CW$11)</f>
        <v/>
      </c>
      <c r="CV74" s="600" t="str">
        <f>IF('4. Sem'!$CX$11="","",'4. Sem'!$CX$11)</f>
        <v/>
      </c>
      <c r="CW74" s="600" t="str">
        <f>IF('4. Sem'!$CY$11="","",'4. Sem'!$CY$11)</f>
        <v/>
      </c>
      <c r="CX74" s="601" t="str">
        <f>IF('4. Sem'!$CZ$11="","",'4. Sem'!$CZ$11)</f>
        <v/>
      </c>
      <c r="CY74" s="596" t="str">
        <f>IF('4. Sem'!$DA$11="","",'4. Sem'!$DA$11)</f>
        <v/>
      </c>
      <c r="CZ74" s="597" t="str">
        <f>IF('4. Sem'!$DB$11="","",'4. Sem'!$DB$11)</f>
        <v/>
      </c>
      <c r="DA74" s="597" t="str">
        <f>IF('4. Sem'!$DC$11="","",'4. Sem'!$DC$11)</f>
        <v/>
      </c>
      <c r="DB74" s="597" t="str">
        <f>IF('4. Sem'!$DD$11="","",'4. Sem'!$DD$11)</f>
        <v/>
      </c>
      <c r="DC74" s="598" t="str">
        <f>IF('4. Sem'!$DE$11="","",'4. Sem'!$DE$11)</f>
        <v/>
      </c>
    </row>
    <row r="75" spans="1:107" ht="16" customHeight="1" x14ac:dyDescent="0.2">
      <c r="A75" s="566"/>
      <c r="B75" s="579" t="s">
        <v>19</v>
      </c>
      <c r="C75" s="568" t="str">
        <f>IF('4. Sem'!$E$12="","",'4. Sem'!$E$12)</f>
        <v/>
      </c>
      <c r="D75" s="569" t="str">
        <f>IF('4. Sem'!$F$12="","",'4. Sem'!$F$12)</f>
        <v/>
      </c>
      <c r="E75" s="576" t="str">
        <f>IF('4. Sem'!$G$12="","",'4. Sem'!$G$12)</f>
        <v/>
      </c>
      <c r="F75" s="569" t="str">
        <f>IF('4. Sem'!$H$12="","",'4. Sem'!$H$12)</f>
        <v/>
      </c>
      <c r="G75" s="570" t="str">
        <f>IF('4. Sem'!$I$12="","",'4. Sem'!$I$12)</f>
        <v/>
      </c>
      <c r="H75" s="571" t="str">
        <f>IF('4. Sem'!$J$12="","",'4. Sem'!$J$12)</f>
        <v/>
      </c>
      <c r="I75" s="572" t="str">
        <f>IF('4. Sem'!$K$12="","",'4. Sem'!$K$12)</f>
        <v/>
      </c>
      <c r="J75" s="576" t="str">
        <f>IF('4. Sem'!$L$12="","",'4. Sem'!$L$12)</f>
        <v/>
      </c>
      <c r="K75" s="572" t="str">
        <f>IF('4. Sem'!$M$12="","",'4. Sem'!$M$12)</f>
        <v/>
      </c>
      <c r="L75" s="573" t="str">
        <f>IF('4. Sem'!$N$12="","",'4. Sem'!$N$12)</f>
        <v/>
      </c>
      <c r="M75" s="574" t="str">
        <f>IF('4. Sem'!$O$12="","",'4. Sem'!$O$12)</f>
        <v/>
      </c>
      <c r="N75" s="569" t="str">
        <f>IF('4. Sem'!$P$12="","",'4. Sem'!$P$12)</f>
        <v/>
      </c>
      <c r="O75" s="576" t="str">
        <f>IF('4. Sem'!$Q$12="","",'4. Sem'!$Q$12)</f>
        <v/>
      </c>
      <c r="P75" s="569" t="str">
        <f>IF('4. Sem'!$R$12="","",'4. Sem'!$R$12)</f>
        <v/>
      </c>
      <c r="Q75" s="570" t="str">
        <f>IF('4. Sem'!$S$12="","",'4. Sem'!$S$12)</f>
        <v/>
      </c>
      <c r="R75" s="571" t="str">
        <f>IF('4. Sem'!$T$12="","",'4. Sem'!$T$12)</f>
        <v/>
      </c>
      <c r="S75" s="572" t="str">
        <f>IF('4. Sem'!$U$12="","",'4. Sem'!$U$12)</f>
        <v/>
      </c>
      <c r="T75" s="576" t="str">
        <f>IF('4. Sem'!$V$12="","",'4. Sem'!$V$12)</f>
        <v/>
      </c>
      <c r="U75" s="572" t="str">
        <f>IF('4. Sem'!$W$12="","",'4. Sem'!$W$12)</f>
        <v/>
      </c>
      <c r="V75" s="573" t="str">
        <f>IF('4. Sem'!$X$12="","",'4. Sem'!$X$12)</f>
        <v/>
      </c>
      <c r="W75" s="574" t="str">
        <f>IF('4. Sem'!$Y$12="","",'4. Sem'!$Y$12)</f>
        <v/>
      </c>
      <c r="X75" s="569" t="str">
        <f>IF('4. Sem'!$Z$12="","",'4. Sem'!$Z$12)</f>
        <v/>
      </c>
      <c r="Y75" s="576" t="str">
        <f>IF('4. Sem'!$AA$12="","",'4. Sem'!$AA$12)</f>
        <v/>
      </c>
      <c r="Z75" s="569" t="str">
        <f>IF('4. Sem'!$AB$12="","",'4. Sem'!$AB$12)</f>
        <v/>
      </c>
      <c r="AA75" s="570" t="str">
        <f>IF('4. Sem'!$AC$12="","",'4. Sem'!$AC$12)</f>
        <v/>
      </c>
      <c r="AB75" s="571" t="str">
        <f>IF('4. Sem'!$AD$12="","",'4. Sem'!$AD$12)</f>
        <v/>
      </c>
      <c r="AC75" s="572" t="str">
        <f>IF('4. Sem'!$AE$12="","",'4. Sem'!$AE$12)</f>
        <v/>
      </c>
      <c r="AD75" s="576" t="str">
        <f>IF('4. Sem'!$AF$12="","",'4. Sem'!$AF$12)</f>
        <v/>
      </c>
      <c r="AE75" s="572" t="str">
        <f>IF('4. Sem'!$AG$12="","",'4. Sem'!$AG$12)</f>
        <v/>
      </c>
      <c r="AF75" s="573" t="str">
        <f>IF('4. Sem'!$AH$12="","",'4. Sem'!$AH$12)</f>
        <v/>
      </c>
      <c r="AG75" s="574" t="str">
        <f>IF('4. Sem'!$AI$12="","",'4. Sem'!$AI$12)</f>
        <v/>
      </c>
      <c r="AH75" s="569" t="str">
        <f>IF('4. Sem'!$AJ$12="","",'4. Sem'!$AJ$12)</f>
        <v/>
      </c>
      <c r="AI75" s="576" t="str">
        <f>IF('4. Sem'!$AK$12="","",'4. Sem'!$AK$12)</f>
        <v/>
      </c>
      <c r="AJ75" s="569" t="str">
        <f>IF('4. Sem'!$AL$12="","",'4. Sem'!$AL$12)</f>
        <v/>
      </c>
      <c r="AK75" s="570" t="str">
        <f>IF('4. Sem'!$AM$12="","",'4. Sem'!$AM$12)</f>
        <v/>
      </c>
      <c r="AL75" s="578" t="str">
        <f>IF('4. Sem'!$AN$12="","",'4. Sem'!$AN$12)</f>
        <v/>
      </c>
      <c r="AM75" s="576" t="str">
        <f>IF('4. Sem'!$AO$12="","",'4. Sem'!$AO$12)</f>
        <v/>
      </c>
      <c r="AN75" s="576" t="str">
        <f>IF('4. Sem'!$AP$12="","",'4. Sem'!$AP$12)</f>
        <v/>
      </c>
      <c r="AO75" s="576" t="str">
        <f>IF('4. Sem'!$AQ$12="","",'4. Sem'!$AQ$12)</f>
        <v/>
      </c>
      <c r="AP75" s="577" t="str">
        <f>IF('4. Sem'!$AR$12="","",'4. Sem'!$AR$12)</f>
        <v/>
      </c>
      <c r="AQ75" s="575" t="str">
        <f>IF('4. Sem'!$AS$12="","",'4. Sem'!$AS$12)</f>
        <v/>
      </c>
      <c r="AR75" s="569" t="str">
        <f>IF('4. Sem'!$AT$12="","",'4. Sem'!$AT$12)</f>
        <v/>
      </c>
      <c r="AS75" s="576" t="str">
        <f>IF('4. Sem'!$AU$12="","",'4. Sem'!$AU$12)</f>
        <v/>
      </c>
      <c r="AT75" s="569" t="str">
        <f>IF('4. Sem'!$AV$12="","",'4. Sem'!$AV$12)</f>
        <v/>
      </c>
      <c r="AU75" s="570" t="str">
        <f>IF('4. Sem'!$AW$12="","",'4. Sem'!$AW$12)</f>
        <v/>
      </c>
      <c r="AV75" s="571" t="str">
        <f>IF('4. Sem'!$AX$12="","",'4. Sem'!$AX$12)</f>
        <v/>
      </c>
      <c r="AW75" s="572" t="str">
        <f>IF('4. Sem'!$AY$12="","",'4. Sem'!$AY$12)</f>
        <v/>
      </c>
      <c r="AX75" s="576" t="str">
        <f>IF('4. Sem'!$AZ$12="","",'4. Sem'!$AZ$12)</f>
        <v/>
      </c>
      <c r="AY75" s="572" t="str">
        <f>IF('4. Sem'!$BA$12="","",'4. Sem'!$BA$12)</f>
        <v/>
      </c>
      <c r="AZ75" s="573" t="str">
        <f>IF('4. Sem'!$BB$12="","",'4. Sem'!$BB$12)</f>
        <v/>
      </c>
      <c r="BA75" s="574" t="str">
        <f>IF('4. Sem'!$BC$12="","",'4. Sem'!$BC$12)</f>
        <v/>
      </c>
      <c r="BB75" s="569" t="str">
        <f>IF('4. Sem'!$BD$12="","",'4. Sem'!$BD$12)</f>
        <v/>
      </c>
      <c r="BC75" s="576" t="str">
        <f>IF('4. Sem'!$BE$12="","",'4. Sem'!$BE$12)</f>
        <v/>
      </c>
      <c r="BD75" s="569" t="str">
        <f>IF('4. Sem'!$BF$12="","",'4. Sem'!$BF$12)</f>
        <v/>
      </c>
      <c r="BE75" s="570" t="str">
        <f>IF('4. Sem'!$BG$12="","",'4. Sem'!$BG$12)</f>
        <v/>
      </c>
      <c r="BF75" s="571" t="str">
        <f>IF('4. Sem'!$BH$12="","",'4. Sem'!$BH$12)</f>
        <v/>
      </c>
      <c r="BG75" s="572" t="str">
        <f>IF('4. Sem'!$BI$12="","",'4. Sem'!$BI$12)</f>
        <v/>
      </c>
      <c r="BH75" s="576" t="str">
        <f>IF('4. Sem'!$BJ$12="","",'4. Sem'!$BJ$12)</f>
        <v/>
      </c>
      <c r="BI75" s="572" t="str">
        <f>IF('4. Sem'!$BK$12="","",'4. Sem'!$BK$12)</f>
        <v/>
      </c>
      <c r="BJ75" s="573" t="str">
        <f>IF('4. Sem'!$BL$12="","",'4. Sem'!$BL$12)</f>
        <v/>
      </c>
      <c r="BK75" s="574" t="str">
        <f>IF('4. Sem'!$BM$12="","",'4. Sem'!$BM$12)</f>
        <v/>
      </c>
      <c r="BL75" s="569" t="str">
        <f>IF('4. Sem'!$BN$12="","",'4. Sem'!$BN$12)</f>
        <v/>
      </c>
      <c r="BM75" s="576" t="str">
        <f>IF('4. Sem'!$BO$12="","",'4. Sem'!$BO$12)</f>
        <v/>
      </c>
      <c r="BN75" s="569" t="str">
        <f>IF('4. Sem'!$BP$12="","",'4. Sem'!$BP$12)</f>
        <v/>
      </c>
      <c r="BO75" s="570" t="str">
        <f>IF('4. Sem'!$BQ$12="","",'4. Sem'!$BQ$12)</f>
        <v/>
      </c>
      <c r="BP75" s="571" t="str">
        <f>IF('4. Sem'!$BR$12="","",'4. Sem'!$BR$12)</f>
        <v/>
      </c>
      <c r="BQ75" s="572" t="str">
        <f>IF('4. Sem'!$BS$12="","",'4. Sem'!$BS$12)</f>
        <v/>
      </c>
      <c r="BR75" s="576" t="str">
        <f>IF('4. Sem'!$BT$12="","",'4. Sem'!$BT$12)</f>
        <v/>
      </c>
      <c r="BS75" s="576" t="str">
        <f>IF('4. Sem'!$BU$12="","",'4. Sem'!$BU$12)</f>
        <v/>
      </c>
      <c r="BT75" s="577" t="str">
        <f>IF('4. Sem'!$BV$12="","",'4. Sem'!$BV$12)</f>
        <v/>
      </c>
      <c r="BU75" s="574" t="str">
        <f>IF('4. Sem'!$BW$12="","",'4. Sem'!$BW$12)</f>
        <v/>
      </c>
      <c r="BV75" s="569" t="str">
        <f>IF('4. Sem'!$BX$12="","",'4. Sem'!$BX$12)</f>
        <v/>
      </c>
      <c r="BW75" s="576" t="str">
        <f>IF('4. Sem'!$BY$12="","",'4. Sem'!$BY$12)</f>
        <v/>
      </c>
      <c r="BX75" s="569" t="str">
        <f>IF('4. Sem'!$BZ$12="","",'4. Sem'!$BZ$12)</f>
        <v/>
      </c>
      <c r="BY75" s="570" t="str">
        <f>IF('4. Sem'!$CA$12="","",'4. Sem'!$CA$12)</f>
        <v/>
      </c>
      <c r="BZ75" s="578" t="str">
        <f>IF('4. Sem'!$CB$12="","",'4. Sem'!$CB$12)</f>
        <v/>
      </c>
      <c r="CA75" s="572" t="str">
        <f>IF('4. Sem'!$CC$12="","",'4. Sem'!$CC$12)</f>
        <v/>
      </c>
      <c r="CB75" s="576" t="str">
        <f>IF('4. Sem'!$CD$12="","",'4. Sem'!$CD$12)</f>
        <v/>
      </c>
      <c r="CC75" s="572" t="str">
        <f>IF('4. Sem'!$CE$12="","",'4. Sem'!$CE$12)</f>
        <v/>
      </c>
      <c r="CD75" s="573" t="str">
        <f>IF('4. Sem'!$CF$12="","",'4. Sem'!$CF$12)</f>
        <v/>
      </c>
      <c r="CE75" s="574" t="str">
        <f>IF('4. Sem'!$CG$12="","",'4. Sem'!$CG$12)</f>
        <v/>
      </c>
      <c r="CF75" s="569" t="str">
        <f>IF('4. Sem'!$CH$12="","",'4. Sem'!$CH$12)</f>
        <v/>
      </c>
      <c r="CG75" s="576" t="str">
        <f>IF('4. Sem'!$CI$12="","",'4. Sem'!$CI$12)</f>
        <v/>
      </c>
      <c r="CH75" s="569" t="str">
        <f>IF('4. Sem'!$CJ$12="","",'4. Sem'!$CJ$12)</f>
        <v/>
      </c>
      <c r="CI75" s="570" t="str">
        <f>IF('4. Sem'!$CK$12="","",'4. Sem'!$CK$12)</f>
        <v/>
      </c>
      <c r="CJ75" s="571" t="str">
        <f>IF('4. Sem'!$CL$12="","",'4. Sem'!$CL$12)</f>
        <v/>
      </c>
      <c r="CK75" s="572" t="str">
        <f>IF('4. Sem'!$CM$12="","",'4. Sem'!$CM$12)</f>
        <v/>
      </c>
      <c r="CL75" s="576" t="str">
        <f>IF('4. Sem'!$CN$12="","",'4. Sem'!$CN$12)</f>
        <v/>
      </c>
      <c r="CM75" s="572" t="str">
        <f>IF('4. Sem'!$CO$12="","",'4. Sem'!$CO$12)</f>
        <v/>
      </c>
      <c r="CN75" s="573" t="str">
        <f>IF('4. Sem'!$CP$12="","",'4. Sem'!$CP$12)</f>
        <v/>
      </c>
      <c r="CO75" s="574" t="str">
        <f>IF('4. Sem'!$CQ$12="","",'4. Sem'!$CQ$12)</f>
        <v/>
      </c>
      <c r="CP75" s="569" t="str">
        <f>IF('4. Sem'!$CR$12="","",'4. Sem'!$CR$12)</f>
        <v/>
      </c>
      <c r="CQ75" s="576" t="str">
        <f>IF('4. Sem'!$CS$12="","",'4. Sem'!$CS$12)</f>
        <v/>
      </c>
      <c r="CR75" s="569" t="str">
        <f>IF('4. Sem'!$CT$12="","",'4. Sem'!$CT$12)</f>
        <v/>
      </c>
      <c r="CS75" s="570" t="str">
        <f>IF('4. Sem'!$CU$12="","",'4. Sem'!$CU$12)</f>
        <v/>
      </c>
      <c r="CT75" s="571" t="str">
        <f>IF('4. Sem'!$CV$12="","",'4. Sem'!$CV$12)</f>
        <v/>
      </c>
      <c r="CU75" s="572" t="str">
        <f>IF('4. Sem'!$CW$12="","",'4. Sem'!$CW$12)</f>
        <v/>
      </c>
      <c r="CV75" s="576" t="str">
        <f>IF('4. Sem'!$CX$12="","",'4. Sem'!$CX$12)</f>
        <v/>
      </c>
      <c r="CW75" s="572" t="str">
        <f>IF('4. Sem'!$CY$12="","",'4. Sem'!$CY$12)</f>
        <v/>
      </c>
      <c r="CX75" s="573" t="str">
        <f>IF('4. Sem'!$CZ$12="","",'4. Sem'!$CZ$12)</f>
        <v/>
      </c>
      <c r="CY75" s="574" t="str">
        <f>IF('4. Sem'!$DA$12="","",'4. Sem'!$DA$12)</f>
        <v/>
      </c>
      <c r="CZ75" s="569" t="str">
        <f>IF('4. Sem'!$DB$12="","",'4. Sem'!$DB$12)</f>
        <v/>
      </c>
      <c r="DA75" s="576" t="str">
        <f>IF('4. Sem'!$DC$12="","",'4. Sem'!$DC$12)</f>
        <v/>
      </c>
      <c r="DB75" s="569" t="str">
        <f>IF('4. Sem'!$DD$12="","",'4. Sem'!$DD$12)</f>
        <v/>
      </c>
      <c r="DC75" s="570" t="str">
        <f>IF('4. Sem'!$DE$12="","",'4. Sem'!$DE$12)</f>
        <v/>
      </c>
    </row>
    <row r="76" spans="1:107" ht="16" customHeight="1" x14ac:dyDescent="0.2">
      <c r="A76" s="566"/>
      <c r="B76" s="579" t="s">
        <v>21</v>
      </c>
      <c r="C76" s="580" t="str">
        <f>IF('4. Sem'!$E$13="","",'4. Sem'!$E$13)</f>
        <v/>
      </c>
      <c r="D76" s="581" t="str">
        <f>IF('4. Sem'!$F$13="","",'4. Sem'!$F$13)</f>
        <v/>
      </c>
      <c r="E76" s="588" t="str">
        <f>IF('4. Sem'!$G$13="","",'4. Sem'!$G$13)</f>
        <v/>
      </c>
      <c r="F76" s="581" t="str">
        <f>IF('4. Sem'!$H$13="","",'4. Sem'!$H$13)</f>
        <v/>
      </c>
      <c r="G76" s="582" t="str">
        <f>IF('4. Sem'!$I$13="","",'4. Sem'!$I$13)</f>
        <v/>
      </c>
      <c r="H76" s="583" t="str">
        <f>IF('4. Sem'!$J$13="","",'4. Sem'!$J$13)</f>
        <v/>
      </c>
      <c r="I76" s="584" t="str">
        <f>IF('4. Sem'!$K$13="","",'4. Sem'!$K$13)</f>
        <v/>
      </c>
      <c r="J76" s="588" t="str">
        <f>IF('4. Sem'!$L$13="","",'4. Sem'!$L$13)</f>
        <v/>
      </c>
      <c r="K76" s="584" t="str">
        <f>IF('4. Sem'!$M$13="","",'4. Sem'!$M$13)</f>
        <v/>
      </c>
      <c r="L76" s="585" t="str">
        <f>IF('4. Sem'!$N$13="","",'4. Sem'!$N$13)</f>
        <v/>
      </c>
      <c r="M76" s="586" t="str">
        <f>IF('4. Sem'!$O$13="","",'4. Sem'!$O$13)</f>
        <v/>
      </c>
      <c r="N76" s="581" t="str">
        <f>IF('4. Sem'!$P$13="","",'4. Sem'!$P$13)</f>
        <v/>
      </c>
      <c r="O76" s="588" t="str">
        <f>IF('4. Sem'!$Q$13="","",'4. Sem'!$Q$13)</f>
        <v/>
      </c>
      <c r="P76" s="581" t="str">
        <f>IF('4. Sem'!$R$13="","",'4. Sem'!$R$13)</f>
        <v/>
      </c>
      <c r="Q76" s="582" t="str">
        <f>IF('4. Sem'!$S$13="","",'4. Sem'!$S$13)</f>
        <v/>
      </c>
      <c r="R76" s="583" t="str">
        <f>IF('4. Sem'!$T$13="","",'4. Sem'!$T$13)</f>
        <v/>
      </c>
      <c r="S76" s="584" t="str">
        <f>IF('4. Sem'!$U$13="","",'4. Sem'!$U$13)</f>
        <v/>
      </c>
      <c r="T76" s="588" t="str">
        <f>IF('4. Sem'!$V$13="","",'4. Sem'!$V$13)</f>
        <v/>
      </c>
      <c r="U76" s="584" t="str">
        <f>IF('4. Sem'!$W$13="","",'4. Sem'!$W$13)</f>
        <v/>
      </c>
      <c r="V76" s="585" t="str">
        <f>IF('4. Sem'!$X$13="","",'4. Sem'!$X$13)</f>
        <v/>
      </c>
      <c r="W76" s="586" t="str">
        <f>IF('4. Sem'!$Y$13="","",'4. Sem'!$Y$13)</f>
        <v/>
      </c>
      <c r="X76" s="581" t="str">
        <f>IF('4. Sem'!$Z$13="","",'4. Sem'!$Z$13)</f>
        <v/>
      </c>
      <c r="Y76" s="588" t="str">
        <f>IF('4. Sem'!$AA$13="","",'4. Sem'!$AA$13)</f>
        <v/>
      </c>
      <c r="Z76" s="581" t="str">
        <f>IF('4. Sem'!$AB$13="","",'4. Sem'!$AB$13)</f>
        <v/>
      </c>
      <c r="AA76" s="582" t="str">
        <f>IF('4. Sem'!$AC$13="","",'4. Sem'!$AC$13)</f>
        <v/>
      </c>
      <c r="AB76" s="583" t="str">
        <f>IF('4. Sem'!$AD$13="","",'4. Sem'!$AD$13)</f>
        <v/>
      </c>
      <c r="AC76" s="584" t="str">
        <f>IF('4. Sem'!$AE$13="","",'4. Sem'!$AE$13)</f>
        <v/>
      </c>
      <c r="AD76" s="588" t="str">
        <f>IF('4. Sem'!$AF$13="","",'4. Sem'!$AF$13)</f>
        <v/>
      </c>
      <c r="AE76" s="584" t="str">
        <f>IF('4. Sem'!$AG$13="","",'4. Sem'!$AG$13)</f>
        <v/>
      </c>
      <c r="AF76" s="585" t="str">
        <f>IF('4. Sem'!$AH$13="","",'4. Sem'!$AH$13)</f>
        <v/>
      </c>
      <c r="AG76" s="586" t="str">
        <f>IF('4. Sem'!$AI$13="","",'4. Sem'!$AI$13)</f>
        <v/>
      </c>
      <c r="AH76" s="581" t="str">
        <f>IF('4. Sem'!$AJ$13="","",'4. Sem'!$AJ$13)</f>
        <v/>
      </c>
      <c r="AI76" s="588" t="str">
        <f>IF('4. Sem'!$AK$13="","",'4. Sem'!$AK$13)</f>
        <v/>
      </c>
      <c r="AJ76" s="581" t="str">
        <f>IF('4. Sem'!$AL$13="","",'4. Sem'!$AL$13)</f>
        <v/>
      </c>
      <c r="AK76" s="582" t="str">
        <f>IF('4. Sem'!$AM$13="","",'4. Sem'!$AM$13)</f>
        <v/>
      </c>
      <c r="AL76" s="590" t="str">
        <f>IF('4. Sem'!$AN$13="","",'4. Sem'!$AN$13)</f>
        <v/>
      </c>
      <c r="AM76" s="588" t="str">
        <f>IF('4. Sem'!$AO$13="","",'4. Sem'!$AO$13)</f>
        <v/>
      </c>
      <c r="AN76" s="588" t="str">
        <f>IF('4. Sem'!$AP$13="","",'4. Sem'!$AP$13)</f>
        <v/>
      </c>
      <c r="AO76" s="588" t="str">
        <f>IF('4. Sem'!$AQ$13="","",'4. Sem'!$AQ$13)</f>
        <v/>
      </c>
      <c r="AP76" s="589" t="str">
        <f>IF('4. Sem'!$AR$13="","",'4. Sem'!$AR$13)</f>
        <v/>
      </c>
      <c r="AQ76" s="587" t="str">
        <f>IF('4. Sem'!$AS$13="","",'4. Sem'!$AS$13)</f>
        <v/>
      </c>
      <c r="AR76" s="581" t="str">
        <f>IF('4. Sem'!$AT$13="","",'4. Sem'!$AT$13)</f>
        <v/>
      </c>
      <c r="AS76" s="588" t="str">
        <f>IF('4. Sem'!$AU$13="","",'4. Sem'!$AU$13)</f>
        <v/>
      </c>
      <c r="AT76" s="581" t="str">
        <f>IF('4. Sem'!$AV$13="","",'4. Sem'!$AV$13)</f>
        <v/>
      </c>
      <c r="AU76" s="582" t="str">
        <f>IF('4. Sem'!$AW$13="","",'4. Sem'!$AW$13)</f>
        <v/>
      </c>
      <c r="AV76" s="583" t="str">
        <f>IF('4. Sem'!$AX$13="","",'4. Sem'!$AX$13)</f>
        <v/>
      </c>
      <c r="AW76" s="584" t="str">
        <f>IF('4. Sem'!$AY$13="","",'4. Sem'!$AY$13)</f>
        <v/>
      </c>
      <c r="AX76" s="588" t="str">
        <f>IF('4. Sem'!$AZ$13="","",'4. Sem'!$AZ$13)</f>
        <v/>
      </c>
      <c r="AY76" s="584" t="str">
        <f>IF('4. Sem'!$BA$13="","",'4. Sem'!$BA$13)</f>
        <v/>
      </c>
      <c r="AZ76" s="585" t="str">
        <f>IF('4. Sem'!$BB$13="","",'4. Sem'!$BB$13)</f>
        <v/>
      </c>
      <c r="BA76" s="586" t="str">
        <f>IF('4. Sem'!$BC$13="","",'4. Sem'!$BC$13)</f>
        <v/>
      </c>
      <c r="BB76" s="581" t="str">
        <f>IF('4. Sem'!$BD$13="","",'4. Sem'!$BD$13)</f>
        <v/>
      </c>
      <c r="BC76" s="588" t="str">
        <f>IF('4. Sem'!$BE$13="","",'4. Sem'!$BE$13)</f>
        <v/>
      </c>
      <c r="BD76" s="581" t="str">
        <f>IF('4. Sem'!$BF$13="","",'4. Sem'!$BF$13)</f>
        <v/>
      </c>
      <c r="BE76" s="582" t="str">
        <f>IF('4. Sem'!$BG$13="","",'4. Sem'!$BG$13)</f>
        <v/>
      </c>
      <c r="BF76" s="583" t="str">
        <f>IF('4. Sem'!$BH$13="","",'4. Sem'!$BH$13)</f>
        <v/>
      </c>
      <c r="BG76" s="584" t="str">
        <f>IF('4. Sem'!$BI$13="","",'4. Sem'!$BI$13)</f>
        <v/>
      </c>
      <c r="BH76" s="588" t="str">
        <f>IF('4. Sem'!$BJ$13="","",'4. Sem'!$BJ$13)</f>
        <v/>
      </c>
      <c r="BI76" s="584" t="str">
        <f>IF('4. Sem'!$BK$13="","",'4. Sem'!$BK$13)</f>
        <v/>
      </c>
      <c r="BJ76" s="585" t="str">
        <f>IF('4. Sem'!$BL$13="","",'4. Sem'!$BL$13)</f>
        <v/>
      </c>
      <c r="BK76" s="586" t="str">
        <f>IF('4. Sem'!$BM$13="","",'4. Sem'!$BM$13)</f>
        <v/>
      </c>
      <c r="BL76" s="581" t="str">
        <f>IF('4. Sem'!$BN$13="","",'4. Sem'!$BN$13)</f>
        <v/>
      </c>
      <c r="BM76" s="588" t="str">
        <f>IF('4. Sem'!$BO$13="","",'4. Sem'!$BO$13)</f>
        <v/>
      </c>
      <c r="BN76" s="581" t="str">
        <f>IF('4. Sem'!$BP$13="","",'4. Sem'!$BP$13)</f>
        <v/>
      </c>
      <c r="BO76" s="582" t="str">
        <f>IF('4. Sem'!$BQ$13="","",'4. Sem'!$BQ$13)</f>
        <v/>
      </c>
      <c r="BP76" s="583" t="str">
        <f>IF('4. Sem'!$BR$13="","",'4. Sem'!$BR$13)</f>
        <v/>
      </c>
      <c r="BQ76" s="584" t="str">
        <f>IF('4. Sem'!$BS$13="","",'4. Sem'!$BS$13)</f>
        <v/>
      </c>
      <c r="BR76" s="588" t="str">
        <f>IF('4. Sem'!$BT$13="","",'4. Sem'!$BT$13)</f>
        <v/>
      </c>
      <c r="BS76" s="588" t="str">
        <f>IF('4. Sem'!$BU$13="","",'4. Sem'!$BU$13)</f>
        <v/>
      </c>
      <c r="BT76" s="589" t="str">
        <f>IF('4. Sem'!$BV$13="","",'4. Sem'!$BV$13)</f>
        <v/>
      </c>
      <c r="BU76" s="586" t="str">
        <f>IF('4. Sem'!$BW$13="","",'4. Sem'!$BW$13)</f>
        <v/>
      </c>
      <c r="BV76" s="581" t="str">
        <f>IF('4. Sem'!$BX$13="","",'4. Sem'!$BX$13)</f>
        <v/>
      </c>
      <c r="BW76" s="588" t="str">
        <f>IF('4. Sem'!$BY$13="","",'4. Sem'!$BY$13)</f>
        <v/>
      </c>
      <c r="BX76" s="581" t="str">
        <f>IF('4. Sem'!$BZ$13="","",'4. Sem'!$BZ$13)</f>
        <v/>
      </c>
      <c r="BY76" s="582" t="str">
        <f>IF('4. Sem'!$CA$13="","",'4. Sem'!$CA$13)</f>
        <v/>
      </c>
      <c r="BZ76" s="590" t="str">
        <f>IF('4. Sem'!$CB$13="","",'4. Sem'!$CB$13)</f>
        <v/>
      </c>
      <c r="CA76" s="584" t="str">
        <f>IF('4. Sem'!$CC$13="","",'4. Sem'!$CC$13)</f>
        <v/>
      </c>
      <c r="CB76" s="588" t="str">
        <f>IF('4. Sem'!$CD$13="","",'4. Sem'!$CD$13)</f>
        <v/>
      </c>
      <c r="CC76" s="584" t="str">
        <f>IF('4. Sem'!$CE$13="","",'4. Sem'!$CE$13)</f>
        <v/>
      </c>
      <c r="CD76" s="585" t="str">
        <f>IF('4. Sem'!$CF$13="","",'4. Sem'!$CF$13)</f>
        <v/>
      </c>
      <c r="CE76" s="586" t="str">
        <f>IF('4. Sem'!$CG$13="","",'4. Sem'!$CG$13)</f>
        <v/>
      </c>
      <c r="CF76" s="581" t="str">
        <f>IF('4. Sem'!$CH$13="","",'4. Sem'!$CH$13)</f>
        <v/>
      </c>
      <c r="CG76" s="588" t="str">
        <f>IF('4. Sem'!$CI$13="","",'4. Sem'!$CI$13)</f>
        <v/>
      </c>
      <c r="CH76" s="581" t="str">
        <f>IF('4. Sem'!$CJ$13="","",'4. Sem'!$CJ$13)</f>
        <v/>
      </c>
      <c r="CI76" s="582" t="str">
        <f>IF('4. Sem'!$CK$13="","",'4. Sem'!$CK$13)</f>
        <v/>
      </c>
      <c r="CJ76" s="583" t="str">
        <f>IF('4. Sem'!$CL$13="","",'4. Sem'!$CL$13)</f>
        <v/>
      </c>
      <c r="CK76" s="584" t="str">
        <f>IF('4. Sem'!$CM$13="","",'4. Sem'!$CM$13)</f>
        <v/>
      </c>
      <c r="CL76" s="588" t="str">
        <f>IF('4. Sem'!$CN$13="","",'4. Sem'!$CN$13)</f>
        <v/>
      </c>
      <c r="CM76" s="584" t="str">
        <f>IF('4. Sem'!$CO$13="","",'4. Sem'!$CO$13)</f>
        <v/>
      </c>
      <c r="CN76" s="585" t="str">
        <f>IF('4. Sem'!$CP$13="","",'4. Sem'!$CP$13)</f>
        <v/>
      </c>
      <c r="CO76" s="586" t="str">
        <f>IF('4. Sem'!$CQ$13="","",'4. Sem'!$CQ$13)</f>
        <v/>
      </c>
      <c r="CP76" s="581" t="str">
        <f>IF('4. Sem'!$CR$13="","",'4. Sem'!$CR$13)</f>
        <v/>
      </c>
      <c r="CQ76" s="588" t="str">
        <f>IF('4. Sem'!$CS$13="","",'4. Sem'!$CS$13)</f>
        <v/>
      </c>
      <c r="CR76" s="581" t="str">
        <f>IF('4. Sem'!$CT$13="","",'4. Sem'!$CT$13)</f>
        <v/>
      </c>
      <c r="CS76" s="582" t="str">
        <f>IF('4. Sem'!$CU$13="","",'4. Sem'!$CU$13)</f>
        <v/>
      </c>
      <c r="CT76" s="583" t="str">
        <f>IF('4. Sem'!$CV$13="","",'4. Sem'!$CV$13)</f>
        <v/>
      </c>
      <c r="CU76" s="584" t="str">
        <f>IF('4. Sem'!$CW$13="","",'4. Sem'!$CW$13)</f>
        <v/>
      </c>
      <c r="CV76" s="588" t="str">
        <f>IF('4. Sem'!$CX$13="","",'4. Sem'!$CX$13)</f>
        <v/>
      </c>
      <c r="CW76" s="584" t="str">
        <f>IF('4. Sem'!$CY$13="","",'4. Sem'!$CY$13)</f>
        <v/>
      </c>
      <c r="CX76" s="585" t="str">
        <f>IF('4. Sem'!$CZ$13="","",'4. Sem'!$CZ$13)</f>
        <v/>
      </c>
      <c r="CY76" s="586" t="str">
        <f>IF('4. Sem'!$DA$13="","",'4. Sem'!$DA$13)</f>
        <v/>
      </c>
      <c r="CZ76" s="581" t="str">
        <f>IF('4. Sem'!$DB$13="","",'4. Sem'!$DB$13)</f>
        <v/>
      </c>
      <c r="DA76" s="588" t="str">
        <f>IF('4. Sem'!$DC$13="","",'4. Sem'!$DC$13)</f>
        <v/>
      </c>
      <c r="DB76" s="581" t="str">
        <f>IF('4. Sem'!$DD$13="","",'4. Sem'!$DD$13)</f>
        <v/>
      </c>
      <c r="DC76" s="582" t="str">
        <f>IF('4. Sem'!$DE$13="","",'4. Sem'!$DE$13)</f>
        <v/>
      </c>
    </row>
    <row r="77" spans="1:107" ht="16" customHeight="1" x14ac:dyDescent="0.2">
      <c r="A77" s="566"/>
      <c r="B77" s="579" t="s">
        <v>22</v>
      </c>
      <c r="C77" s="591" t="str">
        <f>IF('4. Sem'!$E$14="","",'4. Sem'!$E$14)</f>
        <v/>
      </c>
      <c r="D77" s="581" t="str">
        <f>IF('4. Sem'!$F$14="","",'4. Sem'!$F$14)</f>
        <v/>
      </c>
      <c r="E77" s="588" t="str">
        <f>IF('4. Sem'!$G$14="","",'4. Sem'!$G$14)</f>
        <v/>
      </c>
      <c r="F77" s="581" t="str">
        <f>IF('4. Sem'!$H$14="","",'4. Sem'!$H$14)</f>
        <v/>
      </c>
      <c r="G77" s="582" t="str">
        <f>IF('4. Sem'!$I$14="","",'4. Sem'!$I$14)</f>
        <v/>
      </c>
      <c r="H77" s="583" t="str">
        <f>IF('4. Sem'!$J$14="","",'4. Sem'!$J$14)</f>
        <v/>
      </c>
      <c r="I77" s="584" t="str">
        <f>IF('4. Sem'!$K$14="","",'4. Sem'!$K$14)</f>
        <v/>
      </c>
      <c r="J77" s="588" t="str">
        <f>IF('4. Sem'!$L$14="","",'4. Sem'!$L$14)</f>
        <v/>
      </c>
      <c r="K77" s="584" t="str">
        <f>IF('4. Sem'!$M$14="","",'4. Sem'!$M$14)</f>
        <v/>
      </c>
      <c r="L77" s="592" t="str">
        <f>IF('4. Sem'!$N$14="","",'4. Sem'!$N$14)</f>
        <v/>
      </c>
      <c r="M77" s="593" t="str">
        <f>IF('4. Sem'!$O$14="","",'4. Sem'!$O$14)</f>
        <v/>
      </c>
      <c r="N77" s="581" t="str">
        <f>IF('4. Sem'!$P$14="","",'4. Sem'!$P$14)</f>
        <v/>
      </c>
      <c r="O77" s="588" t="str">
        <f>IF('4. Sem'!$Q$14="","",'4. Sem'!$Q$14)</f>
        <v/>
      </c>
      <c r="P77" s="581" t="str">
        <f>IF('4. Sem'!$R$14="","",'4. Sem'!$R$14)</f>
        <v/>
      </c>
      <c r="Q77" s="582" t="str">
        <f>IF('4. Sem'!$S$14="","",'4. Sem'!$S$14)</f>
        <v/>
      </c>
      <c r="R77" s="583" t="str">
        <f>IF('4. Sem'!$T$14="","",'4. Sem'!$T$14)</f>
        <v/>
      </c>
      <c r="S77" s="584" t="str">
        <f>IF('4. Sem'!$U$14="","",'4. Sem'!$U$14)</f>
        <v/>
      </c>
      <c r="T77" s="588" t="str">
        <f>IF('4. Sem'!$V$14="","",'4. Sem'!$V$14)</f>
        <v/>
      </c>
      <c r="U77" s="584" t="str">
        <f>IF('4. Sem'!$W$14="","",'4. Sem'!$W$14)</f>
        <v/>
      </c>
      <c r="V77" s="592" t="str">
        <f>IF('4. Sem'!$X$14="","",'4. Sem'!$X$14)</f>
        <v/>
      </c>
      <c r="W77" s="593" t="str">
        <f>IF('4. Sem'!$Y$14="","",'4. Sem'!$Y$14)</f>
        <v/>
      </c>
      <c r="X77" s="581" t="str">
        <f>IF('4. Sem'!$Z$14="","",'4. Sem'!$Z$14)</f>
        <v/>
      </c>
      <c r="Y77" s="588" t="str">
        <f>IF('4. Sem'!$AA$14="","",'4. Sem'!$AA$14)</f>
        <v/>
      </c>
      <c r="Z77" s="581" t="str">
        <f>IF('4. Sem'!$AB$14="","",'4. Sem'!$AB$14)</f>
        <v/>
      </c>
      <c r="AA77" s="582" t="str">
        <f>IF('4. Sem'!$AC$14="","",'4. Sem'!$AC$14)</f>
        <v/>
      </c>
      <c r="AB77" s="583" t="str">
        <f>IF('4. Sem'!$AD$14="","",'4. Sem'!$AD$14)</f>
        <v/>
      </c>
      <c r="AC77" s="584" t="str">
        <f>IF('4. Sem'!$AE$14="","",'4. Sem'!$AE$14)</f>
        <v/>
      </c>
      <c r="AD77" s="588" t="str">
        <f>IF('4. Sem'!$AF$14="","",'4. Sem'!$AF$14)</f>
        <v/>
      </c>
      <c r="AE77" s="584" t="str">
        <f>IF('4. Sem'!$AG$14="","",'4. Sem'!$AG$14)</f>
        <v/>
      </c>
      <c r="AF77" s="592" t="str">
        <f>IF('4. Sem'!$AH$14="","",'4. Sem'!$AH$14)</f>
        <v/>
      </c>
      <c r="AG77" s="593" t="str">
        <f>IF('4. Sem'!$AI$14="","",'4. Sem'!$AI$14)</f>
        <v/>
      </c>
      <c r="AH77" s="581" t="str">
        <f>IF('4. Sem'!$AJ$14="","",'4. Sem'!$AJ$14)</f>
        <v/>
      </c>
      <c r="AI77" s="588" t="str">
        <f>IF('4. Sem'!$AK$14="","",'4. Sem'!$AK$14)</f>
        <v/>
      </c>
      <c r="AJ77" s="581" t="str">
        <f>IF('4. Sem'!$AL$14="","",'4. Sem'!$AL$14)</f>
        <v/>
      </c>
      <c r="AK77" s="582" t="str">
        <f>IF('4. Sem'!$AM$14="","",'4. Sem'!$AM$14)</f>
        <v/>
      </c>
      <c r="AL77" s="590" t="str">
        <f>IF('4. Sem'!$AN$14="","",'4. Sem'!$AN$14)</f>
        <v/>
      </c>
      <c r="AM77" s="588" t="str">
        <f>IF('4. Sem'!$AO$14="","",'4. Sem'!$AO$14)</f>
        <v/>
      </c>
      <c r="AN77" s="588" t="str">
        <f>IF('4. Sem'!$AP$14="","",'4. Sem'!$AP$14)</f>
        <v/>
      </c>
      <c r="AO77" s="588" t="str">
        <f>IF('4. Sem'!$AQ$14="","",'4. Sem'!$AQ$14)</f>
        <v/>
      </c>
      <c r="AP77" s="595" t="str">
        <f>IF('4. Sem'!$AR$14="","",'4. Sem'!$AR$14)</f>
        <v/>
      </c>
      <c r="AQ77" s="594" t="str">
        <f>IF('4. Sem'!$AS$14="","",'4. Sem'!$AS$14)</f>
        <v/>
      </c>
      <c r="AR77" s="581" t="str">
        <f>IF('4. Sem'!$AT$14="","",'4. Sem'!$AT$14)</f>
        <v/>
      </c>
      <c r="AS77" s="588" t="str">
        <f>IF('4. Sem'!$AU$14="","",'4. Sem'!$AU$14)</f>
        <v/>
      </c>
      <c r="AT77" s="581" t="str">
        <f>IF('4. Sem'!$AV$14="","",'4. Sem'!$AV$14)</f>
        <v/>
      </c>
      <c r="AU77" s="582" t="str">
        <f>IF('4. Sem'!$AW$14="","",'4. Sem'!$AW$14)</f>
        <v/>
      </c>
      <c r="AV77" s="583" t="str">
        <f>IF('4. Sem'!$AX$14="","",'4. Sem'!$AX$14)</f>
        <v/>
      </c>
      <c r="AW77" s="584" t="str">
        <f>IF('4. Sem'!$AY$14="","",'4. Sem'!$AY$14)</f>
        <v/>
      </c>
      <c r="AX77" s="588" t="str">
        <f>IF('4. Sem'!$AZ$14="","",'4. Sem'!$AZ$14)</f>
        <v/>
      </c>
      <c r="AY77" s="584" t="str">
        <f>IF('4. Sem'!$BA$14="","",'4. Sem'!$BA$14)</f>
        <v/>
      </c>
      <c r="AZ77" s="592" t="str">
        <f>IF('4. Sem'!$BB$14="","",'4. Sem'!$BB$14)</f>
        <v/>
      </c>
      <c r="BA77" s="593" t="str">
        <f>IF('4. Sem'!$BC$14="","",'4. Sem'!$BC$14)</f>
        <v/>
      </c>
      <c r="BB77" s="581" t="str">
        <f>IF('4. Sem'!$BD$14="","",'4. Sem'!$BD$14)</f>
        <v/>
      </c>
      <c r="BC77" s="588" t="str">
        <f>IF('4. Sem'!$BE$14="","",'4. Sem'!$BE$14)</f>
        <v/>
      </c>
      <c r="BD77" s="581" t="str">
        <f>IF('4. Sem'!$BF$14="","",'4. Sem'!$BF$14)</f>
        <v/>
      </c>
      <c r="BE77" s="582" t="str">
        <f>IF('4. Sem'!$BG$14="","",'4. Sem'!$BG$14)</f>
        <v/>
      </c>
      <c r="BF77" s="583" t="str">
        <f>IF('4. Sem'!$BH$14="","",'4. Sem'!$BH$14)</f>
        <v/>
      </c>
      <c r="BG77" s="584" t="str">
        <f>IF('4. Sem'!$BI$14="","",'4. Sem'!$BI$14)</f>
        <v/>
      </c>
      <c r="BH77" s="588" t="str">
        <f>IF('4. Sem'!$BJ$14="","",'4. Sem'!$BJ$14)</f>
        <v/>
      </c>
      <c r="BI77" s="584" t="str">
        <f>IF('4. Sem'!$BK$14="","",'4. Sem'!$BK$14)</f>
        <v/>
      </c>
      <c r="BJ77" s="592" t="str">
        <f>IF('4. Sem'!$BL$14="","",'4. Sem'!$BL$14)</f>
        <v/>
      </c>
      <c r="BK77" s="593" t="str">
        <f>IF('4. Sem'!$BM$14="","",'4. Sem'!$BM$14)</f>
        <v/>
      </c>
      <c r="BL77" s="581" t="str">
        <f>IF('4. Sem'!$BN$14="","",'4. Sem'!$BN$14)</f>
        <v/>
      </c>
      <c r="BM77" s="588" t="str">
        <f>IF('4. Sem'!$BO$14="","",'4. Sem'!$BO$14)</f>
        <v/>
      </c>
      <c r="BN77" s="581" t="str">
        <f>IF('4. Sem'!$BP$14="","",'4. Sem'!$BP$14)</f>
        <v/>
      </c>
      <c r="BO77" s="582" t="str">
        <f>IF('4. Sem'!$BQ$14="","",'4. Sem'!$BQ$14)</f>
        <v/>
      </c>
      <c r="BP77" s="583" t="str">
        <f>IF('4. Sem'!$BR$14="","",'4. Sem'!$BR$14)</f>
        <v/>
      </c>
      <c r="BQ77" s="584" t="str">
        <f>IF('4. Sem'!$BS$14="","",'4. Sem'!$BS$14)</f>
        <v/>
      </c>
      <c r="BR77" s="588" t="str">
        <f>IF('4. Sem'!$BT$14="","",'4. Sem'!$BT$14)</f>
        <v/>
      </c>
      <c r="BS77" s="588" t="str">
        <f>IF('4. Sem'!$BU$14="","",'4. Sem'!$BU$14)</f>
        <v/>
      </c>
      <c r="BT77" s="595" t="str">
        <f>IF('4. Sem'!$BV$14="","",'4. Sem'!$BV$14)</f>
        <v/>
      </c>
      <c r="BU77" s="593" t="str">
        <f>IF('4. Sem'!$BW$14="","",'4. Sem'!$BW$14)</f>
        <v/>
      </c>
      <c r="BV77" s="581" t="str">
        <f>IF('4. Sem'!$BX$14="","",'4. Sem'!$BX$14)</f>
        <v/>
      </c>
      <c r="BW77" s="588" t="str">
        <f>IF('4. Sem'!$BY$14="","",'4. Sem'!$BY$14)</f>
        <v/>
      </c>
      <c r="BX77" s="581" t="str">
        <f>IF('4. Sem'!$BZ$14="","",'4. Sem'!$BZ$14)</f>
        <v/>
      </c>
      <c r="BY77" s="582" t="str">
        <f>IF('4. Sem'!$CA$14="","",'4. Sem'!$CA$14)</f>
        <v/>
      </c>
      <c r="BZ77" s="590" t="str">
        <f>IF('4. Sem'!$CB$14="","",'4. Sem'!$CB$14)</f>
        <v/>
      </c>
      <c r="CA77" s="584" t="str">
        <f>IF('4. Sem'!$CC$14="","",'4. Sem'!$CC$14)</f>
        <v/>
      </c>
      <c r="CB77" s="588" t="str">
        <f>IF('4. Sem'!$CD$14="","",'4. Sem'!$CD$14)</f>
        <v/>
      </c>
      <c r="CC77" s="584" t="str">
        <f>IF('4. Sem'!$CE$14="","",'4. Sem'!$CE$14)</f>
        <v/>
      </c>
      <c r="CD77" s="592" t="str">
        <f>IF('4. Sem'!$CF$14="","",'4. Sem'!$CF$14)</f>
        <v/>
      </c>
      <c r="CE77" s="593" t="str">
        <f>IF('4. Sem'!$CG$14="","",'4. Sem'!$CG$14)</f>
        <v/>
      </c>
      <c r="CF77" s="581" t="str">
        <f>IF('4. Sem'!$CH$14="","",'4. Sem'!$CH$14)</f>
        <v/>
      </c>
      <c r="CG77" s="588" t="str">
        <f>IF('4. Sem'!$CI$14="","",'4. Sem'!$CI$14)</f>
        <v/>
      </c>
      <c r="CH77" s="581" t="str">
        <f>IF('4. Sem'!$CJ$14="","",'4. Sem'!$CJ$14)</f>
        <v/>
      </c>
      <c r="CI77" s="582" t="str">
        <f>IF('4. Sem'!$CK$14="","",'4. Sem'!$CK$14)</f>
        <v/>
      </c>
      <c r="CJ77" s="583" t="str">
        <f>IF('4. Sem'!$CL$14="","",'4. Sem'!$CL$14)</f>
        <v/>
      </c>
      <c r="CK77" s="584" t="str">
        <f>IF('4. Sem'!$CM$14="","",'4. Sem'!$CM$14)</f>
        <v/>
      </c>
      <c r="CL77" s="588" t="str">
        <f>IF('4. Sem'!$CN$14="","",'4. Sem'!$CN$14)</f>
        <v/>
      </c>
      <c r="CM77" s="584" t="str">
        <f>IF('4. Sem'!$CO$14="","",'4. Sem'!$CO$14)</f>
        <v/>
      </c>
      <c r="CN77" s="592" t="str">
        <f>IF('4. Sem'!$CP$14="","",'4. Sem'!$CP$14)</f>
        <v/>
      </c>
      <c r="CO77" s="593" t="str">
        <f>IF('4. Sem'!$CQ$14="","",'4. Sem'!$CQ$14)</f>
        <v/>
      </c>
      <c r="CP77" s="581" t="str">
        <f>IF('4. Sem'!$CR$14="","",'4. Sem'!$CR$14)</f>
        <v/>
      </c>
      <c r="CQ77" s="588" t="str">
        <f>IF('4. Sem'!$CS$14="","",'4. Sem'!$CS$14)</f>
        <v/>
      </c>
      <c r="CR77" s="581" t="str">
        <f>IF('4. Sem'!$CT$14="","",'4. Sem'!$CT$14)</f>
        <v/>
      </c>
      <c r="CS77" s="582" t="str">
        <f>IF('4. Sem'!$CU$14="","",'4. Sem'!$CU$14)</f>
        <v/>
      </c>
      <c r="CT77" s="583" t="str">
        <f>IF('4. Sem'!$CV$14="","",'4. Sem'!$CV$14)</f>
        <v/>
      </c>
      <c r="CU77" s="584" t="str">
        <f>IF('4. Sem'!$CW$14="","",'4. Sem'!$CW$14)</f>
        <v/>
      </c>
      <c r="CV77" s="588" t="str">
        <f>IF('4. Sem'!$CX$14="","",'4. Sem'!$CX$14)</f>
        <v/>
      </c>
      <c r="CW77" s="584" t="str">
        <f>IF('4. Sem'!$CY$14="","",'4. Sem'!$CY$14)</f>
        <v/>
      </c>
      <c r="CX77" s="592" t="str">
        <f>IF('4. Sem'!$CZ$14="","",'4. Sem'!$CZ$14)</f>
        <v/>
      </c>
      <c r="CY77" s="593" t="str">
        <f>IF('4. Sem'!$DA$14="","",'4. Sem'!$DA$14)</f>
        <v/>
      </c>
      <c r="CZ77" s="581" t="str">
        <f>IF('4. Sem'!$DB$14="","",'4. Sem'!$DB$14)</f>
        <v/>
      </c>
      <c r="DA77" s="588" t="str">
        <f>IF('4. Sem'!$DC$14="","",'4. Sem'!$DC$14)</f>
        <v/>
      </c>
      <c r="DB77" s="581" t="str">
        <f>IF('4. Sem'!$DD$14="","",'4. Sem'!$DD$14)</f>
        <v/>
      </c>
      <c r="DC77" s="582" t="str">
        <f>IF('4. Sem'!$DE$14="","",'4. Sem'!$DE$14)</f>
        <v/>
      </c>
    </row>
    <row r="78" spans="1:107" ht="17" customHeight="1" thickBot="1" x14ac:dyDescent="0.25">
      <c r="A78" s="566"/>
      <c r="B78" s="579" t="s">
        <v>23</v>
      </c>
      <c r="C78" s="606" t="str">
        <f>IF('4. Sem'!$E$15="","",'4. Sem'!$E$15)</f>
        <v/>
      </c>
      <c r="D78" s="607" t="str">
        <f>IF('4. Sem'!$F$15="","",'4. Sem'!$F$15)</f>
        <v/>
      </c>
      <c r="E78" s="608" t="str">
        <f>IF('4. Sem'!$G$15="","",'4. Sem'!$G$15)</f>
        <v/>
      </c>
      <c r="F78" s="607" t="str">
        <f>IF('4. Sem'!$H$15="","",'4. Sem'!$H$15)</f>
        <v/>
      </c>
      <c r="G78" s="609" t="str">
        <f>IF('4. Sem'!$I$15="","",'4. Sem'!$I$15)</f>
        <v/>
      </c>
      <c r="H78" s="610" t="str">
        <f>IF('4. Sem'!$J$15="","",'4. Sem'!$J$15)</f>
        <v/>
      </c>
      <c r="I78" s="611" t="str">
        <f>IF('4. Sem'!$K$15="","",'4. Sem'!$K$15)</f>
        <v/>
      </c>
      <c r="J78" s="608" t="str">
        <f>IF('4. Sem'!$L$15="","",'4. Sem'!$L$15)</f>
        <v/>
      </c>
      <c r="K78" s="611" t="str">
        <f>IF('4. Sem'!$M$15="","",'4. Sem'!$M$15)</f>
        <v/>
      </c>
      <c r="L78" s="612" t="str">
        <f>IF('4. Sem'!$N$15="","",'4. Sem'!$N$15)</f>
        <v/>
      </c>
      <c r="M78" s="613" t="str">
        <f>IF('4. Sem'!$O$15="","",'4. Sem'!$O$15)</f>
        <v/>
      </c>
      <c r="N78" s="607" t="str">
        <f>IF('4. Sem'!$P$15="","",'4. Sem'!$P$15)</f>
        <v/>
      </c>
      <c r="O78" s="608" t="str">
        <f>IF('4. Sem'!$Q$15="","",'4. Sem'!$Q$15)</f>
        <v/>
      </c>
      <c r="P78" s="607" t="str">
        <f>IF('4. Sem'!$R$15="","",'4. Sem'!$R$15)</f>
        <v/>
      </c>
      <c r="Q78" s="609" t="str">
        <f>IF('4. Sem'!$S$15="","",'4. Sem'!$S$15)</f>
        <v/>
      </c>
      <c r="R78" s="610" t="str">
        <f>IF('4. Sem'!$T$15="","",'4. Sem'!$T$15)</f>
        <v/>
      </c>
      <c r="S78" s="611" t="str">
        <f>IF('4. Sem'!$U$15="","",'4. Sem'!$U$15)</f>
        <v/>
      </c>
      <c r="T78" s="608" t="str">
        <f>IF('4. Sem'!$V$15="","",'4. Sem'!$V$15)</f>
        <v/>
      </c>
      <c r="U78" s="611" t="str">
        <f>IF('4. Sem'!$W$15="","",'4. Sem'!$W$15)</f>
        <v/>
      </c>
      <c r="V78" s="612" t="str">
        <f>IF('4. Sem'!$X$15="","",'4. Sem'!$X$15)</f>
        <v/>
      </c>
      <c r="W78" s="613" t="str">
        <f>IF('4. Sem'!$Y$15="","",'4. Sem'!$Y$15)</f>
        <v/>
      </c>
      <c r="X78" s="607" t="str">
        <f>IF('4. Sem'!$Z$15="","",'4. Sem'!$Z$15)</f>
        <v/>
      </c>
      <c r="Y78" s="608" t="str">
        <f>IF('4. Sem'!$AA$15="","",'4. Sem'!$AA$15)</f>
        <v/>
      </c>
      <c r="Z78" s="607" t="str">
        <f>IF('4. Sem'!$AB$15="","",'4. Sem'!$AB$15)</f>
        <v/>
      </c>
      <c r="AA78" s="609" t="str">
        <f>IF('4. Sem'!$AC$15="","",'4. Sem'!$AC$15)</f>
        <v/>
      </c>
      <c r="AB78" s="610" t="str">
        <f>IF('4. Sem'!$AD$15="","",'4. Sem'!$AD$15)</f>
        <v/>
      </c>
      <c r="AC78" s="611" t="str">
        <f>IF('4. Sem'!$AE$15="","",'4. Sem'!$AE$15)</f>
        <v/>
      </c>
      <c r="AD78" s="608" t="str">
        <f>IF('4. Sem'!$AF$15="","",'4. Sem'!$AF$15)</f>
        <v/>
      </c>
      <c r="AE78" s="611" t="str">
        <f>IF('4. Sem'!$AG$15="","",'4. Sem'!$AG$15)</f>
        <v/>
      </c>
      <c r="AF78" s="612" t="str">
        <f>IF('4. Sem'!$AH$15="","",'4. Sem'!$AH$15)</f>
        <v/>
      </c>
      <c r="AG78" s="613" t="str">
        <f>IF('4. Sem'!$AI$15="","",'4. Sem'!$AI$15)</f>
        <v/>
      </c>
      <c r="AH78" s="607" t="str">
        <f>IF('4. Sem'!$AJ$15="","",'4. Sem'!$AJ$15)</f>
        <v/>
      </c>
      <c r="AI78" s="608" t="str">
        <f>IF('4. Sem'!$AK$15="","",'4. Sem'!$AK$15)</f>
        <v/>
      </c>
      <c r="AJ78" s="607" t="str">
        <f>IF('4. Sem'!$AL$15="","",'4. Sem'!$AL$15)</f>
        <v/>
      </c>
      <c r="AK78" s="609" t="str">
        <f>IF('4. Sem'!$AM$15="","",'4. Sem'!$AM$15)</f>
        <v/>
      </c>
      <c r="AL78" s="616" t="str">
        <f>IF('4. Sem'!$AN$15="","",'4. Sem'!$AN$15)</f>
        <v/>
      </c>
      <c r="AM78" s="608" t="str">
        <f>IF('4. Sem'!$AO$15="","",'4. Sem'!$AO$15)</f>
        <v/>
      </c>
      <c r="AN78" s="608" t="str">
        <f>IF('4. Sem'!$AP$15="","",'4. Sem'!$AP$15)</f>
        <v/>
      </c>
      <c r="AO78" s="608" t="str">
        <f>IF('4. Sem'!$AQ$15="","",'4. Sem'!$AQ$15)</f>
        <v/>
      </c>
      <c r="AP78" s="615" t="str">
        <f>IF('4. Sem'!$AR$15="","",'4. Sem'!$AR$15)</f>
        <v/>
      </c>
      <c r="AQ78" s="614" t="str">
        <f>IF('4. Sem'!$AS$15="","",'4. Sem'!$AS$15)</f>
        <v/>
      </c>
      <c r="AR78" s="607" t="str">
        <f>IF('4. Sem'!$AT$15="","",'4. Sem'!$AT$15)</f>
        <v/>
      </c>
      <c r="AS78" s="608" t="str">
        <f>IF('4. Sem'!$AU$15="","",'4. Sem'!$AU$15)</f>
        <v/>
      </c>
      <c r="AT78" s="607" t="str">
        <f>IF('4. Sem'!$AV$15="","",'4. Sem'!$AV$15)</f>
        <v/>
      </c>
      <c r="AU78" s="609" t="str">
        <f>IF('4. Sem'!$AW$15="","",'4. Sem'!$AW$15)</f>
        <v/>
      </c>
      <c r="AV78" s="610" t="str">
        <f>IF('4. Sem'!$AX$15="","",'4. Sem'!$AX$15)</f>
        <v/>
      </c>
      <c r="AW78" s="611" t="str">
        <f>IF('4. Sem'!$AY$15="","",'4. Sem'!$AY$15)</f>
        <v/>
      </c>
      <c r="AX78" s="608" t="str">
        <f>IF('4. Sem'!$AZ$15="","",'4. Sem'!$AZ$15)</f>
        <v/>
      </c>
      <c r="AY78" s="611" t="str">
        <f>IF('4. Sem'!$BA$15="","",'4. Sem'!$BA$15)</f>
        <v/>
      </c>
      <c r="AZ78" s="612" t="str">
        <f>IF('4. Sem'!$BB$15="","",'4. Sem'!$BB$15)</f>
        <v/>
      </c>
      <c r="BA78" s="613" t="str">
        <f>IF('4. Sem'!$BC$15="","",'4. Sem'!$BC$15)</f>
        <v/>
      </c>
      <c r="BB78" s="607" t="str">
        <f>IF('4. Sem'!$BD$15="","",'4. Sem'!$BD$15)</f>
        <v/>
      </c>
      <c r="BC78" s="608" t="str">
        <f>IF('4. Sem'!$BE$15="","",'4. Sem'!$BE$15)</f>
        <v/>
      </c>
      <c r="BD78" s="607" t="str">
        <f>IF('4. Sem'!$BF$15="","",'4. Sem'!$BF$15)</f>
        <v/>
      </c>
      <c r="BE78" s="609" t="str">
        <f>IF('4. Sem'!$BG$15="","",'4. Sem'!$BG$15)</f>
        <v/>
      </c>
      <c r="BF78" s="610" t="str">
        <f>IF('4. Sem'!$BH$15="","",'4. Sem'!$BH$15)</f>
        <v/>
      </c>
      <c r="BG78" s="611" t="str">
        <f>IF('4. Sem'!$BI$15="","",'4. Sem'!$BI$15)</f>
        <v/>
      </c>
      <c r="BH78" s="608" t="str">
        <f>IF('4. Sem'!$BJ$15="","",'4. Sem'!$BJ$15)</f>
        <v/>
      </c>
      <c r="BI78" s="611" t="str">
        <f>IF('4. Sem'!$BK$15="","",'4. Sem'!$BK$15)</f>
        <v/>
      </c>
      <c r="BJ78" s="612" t="str">
        <f>IF('4. Sem'!$BL$15="","",'4. Sem'!$BL$15)</f>
        <v/>
      </c>
      <c r="BK78" s="613" t="str">
        <f>IF('4. Sem'!$BM$15="","",'4. Sem'!$BM$15)</f>
        <v/>
      </c>
      <c r="BL78" s="607" t="str">
        <f>IF('4. Sem'!$BN$15="","",'4. Sem'!$BN$15)</f>
        <v/>
      </c>
      <c r="BM78" s="608" t="str">
        <f>IF('4. Sem'!$BO$15="","",'4. Sem'!$BO$15)</f>
        <v/>
      </c>
      <c r="BN78" s="607" t="str">
        <f>IF('4. Sem'!$BP$15="","",'4. Sem'!$BP$15)</f>
        <v/>
      </c>
      <c r="BO78" s="609" t="str">
        <f>IF('4. Sem'!$BQ$15="","",'4. Sem'!$BQ$15)</f>
        <v/>
      </c>
      <c r="BP78" s="610" t="str">
        <f>IF('4. Sem'!$BR$15="","",'4. Sem'!$BR$15)</f>
        <v/>
      </c>
      <c r="BQ78" s="611" t="str">
        <f>IF('4. Sem'!$BS$15="","",'4. Sem'!$BS$15)</f>
        <v/>
      </c>
      <c r="BR78" s="608" t="str">
        <f>IF('4. Sem'!$BT$15="","",'4. Sem'!$BT$15)</f>
        <v/>
      </c>
      <c r="BS78" s="608" t="str">
        <f>IF('4. Sem'!$BU$15="","",'4. Sem'!$BU$15)</f>
        <v/>
      </c>
      <c r="BT78" s="615" t="str">
        <f>IF('4. Sem'!$BV$15="","",'4. Sem'!$BV$15)</f>
        <v/>
      </c>
      <c r="BU78" s="613" t="str">
        <f>IF('4. Sem'!$BW$15="","",'4. Sem'!$BW$15)</f>
        <v/>
      </c>
      <c r="BV78" s="607" t="str">
        <f>IF('4. Sem'!$BX$15="","",'4. Sem'!$BX$15)</f>
        <v/>
      </c>
      <c r="BW78" s="608" t="str">
        <f>IF('4. Sem'!$BY$15="","",'4. Sem'!$BY$15)</f>
        <v/>
      </c>
      <c r="BX78" s="607" t="str">
        <f>IF('4. Sem'!$BZ$15="","",'4. Sem'!$BZ$15)</f>
        <v/>
      </c>
      <c r="BY78" s="609" t="str">
        <f>IF('4. Sem'!$CA$15="","",'4. Sem'!$CA$15)</f>
        <v/>
      </c>
      <c r="BZ78" s="616" t="str">
        <f>IF('4. Sem'!$CB$15="","",'4. Sem'!$CB$15)</f>
        <v/>
      </c>
      <c r="CA78" s="611" t="str">
        <f>IF('4. Sem'!$CC$15="","",'4. Sem'!$CC$15)</f>
        <v/>
      </c>
      <c r="CB78" s="608" t="str">
        <f>IF('4. Sem'!$CD$15="","",'4. Sem'!$CD$15)</f>
        <v/>
      </c>
      <c r="CC78" s="611" t="str">
        <f>IF('4. Sem'!$CE$15="","",'4. Sem'!$CE$15)</f>
        <v/>
      </c>
      <c r="CD78" s="612" t="str">
        <f>IF('4. Sem'!$CF$15="","",'4. Sem'!$CF$15)</f>
        <v/>
      </c>
      <c r="CE78" s="613" t="str">
        <f>IF('4. Sem'!$CG$15="","",'4. Sem'!$CG$15)</f>
        <v/>
      </c>
      <c r="CF78" s="607" t="str">
        <f>IF('4. Sem'!$CH$15="","",'4. Sem'!$CH$15)</f>
        <v/>
      </c>
      <c r="CG78" s="608" t="str">
        <f>IF('4. Sem'!$CI$15="","",'4. Sem'!$CI$15)</f>
        <v/>
      </c>
      <c r="CH78" s="607" t="str">
        <f>IF('4. Sem'!$CJ$15="","",'4. Sem'!$CJ$15)</f>
        <v/>
      </c>
      <c r="CI78" s="609" t="str">
        <f>IF('4. Sem'!$CK$15="","",'4. Sem'!$CK$15)</f>
        <v/>
      </c>
      <c r="CJ78" s="610" t="str">
        <f>IF('4. Sem'!$CL$15="","",'4. Sem'!$CL$15)</f>
        <v/>
      </c>
      <c r="CK78" s="611" t="str">
        <f>IF('4. Sem'!$CM$15="","",'4. Sem'!$CM$15)</f>
        <v/>
      </c>
      <c r="CL78" s="608" t="str">
        <f>IF('4. Sem'!$CN$15="","",'4. Sem'!$CN$15)</f>
        <v/>
      </c>
      <c r="CM78" s="611" t="str">
        <f>IF('4. Sem'!$CO$15="","",'4. Sem'!$CO$15)</f>
        <v/>
      </c>
      <c r="CN78" s="612" t="str">
        <f>IF('4. Sem'!$CP$15="","",'4. Sem'!$CP$15)</f>
        <v/>
      </c>
      <c r="CO78" s="613" t="str">
        <f>IF('4. Sem'!$CQ$15="","",'4. Sem'!$CQ$15)</f>
        <v/>
      </c>
      <c r="CP78" s="607" t="str">
        <f>IF('4. Sem'!$CR$15="","",'4. Sem'!$CR$15)</f>
        <v/>
      </c>
      <c r="CQ78" s="608" t="str">
        <f>IF('4. Sem'!$CS$15="","",'4. Sem'!$CS$15)</f>
        <v/>
      </c>
      <c r="CR78" s="607" t="str">
        <f>IF('4. Sem'!$CT$15="","",'4. Sem'!$CT$15)</f>
        <v/>
      </c>
      <c r="CS78" s="609" t="str">
        <f>IF('4. Sem'!$CU$15="","",'4. Sem'!$CU$15)</f>
        <v/>
      </c>
      <c r="CT78" s="610" t="str">
        <f>IF('4. Sem'!$CV$15="","",'4. Sem'!$CV$15)</f>
        <v/>
      </c>
      <c r="CU78" s="611" t="str">
        <f>IF('4. Sem'!$CW$15="","",'4. Sem'!$CW$15)</f>
        <v/>
      </c>
      <c r="CV78" s="608" t="str">
        <f>IF('4. Sem'!$CX$15="","",'4. Sem'!$CX$15)</f>
        <v/>
      </c>
      <c r="CW78" s="611" t="str">
        <f>IF('4. Sem'!$CY$15="","",'4. Sem'!$CY$15)</f>
        <v/>
      </c>
      <c r="CX78" s="612" t="str">
        <f>IF('4. Sem'!$CZ$15="","",'4. Sem'!$CZ$15)</f>
        <v/>
      </c>
      <c r="CY78" s="613" t="str">
        <f>IF('4. Sem'!$DA$15="","",'4. Sem'!$DA$15)</f>
        <v/>
      </c>
      <c r="CZ78" s="607" t="str">
        <f>IF('4. Sem'!$DB$15="","",'4. Sem'!$DB$15)</f>
        <v/>
      </c>
      <c r="DA78" s="608" t="str">
        <f>IF('4. Sem'!$DC$15="","",'4. Sem'!$DC$15)</f>
        <v/>
      </c>
      <c r="DB78" s="607" t="str">
        <f>IF('4. Sem'!$DD$15="","",'4. Sem'!$DD$15)</f>
        <v/>
      </c>
      <c r="DC78" s="609" t="str">
        <f>IF('4. Sem'!$DE$15="","",'4. Sem'!$DE$15)</f>
        <v/>
      </c>
    </row>
    <row r="79" spans="1:107" ht="16" customHeight="1" x14ac:dyDescent="0.2">
      <c r="A79" s="566"/>
      <c r="B79" s="579" t="s">
        <v>24</v>
      </c>
      <c r="C79" s="617" t="str">
        <f>IF('4. Sem'!$E$16="","",'4. Sem'!$E$16)</f>
        <v/>
      </c>
      <c r="D79" s="618" t="str">
        <f>IF('4. Sem'!$F$16="","",'4. Sem'!$F$16)</f>
        <v/>
      </c>
      <c r="E79" s="618" t="str">
        <f>IF('4. Sem'!$G$16="","",'4. Sem'!$G$16)</f>
        <v/>
      </c>
      <c r="F79" s="618" t="str">
        <f>IF('4. Sem'!$H$16="","",'4. Sem'!$H$16)</f>
        <v/>
      </c>
      <c r="G79" s="619" t="str">
        <f>IF('4. Sem'!$I$16="","",'4. Sem'!$I$16)</f>
        <v/>
      </c>
      <c r="H79" s="620" t="str">
        <f>IF('4. Sem'!$J$16="","",'4. Sem'!$J$16)</f>
        <v/>
      </c>
      <c r="I79" s="621" t="str">
        <f>IF('4. Sem'!$K$16="","",'4. Sem'!$K$16)</f>
        <v/>
      </c>
      <c r="J79" s="621" t="str">
        <f>IF('4. Sem'!$L$16="","",'4. Sem'!$L$16)</f>
        <v/>
      </c>
      <c r="K79" s="621" t="str">
        <f>IF('4. Sem'!$M$16="","",'4. Sem'!$M$16)</f>
        <v/>
      </c>
      <c r="L79" s="622" t="str">
        <f>IF('4. Sem'!$N$16="","",'4. Sem'!$N$16)</f>
        <v/>
      </c>
      <c r="M79" s="617" t="str">
        <f>IF('4. Sem'!$O$16="","",'4. Sem'!$O$16)</f>
        <v/>
      </c>
      <c r="N79" s="618" t="str">
        <f>IF('4. Sem'!$P$16="","",'4. Sem'!$P$16)</f>
        <v/>
      </c>
      <c r="O79" s="618" t="str">
        <f>IF('4. Sem'!$Q$16="","",'4. Sem'!$Q$16)</f>
        <v/>
      </c>
      <c r="P79" s="618" t="str">
        <f>IF('4. Sem'!$R$16="","",'4. Sem'!$R$16)</f>
        <v/>
      </c>
      <c r="Q79" s="619" t="str">
        <f>IF('4. Sem'!$S$16="","",'4. Sem'!$S$16)</f>
        <v/>
      </c>
      <c r="R79" s="620" t="str">
        <f>IF('4. Sem'!$T$16="","",'4. Sem'!$T$16)</f>
        <v/>
      </c>
      <c r="S79" s="621" t="str">
        <f>IF('4. Sem'!$U$16="","",'4. Sem'!$U$16)</f>
        <v/>
      </c>
      <c r="T79" s="621" t="str">
        <f>IF('4. Sem'!$V$16="","",'4. Sem'!$V$16)</f>
        <v/>
      </c>
      <c r="U79" s="621" t="str">
        <f>IF('4. Sem'!$W$16="","",'4. Sem'!$W$16)</f>
        <v/>
      </c>
      <c r="V79" s="622" t="str">
        <f>IF('4. Sem'!$X$16="","",'4. Sem'!$X$16)</f>
        <v/>
      </c>
      <c r="W79" s="617" t="str">
        <f>IF('4. Sem'!$Y$16="","",'4. Sem'!$Y$16)</f>
        <v/>
      </c>
      <c r="X79" s="618" t="str">
        <f>IF('4. Sem'!$Z$16="","",'4. Sem'!$Z$16)</f>
        <v/>
      </c>
      <c r="Y79" s="618" t="str">
        <f>IF('4. Sem'!$AA$16="","",'4. Sem'!$AA$16)</f>
        <v/>
      </c>
      <c r="Z79" s="618" t="str">
        <f>IF('4. Sem'!$AB$16="","",'4. Sem'!$AB$16)</f>
        <v/>
      </c>
      <c r="AA79" s="619" t="str">
        <f>IF('4. Sem'!$AC$16="","",'4. Sem'!$AC$16)</f>
        <v/>
      </c>
      <c r="AB79" s="620" t="str">
        <f>IF('4. Sem'!$AD$16="","",'4. Sem'!$AD$16)</f>
        <v/>
      </c>
      <c r="AC79" s="621" t="str">
        <f>IF('4. Sem'!$AE$16="","",'4. Sem'!$AE$16)</f>
        <v/>
      </c>
      <c r="AD79" s="621" t="str">
        <f>IF('4. Sem'!$AF$16="","",'4. Sem'!$AF$16)</f>
        <v/>
      </c>
      <c r="AE79" s="621" t="str">
        <f>IF('4. Sem'!$AG$16="","",'4. Sem'!$AG$16)</f>
        <v/>
      </c>
      <c r="AF79" s="622" t="str">
        <f>IF('4. Sem'!$AH$16="","",'4. Sem'!$AH$16)</f>
        <v/>
      </c>
      <c r="AG79" s="617" t="str">
        <f>IF('4. Sem'!$AI$16="","",'4. Sem'!$AI$16)</f>
        <v/>
      </c>
      <c r="AH79" s="618" t="str">
        <f>IF('4. Sem'!$AJ$16="","",'4. Sem'!$AJ$16)</f>
        <v/>
      </c>
      <c r="AI79" s="618" t="str">
        <f>IF('4. Sem'!$AK$16="","",'4. Sem'!$AK$16)</f>
        <v/>
      </c>
      <c r="AJ79" s="618" t="str">
        <f>IF('4. Sem'!$AL$16="","",'4. Sem'!$AL$16)</f>
        <v/>
      </c>
      <c r="AK79" s="619" t="str">
        <f>IF('4. Sem'!$AM$16="","",'4. Sem'!$AM$16)</f>
        <v/>
      </c>
      <c r="AL79" s="620" t="str">
        <f>IF('4. Sem'!$AN$16="","",'4. Sem'!$AN$16)</f>
        <v/>
      </c>
      <c r="AM79" s="621" t="str">
        <f>IF('4. Sem'!$AO$16="","",'4. Sem'!$AO$16)</f>
        <v/>
      </c>
      <c r="AN79" s="621" t="str">
        <f>IF('4. Sem'!$AP$16="","",'4. Sem'!$AP$16)</f>
        <v/>
      </c>
      <c r="AO79" s="621" t="str">
        <f>IF('4. Sem'!$AQ$16="","",'4. Sem'!$AQ$16)</f>
        <v/>
      </c>
      <c r="AP79" s="622" t="str">
        <f>IF('4. Sem'!$AR$16="","",'4. Sem'!$AR$16)</f>
        <v/>
      </c>
      <c r="AQ79" s="617" t="str">
        <f>IF('4. Sem'!$AS$16="","",'4. Sem'!$AS$16)</f>
        <v/>
      </c>
      <c r="AR79" s="618" t="str">
        <f>IF('4. Sem'!$AT$16="","",'4. Sem'!$AT$16)</f>
        <v/>
      </c>
      <c r="AS79" s="618" t="str">
        <f>IF('4. Sem'!$AU$16="","",'4. Sem'!$AU$16)</f>
        <v/>
      </c>
      <c r="AT79" s="618" t="str">
        <f>IF('4. Sem'!$AV$16="","",'4. Sem'!$AV$16)</f>
        <v/>
      </c>
      <c r="AU79" s="619" t="str">
        <f>IF('4. Sem'!$AW$16="","",'4. Sem'!$AW$16)</f>
        <v/>
      </c>
      <c r="AV79" s="620" t="str">
        <f>IF('4. Sem'!$AX$16="","",'4. Sem'!$AX$16)</f>
        <v/>
      </c>
      <c r="AW79" s="621" t="str">
        <f>IF('4. Sem'!$AY$16="","",'4. Sem'!$AY$16)</f>
        <v/>
      </c>
      <c r="AX79" s="621" t="str">
        <f>IF('4. Sem'!$AZ$16="","",'4. Sem'!$AZ$16)</f>
        <v/>
      </c>
      <c r="AY79" s="621" t="str">
        <f>IF('4. Sem'!$BA$16="","",'4. Sem'!$BA$16)</f>
        <v/>
      </c>
      <c r="AZ79" s="622" t="str">
        <f>IF('4. Sem'!$BB$16="","",'4. Sem'!$BB$16)</f>
        <v/>
      </c>
      <c r="BA79" s="617" t="str">
        <f>IF('4. Sem'!$BC$16="","",'4. Sem'!$BC$16)</f>
        <v/>
      </c>
      <c r="BB79" s="618" t="str">
        <f>IF('4. Sem'!$BD$16="","",'4. Sem'!$BD$16)</f>
        <v/>
      </c>
      <c r="BC79" s="618" t="str">
        <f>IF('4. Sem'!$BE$16="","",'4. Sem'!$BE$16)</f>
        <v/>
      </c>
      <c r="BD79" s="618" t="str">
        <f>IF('4. Sem'!$BF$16="","",'4. Sem'!$BF$16)</f>
        <v/>
      </c>
      <c r="BE79" s="619" t="str">
        <f>IF('4. Sem'!$BG$16="","",'4. Sem'!$BG$16)</f>
        <v/>
      </c>
      <c r="BF79" s="620" t="str">
        <f>IF('4. Sem'!$BH$16="","",'4. Sem'!$BH$16)</f>
        <v/>
      </c>
      <c r="BG79" s="621" t="str">
        <f>IF('4. Sem'!$BI$16="","",'4. Sem'!$BI$16)</f>
        <v/>
      </c>
      <c r="BH79" s="621" t="str">
        <f>IF('4. Sem'!$BJ$16="","",'4. Sem'!$BJ$16)</f>
        <v/>
      </c>
      <c r="BI79" s="621" t="str">
        <f>IF('4. Sem'!$BK$16="","",'4. Sem'!$BK$16)</f>
        <v/>
      </c>
      <c r="BJ79" s="622" t="str">
        <f>IF('4. Sem'!$BL$16="","",'4. Sem'!$BL$16)</f>
        <v/>
      </c>
      <c r="BK79" s="617" t="str">
        <f>IF('4. Sem'!$BM$16="","",'4. Sem'!$BM$16)</f>
        <v/>
      </c>
      <c r="BL79" s="618" t="str">
        <f>IF('4. Sem'!$BN$16="","",'4. Sem'!$BN$16)</f>
        <v/>
      </c>
      <c r="BM79" s="618" t="str">
        <f>IF('4. Sem'!$BO$16="","",'4. Sem'!$BO$16)</f>
        <v/>
      </c>
      <c r="BN79" s="618" t="str">
        <f>IF('4. Sem'!$BP$16="","",'4. Sem'!$BP$16)</f>
        <v/>
      </c>
      <c r="BO79" s="619" t="str">
        <f>IF('4. Sem'!$BQ$16="","",'4. Sem'!$BQ$16)</f>
        <v/>
      </c>
      <c r="BP79" s="620" t="str">
        <f>IF('4. Sem'!$BR$16="","",'4. Sem'!$BR$16)</f>
        <v/>
      </c>
      <c r="BQ79" s="621" t="str">
        <f>IF('4. Sem'!$BS$16="","",'4. Sem'!$BS$16)</f>
        <v/>
      </c>
      <c r="BR79" s="621" t="str">
        <f>IF('4. Sem'!$BT$16="","",'4. Sem'!$BT$16)</f>
        <v/>
      </c>
      <c r="BS79" s="621" t="str">
        <f>IF('4. Sem'!$BU$16="","",'4. Sem'!$BU$16)</f>
        <v/>
      </c>
      <c r="BT79" s="622" t="str">
        <f>IF('4. Sem'!$BV$16="","",'4. Sem'!$BV$16)</f>
        <v/>
      </c>
      <c r="BU79" s="617" t="str">
        <f>IF('4. Sem'!$BW$16="","",'4. Sem'!$BW$16)</f>
        <v/>
      </c>
      <c r="BV79" s="618" t="str">
        <f>IF('4. Sem'!$BX$16="","",'4. Sem'!$BX$16)</f>
        <v/>
      </c>
      <c r="BW79" s="618" t="str">
        <f>IF('4. Sem'!$BY$16="","",'4. Sem'!$BY$16)</f>
        <v/>
      </c>
      <c r="BX79" s="618" t="str">
        <f>IF('4. Sem'!$BZ$16="","",'4. Sem'!$BZ$16)</f>
        <v/>
      </c>
      <c r="BY79" s="619" t="str">
        <f>IF('4. Sem'!$CA$16="","",'4. Sem'!$CA$16)</f>
        <v/>
      </c>
      <c r="BZ79" s="620" t="str">
        <f>IF('4. Sem'!$CB$16="","",'4. Sem'!$CB$16)</f>
        <v/>
      </c>
      <c r="CA79" s="621" t="str">
        <f>IF('4. Sem'!$CC$16="","",'4. Sem'!$CC$16)</f>
        <v/>
      </c>
      <c r="CB79" s="621" t="str">
        <f>IF('4. Sem'!$CD$16="","",'4. Sem'!$CD$16)</f>
        <v/>
      </c>
      <c r="CC79" s="621" t="str">
        <f>IF('4. Sem'!$CE$16="","",'4. Sem'!$CE$16)</f>
        <v/>
      </c>
      <c r="CD79" s="622" t="str">
        <f>IF('4. Sem'!$CF$16="","",'4. Sem'!$CF$16)</f>
        <v/>
      </c>
      <c r="CE79" s="617" t="str">
        <f>IF('4. Sem'!$CG$16="","",'4. Sem'!$CG$16)</f>
        <v/>
      </c>
      <c r="CF79" s="618" t="str">
        <f>IF('4. Sem'!$CH$16="","",'4. Sem'!$CH$16)</f>
        <v/>
      </c>
      <c r="CG79" s="618" t="str">
        <f>IF('4. Sem'!$CI$16="","",'4. Sem'!$CI$16)</f>
        <v/>
      </c>
      <c r="CH79" s="618" t="str">
        <f>IF('4. Sem'!$CJ$16="","",'4. Sem'!$CJ$16)</f>
        <v/>
      </c>
      <c r="CI79" s="619" t="str">
        <f>IF('4. Sem'!$CK$16="","",'4. Sem'!$CK$16)</f>
        <v/>
      </c>
      <c r="CJ79" s="620" t="str">
        <f>IF('4. Sem'!$CL$16="","",'4. Sem'!$CL$16)</f>
        <v/>
      </c>
      <c r="CK79" s="621" t="str">
        <f>IF('4. Sem'!$CM$16="","",'4. Sem'!$CM$16)</f>
        <v/>
      </c>
      <c r="CL79" s="621" t="str">
        <f>IF('4. Sem'!$CN$16="","",'4. Sem'!$CN$16)</f>
        <v/>
      </c>
      <c r="CM79" s="621" t="str">
        <f>IF('4. Sem'!$CO$16="","",'4. Sem'!$CO$16)</f>
        <v/>
      </c>
      <c r="CN79" s="622" t="str">
        <f>IF('4. Sem'!$CP$16="","",'4. Sem'!$CP$16)</f>
        <v/>
      </c>
      <c r="CO79" s="617" t="str">
        <f>IF('4. Sem'!$CQ$16="","",'4. Sem'!$CQ$16)</f>
        <v/>
      </c>
      <c r="CP79" s="618" t="str">
        <f>IF('4. Sem'!$CR$16="","",'4. Sem'!$CR$16)</f>
        <v/>
      </c>
      <c r="CQ79" s="618" t="str">
        <f>IF('4. Sem'!$CS$16="","",'4. Sem'!$CS$16)</f>
        <v/>
      </c>
      <c r="CR79" s="618" t="str">
        <f>IF('4. Sem'!$CT$16="","",'4. Sem'!$CT$16)</f>
        <v/>
      </c>
      <c r="CS79" s="619" t="str">
        <f>IF('4. Sem'!$CU$16="","",'4. Sem'!$CU$16)</f>
        <v/>
      </c>
      <c r="CT79" s="620" t="str">
        <f>IF('4. Sem'!$CV$16="","",'4. Sem'!$CV$16)</f>
        <v/>
      </c>
      <c r="CU79" s="621" t="str">
        <f>IF('4. Sem'!$CW$16="","",'4. Sem'!$CW$16)</f>
        <v/>
      </c>
      <c r="CV79" s="621" t="str">
        <f>IF('4. Sem'!$CX$16="","",'4. Sem'!$CX$16)</f>
        <v/>
      </c>
      <c r="CW79" s="621" t="str">
        <f>IF('4. Sem'!$CY$16="","",'4. Sem'!$CY$16)</f>
        <v/>
      </c>
      <c r="CX79" s="622" t="str">
        <f>IF('4. Sem'!$CZ$16="","",'4. Sem'!$CZ$16)</f>
        <v/>
      </c>
      <c r="CY79" s="617" t="str">
        <f>IF('4. Sem'!$DA$16="","",'4. Sem'!$DA$16)</f>
        <v/>
      </c>
      <c r="CZ79" s="618" t="str">
        <f>IF('4. Sem'!$DB$16="","",'4. Sem'!$DB$16)</f>
        <v/>
      </c>
      <c r="DA79" s="618" t="str">
        <f>IF('4. Sem'!$DC$16="","",'4. Sem'!$DC$16)</f>
        <v/>
      </c>
      <c r="DB79" s="618" t="str">
        <f>IF('4. Sem'!$DD$16="","",'4. Sem'!$DD$16)</f>
        <v/>
      </c>
      <c r="DC79" s="619" t="str">
        <f>IF('4. Sem'!$DE$16="","",'4. Sem'!$DE$16)</f>
        <v/>
      </c>
    </row>
    <row r="80" spans="1:107" ht="16" customHeight="1" x14ac:dyDescent="0.2">
      <c r="A80" s="566"/>
      <c r="B80" s="579" t="s">
        <v>30</v>
      </c>
      <c r="C80" s="623" t="str">
        <f>IF('4. Sem'!$E$17="","",'4. Sem'!$E$17)</f>
        <v/>
      </c>
      <c r="D80" s="624" t="str">
        <f>IF('4. Sem'!$F$17="","",'4. Sem'!$F$17)</f>
        <v/>
      </c>
      <c r="E80" s="624" t="str">
        <f>IF('4. Sem'!$G$17="","",'4. Sem'!$G$17)</f>
        <v/>
      </c>
      <c r="F80" s="624" t="str">
        <f>IF('4. Sem'!$H$17="","",'4. Sem'!$H$17)</f>
        <v/>
      </c>
      <c r="G80" s="625" t="str">
        <f>IF('4. Sem'!$I$17="","",'4. Sem'!$I$17)</f>
        <v/>
      </c>
      <c r="H80" s="626" t="str">
        <f>IF('4. Sem'!$J$17="","",'4. Sem'!$J$17)</f>
        <v/>
      </c>
      <c r="I80" s="627" t="str">
        <f>IF('4. Sem'!$K$17="","",'4. Sem'!$K$17)</f>
        <v/>
      </c>
      <c r="J80" s="627" t="str">
        <f>IF('4. Sem'!$L$17="","",'4. Sem'!$L$17)</f>
        <v/>
      </c>
      <c r="K80" s="627" t="str">
        <f>IF('4. Sem'!$M$17="","",'4. Sem'!$M$17)</f>
        <v/>
      </c>
      <c r="L80" s="628" t="str">
        <f>IF('4. Sem'!$N$17="","",'4. Sem'!$N$17)</f>
        <v/>
      </c>
      <c r="M80" s="623" t="str">
        <f>IF('4. Sem'!$O$17="","",'4. Sem'!$O$17)</f>
        <v/>
      </c>
      <c r="N80" s="624" t="str">
        <f>IF('4. Sem'!$P$17="","",'4. Sem'!$P$17)</f>
        <v/>
      </c>
      <c r="O80" s="624" t="str">
        <f>IF('4. Sem'!$Q$17="","",'4. Sem'!$Q$17)</f>
        <v/>
      </c>
      <c r="P80" s="624" t="str">
        <f>IF('4. Sem'!$R$17="","",'4. Sem'!$R$17)</f>
        <v/>
      </c>
      <c r="Q80" s="625" t="str">
        <f>IF('4. Sem'!$S$17="","",'4. Sem'!$S$17)</f>
        <v/>
      </c>
      <c r="R80" s="626" t="str">
        <f>IF('4. Sem'!$T$17="","",'4. Sem'!$T$17)</f>
        <v/>
      </c>
      <c r="S80" s="627" t="str">
        <f>IF('4. Sem'!$U$17="","",'4. Sem'!$U$17)</f>
        <v/>
      </c>
      <c r="T80" s="627" t="str">
        <f>IF('4. Sem'!$V$17="","",'4. Sem'!$V$17)</f>
        <v/>
      </c>
      <c r="U80" s="627" t="str">
        <f>IF('4. Sem'!$W$17="","",'4. Sem'!$W$17)</f>
        <v/>
      </c>
      <c r="V80" s="628" t="str">
        <f>IF('4. Sem'!$X$17="","",'4. Sem'!$X$17)</f>
        <v/>
      </c>
      <c r="W80" s="623" t="str">
        <f>IF('4. Sem'!$Y$17="","",'4. Sem'!$Y$17)</f>
        <v/>
      </c>
      <c r="X80" s="624" t="str">
        <f>IF('4. Sem'!$Z$17="","",'4. Sem'!$Z$17)</f>
        <v/>
      </c>
      <c r="Y80" s="624" t="str">
        <f>IF('4. Sem'!$AA$17="","",'4. Sem'!$AA$17)</f>
        <v/>
      </c>
      <c r="Z80" s="624" t="str">
        <f>IF('4. Sem'!$AB$17="","",'4. Sem'!$AB$17)</f>
        <v/>
      </c>
      <c r="AA80" s="625" t="str">
        <f>IF('4. Sem'!$AC$17="","",'4. Sem'!$AC$17)</f>
        <v/>
      </c>
      <c r="AB80" s="626" t="str">
        <f>IF('4. Sem'!$AD$17="","",'4. Sem'!$AD$17)</f>
        <v/>
      </c>
      <c r="AC80" s="627" t="str">
        <f>IF('4. Sem'!$AE$17="","",'4. Sem'!$AE$17)</f>
        <v/>
      </c>
      <c r="AD80" s="627" t="str">
        <f>IF('4. Sem'!$AF$17="","",'4. Sem'!$AF$17)</f>
        <v/>
      </c>
      <c r="AE80" s="627" t="str">
        <f>IF('4. Sem'!$AG$17="","",'4. Sem'!$AG$17)</f>
        <v/>
      </c>
      <c r="AF80" s="628" t="str">
        <f>IF('4. Sem'!$AH$17="","",'4. Sem'!$AH$17)</f>
        <v/>
      </c>
      <c r="AG80" s="623" t="str">
        <f>IF('4. Sem'!$AI$17="","",'4. Sem'!$AI$17)</f>
        <v/>
      </c>
      <c r="AH80" s="624" t="str">
        <f>IF('4. Sem'!$AJ$17="","",'4. Sem'!$AJ$17)</f>
        <v/>
      </c>
      <c r="AI80" s="624" t="str">
        <f>IF('4. Sem'!$AK$17="","",'4. Sem'!$AK$17)</f>
        <v/>
      </c>
      <c r="AJ80" s="624" t="str">
        <f>IF('4. Sem'!$AL$17="","",'4. Sem'!$AL$17)</f>
        <v/>
      </c>
      <c r="AK80" s="625" t="str">
        <f>IF('4. Sem'!$AM$17="","",'4. Sem'!$AM$17)</f>
        <v/>
      </c>
      <c r="AL80" s="626" t="str">
        <f>IF('4. Sem'!$AN$17="","",'4. Sem'!$AN$17)</f>
        <v/>
      </c>
      <c r="AM80" s="627" t="str">
        <f>IF('4. Sem'!$AO$17="","",'4. Sem'!$AO$17)</f>
        <v/>
      </c>
      <c r="AN80" s="627" t="str">
        <f>IF('4. Sem'!$AP$17="","",'4. Sem'!$AP$17)</f>
        <v/>
      </c>
      <c r="AO80" s="627" t="str">
        <f>IF('4. Sem'!$AQ$17="","",'4. Sem'!$AQ$17)</f>
        <v/>
      </c>
      <c r="AP80" s="628" t="str">
        <f>IF('4. Sem'!$AR$17="","",'4. Sem'!$AR$17)</f>
        <v/>
      </c>
      <c r="AQ80" s="623" t="str">
        <f>IF('4. Sem'!$AS$17="","",'4. Sem'!$AS$17)</f>
        <v/>
      </c>
      <c r="AR80" s="624" t="str">
        <f>IF('4. Sem'!$AT$17="","",'4. Sem'!$AT$17)</f>
        <v/>
      </c>
      <c r="AS80" s="624" t="str">
        <f>IF('4. Sem'!$AU$17="","",'4. Sem'!$AU$17)</f>
        <v/>
      </c>
      <c r="AT80" s="624" t="str">
        <f>IF('4. Sem'!$AV$17="","",'4. Sem'!$AV$17)</f>
        <v/>
      </c>
      <c r="AU80" s="625" t="str">
        <f>IF('4. Sem'!$AW$17="","",'4. Sem'!$AW$17)</f>
        <v/>
      </c>
      <c r="AV80" s="626" t="str">
        <f>IF('4. Sem'!$AX$17="","",'4. Sem'!$AX$17)</f>
        <v/>
      </c>
      <c r="AW80" s="627" t="str">
        <f>IF('4. Sem'!$AY$17="","",'4. Sem'!$AY$17)</f>
        <v/>
      </c>
      <c r="AX80" s="627" t="str">
        <f>IF('4. Sem'!$AZ$17="","",'4. Sem'!$AZ$17)</f>
        <v/>
      </c>
      <c r="AY80" s="627" t="str">
        <f>IF('4. Sem'!$BA$17="","",'4. Sem'!$BA$17)</f>
        <v/>
      </c>
      <c r="AZ80" s="628" t="str">
        <f>IF('4. Sem'!$BB$17="","",'4. Sem'!$BB$17)</f>
        <v/>
      </c>
      <c r="BA80" s="623" t="str">
        <f>IF('4. Sem'!$BC$17="","",'4. Sem'!$BC$17)</f>
        <v/>
      </c>
      <c r="BB80" s="624" t="str">
        <f>IF('4. Sem'!$BD$17="","",'4. Sem'!$BD$17)</f>
        <v/>
      </c>
      <c r="BC80" s="624" t="str">
        <f>IF('4. Sem'!$BE$17="","",'4. Sem'!$BE$17)</f>
        <v/>
      </c>
      <c r="BD80" s="624" t="str">
        <f>IF('4. Sem'!$BF$17="","",'4. Sem'!$BF$17)</f>
        <v/>
      </c>
      <c r="BE80" s="625" t="str">
        <f>IF('4. Sem'!$BG$17="","",'4. Sem'!$BG$17)</f>
        <v/>
      </c>
      <c r="BF80" s="626" t="str">
        <f>IF('4. Sem'!$BH$17="","",'4. Sem'!$BH$17)</f>
        <v/>
      </c>
      <c r="BG80" s="627" t="str">
        <f>IF('4. Sem'!$BI$17="","",'4. Sem'!$BI$17)</f>
        <v/>
      </c>
      <c r="BH80" s="627" t="str">
        <f>IF('4. Sem'!$BJ$17="","",'4. Sem'!$BJ$17)</f>
        <v/>
      </c>
      <c r="BI80" s="627" t="str">
        <f>IF('4. Sem'!$BK$17="","",'4. Sem'!$BK$17)</f>
        <v/>
      </c>
      <c r="BJ80" s="628" t="str">
        <f>IF('4. Sem'!$BL$17="","",'4. Sem'!$BL$17)</f>
        <v/>
      </c>
      <c r="BK80" s="623" t="str">
        <f>IF('4. Sem'!$BM$17="","",'4. Sem'!$BM$17)</f>
        <v/>
      </c>
      <c r="BL80" s="624" t="str">
        <f>IF('4. Sem'!$BN$17="","",'4. Sem'!$BN$17)</f>
        <v/>
      </c>
      <c r="BM80" s="624" t="str">
        <f>IF('4. Sem'!$BO$17="","",'4. Sem'!$BO$17)</f>
        <v/>
      </c>
      <c r="BN80" s="624" t="str">
        <f>IF('4. Sem'!$BP$17="","",'4. Sem'!$BP$17)</f>
        <v/>
      </c>
      <c r="BO80" s="625" t="str">
        <f>IF('4. Sem'!$BQ$17="","",'4. Sem'!$BQ$17)</f>
        <v/>
      </c>
      <c r="BP80" s="626" t="str">
        <f>IF('4. Sem'!$BR$17="","",'4. Sem'!$BR$17)</f>
        <v/>
      </c>
      <c r="BQ80" s="627" t="str">
        <f>IF('4. Sem'!$BS$17="","",'4. Sem'!$BS$17)</f>
        <v/>
      </c>
      <c r="BR80" s="627" t="str">
        <f>IF('4. Sem'!$BT$17="","",'4. Sem'!$BT$17)</f>
        <v/>
      </c>
      <c r="BS80" s="627" t="str">
        <f>IF('4. Sem'!$BU$17="","",'4. Sem'!$BU$17)</f>
        <v/>
      </c>
      <c r="BT80" s="628" t="str">
        <f>IF('4. Sem'!$BV$17="","",'4. Sem'!$BV$17)</f>
        <v/>
      </c>
      <c r="BU80" s="623" t="str">
        <f>IF('4. Sem'!$BW$17="","",'4. Sem'!$BW$17)</f>
        <v/>
      </c>
      <c r="BV80" s="624" t="str">
        <f>IF('4. Sem'!$BX$17="","",'4. Sem'!$BX$17)</f>
        <v/>
      </c>
      <c r="BW80" s="624" t="str">
        <f>IF('4. Sem'!$BY$17="","",'4. Sem'!$BY$17)</f>
        <v/>
      </c>
      <c r="BX80" s="624" t="str">
        <f>IF('4. Sem'!$BZ$17="","",'4. Sem'!$BZ$17)</f>
        <v/>
      </c>
      <c r="BY80" s="625" t="str">
        <f>IF('4. Sem'!$CA$17="","",'4. Sem'!$CA$17)</f>
        <v/>
      </c>
      <c r="BZ80" s="626" t="str">
        <f>IF('4. Sem'!$CB$17="","",'4. Sem'!$CB$17)</f>
        <v/>
      </c>
      <c r="CA80" s="627" t="str">
        <f>IF('4. Sem'!$CC$17="","",'4. Sem'!$CC$17)</f>
        <v/>
      </c>
      <c r="CB80" s="627" t="str">
        <f>IF('4. Sem'!$CD$17="","",'4. Sem'!$CD$17)</f>
        <v/>
      </c>
      <c r="CC80" s="627" t="str">
        <f>IF('4. Sem'!$CE$17="","",'4. Sem'!$CE$17)</f>
        <v/>
      </c>
      <c r="CD80" s="628" t="str">
        <f>IF('4. Sem'!$CF$17="","",'4. Sem'!$CF$17)</f>
        <v/>
      </c>
      <c r="CE80" s="623" t="str">
        <f>IF('4. Sem'!$CG$17="","",'4. Sem'!$CG$17)</f>
        <v/>
      </c>
      <c r="CF80" s="624" t="str">
        <f>IF('4. Sem'!$CH$17="","",'4. Sem'!$CH$17)</f>
        <v/>
      </c>
      <c r="CG80" s="624" t="str">
        <f>IF('4. Sem'!$CI$17="","",'4. Sem'!$CI$17)</f>
        <v/>
      </c>
      <c r="CH80" s="624" t="str">
        <f>IF('4. Sem'!$CJ$17="","",'4. Sem'!$CJ$17)</f>
        <v/>
      </c>
      <c r="CI80" s="625" t="str">
        <f>IF('4. Sem'!$CK$17="","",'4. Sem'!$CK$17)</f>
        <v/>
      </c>
      <c r="CJ80" s="626" t="str">
        <f>IF('4. Sem'!$CL$17="","",'4. Sem'!$CL$17)</f>
        <v/>
      </c>
      <c r="CK80" s="627" t="str">
        <f>IF('4. Sem'!$CM$17="","",'4. Sem'!$CM$17)</f>
        <v/>
      </c>
      <c r="CL80" s="627" t="str">
        <f>IF('4. Sem'!$CN$17="","",'4. Sem'!$CN$17)</f>
        <v/>
      </c>
      <c r="CM80" s="627" t="str">
        <f>IF('4. Sem'!$CO$17="","",'4. Sem'!$CO$17)</f>
        <v/>
      </c>
      <c r="CN80" s="628" t="str">
        <f>IF('4. Sem'!$CP$17="","",'4. Sem'!$CP$17)</f>
        <v/>
      </c>
      <c r="CO80" s="623" t="str">
        <f>IF('4. Sem'!$CQ$17="","",'4. Sem'!$CQ$17)</f>
        <v/>
      </c>
      <c r="CP80" s="624" t="str">
        <f>IF('4. Sem'!$CR$17="","",'4. Sem'!$CR$17)</f>
        <v/>
      </c>
      <c r="CQ80" s="624" t="str">
        <f>IF('4. Sem'!$CS$17="","",'4. Sem'!$CS$17)</f>
        <v/>
      </c>
      <c r="CR80" s="624" t="str">
        <f>IF('4. Sem'!$CT$17="","",'4. Sem'!$CT$17)</f>
        <v/>
      </c>
      <c r="CS80" s="625" t="str">
        <f>IF('4. Sem'!$CU$17="","",'4. Sem'!$CU$17)</f>
        <v/>
      </c>
      <c r="CT80" s="626" t="str">
        <f>IF('4. Sem'!$CV$17="","",'4. Sem'!$CV$17)</f>
        <v/>
      </c>
      <c r="CU80" s="627" t="str">
        <f>IF('4. Sem'!$CW$17="","",'4. Sem'!$CW$17)</f>
        <v/>
      </c>
      <c r="CV80" s="627" t="str">
        <f>IF('4. Sem'!$CX$17="","",'4. Sem'!$CX$17)</f>
        <v/>
      </c>
      <c r="CW80" s="627" t="str">
        <f>IF('4. Sem'!$CY$17="","",'4. Sem'!$CY$17)</f>
        <v/>
      </c>
      <c r="CX80" s="628" t="str">
        <f>IF('4. Sem'!$CZ$17="","",'4. Sem'!$CZ$17)</f>
        <v/>
      </c>
      <c r="CY80" s="623" t="str">
        <f>IF('4. Sem'!$DA$17="","",'4. Sem'!$DA$17)</f>
        <v/>
      </c>
      <c r="CZ80" s="624" t="str">
        <f>IF('4. Sem'!$DB$17="","",'4. Sem'!$DB$17)</f>
        <v/>
      </c>
      <c r="DA80" s="624" t="str">
        <f>IF('4. Sem'!$DC$17="","",'4. Sem'!$DC$17)</f>
        <v/>
      </c>
      <c r="DB80" s="624" t="str">
        <f>IF('4. Sem'!$DD$17="","",'4. Sem'!$DD$17)</f>
        <v/>
      </c>
      <c r="DC80" s="625" t="str">
        <f>IF('4. Sem'!$DE$17="","",'4. Sem'!$DE$17)</f>
        <v/>
      </c>
    </row>
    <row r="81" spans="1:107" ht="16" customHeight="1" x14ac:dyDescent="0.2">
      <c r="A81" s="566"/>
      <c r="B81" s="579" t="s">
        <v>31</v>
      </c>
      <c r="C81" s="623" t="str">
        <f>IF('4. Sem'!$E$18="","",'4. Sem'!$E$18)</f>
        <v/>
      </c>
      <c r="D81" s="624" t="str">
        <f>IF('4. Sem'!$F$18="","",'4. Sem'!$F$18)</f>
        <v/>
      </c>
      <c r="E81" s="624" t="str">
        <f>IF('4. Sem'!$G$18="","",'4. Sem'!$G$18)</f>
        <v/>
      </c>
      <c r="F81" s="624" t="str">
        <f>IF('4. Sem'!$H$18="","",'4. Sem'!$H$18)</f>
        <v/>
      </c>
      <c r="G81" s="625" t="str">
        <f>IF('4. Sem'!$I$18="","",'4. Sem'!$I$18)</f>
        <v/>
      </c>
      <c r="H81" s="626" t="str">
        <f>IF('4. Sem'!$J$18="","",'4. Sem'!$J$18)</f>
        <v/>
      </c>
      <c r="I81" s="627" t="str">
        <f>IF('4. Sem'!$K$18="","",'4. Sem'!$K$18)</f>
        <v/>
      </c>
      <c r="J81" s="627" t="str">
        <f>IF('4. Sem'!$L$18="","",'4. Sem'!$L$18)</f>
        <v/>
      </c>
      <c r="K81" s="627" t="str">
        <f>IF('4. Sem'!$M$18="","",'4. Sem'!$M$18)</f>
        <v/>
      </c>
      <c r="L81" s="628" t="str">
        <f>IF('4. Sem'!$N$18="","",'4. Sem'!$N$18)</f>
        <v/>
      </c>
      <c r="M81" s="623" t="str">
        <f>IF('4. Sem'!$O$18="","",'4. Sem'!$O$18)</f>
        <v/>
      </c>
      <c r="N81" s="624" t="str">
        <f>IF('4. Sem'!$P$18="","",'4. Sem'!$P$18)</f>
        <v/>
      </c>
      <c r="O81" s="624" t="str">
        <f>IF('4. Sem'!$Q$18="","",'4. Sem'!$Q$18)</f>
        <v/>
      </c>
      <c r="P81" s="624" t="str">
        <f>IF('4. Sem'!$R$18="","",'4. Sem'!$R$18)</f>
        <v/>
      </c>
      <c r="Q81" s="625" t="str">
        <f>IF('4. Sem'!$S$18="","",'4. Sem'!$S$18)</f>
        <v/>
      </c>
      <c r="R81" s="626" t="str">
        <f>IF('4. Sem'!$T$18="","",'4. Sem'!$T$18)</f>
        <v/>
      </c>
      <c r="S81" s="627" t="str">
        <f>IF('4. Sem'!$U$18="","",'4. Sem'!$U$18)</f>
        <v/>
      </c>
      <c r="T81" s="627" t="str">
        <f>IF('4. Sem'!$V$18="","",'4. Sem'!$V$18)</f>
        <v/>
      </c>
      <c r="U81" s="627" t="str">
        <f>IF('4. Sem'!$W$18="","",'4. Sem'!$W$18)</f>
        <v/>
      </c>
      <c r="V81" s="628" t="str">
        <f>IF('4. Sem'!$X$18="","",'4. Sem'!$X$18)</f>
        <v/>
      </c>
      <c r="W81" s="623" t="str">
        <f>IF('4. Sem'!$Y$18="","",'4. Sem'!$Y$18)</f>
        <v/>
      </c>
      <c r="X81" s="624" t="str">
        <f>IF('4. Sem'!$Z$18="","",'4. Sem'!$Z$18)</f>
        <v/>
      </c>
      <c r="Y81" s="624" t="str">
        <f>IF('4. Sem'!$AA$18="","",'4. Sem'!$AA$18)</f>
        <v/>
      </c>
      <c r="Z81" s="624" t="str">
        <f>IF('4. Sem'!$AB$18="","",'4. Sem'!$AB$18)</f>
        <v/>
      </c>
      <c r="AA81" s="625" t="str">
        <f>IF('4. Sem'!$AC$18="","",'4. Sem'!$AC$18)</f>
        <v/>
      </c>
      <c r="AB81" s="626" t="str">
        <f>IF('4. Sem'!$AD$18="","",'4. Sem'!$AD$18)</f>
        <v/>
      </c>
      <c r="AC81" s="627" t="str">
        <f>IF('4. Sem'!$AE$18="","",'4. Sem'!$AE$18)</f>
        <v/>
      </c>
      <c r="AD81" s="627" t="str">
        <f>IF('4. Sem'!$AF$18="","",'4. Sem'!$AF$18)</f>
        <v/>
      </c>
      <c r="AE81" s="627" t="str">
        <f>IF('4. Sem'!$AG$18="","",'4. Sem'!$AG$18)</f>
        <v/>
      </c>
      <c r="AF81" s="628" t="str">
        <f>IF('4. Sem'!$AH$18="","",'4. Sem'!$AH$18)</f>
        <v/>
      </c>
      <c r="AG81" s="623" t="str">
        <f>IF('4. Sem'!$AI$18="","",'4. Sem'!$AI$18)</f>
        <v/>
      </c>
      <c r="AH81" s="624" t="str">
        <f>IF('4. Sem'!$AJ$18="","",'4. Sem'!$AJ$18)</f>
        <v/>
      </c>
      <c r="AI81" s="624" t="str">
        <f>IF('4. Sem'!$AK$18="","",'4. Sem'!$AK$18)</f>
        <v/>
      </c>
      <c r="AJ81" s="624" t="str">
        <f>IF('4. Sem'!$AL$18="","",'4. Sem'!$AL$18)</f>
        <v/>
      </c>
      <c r="AK81" s="625" t="str">
        <f>IF('4. Sem'!$AM$18="","",'4. Sem'!$AM$18)</f>
        <v/>
      </c>
      <c r="AL81" s="626" t="str">
        <f>IF('4. Sem'!$AN$18="","",'4. Sem'!$AN$18)</f>
        <v/>
      </c>
      <c r="AM81" s="627" t="str">
        <f>IF('4. Sem'!$AO$18="","",'4. Sem'!$AO$18)</f>
        <v/>
      </c>
      <c r="AN81" s="627" t="str">
        <f>IF('4. Sem'!$AP$18="","",'4. Sem'!$AP$18)</f>
        <v/>
      </c>
      <c r="AO81" s="627" t="str">
        <f>IF('4. Sem'!$AQ$18="","",'4. Sem'!$AQ$18)</f>
        <v/>
      </c>
      <c r="AP81" s="628" t="str">
        <f>IF('4. Sem'!$AR$18="","",'4. Sem'!$AR$18)</f>
        <v/>
      </c>
      <c r="AQ81" s="623" t="str">
        <f>IF('4. Sem'!$AS$18="","",'4. Sem'!$AS$18)</f>
        <v/>
      </c>
      <c r="AR81" s="624" t="str">
        <f>IF('4. Sem'!$AT$18="","",'4. Sem'!$AT$18)</f>
        <v/>
      </c>
      <c r="AS81" s="624" t="str">
        <f>IF('4. Sem'!$AU$18="","",'4. Sem'!$AU$18)</f>
        <v/>
      </c>
      <c r="AT81" s="624" t="str">
        <f>IF('4. Sem'!$AV$18="","",'4. Sem'!$AV$18)</f>
        <v/>
      </c>
      <c r="AU81" s="625" t="str">
        <f>IF('4. Sem'!$AW$18="","",'4. Sem'!$AW$18)</f>
        <v/>
      </c>
      <c r="AV81" s="626" t="str">
        <f>IF('4. Sem'!$AX$18="","",'4. Sem'!$AX$18)</f>
        <v/>
      </c>
      <c r="AW81" s="627" t="str">
        <f>IF('4. Sem'!$AY$18="","",'4. Sem'!$AY$18)</f>
        <v/>
      </c>
      <c r="AX81" s="627" t="str">
        <f>IF('4. Sem'!$AZ$18="","",'4. Sem'!$AZ$18)</f>
        <v/>
      </c>
      <c r="AY81" s="627" t="str">
        <f>IF('4. Sem'!$BA$18="","",'4. Sem'!$BA$18)</f>
        <v/>
      </c>
      <c r="AZ81" s="628" t="str">
        <f>IF('4. Sem'!$BB$18="","",'4. Sem'!$BB$18)</f>
        <v/>
      </c>
      <c r="BA81" s="623" t="str">
        <f>IF('4. Sem'!$BC$18="","",'4. Sem'!$BC$18)</f>
        <v/>
      </c>
      <c r="BB81" s="624" t="str">
        <f>IF('4. Sem'!$BD$18="","",'4. Sem'!$BD$18)</f>
        <v/>
      </c>
      <c r="BC81" s="624" t="str">
        <f>IF('4. Sem'!$BE$18="","",'4. Sem'!$BE$18)</f>
        <v/>
      </c>
      <c r="BD81" s="624" t="str">
        <f>IF('4. Sem'!$BF$18="","",'4. Sem'!$BF$18)</f>
        <v/>
      </c>
      <c r="BE81" s="625" t="str">
        <f>IF('4. Sem'!$BG$18="","",'4. Sem'!$BG$18)</f>
        <v/>
      </c>
      <c r="BF81" s="626" t="str">
        <f>IF('4. Sem'!$BH$18="","",'4. Sem'!$BH$18)</f>
        <v/>
      </c>
      <c r="BG81" s="627" t="str">
        <f>IF('4. Sem'!$BI$18="","",'4. Sem'!$BI$18)</f>
        <v/>
      </c>
      <c r="BH81" s="627" t="str">
        <f>IF('4. Sem'!$BJ$18="","",'4. Sem'!$BJ$18)</f>
        <v/>
      </c>
      <c r="BI81" s="627" t="str">
        <f>IF('4. Sem'!$BK$18="","",'4. Sem'!$BK$18)</f>
        <v/>
      </c>
      <c r="BJ81" s="628" t="str">
        <f>IF('4. Sem'!$BL$18="","",'4. Sem'!$BL$18)</f>
        <v/>
      </c>
      <c r="BK81" s="623" t="str">
        <f>IF('4. Sem'!$BM$18="","",'4. Sem'!$BM$18)</f>
        <v/>
      </c>
      <c r="BL81" s="624" t="str">
        <f>IF('4. Sem'!$BN$18="","",'4. Sem'!$BN$18)</f>
        <v/>
      </c>
      <c r="BM81" s="624" t="str">
        <f>IF('4. Sem'!$BO$18="","",'4. Sem'!$BO$18)</f>
        <v/>
      </c>
      <c r="BN81" s="624" t="str">
        <f>IF('4. Sem'!$BP$18="","",'4. Sem'!$BP$18)</f>
        <v/>
      </c>
      <c r="BO81" s="625" t="str">
        <f>IF('4. Sem'!$BQ$18="","",'4. Sem'!$BQ$18)</f>
        <v/>
      </c>
      <c r="BP81" s="626" t="str">
        <f>IF('4. Sem'!$BR$18="","",'4. Sem'!$BR$18)</f>
        <v/>
      </c>
      <c r="BQ81" s="627" t="str">
        <f>IF('4. Sem'!$BS$18="","",'4. Sem'!$BS$18)</f>
        <v/>
      </c>
      <c r="BR81" s="627" t="str">
        <f>IF('4. Sem'!$BT$18="","",'4. Sem'!$BT$18)</f>
        <v/>
      </c>
      <c r="BS81" s="627" t="str">
        <f>IF('4. Sem'!$BU$18="","",'4. Sem'!$BU$18)</f>
        <v/>
      </c>
      <c r="BT81" s="628" t="str">
        <f>IF('4. Sem'!$BV$18="","",'4. Sem'!$BV$18)</f>
        <v/>
      </c>
      <c r="BU81" s="623" t="str">
        <f>IF('4. Sem'!$BW$18="","",'4. Sem'!$BW$18)</f>
        <v/>
      </c>
      <c r="BV81" s="624" t="str">
        <f>IF('4. Sem'!$BX$18="","",'4. Sem'!$BX$18)</f>
        <v/>
      </c>
      <c r="BW81" s="624" t="str">
        <f>IF('4. Sem'!$BY$18="","",'4. Sem'!$BY$18)</f>
        <v/>
      </c>
      <c r="BX81" s="624" t="str">
        <f>IF('4. Sem'!$BZ$18="","",'4. Sem'!$BZ$18)</f>
        <v/>
      </c>
      <c r="BY81" s="625" t="str">
        <f>IF('4. Sem'!$CA$18="","",'4. Sem'!$CA$18)</f>
        <v/>
      </c>
      <c r="BZ81" s="626" t="str">
        <f>IF('4. Sem'!$CB$18="","",'4. Sem'!$CB$18)</f>
        <v/>
      </c>
      <c r="CA81" s="627" t="str">
        <f>IF('4. Sem'!$CC$18="","",'4. Sem'!$CC$18)</f>
        <v/>
      </c>
      <c r="CB81" s="627" t="str">
        <f>IF('4. Sem'!$CD$18="","",'4. Sem'!$CD$18)</f>
        <v/>
      </c>
      <c r="CC81" s="627" t="str">
        <f>IF('4. Sem'!$CE$18="","",'4. Sem'!$CE$18)</f>
        <v/>
      </c>
      <c r="CD81" s="628" t="str">
        <f>IF('4. Sem'!$CF$18="","",'4. Sem'!$CF$18)</f>
        <v/>
      </c>
      <c r="CE81" s="623" t="str">
        <f>IF('4. Sem'!$CG$18="","",'4. Sem'!$CG$18)</f>
        <v/>
      </c>
      <c r="CF81" s="624" t="str">
        <f>IF('4. Sem'!$CH$18="","",'4. Sem'!$CH$18)</f>
        <v/>
      </c>
      <c r="CG81" s="624" t="str">
        <f>IF('4. Sem'!$CI$18="","",'4. Sem'!$CI$18)</f>
        <v/>
      </c>
      <c r="CH81" s="624" t="str">
        <f>IF('4. Sem'!$CJ$18="","",'4. Sem'!$CJ$18)</f>
        <v/>
      </c>
      <c r="CI81" s="625" t="str">
        <f>IF('4. Sem'!$CK$18="","",'4. Sem'!$CK$18)</f>
        <v/>
      </c>
      <c r="CJ81" s="626" t="str">
        <f>IF('4. Sem'!$CL$18="","",'4. Sem'!$CL$18)</f>
        <v/>
      </c>
      <c r="CK81" s="627" t="str">
        <f>IF('4. Sem'!$CM$18="","",'4. Sem'!$CM$18)</f>
        <v/>
      </c>
      <c r="CL81" s="627" t="str">
        <f>IF('4. Sem'!$CN$18="","",'4. Sem'!$CN$18)</f>
        <v/>
      </c>
      <c r="CM81" s="627" t="str">
        <f>IF('4. Sem'!$CO$18="","",'4. Sem'!$CO$18)</f>
        <v/>
      </c>
      <c r="CN81" s="628" t="str">
        <f>IF('4. Sem'!$CP$18="","",'4. Sem'!$CP$18)</f>
        <v/>
      </c>
      <c r="CO81" s="623" t="str">
        <f>IF('4. Sem'!$CQ$18="","",'4. Sem'!$CQ$18)</f>
        <v/>
      </c>
      <c r="CP81" s="624" t="str">
        <f>IF('4. Sem'!$CR$18="","",'4. Sem'!$CR$18)</f>
        <v/>
      </c>
      <c r="CQ81" s="624" t="str">
        <f>IF('4. Sem'!$CS$18="","",'4. Sem'!$CS$18)</f>
        <v/>
      </c>
      <c r="CR81" s="624" t="str">
        <f>IF('4. Sem'!$CT$18="","",'4. Sem'!$CT$18)</f>
        <v/>
      </c>
      <c r="CS81" s="625" t="str">
        <f>IF('4. Sem'!$CU$18="","",'4. Sem'!$CU$18)</f>
        <v/>
      </c>
      <c r="CT81" s="626" t="str">
        <f>IF('4. Sem'!$CV$18="","",'4. Sem'!$CV$18)</f>
        <v/>
      </c>
      <c r="CU81" s="627" t="str">
        <f>IF('4. Sem'!$CW$18="","",'4. Sem'!$CW$18)</f>
        <v/>
      </c>
      <c r="CV81" s="627" t="str">
        <f>IF('4. Sem'!$CX$18="","",'4. Sem'!$CX$18)</f>
        <v/>
      </c>
      <c r="CW81" s="627" t="str">
        <f>IF('4. Sem'!$CY$18="","",'4. Sem'!$CY$18)</f>
        <v/>
      </c>
      <c r="CX81" s="628" t="str">
        <f>IF('4. Sem'!$CZ$18="","",'4. Sem'!$CZ$18)</f>
        <v/>
      </c>
      <c r="CY81" s="623" t="str">
        <f>IF('4. Sem'!$DA$18="","",'4. Sem'!$DA$18)</f>
        <v/>
      </c>
      <c r="CZ81" s="624" t="str">
        <f>IF('4. Sem'!$DB$18="","",'4. Sem'!$DB$18)</f>
        <v/>
      </c>
      <c r="DA81" s="624" t="str">
        <f>IF('4. Sem'!$DC$18="","",'4. Sem'!$DC$18)</f>
        <v/>
      </c>
      <c r="DB81" s="624" t="str">
        <f>IF('4. Sem'!$DD$18="","",'4. Sem'!$DD$18)</f>
        <v/>
      </c>
      <c r="DC81" s="625" t="str">
        <f>IF('4. Sem'!$DE$18="","",'4. Sem'!$DE$18)</f>
        <v/>
      </c>
    </row>
    <row r="82" spans="1:107" ht="16" customHeight="1" x14ac:dyDescent="0.2">
      <c r="A82" s="566"/>
      <c r="B82" s="579" t="s">
        <v>32</v>
      </c>
      <c r="C82" s="623" t="str">
        <f>IF('4. Sem'!$E$19="","",'4. Sem'!$E$19)</f>
        <v/>
      </c>
      <c r="D82" s="624" t="str">
        <f>IF('4. Sem'!$F$19="","",'4. Sem'!$F$19)</f>
        <v/>
      </c>
      <c r="E82" s="624" t="str">
        <f>IF('4. Sem'!$G$19="","",'4. Sem'!$G$19)</f>
        <v/>
      </c>
      <c r="F82" s="624" t="str">
        <f>IF('4. Sem'!$H$19="","",'4. Sem'!$H$19)</f>
        <v/>
      </c>
      <c r="G82" s="625" t="str">
        <f>IF('4. Sem'!$I$19="","",'4. Sem'!$I$19)</f>
        <v/>
      </c>
      <c r="H82" s="626" t="str">
        <f>IF('4. Sem'!$J$19="","",'4. Sem'!$J$19)</f>
        <v/>
      </c>
      <c r="I82" s="627" t="str">
        <f>IF('4. Sem'!$K$19="","",'4. Sem'!$K$19)</f>
        <v/>
      </c>
      <c r="J82" s="627" t="str">
        <f>IF('4. Sem'!$L$19="","",'4. Sem'!$L$19)</f>
        <v/>
      </c>
      <c r="K82" s="627" t="str">
        <f>IF('4. Sem'!$M$19="","",'4. Sem'!$M$19)</f>
        <v/>
      </c>
      <c r="L82" s="628" t="str">
        <f>IF('4. Sem'!$N$19="","",'4. Sem'!$N$19)</f>
        <v/>
      </c>
      <c r="M82" s="623" t="str">
        <f>IF('4. Sem'!$O$19="","",'4. Sem'!$O$19)</f>
        <v/>
      </c>
      <c r="N82" s="624" t="str">
        <f>IF('4. Sem'!$P$19="","",'4. Sem'!$P$19)</f>
        <v/>
      </c>
      <c r="O82" s="624" t="str">
        <f>IF('4. Sem'!$Q$19="","",'4. Sem'!$Q$19)</f>
        <v/>
      </c>
      <c r="P82" s="624" t="str">
        <f>IF('4. Sem'!$R$19="","",'4. Sem'!$R$19)</f>
        <v/>
      </c>
      <c r="Q82" s="625" t="str">
        <f>IF('4. Sem'!$S$19="","",'4. Sem'!$S$19)</f>
        <v/>
      </c>
      <c r="R82" s="626" t="str">
        <f>IF('4. Sem'!$T$19="","",'4. Sem'!$T$19)</f>
        <v/>
      </c>
      <c r="S82" s="627" t="str">
        <f>IF('4. Sem'!$U$19="","",'4. Sem'!$U$19)</f>
        <v/>
      </c>
      <c r="T82" s="627" t="str">
        <f>IF('4. Sem'!$V$19="","",'4. Sem'!$V$19)</f>
        <v/>
      </c>
      <c r="U82" s="627" t="str">
        <f>IF('4. Sem'!$W$19="","",'4. Sem'!$W$19)</f>
        <v/>
      </c>
      <c r="V82" s="628" t="str">
        <f>IF('4. Sem'!$X$19="","",'4. Sem'!$X$19)</f>
        <v/>
      </c>
      <c r="W82" s="623" t="str">
        <f>IF('4. Sem'!$Y$19="","",'4. Sem'!$Y$19)</f>
        <v/>
      </c>
      <c r="X82" s="624" t="str">
        <f>IF('4. Sem'!$Z$19="","",'4. Sem'!$Z$19)</f>
        <v/>
      </c>
      <c r="Y82" s="624" t="str">
        <f>IF('4. Sem'!$AA$19="","",'4. Sem'!$AA$19)</f>
        <v/>
      </c>
      <c r="Z82" s="624" t="str">
        <f>IF('4. Sem'!$AB$19="","",'4. Sem'!$AB$19)</f>
        <v/>
      </c>
      <c r="AA82" s="625" t="str">
        <f>IF('4. Sem'!$AC$19="","",'4. Sem'!$AC$19)</f>
        <v/>
      </c>
      <c r="AB82" s="626" t="str">
        <f>IF('4. Sem'!$AD$19="","",'4. Sem'!$AD$19)</f>
        <v/>
      </c>
      <c r="AC82" s="627" t="str">
        <f>IF('4. Sem'!$AE$19="","",'4. Sem'!$AE$19)</f>
        <v/>
      </c>
      <c r="AD82" s="627" t="str">
        <f>IF('4. Sem'!$AF$19="","",'4. Sem'!$AF$19)</f>
        <v/>
      </c>
      <c r="AE82" s="627" t="str">
        <f>IF('4. Sem'!$AG$19="","",'4. Sem'!$AG$19)</f>
        <v/>
      </c>
      <c r="AF82" s="628" t="str">
        <f>IF('4. Sem'!$AH$19="","",'4. Sem'!$AH$19)</f>
        <v/>
      </c>
      <c r="AG82" s="623" t="str">
        <f>IF('4. Sem'!$AI$19="","",'4. Sem'!$AI$19)</f>
        <v/>
      </c>
      <c r="AH82" s="624" t="str">
        <f>IF('4. Sem'!$AJ$19="","",'4. Sem'!$AJ$19)</f>
        <v/>
      </c>
      <c r="AI82" s="624" t="str">
        <f>IF('4. Sem'!$AK$19="","",'4. Sem'!$AK$19)</f>
        <v/>
      </c>
      <c r="AJ82" s="624" t="str">
        <f>IF('4. Sem'!$AL$19="","",'4. Sem'!$AL$19)</f>
        <v/>
      </c>
      <c r="AK82" s="625" t="str">
        <f>IF('4. Sem'!$AM$19="","",'4. Sem'!$AM$19)</f>
        <v/>
      </c>
      <c r="AL82" s="626" t="str">
        <f>IF('4. Sem'!$AN$19="","",'4. Sem'!$AN$19)</f>
        <v/>
      </c>
      <c r="AM82" s="627" t="str">
        <f>IF('4. Sem'!$AO$19="","",'4. Sem'!$AO$19)</f>
        <v/>
      </c>
      <c r="AN82" s="627" t="str">
        <f>IF('4. Sem'!$AP$19="","",'4. Sem'!$AP$19)</f>
        <v/>
      </c>
      <c r="AO82" s="627" t="str">
        <f>IF('4. Sem'!$AQ$19="","",'4. Sem'!$AQ$19)</f>
        <v/>
      </c>
      <c r="AP82" s="628" t="str">
        <f>IF('4. Sem'!$AR$19="","",'4. Sem'!$AR$19)</f>
        <v/>
      </c>
      <c r="AQ82" s="623" t="str">
        <f>IF('4. Sem'!$AS$19="","",'4. Sem'!$AS$19)</f>
        <v/>
      </c>
      <c r="AR82" s="624" t="str">
        <f>IF('4. Sem'!$AT$19="","",'4. Sem'!$AT$19)</f>
        <v/>
      </c>
      <c r="AS82" s="624" t="str">
        <f>IF('4. Sem'!$AU$19="","",'4. Sem'!$AU$19)</f>
        <v/>
      </c>
      <c r="AT82" s="624" t="str">
        <f>IF('4. Sem'!$AV$19="","",'4. Sem'!$AV$19)</f>
        <v/>
      </c>
      <c r="AU82" s="625" t="str">
        <f>IF('4. Sem'!$AW$19="","",'4. Sem'!$AW$19)</f>
        <v/>
      </c>
      <c r="AV82" s="626" t="str">
        <f>IF('4. Sem'!$AX$19="","",'4. Sem'!$AX$19)</f>
        <v/>
      </c>
      <c r="AW82" s="627" t="str">
        <f>IF('4. Sem'!$AY$19="","",'4. Sem'!$AY$19)</f>
        <v/>
      </c>
      <c r="AX82" s="627" t="str">
        <f>IF('4. Sem'!$AZ$19="","",'4. Sem'!$AZ$19)</f>
        <v/>
      </c>
      <c r="AY82" s="627" t="str">
        <f>IF('4. Sem'!$BA$19="","",'4. Sem'!$BA$19)</f>
        <v/>
      </c>
      <c r="AZ82" s="628" t="str">
        <f>IF('4. Sem'!$BB$19="","",'4. Sem'!$BB$19)</f>
        <v/>
      </c>
      <c r="BA82" s="623" t="str">
        <f>IF('4. Sem'!$BC$19="","",'4. Sem'!$BC$19)</f>
        <v/>
      </c>
      <c r="BB82" s="624" t="str">
        <f>IF('4. Sem'!$BD$19="","",'4. Sem'!$BD$19)</f>
        <v/>
      </c>
      <c r="BC82" s="624" t="str">
        <f>IF('4. Sem'!$BE$19="","",'4. Sem'!$BE$19)</f>
        <v/>
      </c>
      <c r="BD82" s="624" t="str">
        <f>IF('4. Sem'!$BF$19="","",'4. Sem'!$BF$19)</f>
        <v/>
      </c>
      <c r="BE82" s="625" t="str">
        <f>IF('4. Sem'!$BG$19="","",'4. Sem'!$BG$19)</f>
        <v/>
      </c>
      <c r="BF82" s="626" t="str">
        <f>IF('4. Sem'!$BH$19="","",'4. Sem'!$BH$19)</f>
        <v/>
      </c>
      <c r="BG82" s="627" t="str">
        <f>IF('4. Sem'!$BI$19="","",'4. Sem'!$BI$19)</f>
        <v/>
      </c>
      <c r="BH82" s="627" t="str">
        <f>IF('4. Sem'!$BJ$19="","",'4. Sem'!$BJ$19)</f>
        <v/>
      </c>
      <c r="BI82" s="627" t="str">
        <f>IF('4. Sem'!$BK$19="","",'4. Sem'!$BK$19)</f>
        <v/>
      </c>
      <c r="BJ82" s="628" t="str">
        <f>IF('4. Sem'!$BL$19="","",'4. Sem'!$BL$19)</f>
        <v/>
      </c>
      <c r="BK82" s="623" t="str">
        <f>IF('4. Sem'!$BM$19="","",'4. Sem'!$BM$19)</f>
        <v/>
      </c>
      <c r="BL82" s="624" t="str">
        <f>IF('4. Sem'!$BN$19="","",'4. Sem'!$BN$19)</f>
        <v/>
      </c>
      <c r="BM82" s="624" t="str">
        <f>IF('4. Sem'!$BO$19="","",'4. Sem'!$BO$19)</f>
        <v/>
      </c>
      <c r="BN82" s="624" t="str">
        <f>IF('4. Sem'!$BP$19="","",'4. Sem'!$BP$19)</f>
        <v/>
      </c>
      <c r="BO82" s="625" t="str">
        <f>IF('4. Sem'!$BQ$19="","",'4. Sem'!$BQ$19)</f>
        <v/>
      </c>
      <c r="BP82" s="626" t="str">
        <f>IF('4. Sem'!$BR$19="","",'4. Sem'!$BR$19)</f>
        <v/>
      </c>
      <c r="BQ82" s="627" t="str">
        <f>IF('4. Sem'!$BS$19="","",'4. Sem'!$BS$19)</f>
        <v/>
      </c>
      <c r="BR82" s="627" t="str">
        <f>IF('4. Sem'!$BT$19="","",'4. Sem'!$BT$19)</f>
        <v/>
      </c>
      <c r="BS82" s="627" t="str">
        <f>IF('4. Sem'!$BU$19="","",'4. Sem'!$BU$19)</f>
        <v/>
      </c>
      <c r="BT82" s="628" t="str">
        <f>IF('4. Sem'!$BV$19="","",'4. Sem'!$BV$19)</f>
        <v/>
      </c>
      <c r="BU82" s="623" t="str">
        <f>IF('4. Sem'!$BW$19="","",'4. Sem'!$BW$19)</f>
        <v/>
      </c>
      <c r="BV82" s="624" t="str">
        <f>IF('4. Sem'!$BX$19="","",'4. Sem'!$BX$19)</f>
        <v/>
      </c>
      <c r="BW82" s="624" t="str">
        <f>IF('4. Sem'!$BY$19="","",'4. Sem'!$BY$19)</f>
        <v/>
      </c>
      <c r="BX82" s="624" t="str">
        <f>IF('4. Sem'!$BZ$19="","",'4. Sem'!$BZ$19)</f>
        <v/>
      </c>
      <c r="BY82" s="625" t="str">
        <f>IF('4. Sem'!$CA$19="","",'4. Sem'!$CA$19)</f>
        <v/>
      </c>
      <c r="BZ82" s="626" t="str">
        <f>IF('4. Sem'!$CB$19="","",'4. Sem'!$CB$19)</f>
        <v/>
      </c>
      <c r="CA82" s="627" t="str">
        <f>IF('4. Sem'!$CC$19="","",'4. Sem'!$CC$19)</f>
        <v/>
      </c>
      <c r="CB82" s="627" t="str">
        <f>IF('4. Sem'!$CD$19="","",'4. Sem'!$CD$19)</f>
        <v/>
      </c>
      <c r="CC82" s="627" t="str">
        <f>IF('4. Sem'!$CE$19="","",'4. Sem'!$CE$19)</f>
        <v/>
      </c>
      <c r="CD82" s="628" t="str">
        <f>IF('4. Sem'!$CF$19="","",'4. Sem'!$CF$19)</f>
        <v/>
      </c>
      <c r="CE82" s="623" t="str">
        <f>IF('4. Sem'!$CG$19="","",'4. Sem'!$CG$19)</f>
        <v/>
      </c>
      <c r="CF82" s="624" t="str">
        <f>IF('4. Sem'!$CH$19="","",'4. Sem'!$CH$19)</f>
        <v/>
      </c>
      <c r="CG82" s="624" t="str">
        <f>IF('4. Sem'!$CI$19="","",'4. Sem'!$CI$19)</f>
        <v/>
      </c>
      <c r="CH82" s="624" t="str">
        <f>IF('4. Sem'!$CJ$19="","",'4. Sem'!$CJ$19)</f>
        <v/>
      </c>
      <c r="CI82" s="625" t="str">
        <f>IF('4. Sem'!$CK$19="","",'4. Sem'!$CK$19)</f>
        <v/>
      </c>
      <c r="CJ82" s="626" t="str">
        <f>IF('4. Sem'!$CL$19="","",'4. Sem'!$CL$19)</f>
        <v/>
      </c>
      <c r="CK82" s="627" t="str">
        <f>IF('4. Sem'!$CM$19="","",'4. Sem'!$CM$19)</f>
        <v/>
      </c>
      <c r="CL82" s="627" t="str">
        <f>IF('4. Sem'!$CN$19="","",'4. Sem'!$CN$19)</f>
        <v/>
      </c>
      <c r="CM82" s="627" t="str">
        <f>IF('4. Sem'!$CO$19="","",'4. Sem'!$CO$19)</f>
        <v/>
      </c>
      <c r="CN82" s="628" t="str">
        <f>IF('4. Sem'!$CP$19="","",'4. Sem'!$CP$19)</f>
        <v/>
      </c>
      <c r="CO82" s="623" t="str">
        <f>IF('4. Sem'!$CQ$19="","",'4. Sem'!$CQ$19)</f>
        <v/>
      </c>
      <c r="CP82" s="624" t="str">
        <f>IF('4. Sem'!$CR$19="","",'4. Sem'!$CR$19)</f>
        <v/>
      </c>
      <c r="CQ82" s="624" t="str">
        <f>IF('4. Sem'!$CS$19="","",'4. Sem'!$CS$19)</f>
        <v/>
      </c>
      <c r="CR82" s="624" t="str">
        <f>IF('4. Sem'!$CT$19="","",'4. Sem'!$CT$19)</f>
        <v/>
      </c>
      <c r="CS82" s="625" t="str">
        <f>IF('4. Sem'!$CU$19="","",'4. Sem'!$CU$19)</f>
        <v/>
      </c>
      <c r="CT82" s="626" t="str">
        <f>IF('4. Sem'!$CV$19="","",'4. Sem'!$CV$19)</f>
        <v/>
      </c>
      <c r="CU82" s="627" t="str">
        <f>IF('4. Sem'!$CW$19="","",'4. Sem'!$CW$19)</f>
        <v/>
      </c>
      <c r="CV82" s="627" t="str">
        <f>IF('4. Sem'!$CX$19="","",'4. Sem'!$CX$19)</f>
        <v/>
      </c>
      <c r="CW82" s="627" t="str">
        <f>IF('4. Sem'!$CY$19="","",'4. Sem'!$CY$19)</f>
        <v/>
      </c>
      <c r="CX82" s="628" t="str">
        <f>IF('4. Sem'!$CZ$19="","",'4. Sem'!$CZ$19)</f>
        <v/>
      </c>
      <c r="CY82" s="623" t="str">
        <f>IF('4. Sem'!$DA$19="","",'4. Sem'!$DA$19)</f>
        <v/>
      </c>
      <c r="CZ82" s="624" t="str">
        <f>IF('4. Sem'!$DB$19="","",'4. Sem'!$DB$19)</f>
        <v/>
      </c>
      <c r="DA82" s="624" t="str">
        <f>IF('4. Sem'!$DC$19="","",'4. Sem'!$DC$19)</f>
        <v/>
      </c>
      <c r="DB82" s="624" t="str">
        <f>IF('4. Sem'!$DD$19="","",'4. Sem'!$DD$19)</f>
        <v/>
      </c>
      <c r="DC82" s="625" t="str">
        <f>IF('4. Sem'!$DE$19="","",'4. Sem'!$DE$19)</f>
        <v/>
      </c>
    </row>
    <row r="83" spans="1:107" ht="16" customHeight="1" x14ac:dyDescent="0.2">
      <c r="A83" s="566"/>
      <c r="B83" s="579" t="s">
        <v>33</v>
      </c>
      <c r="C83" s="623" t="str">
        <f>IF('4. Sem'!$E$20="","",'4. Sem'!$E$20)</f>
        <v/>
      </c>
      <c r="D83" s="624" t="str">
        <f>IF('4. Sem'!$F$20="","",'4. Sem'!$F$20)</f>
        <v/>
      </c>
      <c r="E83" s="624" t="str">
        <f>IF('4. Sem'!$G$20="","",'4. Sem'!$G$20)</f>
        <v/>
      </c>
      <c r="F83" s="624" t="str">
        <f>IF('4. Sem'!$H$20="","",'4. Sem'!$H$20)</f>
        <v/>
      </c>
      <c r="G83" s="625" t="str">
        <f>IF('4. Sem'!$I$20="","",'4. Sem'!$I$20)</f>
        <v/>
      </c>
      <c r="H83" s="626" t="str">
        <f>IF('4. Sem'!$J$20="","",'4. Sem'!$J$20)</f>
        <v/>
      </c>
      <c r="I83" s="627" t="str">
        <f>IF('4. Sem'!$K$20="","",'4. Sem'!$K$20)</f>
        <v/>
      </c>
      <c r="J83" s="627" t="str">
        <f>IF('4. Sem'!$L$20="","",'4. Sem'!$L$20)</f>
        <v/>
      </c>
      <c r="K83" s="627" t="str">
        <f>IF('4. Sem'!$M$20="","",'4. Sem'!$M$20)</f>
        <v/>
      </c>
      <c r="L83" s="628" t="str">
        <f>IF('4. Sem'!$N$20="","",'4. Sem'!$N$20)</f>
        <v/>
      </c>
      <c r="M83" s="623" t="str">
        <f>IF('4. Sem'!$O$20="","",'4. Sem'!$O$20)</f>
        <v/>
      </c>
      <c r="N83" s="624" t="str">
        <f>IF('4. Sem'!$P$20="","",'4. Sem'!$P$20)</f>
        <v/>
      </c>
      <c r="O83" s="624" t="str">
        <f>IF('4. Sem'!$Q$20="","",'4. Sem'!$Q$20)</f>
        <v/>
      </c>
      <c r="P83" s="624" t="str">
        <f>IF('4. Sem'!$R$20="","",'4. Sem'!$R$20)</f>
        <v/>
      </c>
      <c r="Q83" s="625" t="str">
        <f>IF('4. Sem'!$S$20="","",'4. Sem'!$S$20)</f>
        <v/>
      </c>
      <c r="R83" s="626" t="str">
        <f>IF('4. Sem'!$T$20="","",'4. Sem'!$T$20)</f>
        <v/>
      </c>
      <c r="S83" s="627" t="str">
        <f>IF('4. Sem'!$U$20="","",'4. Sem'!$U$20)</f>
        <v/>
      </c>
      <c r="T83" s="627" t="str">
        <f>IF('4. Sem'!$V$20="","",'4. Sem'!$V$20)</f>
        <v/>
      </c>
      <c r="U83" s="627" t="str">
        <f>IF('4. Sem'!$W$20="","",'4. Sem'!$W$20)</f>
        <v/>
      </c>
      <c r="V83" s="628" t="str">
        <f>IF('4. Sem'!$X$20="","",'4. Sem'!$X$20)</f>
        <v/>
      </c>
      <c r="W83" s="623" t="str">
        <f>IF('4. Sem'!$Y$20="","",'4. Sem'!$Y$20)</f>
        <v/>
      </c>
      <c r="X83" s="624" t="str">
        <f>IF('4. Sem'!$Z$20="","",'4. Sem'!$Z$20)</f>
        <v/>
      </c>
      <c r="Y83" s="624" t="str">
        <f>IF('4. Sem'!$AA$20="","",'4. Sem'!$AA$20)</f>
        <v/>
      </c>
      <c r="Z83" s="624" t="str">
        <f>IF('4. Sem'!$AB$20="","",'4. Sem'!$AB$20)</f>
        <v/>
      </c>
      <c r="AA83" s="625" t="str">
        <f>IF('4. Sem'!$AC$20="","",'4. Sem'!$AC$20)</f>
        <v/>
      </c>
      <c r="AB83" s="626" t="str">
        <f>IF('4. Sem'!$AD$20="","",'4. Sem'!$AD$20)</f>
        <v/>
      </c>
      <c r="AC83" s="627" t="str">
        <f>IF('4. Sem'!$AE$20="","",'4. Sem'!$AE$20)</f>
        <v/>
      </c>
      <c r="AD83" s="627" t="str">
        <f>IF('4. Sem'!$AF$20="","",'4. Sem'!$AF$20)</f>
        <v/>
      </c>
      <c r="AE83" s="627" t="str">
        <f>IF('4. Sem'!$AG$20="","",'4. Sem'!$AG$20)</f>
        <v/>
      </c>
      <c r="AF83" s="628" t="str">
        <f>IF('4. Sem'!$AH$20="","",'4. Sem'!$AH$20)</f>
        <v/>
      </c>
      <c r="AG83" s="623" t="str">
        <f>IF('4. Sem'!$AI$20="","",'4. Sem'!$AI$20)</f>
        <v/>
      </c>
      <c r="AH83" s="624" t="str">
        <f>IF('4. Sem'!$AJ$20="","",'4. Sem'!$AJ$20)</f>
        <v/>
      </c>
      <c r="AI83" s="624" t="str">
        <f>IF('4. Sem'!$AK$20="","",'4. Sem'!$AK$20)</f>
        <v/>
      </c>
      <c r="AJ83" s="624" t="str">
        <f>IF('4. Sem'!$AL$20="","",'4. Sem'!$AL$20)</f>
        <v/>
      </c>
      <c r="AK83" s="625" t="str">
        <f>IF('4. Sem'!$AM$20="","",'4. Sem'!$AM$20)</f>
        <v/>
      </c>
      <c r="AL83" s="626" t="str">
        <f>IF('4. Sem'!$AN$20="","",'4. Sem'!$AN$20)</f>
        <v/>
      </c>
      <c r="AM83" s="627" t="str">
        <f>IF('4. Sem'!$AO$20="","",'4. Sem'!$AO$20)</f>
        <v/>
      </c>
      <c r="AN83" s="627" t="str">
        <f>IF('4. Sem'!$AP$20="","",'4. Sem'!$AP$20)</f>
        <v/>
      </c>
      <c r="AO83" s="627" t="str">
        <f>IF('4. Sem'!$AQ$20="","",'4. Sem'!$AQ$20)</f>
        <v/>
      </c>
      <c r="AP83" s="628" t="str">
        <f>IF('4. Sem'!$AR$20="","",'4. Sem'!$AR$20)</f>
        <v/>
      </c>
      <c r="AQ83" s="623" t="str">
        <f>IF('4. Sem'!$AS$20="","",'4. Sem'!$AS$20)</f>
        <v/>
      </c>
      <c r="AR83" s="624" t="str">
        <f>IF('4. Sem'!$AT$20="","",'4. Sem'!$AT$20)</f>
        <v/>
      </c>
      <c r="AS83" s="624" t="str">
        <f>IF('4. Sem'!$AU$20="","",'4. Sem'!$AU$20)</f>
        <v/>
      </c>
      <c r="AT83" s="624" t="str">
        <f>IF('4. Sem'!$AV$20="","",'4. Sem'!$AV$20)</f>
        <v/>
      </c>
      <c r="AU83" s="625" t="str">
        <f>IF('4. Sem'!$AW$20="","",'4. Sem'!$AW$20)</f>
        <v/>
      </c>
      <c r="AV83" s="626" t="str">
        <f>IF('4. Sem'!$AX$20="","",'4. Sem'!$AX$20)</f>
        <v/>
      </c>
      <c r="AW83" s="627" t="str">
        <f>IF('4. Sem'!$AY$20="","",'4. Sem'!$AY$20)</f>
        <v/>
      </c>
      <c r="AX83" s="627" t="str">
        <f>IF('4. Sem'!$AZ$20="","",'4. Sem'!$AZ$20)</f>
        <v/>
      </c>
      <c r="AY83" s="627" t="str">
        <f>IF('4. Sem'!$BA$20="","",'4. Sem'!$BA$20)</f>
        <v/>
      </c>
      <c r="AZ83" s="628" t="str">
        <f>IF('4. Sem'!$BB$20="","",'4. Sem'!$BB$20)</f>
        <v/>
      </c>
      <c r="BA83" s="623" t="str">
        <f>IF('4. Sem'!$BC$20="","",'4. Sem'!$BC$20)</f>
        <v/>
      </c>
      <c r="BB83" s="624" t="str">
        <f>IF('4. Sem'!$BD$20="","",'4. Sem'!$BD$20)</f>
        <v/>
      </c>
      <c r="BC83" s="624" t="str">
        <f>IF('4. Sem'!$BE$20="","",'4. Sem'!$BE$20)</f>
        <v/>
      </c>
      <c r="BD83" s="624" t="str">
        <f>IF('4. Sem'!$BF$20="","",'4. Sem'!$BF$20)</f>
        <v/>
      </c>
      <c r="BE83" s="625" t="str">
        <f>IF('4. Sem'!$BG$20="","",'4. Sem'!$BG$20)</f>
        <v/>
      </c>
      <c r="BF83" s="626" t="str">
        <f>IF('4. Sem'!$BH$20="","",'4. Sem'!$BH$20)</f>
        <v/>
      </c>
      <c r="BG83" s="627" t="str">
        <f>IF('4. Sem'!$BI$20="","",'4. Sem'!$BI$20)</f>
        <v/>
      </c>
      <c r="BH83" s="627" t="str">
        <f>IF('4. Sem'!$BJ$20="","",'4. Sem'!$BJ$20)</f>
        <v/>
      </c>
      <c r="BI83" s="627" t="str">
        <f>IF('4. Sem'!$BK$20="","",'4. Sem'!$BK$20)</f>
        <v/>
      </c>
      <c r="BJ83" s="628" t="str">
        <f>IF('4. Sem'!$BL$20="","",'4. Sem'!$BL$20)</f>
        <v/>
      </c>
      <c r="BK83" s="623" t="str">
        <f>IF('4. Sem'!$BM$20="","",'4. Sem'!$BM$20)</f>
        <v/>
      </c>
      <c r="BL83" s="624" t="str">
        <f>IF('4. Sem'!$BN$20="","",'4. Sem'!$BN$20)</f>
        <v/>
      </c>
      <c r="BM83" s="624" t="str">
        <f>IF('4. Sem'!$BO$20="","",'4. Sem'!$BO$20)</f>
        <v/>
      </c>
      <c r="BN83" s="624" t="str">
        <f>IF('4. Sem'!$BP$20="","",'4. Sem'!$BP$20)</f>
        <v/>
      </c>
      <c r="BO83" s="625" t="str">
        <f>IF('4. Sem'!$BQ$20="","",'4. Sem'!$BQ$20)</f>
        <v/>
      </c>
      <c r="BP83" s="626" t="str">
        <f>IF('4. Sem'!$BR$20="","",'4. Sem'!$BR$20)</f>
        <v/>
      </c>
      <c r="BQ83" s="627" t="str">
        <f>IF('4. Sem'!$BS$20="","",'4. Sem'!$BS$20)</f>
        <v/>
      </c>
      <c r="BR83" s="627" t="str">
        <f>IF('4. Sem'!$BT$20="","",'4. Sem'!$BT$20)</f>
        <v/>
      </c>
      <c r="BS83" s="627" t="str">
        <f>IF('4. Sem'!$BU$20="","",'4. Sem'!$BU$20)</f>
        <v/>
      </c>
      <c r="BT83" s="628" t="str">
        <f>IF('4. Sem'!$BV$20="","",'4. Sem'!$BV$20)</f>
        <v/>
      </c>
      <c r="BU83" s="623" t="str">
        <f>IF('4. Sem'!$BW$20="","",'4. Sem'!$BW$20)</f>
        <v/>
      </c>
      <c r="BV83" s="624" t="str">
        <f>IF('4. Sem'!$BX$20="","",'4. Sem'!$BX$20)</f>
        <v/>
      </c>
      <c r="BW83" s="624" t="str">
        <f>IF('4. Sem'!$BY$20="","",'4. Sem'!$BY$20)</f>
        <v/>
      </c>
      <c r="BX83" s="624" t="str">
        <f>IF('4. Sem'!$BZ$20="","",'4. Sem'!$BZ$20)</f>
        <v/>
      </c>
      <c r="BY83" s="625" t="str">
        <f>IF('4. Sem'!$CA$20="","",'4. Sem'!$CA$20)</f>
        <v/>
      </c>
      <c r="BZ83" s="626" t="str">
        <f>IF('4. Sem'!$CB$20="","",'4. Sem'!$CB$20)</f>
        <v/>
      </c>
      <c r="CA83" s="627" t="str">
        <f>IF('4. Sem'!$CC$20="","",'4. Sem'!$CC$20)</f>
        <v/>
      </c>
      <c r="CB83" s="627" t="str">
        <f>IF('4. Sem'!$CD$20="","",'4. Sem'!$CD$20)</f>
        <v/>
      </c>
      <c r="CC83" s="627" t="str">
        <f>IF('4. Sem'!$CE$20="","",'4. Sem'!$CE$20)</f>
        <v/>
      </c>
      <c r="CD83" s="628" t="str">
        <f>IF('4. Sem'!$CF$20="","",'4. Sem'!$CF$20)</f>
        <v/>
      </c>
      <c r="CE83" s="623" t="str">
        <f>IF('4. Sem'!$CG$20="","",'4. Sem'!$CG$20)</f>
        <v/>
      </c>
      <c r="CF83" s="624" t="str">
        <f>IF('4. Sem'!$CH$20="","",'4. Sem'!$CH$20)</f>
        <v/>
      </c>
      <c r="CG83" s="624" t="str">
        <f>IF('4. Sem'!$CI$20="","",'4. Sem'!$CI$20)</f>
        <v/>
      </c>
      <c r="CH83" s="624" t="str">
        <f>IF('4. Sem'!$CJ$20="","",'4. Sem'!$CJ$20)</f>
        <v/>
      </c>
      <c r="CI83" s="625" t="str">
        <f>IF('4. Sem'!$CK$20="","",'4. Sem'!$CK$20)</f>
        <v/>
      </c>
      <c r="CJ83" s="626" t="str">
        <f>IF('4. Sem'!$CL$20="","",'4. Sem'!$CL$20)</f>
        <v/>
      </c>
      <c r="CK83" s="627" t="str">
        <f>IF('4. Sem'!$CM$20="","",'4. Sem'!$CM$20)</f>
        <v/>
      </c>
      <c r="CL83" s="627" t="str">
        <f>IF('4. Sem'!$CN$20="","",'4. Sem'!$CN$20)</f>
        <v/>
      </c>
      <c r="CM83" s="627" t="str">
        <f>IF('4. Sem'!$CO$20="","",'4. Sem'!$CO$20)</f>
        <v/>
      </c>
      <c r="CN83" s="628" t="str">
        <f>IF('4. Sem'!$CP$20="","",'4. Sem'!$CP$20)</f>
        <v/>
      </c>
      <c r="CO83" s="623" t="str">
        <f>IF('4. Sem'!$CQ$20="","",'4. Sem'!$CQ$20)</f>
        <v/>
      </c>
      <c r="CP83" s="624" t="str">
        <f>IF('4. Sem'!$CR$20="","",'4. Sem'!$CR$20)</f>
        <v/>
      </c>
      <c r="CQ83" s="624" t="str">
        <f>IF('4. Sem'!$CS$20="","",'4. Sem'!$CS$20)</f>
        <v/>
      </c>
      <c r="CR83" s="624" t="str">
        <f>IF('4. Sem'!$CT$20="","",'4. Sem'!$CT$20)</f>
        <v/>
      </c>
      <c r="CS83" s="625" t="str">
        <f>IF('4. Sem'!$CU$20="","",'4. Sem'!$CU$20)</f>
        <v/>
      </c>
      <c r="CT83" s="626" t="str">
        <f>IF('4. Sem'!$CV$20="","",'4. Sem'!$CV$20)</f>
        <v/>
      </c>
      <c r="CU83" s="627" t="str">
        <f>IF('4. Sem'!$CW$20="","",'4. Sem'!$CW$20)</f>
        <v/>
      </c>
      <c r="CV83" s="627" t="str">
        <f>IF('4. Sem'!$CX$20="","",'4. Sem'!$CX$20)</f>
        <v/>
      </c>
      <c r="CW83" s="627" t="str">
        <f>IF('4. Sem'!$CY$20="","",'4. Sem'!$CY$20)</f>
        <v/>
      </c>
      <c r="CX83" s="628" t="str">
        <f>IF('4. Sem'!$CZ$20="","",'4. Sem'!$CZ$20)</f>
        <v/>
      </c>
      <c r="CY83" s="623" t="str">
        <f>IF('4. Sem'!$DA$20="","",'4. Sem'!$DA$20)</f>
        <v/>
      </c>
      <c r="CZ83" s="624" t="str">
        <f>IF('4. Sem'!$DB$20="","",'4. Sem'!$DB$20)</f>
        <v/>
      </c>
      <c r="DA83" s="624" t="str">
        <f>IF('4. Sem'!$DC$20="","",'4. Sem'!$DC$20)</f>
        <v/>
      </c>
      <c r="DB83" s="624" t="str">
        <f>IF('4. Sem'!$DD$20="","",'4. Sem'!$DD$20)</f>
        <v/>
      </c>
      <c r="DC83" s="625" t="str">
        <f>IF('4. Sem'!$DE$20="","",'4. Sem'!$DE$20)</f>
        <v/>
      </c>
    </row>
    <row r="84" spans="1:107" ht="17" customHeight="1" thickBot="1" x14ac:dyDescent="0.25">
      <c r="A84" s="566"/>
      <c r="B84" s="629" t="s">
        <v>34</v>
      </c>
      <c r="C84" s="630" t="str">
        <f>IF('4. Sem'!$E$21="","",'4. Sem'!$E$21)</f>
        <v/>
      </c>
      <c r="D84" s="631" t="str">
        <f>IF('4. Sem'!$F$21="","",'4. Sem'!$F$21)</f>
        <v/>
      </c>
      <c r="E84" s="631" t="str">
        <f>IF('4. Sem'!$G$21="","",'4. Sem'!$G$21)</f>
        <v/>
      </c>
      <c r="F84" s="631" t="str">
        <f>IF('4. Sem'!$H$21="","",'4. Sem'!$H$21)</f>
        <v/>
      </c>
      <c r="G84" s="632" t="str">
        <f>IF('4. Sem'!$I$21="","",'4. Sem'!$I$21)</f>
        <v/>
      </c>
      <c r="H84" s="633" t="str">
        <f>IF('4. Sem'!$J$21="","",'4. Sem'!$J$21)</f>
        <v/>
      </c>
      <c r="I84" s="634" t="str">
        <f>IF('4. Sem'!$K$21="","",'4. Sem'!$K$21)</f>
        <v/>
      </c>
      <c r="J84" s="634" t="str">
        <f>IF('4. Sem'!$L$21="","",'4. Sem'!$L$21)</f>
        <v/>
      </c>
      <c r="K84" s="634" t="str">
        <f>IF('4. Sem'!$M$21="","",'4. Sem'!$M$21)</f>
        <v/>
      </c>
      <c r="L84" s="635" t="str">
        <f>IF('4. Sem'!$N$21="","",'4. Sem'!$N$21)</f>
        <v/>
      </c>
      <c r="M84" s="630" t="str">
        <f>IF('4. Sem'!$O$21="","",'4. Sem'!$O$21)</f>
        <v/>
      </c>
      <c r="N84" s="631" t="str">
        <f>IF('4. Sem'!$P$21="","",'4. Sem'!$P$21)</f>
        <v/>
      </c>
      <c r="O84" s="631" t="str">
        <f>IF('4. Sem'!$Q$21="","",'4. Sem'!$Q$21)</f>
        <v/>
      </c>
      <c r="P84" s="631" t="str">
        <f>IF('4. Sem'!$R$21="","",'4. Sem'!$R$21)</f>
        <v/>
      </c>
      <c r="Q84" s="632" t="str">
        <f>IF('4. Sem'!$S$21="","",'4. Sem'!$S$21)</f>
        <v/>
      </c>
      <c r="R84" s="633" t="str">
        <f>IF('4. Sem'!$T$21="","",'4. Sem'!$T$21)</f>
        <v/>
      </c>
      <c r="S84" s="634" t="str">
        <f>IF('4. Sem'!$U$21="","",'4. Sem'!$U$21)</f>
        <v/>
      </c>
      <c r="T84" s="634" t="str">
        <f>IF('4. Sem'!$V$21="","",'4. Sem'!$V$21)</f>
        <v/>
      </c>
      <c r="U84" s="634" t="str">
        <f>IF('4. Sem'!$W$21="","",'4. Sem'!$W$21)</f>
        <v/>
      </c>
      <c r="V84" s="635" t="str">
        <f>IF('4. Sem'!$X$21="","",'4. Sem'!$X$21)</f>
        <v/>
      </c>
      <c r="W84" s="630" t="str">
        <f>IF('4. Sem'!$Y$21="","",'4. Sem'!$Y$21)</f>
        <v/>
      </c>
      <c r="X84" s="631" t="str">
        <f>IF('4. Sem'!$Z$21="","",'4. Sem'!$Z$21)</f>
        <v/>
      </c>
      <c r="Y84" s="631" t="str">
        <f>IF('4. Sem'!$AA$21="","",'4. Sem'!$AA$21)</f>
        <v/>
      </c>
      <c r="Z84" s="631" t="str">
        <f>IF('4. Sem'!$AB$21="","",'4. Sem'!$AB$21)</f>
        <v/>
      </c>
      <c r="AA84" s="632" t="str">
        <f>IF('4. Sem'!$AC$21="","",'4. Sem'!$AC$21)</f>
        <v/>
      </c>
      <c r="AB84" s="633" t="str">
        <f>IF('4. Sem'!$AD$21="","",'4. Sem'!$AD$21)</f>
        <v/>
      </c>
      <c r="AC84" s="634" t="str">
        <f>IF('4. Sem'!$AE$21="","",'4. Sem'!$AE$21)</f>
        <v/>
      </c>
      <c r="AD84" s="634" t="str">
        <f>IF('4. Sem'!$AF$21="","",'4. Sem'!$AF$21)</f>
        <v/>
      </c>
      <c r="AE84" s="634" t="str">
        <f>IF('4. Sem'!$AG$21="","",'4. Sem'!$AG$21)</f>
        <v/>
      </c>
      <c r="AF84" s="635" t="str">
        <f>IF('4. Sem'!$AH$21="","",'4. Sem'!$AH$21)</f>
        <v/>
      </c>
      <c r="AG84" s="630" t="str">
        <f>IF('4. Sem'!$AI$21="","",'4. Sem'!$AI$21)</f>
        <v/>
      </c>
      <c r="AH84" s="631" t="str">
        <f>IF('4. Sem'!$AJ$21="","",'4. Sem'!$AJ$21)</f>
        <v/>
      </c>
      <c r="AI84" s="631" t="str">
        <f>IF('4. Sem'!$AK$21="","",'4. Sem'!$AK$21)</f>
        <v/>
      </c>
      <c r="AJ84" s="631" t="str">
        <f>IF('4. Sem'!$AL$21="","",'4. Sem'!$AL$21)</f>
        <v/>
      </c>
      <c r="AK84" s="632" t="str">
        <f>IF('4. Sem'!$AM$21="","",'4. Sem'!$AM$21)</f>
        <v/>
      </c>
      <c r="AL84" s="633" t="str">
        <f>IF('4. Sem'!$AN$21="","",'4. Sem'!$AN$21)</f>
        <v/>
      </c>
      <c r="AM84" s="634" t="str">
        <f>IF('4. Sem'!$AO$21="","",'4. Sem'!$AO$21)</f>
        <v/>
      </c>
      <c r="AN84" s="634" t="str">
        <f>IF('4. Sem'!$AP$21="","",'4. Sem'!$AP$21)</f>
        <v/>
      </c>
      <c r="AO84" s="634" t="str">
        <f>IF('4. Sem'!$AQ$21="","",'4. Sem'!$AQ$21)</f>
        <v/>
      </c>
      <c r="AP84" s="635" t="str">
        <f>IF('4. Sem'!$AR$21="","",'4. Sem'!$AR$21)</f>
        <v/>
      </c>
      <c r="AQ84" s="630" t="str">
        <f>IF('4. Sem'!$AS$21="","",'4. Sem'!$AS$21)</f>
        <v/>
      </c>
      <c r="AR84" s="631" t="str">
        <f>IF('4. Sem'!$AT$21="","",'4. Sem'!$AT$21)</f>
        <v/>
      </c>
      <c r="AS84" s="631" t="str">
        <f>IF('4. Sem'!$AU$21="","",'4. Sem'!$AU$21)</f>
        <v/>
      </c>
      <c r="AT84" s="631" t="str">
        <f>IF('4. Sem'!$AV$21="","",'4. Sem'!$AV$21)</f>
        <v/>
      </c>
      <c r="AU84" s="632" t="str">
        <f>IF('4. Sem'!$AW$21="","",'4. Sem'!$AW$21)</f>
        <v/>
      </c>
      <c r="AV84" s="633" t="str">
        <f>IF('4. Sem'!$AX$21="","",'4. Sem'!$AX$21)</f>
        <v/>
      </c>
      <c r="AW84" s="634" t="str">
        <f>IF('4. Sem'!$AY$21="","",'4. Sem'!$AY$21)</f>
        <v/>
      </c>
      <c r="AX84" s="634" t="str">
        <f>IF('4. Sem'!$AZ$21="","",'4. Sem'!$AZ$21)</f>
        <v/>
      </c>
      <c r="AY84" s="634" t="str">
        <f>IF('4. Sem'!$BA$21="","",'4. Sem'!$BA$21)</f>
        <v/>
      </c>
      <c r="AZ84" s="635" t="str">
        <f>IF('4. Sem'!$BB$21="","",'4. Sem'!$BB$21)</f>
        <v/>
      </c>
      <c r="BA84" s="630" t="str">
        <f>IF('4. Sem'!$BC$21="","",'4. Sem'!$BC$21)</f>
        <v/>
      </c>
      <c r="BB84" s="631" t="str">
        <f>IF('4. Sem'!$BD$21="","",'4. Sem'!$BD$21)</f>
        <v/>
      </c>
      <c r="BC84" s="631" t="str">
        <f>IF('4. Sem'!$BE$21="","",'4. Sem'!$BE$21)</f>
        <v/>
      </c>
      <c r="BD84" s="631" t="str">
        <f>IF('4. Sem'!$BF$21="","",'4. Sem'!$BF$21)</f>
        <v/>
      </c>
      <c r="BE84" s="632" t="str">
        <f>IF('4. Sem'!$BG$21="","",'4. Sem'!$BG$21)</f>
        <v/>
      </c>
      <c r="BF84" s="633" t="str">
        <f>IF('4. Sem'!$BH$21="","",'4. Sem'!$BH$21)</f>
        <v/>
      </c>
      <c r="BG84" s="634" t="str">
        <f>IF('4. Sem'!$BI$21="","",'4. Sem'!$BI$21)</f>
        <v/>
      </c>
      <c r="BH84" s="634" t="str">
        <f>IF('4. Sem'!$BJ$21="","",'4. Sem'!$BJ$21)</f>
        <v/>
      </c>
      <c r="BI84" s="634" t="str">
        <f>IF('4. Sem'!$BK$21="","",'4. Sem'!$BK$21)</f>
        <v/>
      </c>
      <c r="BJ84" s="635" t="str">
        <f>IF('4. Sem'!$BL$21="","",'4. Sem'!$BL$21)</f>
        <v/>
      </c>
      <c r="BK84" s="630" t="str">
        <f>IF('4. Sem'!$BM$21="","",'4. Sem'!$BM$21)</f>
        <v/>
      </c>
      <c r="BL84" s="631" t="str">
        <f>IF('4. Sem'!$BN$21="","",'4. Sem'!$BN$21)</f>
        <v/>
      </c>
      <c r="BM84" s="631" t="str">
        <f>IF('4. Sem'!$BO$21="","",'4. Sem'!$BO$21)</f>
        <v/>
      </c>
      <c r="BN84" s="631" t="str">
        <f>IF('4. Sem'!$BP$21="","",'4. Sem'!$BP$21)</f>
        <v/>
      </c>
      <c r="BO84" s="632" t="str">
        <f>IF('4. Sem'!$BQ$21="","",'4. Sem'!$BQ$21)</f>
        <v/>
      </c>
      <c r="BP84" s="633" t="str">
        <f>IF('4. Sem'!$BR$21="","",'4. Sem'!$BR$21)</f>
        <v/>
      </c>
      <c r="BQ84" s="634" t="str">
        <f>IF('4. Sem'!$BS$21="","",'4. Sem'!$BS$21)</f>
        <v/>
      </c>
      <c r="BR84" s="634" t="str">
        <f>IF('4. Sem'!$BT$21="","",'4. Sem'!$BT$21)</f>
        <v/>
      </c>
      <c r="BS84" s="634" t="str">
        <f>IF('4. Sem'!$BU$21="","",'4. Sem'!$BU$21)</f>
        <v/>
      </c>
      <c r="BT84" s="635" t="str">
        <f>IF('4. Sem'!$BV$21="","",'4. Sem'!$BV$21)</f>
        <v/>
      </c>
      <c r="BU84" s="630" t="str">
        <f>IF('4. Sem'!$BW$21="","",'4. Sem'!$BW$21)</f>
        <v/>
      </c>
      <c r="BV84" s="631" t="str">
        <f>IF('4. Sem'!$BX$21="","",'4. Sem'!$BX$21)</f>
        <v/>
      </c>
      <c r="BW84" s="631" t="str">
        <f>IF('4. Sem'!$BY$21="","",'4. Sem'!$BY$21)</f>
        <v/>
      </c>
      <c r="BX84" s="631" t="str">
        <f>IF('4. Sem'!$BZ$21="","",'4. Sem'!$BZ$21)</f>
        <v/>
      </c>
      <c r="BY84" s="632" t="str">
        <f>IF('4. Sem'!$CA$21="","",'4. Sem'!$CA$21)</f>
        <v/>
      </c>
      <c r="BZ84" s="633" t="str">
        <f>IF('4. Sem'!$CB$21="","",'4. Sem'!$CB$21)</f>
        <v/>
      </c>
      <c r="CA84" s="634" t="str">
        <f>IF('4. Sem'!$CC$21="","",'4. Sem'!$CC$21)</f>
        <v/>
      </c>
      <c r="CB84" s="634" t="str">
        <f>IF('4. Sem'!$CD$21="","",'4. Sem'!$CD$21)</f>
        <v/>
      </c>
      <c r="CC84" s="634" t="str">
        <f>IF('4. Sem'!$CE$21="","",'4. Sem'!$CE$21)</f>
        <v/>
      </c>
      <c r="CD84" s="635" t="str">
        <f>IF('4. Sem'!$CF$21="","",'4. Sem'!$CF$21)</f>
        <v/>
      </c>
      <c r="CE84" s="630" t="str">
        <f>IF('4. Sem'!$CG$21="","",'4. Sem'!$CG$21)</f>
        <v/>
      </c>
      <c r="CF84" s="631" t="str">
        <f>IF('4. Sem'!$CH$21="","",'4. Sem'!$CH$21)</f>
        <v/>
      </c>
      <c r="CG84" s="631" t="str">
        <f>IF('4. Sem'!$CI$21="","",'4. Sem'!$CI$21)</f>
        <v/>
      </c>
      <c r="CH84" s="631" t="str">
        <f>IF('4. Sem'!$CJ$21="","",'4. Sem'!$CJ$21)</f>
        <v/>
      </c>
      <c r="CI84" s="632" t="str">
        <f>IF('4. Sem'!$CK$21="","",'4. Sem'!$CK$21)</f>
        <v/>
      </c>
      <c r="CJ84" s="633" t="str">
        <f>IF('4. Sem'!$CL$21="","",'4. Sem'!$CL$21)</f>
        <v/>
      </c>
      <c r="CK84" s="634" t="str">
        <f>IF('4. Sem'!$CM$21="","",'4. Sem'!$CM$21)</f>
        <v/>
      </c>
      <c r="CL84" s="634" t="str">
        <f>IF('4. Sem'!$CN$21="","",'4. Sem'!$CN$21)</f>
        <v/>
      </c>
      <c r="CM84" s="634" t="str">
        <f>IF('4. Sem'!$CO$21="","",'4. Sem'!$CO$21)</f>
        <v/>
      </c>
      <c r="CN84" s="635" t="str">
        <f>IF('4. Sem'!$CP$21="","",'4. Sem'!$CP$21)</f>
        <v/>
      </c>
      <c r="CO84" s="630" t="str">
        <f>IF('4. Sem'!$CQ$21="","",'4. Sem'!$CQ$21)</f>
        <v/>
      </c>
      <c r="CP84" s="631" t="str">
        <f>IF('4. Sem'!$CR$21="","",'4. Sem'!$CR$21)</f>
        <v/>
      </c>
      <c r="CQ84" s="631" t="str">
        <f>IF('4. Sem'!$CS$21="","",'4. Sem'!$CS$21)</f>
        <v/>
      </c>
      <c r="CR84" s="631" t="str">
        <f>IF('4. Sem'!$CT$21="","",'4. Sem'!$CT$21)</f>
        <v/>
      </c>
      <c r="CS84" s="632" t="str">
        <f>IF('4. Sem'!$CU$21="","",'4. Sem'!$CU$21)</f>
        <v/>
      </c>
      <c r="CT84" s="633" t="str">
        <f>IF('4. Sem'!$CV$21="","",'4. Sem'!$CV$21)</f>
        <v/>
      </c>
      <c r="CU84" s="634" t="str">
        <f>IF('4. Sem'!$CW$21="","",'4. Sem'!$CW$21)</f>
        <v/>
      </c>
      <c r="CV84" s="634" t="str">
        <f>IF('4. Sem'!$CX$21="","",'4. Sem'!$CX$21)</f>
        <v/>
      </c>
      <c r="CW84" s="634" t="str">
        <f>IF('4. Sem'!$CY$21="","",'4. Sem'!$CY$21)</f>
        <v/>
      </c>
      <c r="CX84" s="635" t="str">
        <f>IF('4. Sem'!$CZ$21="","",'4. Sem'!$CZ$21)</f>
        <v/>
      </c>
      <c r="CY84" s="630" t="str">
        <f>IF('4. Sem'!$DA$21="","",'4. Sem'!$DA$21)</f>
        <v/>
      </c>
      <c r="CZ84" s="631" t="str">
        <f>IF('4. Sem'!$DB$21="","",'4. Sem'!$DB$21)</f>
        <v/>
      </c>
      <c r="DA84" s="631" t="str">
        <f>IF('4. Sem'!$DC$21="","",'4. Sem'!$DC$21)</f>
        <v/>
      </c>
      <c r="DB84" s="631" t="str">
        <f>IF('4. Sem'!$DD$21="","",'4. Sem'!$DD$21)</f>
        <v/>
      </c>
      <c r="DC84" s="632" t="str">
        <f>IF('4. Sem'!$DE$21="","",'4. Sem'!$DE$21)</f>
        <v/>
      </c>
    </row>
    <row r="85" spans="1:107" ht="17" thickBot="1" x14ac:dyDescent="0.25">
      <c r="A85" s="562"/>
      <c r="B85" s="562"/>
      <c r="C85" s="563"/>
      <c r="D85" s="563"/>
      <c r="E85" s="563"/>
      <c r="F85" s="563"/>
      <c r="G85" s="563"/>
      <c r="H85" s="563"/>
      <c r="I85" s="563"/>
      <c r="J85" s="563"/>
      <c r="K85" s="563"/>
      <c r="L85" s="563"/>
      <c r="M85" s="563"/>
      <c r="N85" s="563"/>
      <c r="O85" s="563"/>
      <c r="P85" s="563"/>
      <c r="Q85" s="563"/>
      <c r="R85" s="563"/>
      <c r="S85" s="563"/>
      <c r="T85" s="563"/>
      <c r="U85" s="563"/>
      <c r="V85" s="563"/>
      <c r="W85" s="563"/>
      <c r="X85" s="563"/>
      <c r="Y85" s="563"/>
      <c r="Z85" s="563"/>
      <c r="AA85" s="563"/>
      <c r="AB85" s="563"/>
      <c r="AC85" s="563"/>
      <c r="AD85" s="563"/>
      <c r="AE85" s="563"/>
      <c r="AF85" s="563"/>
      <c r="AG85" s="563"/>
      <c r="AH85" s="563"/>
      <c r="AI85" s="563"/>
      <c r="AJ85" s="563"/>
      <c r="AK85" s="563"/>
      <c r="AL85" s="563"/>
      <c r="AM85" s="563"/>
      <c r="AN85" s="563"/>
      <c r="AO85" s="563"/>
      <c r="AP85" s="563"/>
      <c r="AQ85" s="563"/>
      <c r="AR85" s="563"/>
      <c r="AS85" s="563"/>
      <c r="AT85" s="563"/>
      <c r="AU85" s="563"/>
      <c r="AV85" s="563"/>
      <c r="AW85" s="563"/>
      <c r="AX85" s="563"/>
      <c r="AY85" s="563"/>
      <c r="AZ85" s="563"/>
      <c r="BA85" s="563"/>
      <c r="BB85" s="563"/>
      <c r="BC85" s="563"/>
      <c r="BD85" s="563"/>
      <c r="BE85" s="563"/>
      <c r="BF85" s="563"/>
      <c r="BG85" s="563"/>
      <c r="BH85" s="563"/>
      <c r="BI85" s="563"/>
      <c r="BJ85" s="563"/>
      <c r="BK85" s="563"/>
      <c r="BL85" s="563"/>
      <c r="BM85" s="563"/>
      <c r="BN85" s="563"/>
      <c r="BO85" s="563"/>
      <c r="BP85" s="563"/>
      <c r="BQ85" s="563"/>
      <c r="BR85" s="563"/>
      <c r="BS85" s="563"/>
      <c r="BT85" s="563"/>
      <c r="BU85" s="564"/>
      <c r="BV85" s="563"/>
      <c r="BW85" s="563"/>
      <c r="BX85" s="563"/>
      <c r="BY85" s="563"/>
      <c r="BZ85" s="563"/>
      <c r="CA85" s="563"/>
      <c r="CB85" s="563"/>
      <c r="CC85" s="563"/>
      <c r="CD85" s="563"/>
      <c r="CE85" s="563"/>
      <c r="CF85" s="563"/>
      <c r="CG85" s="563"/>
      <c r="CH85" s="563"/>
      <c r="CI85" s="563"/>
      <c r="CJ85" s="563"/>
      <c r="CK85" s="563"/>
      <c r="CL85" s="563"/>
      <c r="CM85" s="563"/>
      <c r="CN85" s="565"/>
      <c r="CO85" s="563"/>
      <c r="CP85" s="563"/>
      <c r="CQ85" s="563"/>
      <c r="CR85" s="563"/>
      <c r="CS85" s="563"/>
      <c r="CT85" s="563"/>
      <c r="CU85" s="563"/>
      <c r="CV85" s="563"/>
      <c r="CW85" s="563"/>
      <c r="CX85" s="563"/>
      <c r="CY85" s="563"/>
      <c r="CZ85" s="563"/>
      <c r="DA85" s="563"/>
      <c r="DB85" s="563"/>
      <c r="DC85" s="563"/>
    </row>
    <row r="86" spans="1:107" ht="16" customHeight="1" x14ac:dyDescent="0.2">
      <c r="A86" s="566" t="s">
        <v>382</v>
      </c>
      <c r="B86" s="567" t="s">
        <v>7</v>
      </c>
      <c r="C86" s="574" t="str">
        <f>IF('4. Sem'!$E$28="","",'4. Sem'!$E$28)</f>
        <v/>
      </c>
      <c r="D86" s="569" t="str">
        <f>IF('4. Sem'!$F$28="","",'4. Sem'!$F$28)</f>
        <v/>
      </c>
      <c r="E86" s="569" t="str">
        <f>IF('4. Sem'!$G$28="","",'4. Sem'!$G$28)</f>
        <v/>
      </c>
      <c r="F86" s="569" t="str">
        <f>IF('4. Sem'!$H$28="","",'4. Sem'!$H$28)</f>
        <v/>
      </c>
      <c r="G86" s="570" t="str">
        <f>IF('4. Sem'!$I$28="","",'4. Sem'!$I$28)</f>
        <v/>
      </c>
      <c r="H86" s="571" t="str">
        <f>IF('4. Sem'!$J$28="","",'4. Sem'!$J$28)</f>
        <v/>
      </c>
      <c r="I86" s="572" t="str">
        <f>IF('4. Sem'!$K$28="","",'4. Sem'!$K$28)</f>
        <v/>
      </c>
      <c r="J86" s="572" t="str">
        <f>IF('4. Sem'!$L$28="","",'4. Sem'!$L$28)</f>
        <v/>
      </c>
      <c r="K86" s="572" t="str">
        <f>IF('4. Sem'!$M$28="","",'4. Sem'!$M$28)</f>
        <v/>
      </c>
      <c r="L86" s="573" t="str">
        <f>IF('4. Sem'!$N$28="","",'4. Sem'!$N$28)</f>
        <v/>
      </c>
      <c r="M86" s="574" t="str">
        <f>IF('4. Sem'!$O$28="","",'4. Sem'!$O$28)</f>
        <v/>
      </c>
      <c r="N86" s="569" t="str">
        <f>IF('4. Sem'!$P$28="","",'4. Sem'!$P$28)</f>
        <v/>
      </c>
      <c r="O86" s="569" t="str">
        <f>IF('4. Sem'!$Q$28="","",'4. Sem'!$Q$28)</f>
        <v/>
      </c>
      <c r="P86" s="569" t="str">
        <f>IF('4. Sem'!$R$28="","",'4. Sem'!$R$28)</f>
        <v/>
      </c>
      <c r="Q86" s="570" t="str">
        <f>IF('4. Sem'!$S$28="","",'4. Sem'!$S$28)</f>
        <v/>
      </c>
      <c r="R86" s="571" t="str">
        <f>IF('4. Sem'!$T$28="","",'4. Sem'!$T$28)</f>
        <v/>
      </c>
      <c r="S86" s="572" t="str">
        <f>IF('4. Sem'!$U$28="","",'4. Sem'!$U$28)</f>
        <v/>
      </c>
      <c r="T86" s="572" t="str">
        <f>IF('4. Sem'!$V$28="","",'4. Sem'!$V$28)</f>
        <v/>
      </c>
      <c r="U86" s="572" t="str">
        <f>IF('4. Sem'!$W$28="","",'4. Sem'!$W$28)</f>
        <v/>
      </c>
      <c r="V86" s="573" t="str">
        <f>IF('4. Sem'!$X$28="","",'4. Sem'!$X$28)</f>
        <v/>
      </c>
      <c r="W86" s="574" t="str">
        <f>IF('4. Sem'!$Y$28="","",'4. Sem'!$Y$28)</f>
        <v/>
      </c>
      <c r="X86" s="569" t="str">
        <f>IF('4. Sem'!$Z$28="","",'4. Sem'!$Z$28)</f>
        <v/>
      </c>
      <c r="Y86" s="569" t="str">
        <f>IF('4. Sem'!$AA$28="","",'4. Sem'!$AA$28)</f>
        <v/>
      </c>
      <c r="Z86" s="569" t="str">
        <f>IF('4. Sem'!$AB$28="","",'4. Sem'!$AB$28)</f>
        <v/>
      </c>
      <c r="AA86" s="570" t="str">
        <f>IF('4. Sem'!$AC$28="","",'4. Sem'!$AC$28)</f>
        <v/>
      </c>
      <c r="AB86" s="571" t="str">
        <f>IF('4. Sem'!$AD$28="","",'4. Sem'!$AD$28)</f>
        <v/>
      </c>
      <c r="AC86" s="572" t="str">
        <f>IF('4. Sem'!$AE$28="","",'4. Sem'!$AE$28)</f>
        <v/>
      </c>
      <c r="AD86" s="572" t="str">
        <f>IF('4. Sem'!$AF$28="","",'4. Sem'!$AF$28)</f>
        <v/>
      </c>
      <c r="AE86" s="572" t="str">
        <f>IF('4. Sem'!$AG$28="","",'4. Sem'!$AG$28)</f>
        <v/>
      </c>
      <c r="AF86" s="573" t="str">
        <f>IF('4. Sem'!$AH$28="","",'4. Sem'!$AH$28)</f>
        <v/>
      </c>
      <c r="AG86" s="574" t="str">
        <f>IF('4. Sem'!$AI$28="","",'4. Sem'!$AI$28)</f>
        <v/>
      </c>
      <c r="AH86" s="569" t="str">
        <f>IF('4. Sem'!$AJ$28="","",'4. Sem'!$AJ$28)</f>
        <v/>
      </c>
      <c r="AI86" s="569" t="str">
        <f>IF('4. Sem'!$AK$28="","",'4. Sem'!$AK$28)</f>
        <v/>
      </c>
      <c r="AJ86" s="569" t="str">
        <f>IF('4. Sem'!$AL$28="","",'4. Sem'!$AL$28)</f>
        <v/>
      </c>
      <c r="AK86" s="570" t="str">
        <f>IF('4. Sem'!$AM$28="","",'4. Sem'!$AM$28)</f>
        <v/>
      </c>
      <c r="AL86" s="578" t="str">
        <f>IF('4. Sem'!$AN$28="","",'4. Sem'!$AN$28)</f>
        <v/>
      </c>
      <c r="AM86" s="576" t="str">
        <f>IF('4. Sem'!$AO$28="","",'4. Sem'!$AO$28)</f>
        <v/>
      </c>
      <c r="AN86" s="576" t="str">
        <f>IF('4. Sem'!$AP$28="","",'4. Sem'!$AP$28)</f>
        <v/>
      </c>
      <c r="AO86" s="576" t="str">
        <f>IF('4. Sem'!$AQ$28="","",'4. Sem'!$AQ$28)</f>
        <v/>
      </c>
      <c r="AP86" s="577" t="str">
        <f>IF('4. Sem'!$AR$28="","",'4. Sem'!$AR$28)</f>
        <v/>
      </c>
      <c r="AQ86" s="575" t="str">
        <f>IF('4. Sem'!$AS$28="","",'4. Sem'!$AS$28)</f>
        <v/>
      </c>
      <c r="AR86" s="569" t="str">
        <f>IF('4. Sem'!$AT$28="","",'4. Sem'!$AT$28)</f>
        <v/>
      </c>
      <c r="AS86" s="569" t="str">
        <f>IF('4. Sem'!$AU$28="","",'4. Sem'!$AU$28)</f>
        <v/>
      </c>
      <c r="AT86" s="569" t="str">
        <f>IF('4. Sem'!$AV$28="","",'4. Sem'!$AV$28)</f>
        <v/>
      </c>
      <c r="AU86" s="570" t="str">
        <f>IF('4. Sem'!$AW$28="","",'4. Sem'!$AW$28)</f>
        <v/>
      </c>
      <c r="AV86" s="571" t="str">
        <f>IF('4. Sem'!$AX$28="","",'4. Sem'!$AX$28)</f>
        <v/>
      </c>
      <c r="AW86" s="572" t="str">
        <f>IF('4. Sem'!$AY$28="","",'4. Sem'!$AY$28)</f>
        <v/>
      </c>
      <c r="AX86" s="572" t="str">
        <f>IF('4. Sem'!$AZ$28="","",'4. Sem'!$AZ$28)</f>
        <v/>
      </c>
      <c r="AY86" s="572" t="str">
        <f>IF('4. Sem'!$BA$28="","",'4. Sem'!$BA$28)</f>
        <v/>
      </c>
      <c r="AZ86" s="573" t="str">
        <f>IF('4. Sem'!$BB$28="","",'4. Sem'!$BB$28)</f>
        <v/>
      </c>
      <c r="BA86" s="574" t="str">
        <f>IF('4. Sem'!$BC$28="","",'4. Sem'!$BC$28)</f>
        <v/>
      </c>
      <c r="BB86" s="569" t="str">
        <f>IF('4. Sem'!$BD$28="","",'4. Sem'!$BD$28)</f>
        <v/>
      </c>
      <c r="BC86" s="569" t="str">
        <f>IF('4. Sem'!$BE$28="","",'4. Sem'!$BE$28)</f>
        <v/>
      </c>
      <c r="BD86" s="569" t="str">
        <f>IF('4. Sem'!$BF$28="","",'4. Sem'!$BF$28)</f>
        <v/>
      </c>
      <c r="BE86" s="570" t="str">
        <f>IF('4. Sem'!$BG$28="","",'4. Sem'!$BG$28)</f>
        <v/>
      </c>
      <c r="BF86" s="571" t="str">
        <f>IF('4. Sem'!$BH$28="","",'4. Sem'!$BH$28)</f>
        <v/>
      </c>
      <c r="BG86" s="572" t="str">
        <f>IF('4. Sem'!$BI$28="","",'4. Sem'!$BI$28)</f>
        <v/>
      </c>
      <c r="BH86" s="572" t="str">
        <f>IF('4. Sem'!$BJ$28="","",'4. Sem'!$BJ$28)</f>
        <v/>
      </c>
      <c r="BI86" s="572" t="str">
        <f>IF('4. Sem'!$BK$28="","",'4. Sem'!$BK$28)</f>
        <v/>
      </c>
      <c r="BJ86" s="573" t="str">
        <f>IF('4. Sem'!$BL$28="","",'4. Sem'!$BL$28)</f>
        <v/>
      </c>
      <c r="BK86" s="574" t="str">
        <f>IF('4. Sem'!$BM$28="","",'4. Sem'!$BM$28)</f>
        <v/>
      </c>
      <c r="BL86" s="569" t="str">
        <f>IF('4. Sem'!$BN$28="","",'4. Sem'!$BN$28)</f>
        <v/>
      </c>
      <c r="BM86" s="569" t="str">
        <f>IF('4. Sem'!$BO$28="","",'4. Sem'!$BO$28)</f>
        <v/>
      </c>
      <c r="BN86" s="569" t="str">
        <f>IF('4. Sem'!$BP$28="","",'4. Sem'!$BP$28)</f>
        <v/>
      </c>
      <c r="BO86" s="570" t="str">
        <f>IF('4. Sem'!$BQ$28="","",'4. Sem'!$BQ$28)</f>
        <v/>
      </c>
      <c r="BP86" s="571" t="str">
        <f>IF('4. Sem'!$BR$28="","",'4. Sem'!$BR$28)</f>
        <v/>
      </c>
      <c r="BQ86" s="572" t="str">
        <f>IF('4. Sem'!$BS$28="","",'4. Sem'!$BS$28)</f>
        <v/>
      </c>
      <c r="BR86" s="572" t="str">
        <f>IF('4. Sem'!$BT$28="","",'4. Sem'!$BT$28)</f>
        <v/>
      </c>
      <c r="BS86" s="576" t="str">
        <f>IF('4. Sem'!$BU$28="","",'4. Sem'!$BU$28)</f>
        <v/>
      </c>
      <c r="BT86" s="577" t="str">
        <f>IF('4. Sem'!$BV$28="","",'4. Sem'!$BV$28)</f>
        <v/>
      </c>
      <c r="BU86" s="574" t="str">
        <f>IF('4. Sem'!$BW$28="","",'4. Sem'!$BW$28)</f>
        <v/>
      </c>
      <c r="BV86" s="569" t="str">
        <f>IF('4. Sem'!$BX$28="","",'4. Sem'!$BX$28)</f>
        <v/>
      </c>
      <c r="BW86" s="569" t="str">
        <f>IF('4. Sem'!$BY$28="","",'4. Sem'!$BY$28)</f>
        <v/>
      </c>
      <c r="BX86" s="569" t="str">
        <f>IF('4. Sem'!$BZ$28="","",'4. Sem'!$BZ$28)</f>
        <v/>
      </c>
      <c r="BY86" s="570" t="str">
        <f>IF('4. Sem'!$CA$28="","",'4. Sem'!$CA$28)</f>
        <v/>
      </c>
      <c r="BZ86" s="578" t="str">
        <f>IF('4. Sem'!$CB$28="","",'4. Sem'!$CB$28)</f>
        <v/>
      </c>
      <c r="CA86" s="572" t="str">
        <f>IF('4. Sem'!$CC$28="","",'4. Sem'!$CC$28)</f>
        <v/>
      </c>
      <c r="CB86" s="572" t="str">
        <f>IF('4. Sem'!$CD$28="","",'4. Sem'!$CD$28)</f>
        <v/>
      </c>
      <c r="CC86" s="572" t="str">
        <f>IF('4. Sem'!$CE$28="","",'4. Sem'!$CE$28)</f>
        <v/>
      </c>
      <c r="CD86" s="573" t="str">
        <f>IF('4. Sem'!$CF$28="","",'4. Sem'!$CF$28)</f>
        <v/>
      </c>
      <c r="CE86" s="574" t="str">
        <f>IF('4. Sem'!$CG$28="","",'4. Sem'!$CG$28)</f>
        <v/>
      </c>
      <c r="CF86" s="569" t="str">
        <f>IF('4. Sem'!$CH$28="","",'4. Sem'!$CH$28)</f>
        <v/>
      </c>
      <c r="CG86" s="569" t="str">
        <f>IF('4. Sem'!$CI$28="","",'4. Sem'!$CI$28)</f>
        <v/>
      </c>
      <c r="CH86" s="569" t="str">
        <f>IF('4. Sem'!$CJ$28="","",'4. Sem'!$CJ$28)</f>
        <v/>
      </c>
      <c r="CI86" s="570" t="str">
        <f>IF('4. Sem'!$CK$28="","",'4. Sem'!$CK$28)</f>
        <v/>
      </c>
      <c r="CJ86" s="571" t="str">
        <f>IF('4. Sem'!$CL$28="","",'4. Sem'!$CL$28)</f>
        <v/>
      </c>
      <c r="CK86" s="572" t="str">
        <f>IF('4. Sem'!$CM$28="","",'4. Sem'!$CM$28)</f>
        <v/>
      </c>
      <c r="CL86" s="572" t="str">
        <f>IF('4. Sem'!$CN$28="","",'4. Sem'!$CN$28)</f>
        <v/>
      </c>
      <c r="CM86" s="572" t="str">
        <f>IF('4. Sem'!$CO$28="","",'4. Sem'!$CO$28)</f>
        <v/>
      </c>
      <c r="CN86" s="573" t="str">
        <f>IF('4. Sem'!$CP$28="","",'4. Sem'!$CP$28)</f>
        <v/>
      </c>
      <c r="CO86" s="574" t="str">
        <f>IF('4. Sem'!$CQ$28="","",'4. Sem'!$CQ$28)</f>
        <v/>
      </c>
      <c r="CP86" s="569" t="str">
        <f>IF('4. Sem'!$CR$28="","",'4. Sem'!$CR$28)</f>
        <v/>
      </c>
      <c r="CQ86" s="569" t="str">
        <f>IF('4. Sem'!$CS$28="","",'4. Sem'!$CS$28)</f>
        <v/>
      </c>
      <c r="CR86" s="569" t="str">
        <f>IF('4. Sem'!$CT$28="","",'4. Sem'!$CT$28)</f>
        <v/>
      </c>
      <c r="CS86" s="570" t="str">
        <f>IF('4. Sem'!$CU$28="","",'4. Sem'!$CU$28)</f>
        <v/>
      </c>
      <c r="CT86" s="571" t="str">
        <f>IF('4. Sem'!$CV$28="","",'4. Sem'!$CV$28)</f>
        <v/>
      </c>
      <c r="CU86" s="572" t="str">
        <f>IF('4. Sem'!$CW$28="","",'4. Sem'!$CW$28)</f>
        <v/>
      </c>
      <c r="CV86" s="572" t="str">
        <f>IF('4. Sem'!$CX$28="","",'4. Sem'!$CX$28)</f>
        <v/>
      </c>
      <c r="CW86" s="572" t="str">
        <f>IF('4. Sem'!$CY$28="","",'4. Sem'!$CY$28)</f>
        <v/>
      </c>
      <c r="CX86" s="573" t="str">
        <f>IF('4. Sem'!$CZ$28="","",'4. Sem'!$CZ$28)</f>
        <v/>
      </c>
      <c r="CY86" s="574" t="str">
        <f>IF('4. Sem'!$DA$28="","",'4. Sem'!$DA$28)</f>
        <v/>
      </c>
      <c r="CZ86" s="569" t="str">
        <f>IF('4. Sem'!$DB$28="","",'4. Sem'!$DB$28)</f>
        <v/>
      </c>
      <c r="DA86" s="569" t="str">
        <f>IF('4. Sem'!$DC$28="","",'4. Sem'!$DC$28)</f>
        <v/>
      </c>
      <c r="DB86" s="569" t="str">
        <f>IF('4. Sem'!$DD$28="","",'4. Sem'!$DD$28)</f>
        <v/>
      </c>
      <c r="DC86" s="570" t="str">
        <f>IF('4. Sem'!$DE$28="","",'4. Sem'!$DE$28)</f>
        <v/>
      </c>
    </row>
    <row r="87" spans="1:107" ht="16" customHeight="1" x14ac:dyDescent="0.2">
      <c r="A87" s="566"/>
      <c r="B87" s="579" t="s">
        <v>15</v>
      </c>
      <c r="C87" s="586" t="str">
        <f>IF('4. Sem'!$E$29="","",'4. Sem'!$E$29)</f>
        <v/>
      </c>
      <c r="D87" s="581" t="str">
        <f>IF('4. Sem'!$F$29="","",'4. Sem'!$F$29)</f>
        <v/>
      </c>
      <c r="E87" s="581" t="str">
        <f>IF('4. Sem'!$G$29="","",'4. Sem'!$G$29)</f>
        <v/>
      </c>
      <c r="F87" s="581" t="str">
        <f>IF('4. Sem'!$H$29="","",'4. Sem'!$H$29)</f>
        <v/>
      </c>
      <c r="G87" s="582" t="str">
        <f>IF('4. Sem'!$I$29="","",'4. Sem'!$I$29)</f>
        <v/>
      </c>
      <c r="H87" s="583" t="str">
        <f>IF('4. Sem'!$J$29="","",'4. Sem'!$J$29)</f>
        <v/>
      </c>
      <c r="I87" s="584" t="str">
        <f>IF('4. Sem'!$K$29="","",'4. Sem'!$K$29)</f>
        <v/>
      </c>
      <c r="J87" s="584" t="str">
        <f>IF('4. Sem'!$L$29="","",'4. Sem'!$L$29)</f>
        <v/>
      </c>
      <c r="K87" s="584" t="str">
        <f>IF('4. Sem'!$M$29="","",'4. Sem'!$M$29)</f>
        <v/>
      </c>
      <c r="L87" s="585" t="str">
        <f>IF('4. Sem'!$N$29="","",'4. Sem'!$N$29)</f>
        <v/>
      </c>
      <c r="M87" s="586" t="str">
        <f>IF('4. Sem'!$O$29="","",'4. Sem'!$O$29)</f>
        <v/>
      </c>
      <c r="N87" s="581" t="str">
        <f>IF('4. Sem'!$P$29="","",'4. Sem'!$P$29)</f>
        <v/>
      </c>
      <c r="O87" s="581" t="str">
        <f>IF('4. Sem'!$Q$29="","",'4. Sem'!$Q$29)</f>
        <v/>
      </c>
      <c r="P87" s="581" t="str">
        <f>IF('4. Sem'!$R$29="","",'4. Sem'!$R$29)</f>
        <v/>
      </c>
      <c r="Q87" s="582" t="str">
        <f>IF('4. Sem'!$S$29="","",'4. Sem'!$S$29)</f>
        <v/>
      </c>
      <c r="R87" s="583" t="str">
        <f>IF('4. Sem'!$T$29="","",'4. Sem'!$T$29)</f>
        <v/>
      </c>
      <c r="S87" s="584" t="str">
        <f>IF('4. Sem'!$U$29="","",'4. Sem'!$U$29)</f>
        <v/>
      </c>
      <c r="T87" s="584" t="str">
        <f>IF('4. Sem'!$V$29="","",'4. Sem'!$V$29)</f>
        <v/>
      </c>
      <c r="U87" s="584" t="str">
        <f>IF('4. Sem'!$W$29="","",'4. Sem'!$W$29)</f>
        <v/>
      </c>
      <c r="V87" s="585" t="str">
        <f>IF('4. Sem'!$X$29="","",'4. Sem'!$X$29)</f>
        <v/>
      </c>
      <c r="W87" s="586" t="str">
        <f>IF('4. Sem'!$Y$29="","",'4. Sem'!$Y$29)</f>
        <v/>
      </c>
      <c r="X87" s="581" t="str">
        <f>IF('4. Sem'!$Z$29="","",'4. Sem'!$Z$29)</f>
        <v/>
      </c>
      <c r="Y87" s="581" t="str">
        <f>IF('4. Sem'!$AA$29="","",'4. Sem'!$AA$29)</f>
        <v/>
      </c>
      <c r="Z87" s="581" t="str">
        <f>IF('4. Sem'!$AB$29="","",'4. Sem'!$AB$29)</f>
        <v/>
      </c>
      <c r="AA87" s="582" t="str">
        <f>IF('4. Sem'!$AC$29="","",'4. Sem'!$AC$29)</f>
        <v/>
      </c>
      <c r="AB87" s="583" t="str">
        <f>IF('4. Sem'!$AD$29="","",'4. Sem'!$AD$29)</f>
        <v/>
      </c>
      <c r="AC87" s="584" t="str">
        <f>IF('4. Sem'!$AE$29="","",'4. Sem'!$AE$29)</f>
        <v/>
      </c>
      <c r="AD87" s="584" t="str">
        <f>IF('4. Sem'!$AF$29="","",'4. Sem'!$AF$29)</f>
        <v/>
      </c>
      <c r="AE87" s="584" t="str">
        <f>IF('4. Sem'!$AG$29="","",'4. Sem'!$AG$29)</f>
        <v/>
      </c>
      <c r="AF87" s="585" t="str">
        <f>IF('4. Sem'!$AH$29="","",'4. Sem'!$AH$29)</f>
        <v/>
      </c>
      <c r="AG87" s="586" t="str">
        <f>IF('4. Sem'!$AI$29="","",'4. Sem'!$AI$29)</f>
        <v/>
      </c>
      <c r="AH87" s="581" t="str">
        <f>IF('4. Sem'!$AJ$29="","",'4. Sem'!$AJ$29)</f>
        <v/>
      </c>
      <c r="AI87" s="581" t="str">
        <f>IF('4. Sem'!$AK$29="","",'4. Sem'!$AK$29)</f>
        <v/>
      </c>
      <c r="AJ87" s="581" t="str">
        <f>IF('4. Sem'!$AL$29="","",'4. Sem'!$AL$29)</f>
        <v/>
      </c>
      <c r="AK87" s="582" t="str">
        <f>IF('4. Sem'!$AM$29="","",'4. Sem'!$AM$29)</f>
        <v/>
      </c>
      <c r="AL87" s="590" t="str">
        <f>IF('4. Sem'!$AN$29="","",'4. Sem'!$AN$29)</f>
        <v/>
      </c>
      <c r="AM87" s="588" t="str">
        <f>IF('4. Sem'!$AO$29="","",'4. Sem'!$AO$29)</f>
        <v/>
      </c>
      <c r="AN87" s="588" t="str">
        <f>IF('4. Sem'!$AP$29="","",'4. Sem'!$AP$29)</f>
        <v/>
      </c>
      <c r="AO87" s="588" t="str">
        <f>IF('4. Sem'!$AQ$29="","",'4. Sem'!$AQ$29)</f>
        <v/>
      </c>
      <c r="AP87" s="589" t="str">
        <f>IF('4. Sem'!$AR$29="","",'4. Sem'!$AR$29)</f>
        <v/>
      </c>
      <c r="AQ87" s="587" t="str">
        <f>IF('4. Sem'!$AS$29="","",'4. Sem'!$AS$29)</f>
        <v/>
      </c>
      <c r="AR87" s="581" t="str">
        <f>IF('4. Sem'!$AT$29="","",'4. Sem'!$AT$29)</f>
        <v/>
      </c>
      <c r="AS87" s="581" t="str">
        <f>IF('4. Sem'!$AU$29="","",'4. Sem'!$AU$29)</f>
        <v/>
      </c>
      <c r="AT87" s="581" t="str">
        <f>IF('4. Sem'!$AV$29="","",'4. Sem'!$AV$29)</f>
        <v/>
      </c>
      <c r="AU87" s="582" t="str">
        <f>IF('4. Sem'!$AW$29="","",'4. Sem'!$AW$29)</f>
        <v/>
      </c>
      <c r="AV87" s="583" t="str">
        <f>IF('4. Sem'!$AX$29="","",'4. Sem'!$AX$29)</f>
        <v/>
      </c>
      <c r="AW87" s="584" t="str">
        <f>IF('4. Sem'!$AY$29="","",'4. Sem'!$AY$29)</f>
        <v/>
      </c>
      <c r="AX87" s="584" t="str">
        <f>IF('4. Sem'!$AZ$29="","",'4. Sem'!$AZ$29)</f>
        <v/>
      </c>
      <c r="AY87" s="584" t="str">
        <f>IF('4. Sem'!$BA$29="","",'4. Sem'!$BA$29)</f>
        <v/>
      </c>
      <c r="AZ87" s="585" t="str">
        <f>IF('4. Sem'!$BB$29="","",'4. Sem'!$BB$29)</f>
        <v/>
      </c>
      <c r="BA87" s="586" t="str">
        <f>IF('4. Sem'!$BC$29="","",'4. Sem'!$BC$29)</f>
        <v/>
      </c>
      <c r="BB87" s="581" t="str">
        <f>IF('4. Sem'!$BD$29="","",'4. Sem'!$BD$29)</f>
        <v/>
      </c>
      <c r="BC87" s="581" t="str">
        <f>IF('4. Sem'!$BE$29="","",'4. Sem'!$BE$29)</f>
        <v/>
      </c>
      <c r="BD87" s="581" t="str">
        <f>IF('4. Sem'!$BF$29="","",'4. Sem'!$BF$29)</f>
        <v/>
      </c>
      <c r="BE87" s="582" t="str">
        <f>IF('4. Sem'!$BG$29="","",'4. Sem'!$BG$29)</f>
        <v/>
      </c>
      <c r="BF87" s="583" t="str">
        <f>IF('4. Sem'!$BH$29="","",'4. Sem'!$BH$29)</f>
        <v/>
      </c>
      <c r="BG87" s="584" t="str">
        <f>IF('4. Sem'!$BI$29="","",'4. Sem'!$BI$29)</f>
        <v/>
      </c>
      <c r="BH87" s="584" t="str">
        <f>IF('4. Sem'!$BJ$29="","",'4. Sem'!$BJ$29)</f>
        <v/>
      </c>
      <c r="BI87" s="584" t="str">
        <f>IF('4. Sem'!$BK$29="","",'4. Sem'!$BK$29)</f>
        <v/>
      </c>
      <c r="BJ87" s="585" t="str">
        <f>IF('4. Sem'!$BL$29="","",'4. Sem'!$BL$29)</f>
        <v/>
      </c>
      <c r="BK87" s="586" t="str">
        <f>IF('4. Sem'!$BM$29="","",'4. Sem'!$BM$29)</f>
        <v/>
      </c>
      <c r="BL87" s="581" t="str">
        <f>IF('4. Sem'!$BN$29="","",'4. Sem'!$BN$29)</f>
        <v/>
      </c>
      <c r="BM87" s="581" t="str">
        <f>IF('4. Sem'!$BO$29="","",'4. Sem'!$BO$29)</f>
        <v/>
      </c>
      <c r="BN87" s="581" t="str">
        <f>IF('4. Sem'!$BP$29="","",'4. Sem'!$BP$29)</f>
        <v/>
      </c>
      <c r="BO87" s="582" t="str">
        <f>IF('4. Sem'!$BQ$29="","",'4. Sem'!$BQ$29)</f>
        <v/>
      </c>
      <c r="BP87" s="583" t="str">
        <f>IF('4. Sem'!$BR$29="","",'4. Sem'!$BR$29)</f>
        <v/>
      </c>
      <c r="BQ87" s="584" t="str">
        <f>IF('4. Sem'!$BS$29="","",'4. Sem'!$BS$29)</f>
        <v/>
      </c>
      <c r="BR87" s="584" t="str">
        <f>IF('4. Sem'!$BT$29="","",'4. Sem'!$BT$29)</f>
        <v/>
      </c>
      <c r="BS87" s="588" t="str">
        <f>IF('4. Sem'!$BU$29="","",'4. Sem'!$BU$29)</f>
        <v/>
      </c>
      <c r="BT87" s="589" t="str">
        <f>IF('4. Sem'!$BV$29="","",'4. Sem'!$BV$29)</f>
        <v/>
      </c>
      <c r="BU87" s="586" t="str">
        <f>IF('4. Sem'!$BW$29="","",'4. Sem'!$BW$29)</f>
        <v/>
      </c>
      <c r="BV87" s="581" t="str">
        <f>IF('4. Sem'!$BX$29="","",'4. Sem'!$BX$29)</f>
        <v/>
      </c>
      <c r="BW87" s="581" t="str">
        <f>IF('4. Sem'!$BY$29="","",'4. Sem'!$BY$29)</f>
        <v/>
      </c>
      <c r="BX87" s="581" t="str">
        <f>IF('4. Sem'!$BZ$29="","",'4. Sem'!$BZ$29)</f>
        <v/>
      </c>
      <c r="BY87" s="582" t="str">
        <f>IF('4. Sem'!$CA$29="","",'4. Sem'!$CA$29)</f>
        <v/>
      </c>
      <c r="BZ87" s="590" t="str">
        <f>IF('4. Sem'!$CB$29="","",'4. Sem'!$CB$29)</f>
        <v/>
      </c>
      <c r="CA87" s="584" t="str">
        <f>IF('4. Sem'!$CC$29="","",'4. Sem'!$CC$29)</f>
        <v/>
      </c>
      <c r="CB87" s="584" t="str">
        <f>IF('4. Sem'!$CD$29="","",'4. Sem'!$CD$29)</f>
        <v/>
      </c>
      <c r="CC87" s="584" t="str">
        <f>IF('4. Sem'!$CE$29="","",'4. Sem'!$CE$29)</f>
        <v/>
      </c>
      <c r="CD87" s="585" t="str">
        <f>IF('4. Sem'!$CF$29="","",'4. Sem'!$CF$29)</f>
        <v/>
      </c>
      <c r="CE87" s="586" t="str">
        <f>IF('4. Sem'!$CG$29="","",'4. Sem'!$CG$29)</f>
        <v/>
      </c>
      <c r="CF87" s="581" t="str">
        <f>IF('4. Sem'!$CH$29="","",'4. Sem'!$CH$29)</f>
        <v/>
      </c>
      <c r="CG87" s="581" t="str">
        <f>IF('4. Sem'!$CI$29="","",'4. Sem'!$CI$29)</f>
        <v/>
      </c>
      <c r="CH87" s="581" t="str">
        <f>IF('4. Sem'!$CJ$29="","",'4. Sem'!$CJ$29)</f>
        <v/>
      </c>
      <c r="CI87" s="582" t="str">
        <f>IF('4. Sem'!$CK$29="","",'4. Sem'!$CK$29)</f>
        <v/>
      </c>
      <c r="CJ87" s="583" t="str">
        <f>IF('4. Sem'!$CL$29="","",'4. Sem'!$CL$29)</f>
        <v/>
      </c>
      <c r="CK87" s="584" t="str">
        <f>IF('4. Sem'!$CM$29="","",'4. Sem'!$CM$29)</f>
        <v/>
      </c>
      <c r="CL87" s="584" t="str">
        <f>IF('4. Sem'!$CN$29="","",'4. Sem'!$CN$29)</f>
        <v/>
      </c>
      <c r="CM87" s="584" t="str">
        <f>IF('4. Sem'!$CO$29="","",'4. Sem'!$CO$29)</f>
        <v/>
      </c>
      <c r="CN87" s="585" t="str">
        <f>IF('4. Sem'!$CP$29="","",'4. Sem'!$CP$29)</f>
        <v/>
      </c>
      <c r="CO87" s="586" t="str">
        <f>IF('4. Sem'!$CQ$29="","",'4. Sem'!$CQ$29)</f>
        <v/>
      </c>
      <c r="CP87" s="581" t="str">
        <f>IF('4. Sem'!$CR$29="","",'4. Sem'!$CR$29)</f>
        <v/>
      </c>
      <c r="CQ87" s="581" t="str">
        <f>IF('4. Sem'!$CS$29="","",'4. Sem'!$CS$29)</f>
        <v/>
      </c>
      <c r="CR87" s="581" t="str">
        <f>IF('4. Sem'!$CT$29="","",'4. Sem'!$CT$29)</f>
        <v/>
      </c>
      <c r="CS87" s="582" t="str">
        <f>IF('4. Sem'!$CU$29="","",'4. Sem'!$CU$29)</f>
        <v/>
      </c>
      <c r="CT87" s="583" t="str">
        <f>IF('4. Sem'!$CV$29="","",'4. Sem'!$CV$29)</f>
        <v/>
      </c>
      <c r="CU87" s="584" t="str">
        <f>IF('4. Sem'!$CW$29="","",'4. Sem'!$CW$29)</f>
        <v/>
      </c>
      <c r="CV87" s="584" t="str">
        <f>IF('4. Sem'!$CX$29="","",'4. Sem'!$CX$29)</f>
        <v/>
      </c>
      <c r="CW87" s="584" t="str">
        <f>IF('4. Sem'!$CY$29="","",'4. Sem'!$CY$29)</f>
        <v/>
      </c>
      <c r="CX87" s="585" t="str">
        <f>IF('4. Sem'!$CZ$29="","",'4. Sem'!$CZ$29)</f>
        <v/>
      </c>
      <c r="CY87" s="586" t="str">
        <f>IF('4. Sem'!$DA$29="","",'4. Sem'!$DA$29)</f>
        <v/>
      </c>
      <c r="CZ87" s="581" t="str">
        <f>IF('4. Sem'!$DB$29="","",'4. Sem'!$DB$29)</f>
        <v/>
      </c>
      <c r="DA87" s="581" t="str">
        <f>IF('4. Sem'!$DC$29="","",'4. Sem'!$DC$29)</f>
        <v/>
      </c>
      <c r="DB87" s="581" t="str">
        <f>IF('4. Sem'!$DD$29="","",'4. Sem'!$DD$29)</f>
        <v/>
      </c>
      <c r="DC87" s="582" t="str">
        <f>IF('4. Sem'!$DE$29="","",'4. Sem'!$DE$29)</f>
        <v/>
      </c>
    </row>
    <row r="88" spans="1:107" ht="16" customHeight="1" x14ac:dyDescent="0.2">
      <c r="A88" s="566"/>
      <c r="B88" s="579" t="s">
        <v>16</v>
      </c>
      <c r="C88" s="593" t="str">
        <f>IF('4. Sem'!$E$30="","",'4. Sem'!$E$30)</f>
        <v/>
      </c>
      <c r="D88" s="581" t="str">
        <f>IF('4. Sem'!$F$30="","",'4. Sem'!$F$30)</f>
        <v/>
      </c>
      <c r="E88" s="581" t="str">
        <f>IF('4. Sem'!$G$30="","",'4. Sem'!$G$30)</f>
        <v/>
      </c>
      <c r="F88" s="581" t="str">
        <f>IF('4. Sem'!$H$30="","",'4. Sem'!$H$30)</f>
        <v/>
      </c>
      <c r="G88" s="582" t="str">
        <f>IF('4. Sem'!$I$30="","",'4. Sem'!$I$30)</f>
        <v/>
      </c>
      <c r="H88" s="583" t="str">
        <f>IF('4. Sem'!$J$30="","",'4. Sem'!$J$30)</f>
        <v/>
      </c>
      <c r="I88" s="584" t="str">
        <f>IF('4. Sem'!$K$30="","",'4. Sem'!$K$30)</f>
        <v/>
      </c>
      <c r="J88" s="584" t="str">
        <f>IF('4. Sem'!$L$30="","",'4. Sem'!$L$30)</f>
        <v/>
      </c>
      <c r="K88" s="584" t="str">
        <f>IF('4. Sem'!$M$30="","",'4. Sem'!$M$30)</f>
        <v/>
      </c>
      <c r="L88" s="592" t="str">
        <f>IF('4. Sem'!$N$30="","",'4. Sem'!$N$30)</f>
        <v/>
      </c>
      <c r="M88" s="593" t="str">
        <f>IF('4. Sem'!$O$30="","",'4. Sem'!$O$30)</f>
        <v/>
      </c>
      <c r="N88" s="581" t="str">
        <f>IF('4. Sem'!$P$30="","",'4. Sem'!$P$30)</f>
        <v/>
      </c>
      <c r="O88" s="581" t="str">
        <f>IF('4. Sem'!$Q$30="","",'4. Sem'!$Q$30)</f>
        <v/>
      </c>
      <c r="P88" s="581" t="str">
        <f>IF('4. Sem'!$R$30="","",'4. Sem'!$R$30)</f>
        <v/>
      </c>
      <c r="Q88" s="582" t="str">
        <f>IF('4. Sem'!$S$30="","",'4. Sem'!$S$30)</f>
        <v/>
      </c>
      <c r="R88" s="583" t="str">
        <f>IF('4. Sem'!$T$30="","",'4. Sem'!$T$30)</f>
        <v/>
      </c>
      <c r="S88" s="584" t="str">
        <f>IF('4. Sem'!$U$30="","",'4. Sem'!$U$30)</f>
        <v/>
      </c>
      <c r="T88" s="584" t="str">
        <f>IF('4. Sem'!$V$30="","",'4. Sem'!$V$30)</f>
        <v/>
      </c>
      <c r="U88" s="584" t="str">
        <f>IF('4. Sem'!$W$30="","",'4. Sem'!$W$30)</f>
        <v/>
      </c>
      <c r="V88" s="592" t="str">
        <f>IF('4. Sem'!$X$30="","",'4. Sem'!$X$30)</f>
        <v/>
      </c>
      <c r="W88" s="593" t="str">
        <f>IF('4. Sem'!$Y$30="","",'4. Sem'!$Y$30)</f>
        <v/>
      </c>
      <c r="X88" s="581" t="str">
        <f>IF('4. Sem'!$Z$30="","",'4. Sem'!$Z$30)</f>
        <v/>
      </c>
      <c r="Y88" s="581" t="str">
        <f>IF('4. Sem'!$AA$30="","",'4. Sem'!$AA$30)</f>
        <v/>
      </c>
      <c r="Z88" s="581" t="str">
        <f>IF('4. Sem'!$AB$30="","",'4. Sem'!$AB$30)</f>
        <v/>
      </c>
      <c r="AA88" s="582" t="str">
        <f>IF('4. Sem'!$AC$30="","",'4. Sem'!$AC$30)</f>
        <v/>
      </c>
      <c r="AB88" s="583" t="str">
        <f>IF('4. Sem'!$AD$30="","",'4. Sem'!$AD$30)</f>
        <v/>
      </c>
      <c r="AC88" s="584" t="str">
        <f>IF('4. Sem'!$AE$30="","",'4. Sem'!$AE$30)</f>
        <v/>
      </c>
      <c r="AD88" s="584" t="str">
        <f>IF('4. Sem'!$AF$30="","",'4. Sem'!$AF$30)</f>
        <v/>
      </c>
      <c r="AE88" s="584" t="str">
        <f>IF('4. Sem'!$AG$30="","",'4. Sem'!$AG$30)</f>
        <v/>
      </c>
      <c r="AF88" s="592" t="str">
        <f>IF('4. Sem'!$AH$30="","",'4. Sem'!$AH$30)</f>
        <v/>
      </c>
      <c r="AG88" s="593" t="str">
        <f>IF('4. Sem'!$AI$30="","",'4. Sem'!$AI$30)</f>
        <v/>
      </c>
      <c r="AH88" s="581" t="str">
        <f>IF('4. Sem'!$AJ$30="","",'4. Sem'!$AJ$30)</f>
        <v/>
      </c>
      <c r="AI88" s="581" t="str">
        <f>IF('4. Sem'!$AK$30="","",'4. Sem'!$AK$30)</f>
        <v/>
      </c>
      <c r="AJ88" s="581" t="str">
        <f>IF('4. Sem'!$AL$30="","",'4. Sem'!$AL$30)</f>
        <v/>
      </c>
      <c r="AK88" s="582" t="str">
        <f>IF('4. Sem'!$AM$30="","",'4. Sem'!$AM$30)</f>
        <v/>
      </c>
      <c r="AL88" s="590" t="str">
        <f>IF('4. Sem'!$AN$30="","",'4. Sem'!$AN$30)</f>
        <v/>
      </c>
      <c r="AM88" s="588" t="str">
        <f>IF('4. Sem'!$AO$30="","",'4. Sem'!$AO$30)</f>
        <v/>
      </c>
      <c r="AN88" s="588" t="str">
        <f>IF('4. Sem'!$AP$30="","",'4. Sem'!$AP$30)</f>
        <v/>
      </c>
      <c r="AO88" s="588" t="str">
        <f>IF('4. Sem'!$AQ$30="","",'4. Sem'!$AQ$30)</f>
        <v/>
      </c>
      <c r="AP88" s="595" t="str">
        <f>IF('4. Sem'!$AR$30="","",'4. Sem'!$AR$30)</f>
        <v/>
      </c>
      <c r="AQ88" s="594" t="str">
        <f>IF('4. Sem'!$AS$30="","",'4. Sem'!$AS$30)</f>
        <v/>
      </c>
      <c r="AR88" s="581" t="str">
        <f>IF('4. Sem'!$AT$30="","",'4. Sem'!$AT$30)</f>
        <v/>
      </c>
      <c r="AS88" s="581" t="str">
        <f>IF('4. Sem'!$AU$30="","",'4. Sem'!$AU$30)</f>
        <v/>
      </c>
      <c r="AT88" s="581" t="str">
        <f>IF('4. Sem'!$AV$30="","",'4. Sem'!$AV$30)</f>
        <v/>
      </c>
      <c r="AU88" s="582" t="str">
        <f>IF('4. Sem'!$AW$30="","",'4. Sem'!$AW$30)</f>
        <v/>
      </c>
      <c r="AV88" s="583" t="str">
        <f>IF('4. Sem'!$AX$30="","",'4. Sem'!$AX$30)</f>
        <v/>
      </c>
      <c r="AW88" s="584" t="str">
        <f>IF('4. Sem'!$AY$30="","",'4. Sem'!$AY$30)</f>
        <v/>
      </c>
      <c r="AX88" s="584" t="str">
        <f>IF('4. Sem'!$AZ$30="","",'4. Sem'!$AZ$30)</f>
        <v/>
      </c>
      <c r="AY88" s="584" t="str">
        <f>IF('4. Sem'!$BA$30="","",'4. Sem'!$BA$30)</f>
        <v/>
      </c>
      <c r="AZ88" s="592" t="str">
        <f>IF('4. Sem'!$BB$30="","",'4. Sem'!$BB$30)</f>
        <v/>
      </c>
      <c r="BA88" s="593" t="str">
        <f>IF('4. Sem'!$BC$30="","",'4. Sem'!$BC$30)</f>
        <v/>
      </c>
      <c r="BB88" s="581" t="str">
        <f>IF('4. Sem'!$BD$30="","",'4. Sem'!$BD$30)</f>
        <v/>
      </c>
      <c r="BC88" s="581" t="str">
        <f>IF('4. Sem'!$BE$30="","",'4. Sem'!$BE$30)</f>
        <v/>
      </c>
      <c r="BD88" s="581" t="str">
        <f>IF('4. Sem'!$BF$30="","",'4. Sem'!$BF$30)</f>
        <v/>
      </c>
      <c r="BE88" s="582" t="str">
        <f>IF('4. Sem'!$BG$30="","",'4. Sem'!$BG$30)</f>
        <v/>
      </c>
      <c r="BF88" s="583" t="str">
        <f>IF('4. Sem'!$BH$30="","",'4. Sem'!$BH$30)</f>
        <v/>
      </c>
      <c r="BG88" s="584" t="str">
        <f>IF('4. Sem'!$BI$30="","",'4. Sem'!$BI$30)</f>
        <v/>
      </c>
      <c r="BH88" s="584" t="str">
        <f>IF('4. Sem'!$BJ$30="","",'4. Sem'!$BJ$30)</f>
        <v/>
      </c>
      <c r="BI88" s="584" t="str">
        <f>IF('4. Sem'!$BK$30="","",'4. Sem'!$BK$30)</f>
        <v/>
      </c>
      <c r="BJ88" s="592" t="str">
        <f>IF('4. Sem'!$BL$30="","",'4. Sem'!$BL$30)</f>
        <v/>
      </c>
      <c r="BK88" s="593" t="str">
        <f>IF('4. Sem'!$BM$30="","",'4. Sem'!$BM$30)</f>
        <v/>
      </c>
      <c r="BL88" s="581" t="str">
        <f>IF('4. Sem'!$BN$30="","",'4. Sem'!$BN$30)</f>
        <v/>
      </c>
      <c r="BM88" s="581" t="str">
        <f>IF('4. Sem'!$BO$30="","",'4. Sem'!$BO$30)</f>
        <v/>
      </c>
      <c r="BN88" s="581" t="str">
        <f>IF('4. Sem'!$BP$30="","",'4. Sem'!$BP$30)</f>
        <v/>
      </c>
      <c r="BO88" s="582" t="str">
        <f>IF('4. Sem'!$BQ$30="","",'4. Sem'!$BQ$30)</f>
        <v/>
      </c>
      <c r="BP88" s="583" t="str">
        <f>IF('4. Sem'!$BR$30="","",'4. Sem'!$BR$30)</f>
        <v/>
      </c>
      <c r="BQ88" s="584" t="str">
        <f>IF('4. Sem'!$BS$30="","",'4. Sem'!$BS$30)</f>
        <v/>
      </c>
      <c r="BR88" s="584" t="str">
        <f>IF('4. Sem'!$BT$30="","",'4. Sem'!$BT$30)</f>
        <v/>
      </c>
      <c r="BS88" s="588" t="str">
        <f>IF('4. Sem'!$BU$30="","",'4. Sem'!$BU$30)</f>
        <v/>
      </c>
      <c r="BT88" s="595" t="str">
        <f>IF('4. Sem'!$BV$30="","",'4. Sem'!$BV$30)</f>
        <v/>
      </c>
      <c r="BU88" s="593" t="str">
        <f>IF('4. Sem'!$BW$30="","",'4. Sem'!$BW$30)</f>
        <v/>
      </c>
      <c r="BV88" s="581" t="str">
        <f>IF('4. Sem'!$BX$30="","",'4. Sem'!$BX$30)</f>
        <v/>
      </c>
      <c r="BW88" s="581" t="str">
        <f>IF('4. Sem'!$BY$30="","",'4. Sem'!$BY$30)</f>
        <v/>
      </c>
      <c r="BX88" s="581" t="str">
        <f>IF('4. Sem'!$BZ$30="","",'4. Sem'!$BZ$30)</f>
        <v/>
      </c>
      <c r="BY88" s="582" t="str">
        <f>IF('4. Sem'!$CA$30="","",'4. Sem'!$CA$30)</f>
        <v/>
      </c>
      <c r="BZ88" s="590" t="str">
        <f>IF('4. Sem'!$CB$30="","",'4. Sem'!$CB$30)</f>
        <v/>
      </c>
      <c r="CA88" s="584" t="str">
        <f>IF('4. Sem'!$CC$30="","",'4. Sem'!$CC$30)</f>
        <v/>
      </c>
      <c r="CB88" s="584" t="str">
        <f>IF('4. Sem'!$CD$30="","",'4. Sem'!$CD$30)</f>
        <v/>
      </c>
      <c r="CC88" s="584" t="str">
        <f>IF('4. Sem'!$CE$30="","",'4. Sem'!$CE$30)</f>
        <v/>
      </c>
      <c r="CD88" s="592" t="str">
        <f>IF('4. Sem'!$CF$30="","",'4. Sem'!$CF$30)</f>
        <v/>
      </c>
      <c r="CE88" s="593" t="str">
        <f>IF('4. Sem'!$CG$30="","",'4. Sem'!$CG$30)</f>
        <v/>
      </c>
      <c r="CF88" s="581" t="str">
        <f>IF('4. Sem'!$CH$30="","",'4. Sem'!$CH$30)</f>
        <v/>
      </c>
      <c r="CG88" s="581" t="str">
        <f>IF('4. Sem'!$CI$30="","",'4. Sem'!$CI$30)</f>
        <v/>
      </c>
      <c r="CH88" s="581" t="str">
        <f>IF('4. Sem'!$CJ$30="","",'4. Sem'!$CJ$30)</f>
        <v/>
      </c>
      <c r="CI88" s="582" t="str">
        <f>IF('4. Sem'!$CK$30="","",'4. Sem'!$CK$30)</f>
        <v/>
      </c>
      <c r="CJ88" s="583" t="str">
        <f>IF('4. Sem'!$CL$30="","",'4. Sem'!$CL$30)</f>
        <v/>
      </c>
      <c r="CK88" s="584" t="str">
        <f>IF('4. Sem'!$CM$30="","",'4. Sem'!$CM$30)</f>
        <v/>
      </c>
      <c r="CL88" s="584" t="str">
        <f>IF('4. Sem'!$CN$30="","",'4. Sem'!$CN$30)</f>
        <v/>
      </c>
      <c r="CM88" s="584" t="str">
        <f>IF('4. Sem'!$CO$30="","",'4. Sem'!$CO$30)</f>
        <v/>
      </c>
      <c r="CN88" s="592" t="str">
        <f>IF('4. Sem'!$CP$30="","",'4. Sem'!$CP$30)</f>
        <v/>
      </c>
      <c r="CO88" s="593" t="str">
        <f>IF('4. Sem'!$CQ$30="","",'4. Sem'!$CQ$30)</f>
        <v/>
      </c>
      <c r="CP88" s="581" t="str">
        <f>IF('4. Sem'!$CR$30="","",'4. Sem'!$CR$30)</f>
        <v/>
      </c>
      <c r="CQ88" s="581" t="str">
        <f>IF('4. Sem'!$CS$30="","",'4. Sem'!$CS$30)</f>
        <v/>
      </c>
      <c r="CR88" s="581" t="str">
        <f>IF('4. Sem'!$CT$30="","",'4. Sem'!$CT$30)</f>
        <v/>
      </c>
      <c r="CS88" s="582" t="str">
        <f>IF('4. Sem'!$CU$30="","",'4. Sem'!$CU$30)</f>
        <v/>
      </c>
      <c r="CT88" s="583" t="str">
        <f>IF('4. Sem'!$CV$30="","",'4. Sem'!$CV$30)</f>
        <v/>
      </c>
      <c r="CU88" s="584" t="str">
        <f>IF('4. Sem'!$CW$30="","",'4. Sem'!$CW$30)</f>
        <v/>
      </c>
      <c r="CV88" s="584" t="str">
        <f>IF('4. Sem'!$CX$30="","",'4. Sem'!$CX$30)</f>
        <v/>
      </c>
      <c r="CW88" s="584" t="str">
        <f>IF('4. Sem'!$CY$30="","",'4. Sem'!$CY$30)</f>
        <v/>
      </c>
      <c r="CX88" s="592" t="str">
        <f>IF('4. Sem'!$CZ$30="","",'4. Sem'!$CZ$30)</f>
        <v/>
      </c>
      <c r="CY88" s="593" t="str">
        <f>IF('4. Sem'!$DA$30="","",'4. Sem'!$DA$30)</f>
        <v/>
      </c>
      <c r="CZ88" s="581" t="str">
        <f>IF('4. Sem'!$DB$30="","",'4. Sem'!$DB$30)</f>
        <v/>
      </c>
      <c r="DA88" s="581" t="str">
        <f>IF('4. Sem'!$DC$30="","",'4. Sem'!$DC$30)</f>
        <v/>
      </c>
      <c r="DB88" s="581" t="str">
        <f>IF('4. Sem'!$DD$30="","",'4. Sem'!$DD$30)</f>
        <v/>
      </c>
      <c r="DC88" s="582" t="str">
        <f>IF('4. Sem'!$DE$30="","",'4. Sem'!$DE$30)</f>
        <v/>
      </c>
    </row>
    <row r="89" spans="1:107" ht="17" customHeight="1" thickBot="1" x14ac:dyDescent="0.25">
      <c r="A89" s="566"/>
      <c r="B89" s="579" t="s">
        <v>17</v>
      </c>
      <c r="C89" s="593" t="str">
        <f>IF('4. Sem'!$E$31="","",'4. Sem'!$E$31)</f>
        <v/>
      </c>
      <c r="D89" s="581" t="str">
        <f>IF('4. Sem'!$F$31="","",'4. Sem'!$F$31)</f>
        <v/>
      </c>
      <c r="E89" s="581" t="str">
        <f>IF('4. Sem'!$G$31="","",'4. Sem'!$G$31)</f>
        <v/>
      </c>
      <c r="F89" s="581" t="str">
        <f>IF('4. Sem'!$H$31="","",'4. Sem'!$H$31)</f>
        <v/>
      </c>
      <c r="G89" s="582" t="str">
        <f>IF('4. Sem'!$I$31="","",'4. Sem'!$I$31)</f>
        <v/>
      </c>
      <c r="H89" s="583" t="str">
        <f>IF('4. Sem'!$J$31="","",'4. Sem'!$J$31)</f>
        <v/>
      </c>
      <c r="I89" s="584" t="str">
        <f>IF('4. Sem'!$K$31="","",'4. Sem'!$K$31)</f>
        <v/>
      </c>
      <c r="J89" s="584" t="str">
        <f>IF('4. Sem'!$L$31="","",'4. Sem'!$L$31)</f>
        <v/>
      </c>
      <c r="K89" s="584" t="str">
        <f>IF('4. Sem'!$M$31="","",'4. Sem'!$M$31)</f>
        <v/>
      </c>
      <c r="L89" s="592" t="str">
        <f>IF('4. Sem'!$N$31="","",'4. Sem'!$N$31)</f>
        <v/>
      </c>
      <c r="M89" s="593" t="str">
        <f>IF('4. Sem'!$O$31="","",'4. Sem'!$O$31)</f>
        <v/>
      </c>
      <c r="N89" s="581" t="str">
        <f>IF('4. Sem'!$P$31="","",'4. Sem'!$P$31)</f>
        <v/>
      </c>
      <c r="O89" s="581" t="str">
        <f>IF('4. Sem'!$Q$31="","",'4. Sem'!$Q$31)</f>
        <v/>
      </c>
      <c r="P89" s="581" t="str">
        <f>IF('4. Sem'!$R$31="","",'4. Sem'!$R$31)</f>
        <v/>
      </c>
      <c r="Q89" s="582" t="str">
        <f>IF('4. Sem'!$S$31="","",'4. Sem'!$S$31)</f>
        <v/>
      </c>
      <c r="R89" s="583" t="str">
        <f>IF('4. Sem'!$T$31="","",'4. Sem'!$T$31)</f>
        <v/>
      </c>
      <c r="S89" s="584" t="str">
        <f>IF('4. Sem'!$U$31="","",'4. Sem'!$U$31)</f>
        <v/>
      </c>
      <c r="T89" s="584" t="str">
        <f>IF('4. Sem'!$V$31="","",'4. Sem'!$V$31)</f>
        <v/>
      </c>
      <c r="U89" s="584" t="str">
        <f>IF('4. Sem'!$W$31="","",'4. Sem'!$W$31)</f>
        <v/>
      </c>
      <c r="V89" s="592" t="str">
        <f>IF('4. Sem'!$X$31="","",'4. Sem'!$X$31)</f>
        <v/>
      </c>
      <c r="W89" s="593" t="str">
        <f>IF('4. Sem'!$Y$31="","",'4. Sem'!$Y$31)</f>
        <v/>
      </c>
      <c r="X89" s="581" t="str">
        <f>IF('4. Sem'!$Z$31="","",'4. Sem'!$Z$31)</f>
        <v/>
      </c>
      <c r="Y89" s="581" t="str">
        <f>IF('4. Sem'!$AA$31="","",'4. Sem'!$AA$31)</f>
        <v/>
      </c>
      <c r="Z89" s="581" t="str">
        <f>IF('4. Sem'!$AB$31="","",'4. Sem'!$AB$31)</f>
        <v/>
      </c>
      <c r="AA89" s="582" t="str">
        <f>IF('4. Sem'!$AC$31="","",'4. Sem'!$AC$31)</f>
        <v/>
      </c>
      <c r="AB89" s="583" t="str">
        <f>IF('4. Sem'!$AD$31="","",'4. Sem'!$AD$31)</f>
        <v/>
      </c>
      <c r="AC89" s="584" t="str">
        <f>IF('4. Sem'!$AE$31="","",'4. Sem'!$AE$31)</f>
        <v/>
      </c>
      <c r="AD89" s="584" t="str">
        <f>IF('4. Sem'!$AF$31="","",'4. Sem'!$AF$31)</f>
        <v/>
      </c>
      <c r="AE89" s="584" t="str">
        <f>IF('4. Sem'!$AG$31="","",'4. Sem'!$AG$31)</f>
        <v/>
      </c>
      <c r="AF89" s="592" t="str">
        <f>IF('4. Sem'!$AH$31="","",'4. Sem'!$AH$31)</f>
        <v/>
      </c>
      <c r="AG89" s="593" t="str">
        <f>IF('4. Sem'!$AI$31="","",'4. Sem'!$AI$31)</f>
        <v/>
      </c>
      <c r="AH89" s="581" t="str">
        <f>IF('4. Sem'!$AJ$31="","",'4. Sem'!$AJ$31)</f>
        <v/>
      </c>
      <c r="AI89" s="581" t="str">
        <f>IF('4. Sem'!$AK$31="","",'4. Sem'!$AK$31)</f>
        <v/>
      </c>
      <c r="AJ89" s="581" t="str">
        <f>IF('4. Sem'!$AL$31="","",'4. Sem'!$AL$31)</f>
        <v/>
      </c>
      <c r="AK89" s="582" t="str">
        <f>IF('4. Sem'!$AM$31="","",'4. Sem'!$AM$31)</f>
        <v/>
      </c>
      <c r="AL89" s="590" t="str">
        <f>IF('4. Sem'!$AN$31="","",'4. Sem'!$AN$31)</f>
        <v/>
      </c>
      <c r="AM89" s="588" t="str">
        <f>IF('4. Sem'!$AO$31="","",'4. Sem'!$AO$31)</f>
        <v/>
      </c>
      <c r="AN89" s="588" t="str">
        <f>IF('4. Sem'!$AP$31="","",'4. Sem'!$AP$31)</f>
        <v/>
      </c>
      <c r="AO89" s="588" t="str">
        <f>IF('4. Sem'!$AQ$31="","",'4. Sem'!$AQ$31)</f>
        <v/>
      </c>
      <c r="AP89" s="595" t="str">
        <f>IF('4. Sem'!$AR$31="","",'4. Sem'!$AR$31)</f>
        <v/>
      </c>
      <c r="AQ89" s="594" t="str">
        <f>IF('4. Sem'!$AS$31="","",'4. Sem'!$AS$31)</f>
        <v/>
      </c>
      <c r="AR89" s="581" t="str">
        <f>IF('4. Sem'!$AT$31="","",'4. Sem'!$AT$31)</f>
        <v/>
      </c>
      <c r="AS89" s="581" t="str">
        <f>IF('4. Sem'!$AU$31="","",'4. Sem'!$AU$31)</f>
        <v/>
      </c>
      <c r="AT89" s="581" t="str">
        <f>IF('4. Sem'!$AV$31="","",'4. Sem'!$AV$31)</f>
        <v/>
      </c>
      <c r="AU89" s="582" t="str">
        <f>IF('4. Sem'!$AW$31="","",'4. Sem'!$AW$31)</f>
        <v/>
      </c>
      <c r="AV89" s="583" t="str">
        <f>IF('4. Sem'!$AX$31="","",'4. Sem'!$AX$31)</f>
        <v/>
      </c>
      <c r="AW89" s="584" t="str">
        <f>IF('4. Sem'!$AY$31="","",'4. Sem'!$AY$31)</f>
        <v/>
      </c>
      <c r="AX89" s="584" t="str">
        <f>IF('4. Sem'!$AZ$31="","",'4. Sem'!$AZ$31)</f>
        <v/>
      </c>
      <c r="AY89" s="584" t="str">
        <f>IF('4. Sem'!$BA$31="","",'4. Sem'!$BA$31)</f>
        <v/>
      </c>
      <c r="AZ89" s="592" t="str">
        <f>IF('4. Sem'!$BB$31="","",'4. Sem'!$BB$31)</f>
        <v/>
      </c>
      <c r="BA89" s="593" t="str">
        <f>IF('4. Sem'!$BC$31="","",'4. Sem'!$BC$31)</f>
        <v/>
      </c>
      <c r="BB89" s="581" t="str">
        <f>IF('4. Sem'!$BD$31="","",'4. Sem'!$BD$31)</f>
        <v/>
      </c>
      <c r="BC89" s="581" t="str">
        <f>IF('4. Sem'!$BE$31="","",'4. Sem'!$BE$31)</f>
        <v/>
      </c>
      <c r="BD89" s="581" t="str">
        <f>IF('4. Sem'!$BF$31="","",'4. Sem'!$BF$31)</f>
        <v/>
      </c>
      <c r="BE89" s="582" t="str">
        <f>IF('4. Sem'!$BG$31="","",'4. Sem'!$BG$31)</f>
        <v/>
      </c>
      <c r="BF89" s="583" t="str">
        <f>IF('4. Sem'!$BH$31="","",'4. Sem'!$BH$31)</f>
        <v/>
      </c>
      <c r="BG89" s="584" t="str">
        <f>IF('4. Sem'!$BI$31="","",'4. Sem'!$BI$31)</f>
        <v/>
      </c>
      <c r="BH89" s="584" t="str">
        <f>IF('4. Sem'!$BJ$31="","",'4. Sem'!$BJ$31)</f>
        <v/>
      </c>
      <c r="BI89" s="584" t="str">
        <f>IF('4. Sem'!$BK$31="","",'4. Sem'!$BK$31)</f>
        <v/>
      </c>
      <c r="BJ89" s="592" t="str">
        <f>IF('4. Sem'!$BL$31="","",'4. Sem'!$BL$31)</f>
        <v/>
      </c>
      <c r="BK89" s="593" t="str">
        <f>IF('4. Sem'!$BM$31="","",'4. Sem'!$BM$31)</f>
        <v/>
      </c>
      <c r="BL89" s="581" t="str">
        <f>IF('4. Sem'!$BN$31="","",'4. Sem'!$BN$31)</f>
        <v/>
      </c>
      <c r="BM89" s="581" t="str">
        <f>IF('4. Sem'!$BO$31="","",'4. Sem'!$BO$31)</f>
        <v/>
      </c>
      <c r="BN89" s="581" t="str">
        <f>IF('4. Sem'!$BP$31="","",'4. Sem'!$BP$31)</f>
        <v/>
      </c>
      <c r="BO89" s="582" t="str">
        <f>IF('4. Sem'!$BQ$31="","",'4. Sem'!$BQ$31)</f>
        <v/>
      </c>
      <c r="BP89" s="583" t="str">
        <f>IF('4. Sem'!$BR$31="","",'4. Sem'!$BR$31)</f>
        <v/>
      </c>
      <c r="BQ89" s="584" t="str">
        <f>IF('4. Sem'!$BS$31="","",'4. Sem'!$BS$31)</f>
        <v/>
      </c>
      <c r="BR89" s="584" t="str">
        <f>IF('4. Sem'!$BT$31="","",'4. Sem'!$BT$31)</f>
        <v/>
      </c>
      <c r="BS89" s="588" t="str">
        <f>IF('4. Sem'!$BU$31="","",'4. Sem'!$BU$31)</f>
        <v/>
      </c>
      <c r="BT89" s="595" t="str">
        <f>IF('4. Sem'!$BV$31="","",'4. Sem'!$BV$31)</f>
        <v/>
      </c>
      <c r="BU89" s="593" t="str">
        <f>IF('4. Sem'!$BW$31="","",'4. Sem'!$BW$31)</f>
        <v/>
      </c>
      <c r="BV89" s="581" t="str">
        <f>IF('4. Sem'!$BX$31="","",'4. Sem'!$BX$31)</f>
        <v/>
      </c>
      <c r="BW89" s="581" t="str">
        <f>IF('4. Sem'!$BY$31="","",'4. Sem'!$BY$31)</f>
        <v/>
      </c>
      <c r="BX89" s="581" t="str">
        <f>IF('4. Sem'!$BZ$31="","",'4. Sem'!$BZ$31)</f>
        <v/>
      </c>
      <c r="BY89" s="582" t="str">
        <f>IF('4. Sem'!$CA$31="","",'4. Sem'!$CA$31)</f>
        <v/>
      </c>
      <c r="BZ89" s="590" t="str">
        <f>IF('4. Sem'!$CB$31="","",'4. Sem'!$CB$31)</f>
        <v/>
      </c>
      <c r="CA89" s="584" t="str">
        <f>IF('4. Sem'!$CC$31="","",'4. Sem'!$CC$31)</f>
        <v/>
      </c>
      <c r="CB89" s="584" t="str">
        <f>IF('4. Sem'!$CD$31="","",'4. Sem'!$CD$31)</f>
        <v/>
      </c>
      <c r="CC89" s="584" t="str">
        <f>IF('4. Sem'!$CE$31="","",'4. Sem'!$CE$31)</f>
        <v/>
      </c>
      <c r="CD89" s="592" t="str">
        <f>IF('4. Sem'!$CF$31="","",'4. Sem'!$CF$31)</f>
        <v/>
      </c>
      <c r="CE89" s="593" t="str">
        <f>IF('4. Sem'!$CG$31="","",'4. Sem'!$CG$31)</f>
        <v/>
      </c>
      <c r="CF89" s="581" t="str">
        <f>IF('4. Sem'!$CH$31="","",'4. Sem'!$CH$31)</f>
        <v/>
      </c>
      <c r="CG89" s="581" t="str">
        <f>IF('4. Sem'!$CI$31="","",'4. Sem'!$CI$31)</f>
        <v/>
      </c>
      <c r="CH89" s="581" t="str">
        <f>IF('4. Sem'!$CJ$31="","",'4. Sem'!$CJ$31)</f>
        <v/>
      </c>
      <c r="CI89" s="582" t="str">
        <f>IF('4. Sem'!$CK$31="","",'4. Sem'!$CK$31)</f>
        <v/>
      </c>
      <c r="CJ89" s="583" t="str">
        <f>IF('4. Sem'!$CL$31="","",'4. Sem'!$CL$31)</f>
        <v/>
      </c>
      <c r="CK89" s="584" t="str">
        <f>IF('4. Sem'!$CM$31="","",'4. Sem'!$CM$31)</f>
        <v/>
      </c>
      <c r="CL89" s="584" t="str">
        <f>IF('4. Sem'!$CN$31="","",'4. Sem'!$CN$31)</f>
        <v/>
      </c>
      <c r="CM89" s="584" t="str">
        <f>IF('4. Sem'!$CO$31="","",'4. Sem'!$CO$31)</f>
        <v/>
      </c>
      <c r="CN89" s="592" t="str">
        <f>IF('4. Sem'!$CP$31="","",'4. Sem'!$CP$31)</f>
        <v/>
      </c>
      <c r="CO89" s="593" t="str">
        <f>IF('4. Sem'!$CQ$31="","",'4. Sem'!$CQ$31)</f>
        <v/>
      </c>
      <c r="CP89" s="581" t="str">
        <f>IF('4. Sem'!$CR$31="","",'4. Sem'!$CR$31)</f>
        <v/>
      </c>
      <c r="CQ89" s="581" t="str">
        <f>IF('4. Sem'!$CS$31="","",'4. Sem'!$CS$31)</f>
        <v/>
      </c>
      <c r="CR89" s="581" t="str">
        <f>IF('4. Sem'!$CT$31="","",'4. Sem'!$CT$31)</f>
        <v/>
      </c>
      <c r="CS89" s="582" t="str">
        <f>IF('4. Sem'!$CU$31="","",'4. Sem'!$CU$31)</f>
        <v/>
      </c>
      <c r="CT89" s="583" t="str">
        <f>IF('4. Sem'!$CV$31="","",'4. Sem'!$CV$31)</f>
        <v/>
      </c>
      <c r="CU89" s="584" t="str">
        <f>IF('4. Sem'!$CW$31="","",'4. Sem'!$CW$31)</f>
        <v/>
      </c>
      <c r="CV89" s="584" t="str">
        <f>IF('4. Sem'!$CX$31="","",'4. Sem'!$CX$31)</f>
        <v/>
      </c>
      <c r="CW89" s="584" t="str">
        <f>IF('4. Sem'!$CY$31="","",'4. Sem'!$CY$31)</f>
        <v/>
      </c>
      <c r="CX89" s="592" t="str">
        <f>IF('4. Sem'!$CZ$31="","",'4. Sem'!$CZ$31)</f>
        <v/>
      </c>
      <c r="CY89" s="593" t="str">
        <f>IF('4. Sem'!$DA$31="","",'4. Sem'!$DA$31)</f>
        <v/>
      </c>
      <c r="CZ89" s="581" t="str">
        <f>IF('4. Sem'!$DB$31="","",'4. Sem'!$DB$31)</f>
        <v/>
      </c>
      <c r="DA89" s="581" t="str">
        <f>IF('4. Sem'!$DC$31="","",'4. Sem'!$DC$31)</f>
        <v/>
      </c>
      <c r="DB89" s="581" t="str">
        <f>IF('4. Sem'!$DD$31="","",'4. Sem'!$DD$31)</f>
        <v/>
      </c>
      <c r="DC89" s="582" t="str">
        <f>IF('4. Sem'!$DE$31="","",'4. Sem'!$DE$31)</f>
        <v/>
      </c>
    </row>
    <row r="90" spans="1:107" ht="17" customHeight="1" thickBot="1" x14ac:dyDescent="0.25">
      <c r="A90" s="566"/>
      <c r="B90" s="579" t="s">
        <v>18</v>
      </c>
      <c r="C90" s="596" t="str">
        <f>IF('4. Sem'!$E$32="","",'4. Sem'!$E$32)</f>
        <v/>
      </c>
      <c r="D90" s="597" t="str">
        <f>IF('4. Sem'!$F$32="","",'4. Sem'!$F$32)</f>
        <v/>
      </c>
      <c r="E90" s="597" t="str">
        <f>IF('4. Sem'!$G$32="","",'4. Sem'!$G$32)</f>
        <v/>
      </c>
      <c r="F90" s="597" t="str">
        <f>IF('4. Sem'!$H$32="","",'4. Sem'!$H$32)</f>
        <v/>
      </c>
      <c r="G90" s="598" t="str">
        <f>IF('4. Sem'!$I$32="","",'4. Sem'!$I$32)</f>
        <v/>
      </c>
      <c r="H90" s="599" t="str">
        <f>IF('4. Sem'!$J$32="","",'4. Sem'!$J$32)</f>
        <v/>
      </c>
      <c r="I90" s="600" t="str">
        <f>IF('4. Sem'!$K$32="","",'4. Sem'!$K$32)</f>
        <v/>
      </c>
      <c r="J90" s="600" t="str">
        <f>IF('4. Sem'!$L$32="","",'4. Sem'!$L$32)</f>
        <v/>
      </c>
      <c r="K90" s="600" t="str">
        <f>IF('4. Sem'!$M$32="","",'4. Sem'!$M$32)</f>
        <v/>
      </c>
      <c r="L90" s="601" t="str">
        <f>IF('4. Sem'!$N$32="","",'4. Sem'!$N$32)</f>
        <v/>
      </c>
      <c r="M90" s="596" t="str">
        <f>IF('4. Sem'!$O$32="","",'4. Sem'!$O$32)</f>
        <v/>
      </c>
      <c r="N90" s="597" t="str">
        <f>IF('4. Sem'!$P$32="","",'4. Sem'!$P$32)</f>
        <v/>
      </c>
      <c r="O90" s="597" t="str">
        <f>IF('4. Sem'!$Q$32="","",'4. Sem'!$Q$32)</f>
        <v/>
      </c>
      <c r="P90" s="597" t="str">
        <f>IF('4. Sem'!$R$32="","",'4. Sem'!$R$32)</f>
        <v/>
      </c>
      <c r="Q90" s="598" t="str">
        <f>IF('4. Sem'!$S$32="","",'4. Sem'!$S$32)</f>
        <v/>
      </c>
      <c r="R90" s="599" t="str">
        <f>IF('4. Sem'!$T$32="","",'4. Sem'!$T$32)</f>
        <v/>
      </c>
      <c r="S90" s="600" t="str">
        <f>IF('4. Sem'!$U$32="","",'4. Sem'!$U$32)</f>
        <v/>
      </c>
      <c r="T90" s="600" t="str">
        <f>IF('4. Sem'!$V$32="","",'4. Sem'!$V$32)</f>
        <v/>
      </c>
      <c r="U90" s="600" t="str">
        <f>IF('4. Sem'!$W$32="","",'4. Sem'!$W$32)</f>
        <v/>
      </c>
      <c r="V90" s="601" t="str">
        <f>IF('4. Sem'!$X$32="","",'4. Sem'!$X$32)</f>
        <v/>
      </c>
      <c r="W90" s="596" t="str">
        <f>IF('4. Sem'!$Y$32="","",'4. Sem'!$Y$32)</f>
        <v/>
      </c>
      <c r="X90" s="597" t="str">
        <f>IF('4. Sem'!$Z$32="","",'4. Sem'!$Z$32)</f>
        <v/>
      </c>
      <c r="Y90" s="597" t="str">
        <f>IF('4. Sem'!$AA$32="","",'4. Sem'!$AA$32)</f>
        <v/>
      </c>
      <c r="Z90" s="597" t="str">
        <f>IF('4. Sem'!$AB$32="","",'4. Sem'!$AB$32)</f>
        <v/>
      </c>
      <c r="AA90" s="598" t="str">
        <f>IF('4. Sem'!$AC$32="","",'4. Sem'!$AC$32)</f>
        <v/>
      </c>
      <c r="AB90" s="599" t="str">
        <f>IF('4. Sem'!$AD$32="","",'4. Sem'!$AD$32)</f>
        <v/>
      </c>
      <c r="AC90" s="600" t="str">
        <f>IF('4. Sem'!$AE$32="","",'4. Sem'!$AE$32)</f>
        <v/>
      </c>
      <c r="AD90" s="600" t="str">
        <f>IF('4. Sem'!$AF$32="","",'4. Sem'!$AF$32)</f>
        <v/>
      </c>
      <c r="AE90" s="600" t="str">
        <f>IF('4. Sem'!$AG$32="","",'4. Sem'!$AG$32)</f>
        <v/>
      </c>
      <c r="AF90" s="601" t="str">
        <f>IF('4. Sem'!$AH$32="","",'4. Sem'!$AH$32)</f>
        <v/>
      </c>
      <c r="AG90" s="596" t="str">
        <f>IF('4. Sem'!$AI$32="","",'4. Sem'!$AI$32)</f>
        <v/>
      </c>
      <c r="AH90" s="597" t="str">
        <f>IF('4. Sem'!$AJ$32="","",'4. Sem'!$AJ$32)</f>
        <v/>
      </c>
      <c r="AI90" s="597" t="str">
        <f>IF('4. Sem'!$AK$32="","",'4. Sem'!$AK$32)</f>
        <v/>
      </c>
      <c r="AJ90" s="597" t="str">
        <f>IF('4. Sem'!$AL$32="","",'4. Sem'!$AL$32)</f>
        <v/>
      </c>
      <c r="AK90" s="598" t="str">
        <f>IF('4. Sem'!$AM$32="","",'4. Sem'!$AM$32)</f>
        <v/>
      </c>
      <c r="AL90" s="605" t="str">
        <f>IF('4. Sem'!$AN$32="","",'4. Sem'!$AN$32)</f>
        <v/>
      </c>
      <c r="AM90" s="603" t="str">
        <f>IF('4. Sem'!$AO$32="","",'4. Sem'!$AO$32)</f>
        <v/>
      </c>
      <c r="AN90" s="603" t="str">
        <f>IF('4. Sem'!$AP$32="","",'4. Sem'!$AP$32)</f>
        <v/>
      </c>
      <c r="AO90" s="603" t="str">
        <f>IF('4. Sem'!$AQ$32="","",'4. Sem'!$AQ$32)</f>
        <v/>
      </c>
      <c r="AP90" s="604" t="str">
        <f>IF('4. Sem'!$AR$32="","",'4. Sem'!$AR$32)</f>
        <v/>
      </c>
      <c r="AQ90" s="602" t="str">
        <f>IF('4. Sem'!$AS$32="","",'4. Sem'!$AS$32)</f>
        <v/>
      </c>
      <c r="AR90" s="597" t="str">
        <f>IF('4. Sem'!$AT$32="","",'4. Sem'!$AT$32)</f>
        <v/>
      </c>
      <c r="AS90" s="597" t="str">
        <f>IF('4. Sem'!$AU$32="","",'4. Sem'!$AU$32)</f>
        <v/>
      </c>
      <c r="AT90" s="597" t="str">
        <f>IF('4. Sem'!$AV$32="","",'4. Sem'!$AV$32)</f>
        <v/>
      </c>
      <c r="AU90" s="598" t="str">
        <f>IF('4. Sem'!$AW$32="","",'4. Sem'!$AW$32)</f>
        <v/>
      </c>
      <c r="AV90" s="599" t="str">
        <f>IF('4. Sem'!$AX$32="","",'4. Sem'!$AX$32)</f>
        <v/>
      </c>
      <c r="AW90" s="600" t="str">
        <f>IF('4. Sem'!$AY$32="","",'4. Sem'!$AY$32)</f>
        <v/>
      </c>
      <c r="AX90" s="600" t="str">
        <f>IF('4. Sem'!$AZ$32="","",'4. Sem'!$AZ$32)</f>
        <v/>
      </c>
      <c r="AY90" s="600" t="str">
        <f>IF('4. Sem'!$BA$32="","",'4. Sem'!$BA$32)</f>
        <v/>
      </c>
      <c r="AZ90" s="601" t="str">
        <f>IF('4. Sem'!$BB$32="","",'4. Sem'!$BB$32)</f>
        <v/>
      </c>
      <c r="BA90" s="596" t="str">
        <f>IF('4. Sem'!$BC$32="","",'4. Sem'!$BC$32)</f>
        <v/>
      </c>
      <c r="BB90" s="597" t="str">
        <f>IF('4. Sem'!$BD$32="","",'4. Sem'!$BD$32)</f>
        <v/>
      </c>
      <c r="BC90" s="597" t="str">
        <f>IF('4. Sem'!$BE$32="","",'4. Sem'!$BE$32)</f>
        <v/>
      </c>
      <c r="BD90" s="597" t="str">
        <f>IF('4. Sem'!$BF$32="","",'4. Sem'!$BF$32)</f>
        <v/>
      </c>
      <c r="BE90" s="598" t="str">
        <f>IF('4. Sem'!$BG$32="","",'4. Sem'!$BG$32)</f>
        <v/>
      </c>
      <c r="BF90" s="599" t="str">
        <f>IF('4. Sem'!$BH$32="","",'4. Sem'!$BH$32)</f>
        <v/>
      </c>
      <c r="BG90" s="600" t="str">
        <f>IF('4. Sem'!$BI$32="","",'4. Sem'!$BI$32)</f>
        <v/>
      </c>
      <c r="BH90" s="600" t="str">
        <f>IF('4. Sem'!$BJ$32="","",'4. Sem'!$BJ$32)</f>
        <v/>
      </c>
      <c r="BI90" s="600" t="str">
        <f>IF('4. Sem'!$BK$32="","",'4. Sem'!$BK$32)</f>
        <v/>
      </c>
      <c r="BJ90" s="601" t="str">
        <f>IF('4. Sem'!$BL$32="","",'4. Sem'!$BL$32)</f>
        <v/>
      </c>
      <c r="BK90" s="596" t="str">
        <f>IF('4. Sem'!$BM$32="","",'4. Sem'!$BM$32)</f>
        <v/>
      </c>
      <c r="BL90" s="597" t="str">
        <f>IF('4. Sem'!$BN$32="","",'4. Sem'!$BN$32)</f>
        <v/>
      </c>
      <c r="BM90" s="597" t="str">
        <f>IF('4. Sem'!$BO$32="","",'4. Sem'!$BO$32)</f>
        <v/>
      </c>
      <c r="BN90" s="597" t="str">
        <f>IF('4. Sem'!$BP$32="","",'4. Sem'!$BP$32)</f>
        <v/>
      </c>
      <c r="BO90" s="598" t="str">
        <f>IF('4. Sem'!$BQ$32="","",'4. Sem'!$BQ$32)</f>
        <v/>
      </c>
      <c r="BP90" s="599" t="str">
        <f>IF('4. Sem'!$BR$32="","",'4. Sem'!$BR$32)</f>
        <v/>
      </c>
      <c r="BQ90" s="600" t="str">
        <f>IF('4. Sem'!$BS$32="","",'4. Sem'!$BS$32)</f>
        <v/>
      </c>
      <c r="BR90" s="600" t="str">
        <f>IF('4. Sem'!$BT$32="","",'4. Sem'!$BT$32)</f>
        <v/>
      </c>
      <c r="BS90" s="603" t="str">
        <f>IF('4. Sem'!$BU$32="","",'4. Sem'!$BU$32)</f>
        <v/>
      </c>
      <c r="BT90" s="604" t="str">
        <f>IF('4. Sem'!$BV$32="","",'4. Sem'!$BV$32)</f>
        <v/>
      </c>
      <c r="BU90" s="596" t="str">
        <f>IF('4. Sem'!$BW$32="","",'4. Sem'!$BW$32)</f>
        <v/>
      </c>
      <c r="BV90" s="597" t="str">
        <f>IF('4. Sem'!$BX$32="","",'4. Sem'!$BX$32)</f>
        <v/>
      </c>
      <c r="BW90" s="597" t="str">
        <f>IF('4. Sem'!$BY$32="","",'4. Sem'!$BY$32)</f>
        <v/>
      </c>
      <c r="BX90" s="597" t="str">
        <f>IF('4. Sem'!$BZ$32="","",'4. Sem'!$BZ$32)</f>
        <v/>
      </c>
      <c r="BY90" s="598" t="str">
        <f>IF('4. Sem'!$CA$32="","",'4. Sem'!$CA$32)</f>
        <v/>
      </c>
      <c r="BZ90" s="605" t="str">
        <f>IF('4. Sem'!$CB$32="","",'4. Sem'!$CB$32)</f>
        <v/>
      </c>
      <c r="CA90" s="600" t="str">
        <f>IF('4. Sem'!$CC$32="","",'4. Sem'!$CC$32)</f>
        <v/>
      </c>
      <c r="CB90" s="600" t="str">
        <f>IF('4. Sem'!$CD$32="","",'4. Sem'!$CD$32)</f>
        <v/>
      </c>
      <c r="CC90" s="600" t="str">
        <f>IF('4. Sem'!$CE$32="","",'4. Sem'!$CE$32)</f>
        <v/>
      </c>
      <c r="CD90" s="601" t="str">
        <f>IF('4. Sem'!$CF$32="","",'4. Sem'!$CF$32)</f>
        <v/>
      </c>
      <c r="CE90" s="596" t="str">
        <f>IF('4. Sem'!$CG$32="","",'4. Sem'!$CG$32)</f>
        <v/>
      </c>
      <c r="CF90" s="597" t="str">
        <f>IF('4. Sem'!$CH$32="","",'4. Sem'!$CH$32)</f>
        <v/>
      </c>
      <c r="CG90" s="597" t="str">
        <f>IF('4. Sem'!$CI$32="","",'4. Sem'!$CI$32)</f>
        <v/>
      </c>
      <c r="CH90" s="597" t="str">
        <f>IF('4. Sem'!$CJ$32="","",'4. Sem'!$CJ$32)</f>
        <v/>
      </c>
      <c r="CI90" s="598" t="str">
        <f>IF('4. Sem'!$CK$32="","",'4. Sem'!$CK$32)</f>
        <v/>
      </c>
      <c r="CJ90" s="599" t="str">
        <f>IF('4. Sem'!$CL$32="","",'4. Sem'!$CL$32)</f>
        <v/>
      </c>
      <c r="CK90" s="600" t="str">
        <f>IF('4. Sem'!$CM$32="","",'4. Sem'!$CM$32)</f>
        <v/>
      </c>
      <c r="CL90" s="600" t="str">
        <f>IF('4. Sem'!$CN$32="","",'4. Sem'!$CN$32)</f>
        <v/>
      </c>
      <c r="CM90" s="600" t="str">
        <f>IF('4. Sem'!$CO$32="","",'4. Sem'!$CO$32)</f>
        <v/>
      </c>
      <c r="CN90" s="601" t="str">
        <f>IF('4. Sem'!$CP$32="","",'4. Sem'!$CP$32)</f>
        <v/>
      </c>
      <c r="CO90" s="596" t="str">
        <f>IF('4. Sem'!$CQ$32="","",'4. Sem'!$CQ$32)</f>
        <v/>
      </c>
      <c r="CP90" s="597" t="str">
        <f>IF('4. Sem'!$CR$32="","",'4. Sem'!$CR$32)</f>
        <v/>
      </c>
      <c r="CQ90" s="597" t="str">
        <f>IF('4. Sem'!$CS$32="","",'4. Sem'!$CS$32)</f>
        <v/>
      </c>
      <c r="CR90" s="597" t="str">
        <f>IF('4. Sem'!$CT$32="","",'4. Sem'!$CT$32)</f>
        <v/>
      </c>
      <c r="CS90" s="598" t="str">
        <f>IF('4. Sem'!$CU$32="","",'4. Sem'!$CU$32)</f>
        <v/>
      </c>
      <c r="CT90" s="599" t="str">
        <f>IF('4. Sem'!$CV$32="","",'4. Sem'!$CV$32)</f>
        <v/>
      </c>
      <c r="CU90" s="600" t="str">
        <f>IF('4. Sem'!$CW$32="","",'4. Sem'!$CW$32)</f>
        <v/>
      </c>
      <c r="CV90" s="600" t="str">
        <f>IF('4. Sem'!$CX$32="","",'4. Sem'!$CX$32)</f>
        <v/>
      </c>
      <c r="CW90" s="600" t="str">
        <f>IF('4. Sem'!$CY$32="","",'4. Sem'!$CY$32)</f>
        <v/>
      </c>
      <c r="CX90" s="601" t="str">
        <f>IF('4. Sem'!$CZ$32="","",'4. Sem'!$CZ$32)</f>
        <v/>
      </c>
      <c r="CY90" s="596" t="str">
        <f>IF('4. Sem'!$DA$32="","",'4. Sem'!$DA$32)</f>
        <v/>
      </c>
      <c r="CZ90" s="597" t="str">
        <f>IF('4. Sem'!$DB$32="","",'4. Sem'!$DB$32)</f>
        <v/>
      </c>
      <c r="DA90" s="597" t="str">
        <f>IF('4. Sem'!$DC$32="","",'4. Sem'!$DC$32)</f>
        <v/>
      </c>
      <c r="DB90" s="597" t="str">
        <f>IF('4. Sem'!$DD$32="","",'4. Sem'!$DD$32)</f>
        <v/>
      </c>
      <c r="DC90" s="598" t="str">
        <f>IF('4. Sem'!$DE$32="","",'4. Sem'!$DE$32)</f>
        <v/>
      </c>
    </row>
    <row r="91" spans="1:107" ht="16" customHeight="1" x14ac:dyDescent="0.2">
      <c r="A91" s="566"/>
      <c r="B91" s="579" t="s">
        <v>19</v>
      </c>
      <c r="C91" s="574" t="str">
        <f>IF('4. Sem'!$E$33="","",'4. Sem'!$E$33)</f>
        <v/>
      </c>
      <c r="D91" s="569" t="str">
        <f>IF('4. Sem'!$F$33="","",'4. Sem'!$F$33)</f>
        <v/>
      </c>
      <c r="E91" s="576" t="str">
        <f>IF('4. Sem'!$G$33="","",'4. Sem'!$G$33)</f>
        <v/>
      </c>
      <c r="F91" s="569" t="str">
        <f>IF('4. Sem'!$H$33="","",'4. Sem'!$H$33)</f>
        <v/>
      </c>
      <c r="G91" s="570" t="str">
        <f>IF('4. Sem'!$I$33="","",'4. Sem'!$I$33)</f>
        <v/>
      </c>
      <c r="H91" s="571" t="str">
        <f>IF('4. Sem'!$J$33="","",'4. Sem'!$J$33)</f>
        <v/>
      </c>
      <c r="I91" s="572" t="str">
        <f>IF('4. Sem'!$K$33="","",'4. Sem'!$K$33)</f>
        <v/>
      </c>
      <c r="J91" s="576" t="str">
        <f>IF('4. Sem'!$L$33="","",'4. Sem'!$L$33)</f>
        <v/>
      </c>
      <c r="K91" s="572" t="str">
        <f>IF('4. Sem'!$M$33="","",'4. Sem'!$M$33)</f>
        <v/>
      </c>
      <c r="L91" s="573" t="str">
        <f>IF('4. Sem'!$N$33="","",'4. Sem'!$N$33)</f>
        <v/>
      </c>
      <c r="M91" s="574" t="str">
        <f>IF('4. Sem'!$O$33="","",'4. Sem'!$O$33)</f>
        <v/>
      </c>
      <c r="N91" s="569" t="str">
        <f>IF('4. Sem'!$P$33="","",'4. Sem'!$P$33)</f>
        <v/>
      </c>
      <c r="O91" s="576" t="str">
        <f>IF('4. Sem'!$Q$33="","",'4. Sem'!$Q$33)</f>
        <v/>
      </c>
      <c r="P91" s="569" t="str">
        <f>IF('4. Sem'!$R$33="","",'4. Sem'!$R$33)</f>
        <v/>
      </c>
      <c r="Q91" s="570" t="str">
        <f>IF('4. Sem'!$S$33="","",'4. Sem'!$S$33)</f>
        <v/>
      </c>
      <c r="R91" s="571" t="str">
        <f>IF('4. Sem'!$T$33="","",'4. Sem'!$T$33)</f>
        <v/>
      </c>
      <c r="S91" s="572" t="str">
        <f>IF('4. Sem'!$U$33="","",'4. Sem'!$U$33)</f>
        <v/>
      </c>
      <c r="T91" s="576" t="str">
        <f>IF('4. Sem'!$V$33="","",'4. Sem'!$V$33)</f>
        <v/>
      </c>
      <c r="U91" s="572" t="str">
        <f>IF('4. Sem'!$W$33="","",'4. Sem'!$W$33)</f>
        <v/>
      </c>
      <c r="V91" s="573" t="str">
        <f>IF('4. Sem'!$X$33="","",'4. Sem'!$X$33)</f>
        <v/>
      </c>
      <c r="W91" s="574" t="str">
        <f>IF('4. Sem'!$Y$33="","",'4. Sem'!$Y$33)</f>
        <v/>
      </c>
      <c r="X91" s="569" t="str">
        <f>IF('4. Sem'!$Z$33="","",'4. Sem'!$Z$33)</f>
        <v/>
      </c>
      <c r="Y91" s="576" t="str">
        <f>IF('4. Sem'!$AA$33="","",'4. Sem'!$AA$33)</f>
        <v/>
      </c>
      <c r="Z91" s="569" t="str">
        <f>IF('4. Sem'!$AB$33="","",'4. Sem'!$AB$33)</f>
        <v/>
      </c>
      <c r="AA91" s="570" t="str">
        <f>IF('4. Sem'!$AC$33="","",'4. Sem'!$AC$33)</f>
        <v/>
      </c>
      <c r="AB91" s="571" t="str">
        <f>IF('4. Sem'!$AD$33="","",'4. Sem'!$AD$33)</f>
        <v/>
      </c>
      <c r="AC91" s="572" t="str">
        <f>IF('4. Sem'!$AE$33="","",'4. Sem'!$AE$33)</f>
        <v/>
      </c>
      <c r="AD91" s="576" t="str">
        <f>IF('4. Sem'!$AF$33="","",'4. Sem'!$AF$33)</f>
        <v/>
      </c>
      <c r="AE91" s="572" t="str">
        <f>IF('4. Sem'!$AG$33="","",'4. Sem'!$AG$33)</f>
        <v/>
      </c>
      <c r="AF91" s="573" t="str">
        <f>IF('4. Sem'!$AH$33="","",'4. Sem'!$AH$33)</f>
        <v/>
      </c>
      <c r="AG91" s="574" t="str">
        <f>IF('4. Sem'!$AI$33="","",'4. Sem'!$AI$33)</f>
        <v/>
      </c>
      <c r="AH91" s="569" t="str">
        <f>IF('4. Sem'!$AJ$33="","",'4. Sem'!$AJ$33)</f>
        <v/>
      </c>
      <c r="AI91" s="576" t="str">
        <f>IF('4. Sem'!$AK$33="","",'4. Sem'!$AK$33)</f>
        <v/>
      </c>
      <c r="AJ91" s="569" t="str">
        <f>IF('4. Sem'!$AL$33="","",'4. Sem'!$AL$33)</f>
        <v/>
      </c>
      <c r="AK91" s="570" t="str">
        <f>IF('4. Sem'!$AM$33="","",'4. Sem'!$AM$33)</f>
        <v/>
      </c>
      <c r="AL91" s="578" t="str">
        <f>IF('4. Sem'!$AN$33="","",'4. Sem'!$AN$33)</f>
        <v/>
      </c>
      <c r="AM91" s="576" t="str">
        <f>IF('4. Sem'!$AO$33="","",'4. Sem'!$AO$33)</f>
        <v/>
      </c>
      <c r="AN91" s="576" t="str">
        <f>IF('4. Sem'!$AP$33="","",'4. Sem'!$AP$33)</f>
        <v/>
      </c>
      <c r="AO91" s="576" t="str">
        <f>IF('4. Sem'!$AQ$33="","",'4. Sem'!$AQ$33)</f>
        <v/>
      </c>
      <c r="AP91" s="577" t="str">
        <f>IF('4. Sem'!$AR$33="","",'4. Sem'!$AR$33)</f>
        <v/>
      </c>
      <c r="AQ91" s="575" t="str">
        <f>IF('4. Sem'!$AS$33="","",'4. Sem'!$AS$33)</f>
        <v/>
      </c>
      <c r="AR91" s="569" t="str">
        <f>IF('4. Sem'!$AT$33="","",'4. Sem'!$AT$33)</f>
        <v/>
      </c>
      <c r="AS91" s="576" t="str">
        <f>IF('4. Sem'!$AU$33="","",'4. Sem'!$AU$33)</f>
        <v/>
      </c>
      <c r="AT91" s="569" t="str">
        <f>IF('4. Sem'!$AV$33="","",'4. Sem'!$AV$33)</f>
        <v/>
      </c>
      <c r="AU91" s="570" t="str">
        <f>IF('4. Sem'!$AW$33="","",'4. Sem'!$AW$33)</f>
        <v/>
      </c>
      <c r="AV91" s="571" t="str">
        <f>IF('4. Sem'!$AX$33="","",'4. Sem'!$AX$33)</f>
        <v/>
      </c>
      <c r="AW91" s="572" t="str">
        <f>IF('4. Sem'!$AY$33="","",'4. Sem'!$AY$33)</f>
        <v/>
      </c>
      <c r="AX91" s="576" t="str">
        <f>IF('4. Sem'!$AZ$33="","",'4. Sem'!$AZ$33)</f>
        <v/>
      </c>
      <c r="AY91" s="572" t="str">
        <f>IF('4. Sem'!$BA$33="","",'4. Sem'!$BA$33)</f>
        <v/>
      </c>
      <c r="AZ91" s="573" t="str">
        <f>IF('4. Sem'!$BB$33="","",'4. Sem'!$BB$33)</f>
        <v/>
      </c>
      <c r="BA91" s="574" t="str">
        <f>IF('4. Sem'!$BC$33="","",'4. Sem'!$BC$33)</f>
        <v/>
      </c>
      <c r="BB91" s="569" t="str">
        <f>IF('4. Sem'!$BD$33="","",'4. Sem'!$BD$33)</f>
        <v/>
      </c>
      <c r="BC91" s="576" t="str">
        <f>IF('4. Sem'!$BE$33="","",'4. Sem'!$BE$33)</f>
        <v/>
      </c>
      <c r="BD91" s="569" t="str">
        <f>IF('4. Sem'!$BF$33="","",'4. Sem'!$BF$33)</f>
        <v/>
      </c>
      <c r="BE91" s="570" t="str">
        <f>IF('4. Sem'!$BG$33="","",'4. Sem'!$BG$33)</f>
        <v/>
      </c>
      <c r="BF91" s="571" t="str">
        <f>IF('4. Sem'!$BH$33="","",'4. Sem'!$BH$33)</f>
        <v/>
      </c>
      <c r="BG91" s="572" t="str">
        <f>IF('4. Sem'!$BI$33="","",'4. Sem'!$BI$33)</f>
        <v/>
      </c>
      <c r="BH91" s="576" t="str">
        <f>IF('4. Sem'!$BJ$33="","",'4. Sem'!$BJ$33)</f>
        <v/>
      </c>
      <c r="BI91" s="572" t="str">
        <f>IF('4. Sem'!$BK$33="","",'4. Sem'!$BK$33)</f>
        <v/>
      </c>
      <c r="BJ91" s="573" t="str">
        <f>IF('4. Sem'!$BL$33="","",'4. Sem'!$BL$33)</f>
        <v/>
      </c>
      <c r="BK91" s="574" t="str">
        <f>IF('4. Sem'!$BM$33="","",'4. Sem'!$BM$33)</f>
        <v/>
      </c>
      <c r="BL91" s="569" t="str">
        <f>IF('4. Sem'!$BN$33="","",'4. Sem'!$BN$33)</f>
        <v/>
      </c>
      <c r="BM91" s="576" t="str">
        <f>IF('4. Sem'!$BO$33="","",'4. Sem'!$BO$33)</f>
        <v/>
      </c>
      <c r="BN91" s="569" t="str">
        <f>IF('4. Sem'!$BP$33="","",'4. Sem'!$BP$33)</f>
        <v/>
      </c>
      <c r="BO91" s="570" t="str">
        <f>IF('4. Sem'!$BQ$33="","",'4. Sem'!$BQ$33)</f>
        <v/>
      </c>
      <c r="BP91" s="571" t="str">
        <f>IF('4. Sem'!$BR$33="","",'4. Sem'!$BR$33)</f>
        <v/>
      </c>
      <c r="BQ91" s="572" t="str">
        <f>IF('4. Sem'!$BS$33="","",'4. Sem'!$BS$33)</f>
        <v/>
      </c>
      <c r="BR91" s="576" t="str">
        <f>IF('4. Sem'!$BT$33="","",'4. Sem'!$BT$33)</f>
        <v/>
      </c>
      <c r="BS91" s="576" t="str">
        <f>IF('4. Sem'!$BU$33="","",'4. Sem'!$BU$33)</f>
        <v/>
      </c>
      <c r="BT91" s="577" t="str">
        <f>IF('4. Sem'!$BV$33="","",'4. Sem'!$BV$33)</f>
        <v/>
      </c>
      <c r="BU91" s="574" t="str">
        <f>IF('4. Sem'!$BW$33="","",'4. Sem'!$BW$33)</f>
        <v/>
      </c>
      <c r="BV91" s="569" t="str">
        <f>IF('4. Sem'!$BX$33="","",'4. Sem'!$BX$33)</f>
        <v/>
      </c>
      <c r="BW91" s="576" t="str">
        <f>IF('4. Sem'!$BY$33="","",'4. Sem'!$BY$33)</f>
        <v/>
      </c>
      <c r="BX91" s="569" t="str">
        <f>IF('4. Sem'!$BZ$33="","",'4. Sem'!$BZ$33)</f>
        <v/>
      </c>
      <c r="BY91" s="570" t="str">
        <f>IF('4. Sem'!$CA$33="","",'4. Sem'!$CA$33)</f>
        <v/>
      </c>
      <c r="BZ91" s="578" t="str">
        <f>IF('4. Sem'!$CB$33="","",'4. Sem'!$CB$33)</f>
        <v/>
      </c>
      <c r="CA91" s="572" t="str">
        <f>IF('4. Sem'!$CC$33="","",'4. Sem'!$CC$33)</f>
        <v/>
      </c>
      <c r="CB91" s="576" t="str">
        <f>IF('4. Sem'!$CD$33="","",'4. Sem'!$CD$33)</f>
        <v/>
      </c>
      <c r="CC91" s="572" t="str">
        <f>IF('4. Sem'!$CE$33="","",'4. Sem'!$CE$33)</f>
        <v/>
      </c>
      <c r="CD91" s="573" t="str">
        <f>IF('4. Sem'!$CF$33="","",'4. Sem'!$CF$33)</f>
        <v/>
      </c>
      <c r="CE91" s="574" t="str">
        <f>IF('4. Sem'!$CG$33="","",'4. Sem'!$CG$33)</f>
        <v/>
      </c>
      <c r="CF91" s="569" t="str">
        <f>IF('4. Sem'!$CH$33="","",'4. Sem'!$CH$33)</f>
        <v/>
      </c>
      <c r="CG91" s="576" t="str">
        <f>IF('4. Sem'!$CI$33="","",'4. Sem'!$CI$33)</f>
        <v/>
      </c>
      <c r="CH91" s="569" t="str">
        <f>IF('4. Sem'!$CJ$33="","",'4. Sem'!$CJ$33)</f>
        <v/>
      </c>
      <c r="CI91" s="570" t="str">
        <f>IF('4. Sem'!$CK$33="","",'4. Sem'!$CK$33)</f>
        <v/>
      </c>
      <c r="CJ91" s="571" t="str">
        <f>IF('4. Sem'!$CL$33="","",'4. Sem'!$CL$33)</f>
        <v/>
      </c>
      <c r="CK91" s="572" t="str">
        <f>IF('4. Sem'!$CM$33="","",'4. Sem'!$CM$33)</f>
        <v/>
      </c>
      <c r="CL91" s="576" t="str">
        <f>IF('4. Sem'!$CN$33="","",'4. Sem'!$CN$33)</f>
        <v/>
      </c>
      <c r="CM91" s="572" t="str">
        <f>IF('4. Sem'!$CO$33="","",'4. Sem'!$CO$33)</f>
        <v/>
      </c>
      <c r="CN91" s="573" t="str">
        <f>IF('4. Sem'!$CP$33="","",'4. Sem'!$CP$33)</f>
        <v/>
      </c>
      <c r="CO91" s="574" t="str">
        <f>IF('4. Sem'!$CQ$33="","",'4. Sem'!$CQ$33)</f>
        <v/>
      </c>
      <c r="CP91" s="569" t="str">
        <f>IF('4. Sem'!$CR$33="","",'4. Sem'!$CR$33)</f>
        <v/>
      </c>
      <c r="CQ91" s="576" t="str">
        <f>IF('4. Sem'!$CS$33="","",'4. Sem'!$CS$33)</f>
        <v/>
      </c>
      <c r="CR91" s="569" t="str">
        <f>IF('4. Sem'!$CT$33="","",'4. Sem'!$CT$33)</f>
        <v/>
      </c>
      <c r="CS91" s="570" t="str">
        <f>IF('4. Sem'!$CU$33="","",'4. Sem'!$CU$33)</f>
        <v/>
      </c>
      <c r="CT91" s="571" t="str">
        <f>IF('4. Sem'!$CV$33="","",'4. Sem'!$CV$33)</f>
        <v/>
      </c>
      <c r="CU91" s="572" t="str">
        <f>IF('4. Sem'!$CW$33="","",'4. Sem'!$CW$33)</f>
        <v/>
      </c>
      <c r="CV91" s="576" t="str">
        <f>IF('4. Sem'!$CX$33="","",'4. Sem'!$CX$33)</f>
        <v/>
      </c>
      <c r="CW91" s="572" t="str">
        <f>IF('4. Sem'!$CY$33="","",'4. Sem'!$CY$33)</f>
        <v/>
      </c>
      <c r="CX91" s="573" t="str">
        <f>IF('4. Sem'!$CZ$33="","",'4. Sem'!$CZ$33)</f>
        <v/>
      </c>
      <c r="CY91" s="574" t="str">
        <f>IF('4. Sem'!$DA$33="","",'4. Sem'!$DA$33)</f>
        <v/>
      </c>
      <c r="CZ91" s="569" t="str">
        <f>IF('4. Sem'!$DB$33="","",'4. Sem'!$DB$33)</f>
        <v/>
      </c>
      <c r="DA91" s="576" t="str">
        <f>IF('4. Sem'!$DC$33="","",'4. Sem'!$DC$33)</f>
        <v/>
      </c>
      <c r="DB91" s="569" t="str">
        <f>IF('4. Sem'!$DD$33="","",'4. Sem'!$DD$33)</f>
        <v/>
      </c>
      <c r="DC91" s="570" t="str">
        <f>IF('4. Sem'!$DE$33="","",'4. Sem'!$DE$33)</f>
        <v/>
      </c>
    </row>
    <row r="92" spans="1:107" ht="16" customHeight="1" x14ac:dyDescent="0.2">
      <c r="A92" s="566"/>
      <c r="B92" s="579" t="s">
        <v>21</v>
      </c>
      <c r="C92" s="586" t="str">
        <f>IF('4. Sem'!$E$34="","",'4. Sem'!$E$34)</f>
        <v/>
      </c>
      <c r="D92" s="581" t="str">
        <f>IF('4. Sem'!$F$34="","",'4. Sem'!$F$34)</f>
        <v/>
      </c>
      <c r="E92" s="588" t="str">
        <f>IF('4. Sem'!$G$34="","",'4. Sem'!$G$34)</f>
        <v/>
      </c>
      <c r="F92" s="581" t="str">
        <f>IF('4. Sem'!$H$34="","",'4. Sem'!$H$34)</f>
        <v/>
      </c>
      <c r="G92" s="582" t="str">
        <f>IF('4. Sem'!$I$34="","",'4. Sem'!$I$34)</f>
        <v/>
      </c>
      <c r="H92" s="583" t="str">
        <f>IF('4. Sem'!$J$34="","",'4. Sem'!$J$34)</f>
        <v/>
      </c>
      <c r="I92" s="584" t="str">
        <f>IF('4. Sem'!$K$34="","",'4. Sem'!$K$34)</f>
        <v/>
      </c>
      <c r="J92" s="588" t="str">
        <f>IF('4. Sem'!$L$34="","",'4. Sem'!$L$34)</f>
        <v/>
      </c>
      <c r="K92" s="584" t="str">
        <f>IF('4. Sem'!$M$34="","",'4. Sem'!$M$34)</f>
        <v/>
      </c>
      <c r="L92" s="585" t="str">
        <f>IF('4. Sem'!$N$34="","",'4. Sem'!$N$34)</f>
        <v/>
      </c>
      <c r="M92" s="586" t="str">
        <f>IF('4. Sem'!$O$34="","",'4. Sem'!$O$34)</f>
        <v/>
      </c>
      <c r="N92" s="581" t="str">
        <f>IF('4. Sem'!$P$34="","",'4. Sem'!$P$34)</f>
        <v/>
      </c>
      <c r="O92" s="588" t="str">
        <f>IF('4. Sem'!$Q$34="","",'4. Sem'!$Q$34)</f>
        <v/>
      </c>
      <c r="P92" s="581" t="str">
        <f>IF('4. Sem'!$R$34="","",'4. Sem'!$R$34)</f>
        <v/>
      </c>
      <c r="Q92" s="582" t="str">
        <f>IF('4. Sem'!$S$34="","",'4. Sem'!$S$34)</f>
        <v/>
      </c>
      <c r="R92" s="583" t="str">
        <f>IF('4. Sem'!$T$34="","",'4. Sem'!$T$34)</f>
        <v/>
      </c>
      <c r="S92" s="584" t="str">
        <f>IF('4. Sem'!$U$34="","",'4. Sem'!$U$34)</f>
        <v/>
      </c>
      <c r="T92" s="588" t="str">
        <f>IF('4. Sem'!$V$34="","",'4. Sem'!$V$34)</f>
        <v/>
      </c>
      <c r="U92" s="584" t="str">
        <f>IF('4. Sem'!$W$34="","",'4. Sem'!$W$34)</f>
        <v/>
      </c>
      <c r="V92" s="585" t="str">
        <f>IF('4. Sem'!$X$34="","",'4. Sem'!$X$34)</f>
        <v/>
      </c>
      <c r="W92" s="586" t="str">
        <f>IF('4. Sem'!$Y$34="","",'4. Sem'!$Y$34)</f>
        <v/>
      </c>
      <c r="X92" s="581" t="str">
        <f>IF('4. Sem'!$Z$34="","",'4. Sem'!$Z$34)</f>
        <v/>
      </c>
      <c r="Y92" s="588" t="str">
        <f>IF('4. Sem'!$AA$34="","",'4. Sem'!$AA$34)</f>
        <v/>
      </c>
      <c r="Z92" s="581" t="str">
        <f>IF('4. Sem'!$AB$34="","",'4. Sem'!$AB$34)</f>
        <v/>
      </c>
      <c r="AA92" s="582" t="str">
        <f>IF('4. Sem'!$AC$34="","",'4. Sem'!$AC$34)</f>
        <v/>
      </c>
      <c r="AB92" s="583" t="str">
        <f>IF('4. Sem'!$AD$34="","",'4. Sem'!$AD$34)</f>
        <v/>
      </c>
      <c r="AC92" s="584" t="str">
        <f>IF('4. Sem'!$AE$34="","",'4. Sem'!$AE$34)</f>
        <v/>
      </c>
      <c r="AD92" s="588" t="str">
        <f>IF('4. Sem'!$AF$34="","",'4. Sem'!$AF$34)</f>
        <v/>
      </c>
      <c r="AE92" s="584" t="str">
        <f>IF('4. Sem'!$AG$34="","",'4. Sem'!$AG$34)</f>
        <v/>
      </c>
      <c r="AF92" s="585" t="str">
        <f>IF('4. Sem'!$AH$34="","",'4. Sem'!$AH$34)</f>
        <v/>
      </c>
      <c r="AG92" s="586" t="str">
        <f>IF('4. Sem'!$AI$34="","",'4. Sem'!$AI$34)</f>
        <v/>
      </c>
      <c r="AH92" s="581" t="str">
        <f>IF('4. Sem'!$AJ$34="","",'4. Sem'!$AJ$34)</f>
        <v/>
      </c>
      <c r="AI92" s="588" t="str">
        <f>IF('4. Sem'!$AK$34="","",'4. Sem'!$AK$34)</f>
        <v/>
      </c>
      <c r="AJ92" s="581" t="str">
        <f>IF('4. Sem'!$AL$34="","",'4. Sem'!$AL$34)</f>
        <v/>
      </c>
      <c r="AK92" s="582" t="str">
        <f>IF('4. Sem'!$AM$34="","",'4. Sem'!$AM$34)</f>
        <v/>
      </c>
      <c r="AL92" s="590" t="str">
        <f>IF('4. Sem'!$AN$34="","",'4. Sem'!$AN$34)</f>
        <v/>
      </c>
      <c r="AM92" s="588" t="str">
        <f>IF('4. Sem'!$AO$34="","",'4. Sem'!$AO$34)</f>
        <v/>
      </c>
      <c r="AN92" s="588" t="str">
        <f>IF('4. Sem'!$AP$34="","",'4. Sem'!$AP$34)</f>
        <v/>
      </c>
      <c r="AO92" s="588" t="str">
        <f>IF('4. Sem'!$AQ$34="","",'4. Sem'!$AQ$34)</f>
        <v/>
      </c>
      <c r="AP92" s="589" t="str">
        <f>IF('4. Sem'!$AR$34="","",'4. Sem'!$AR$34)</f>
        <v/>
      </c>
      <c r="AQ92" s="587" t="str">
        <f>IF('4. Sem'!$AS$34="","",'4. Sem'!$AS$34)</f>
        <v/>
      </c>
      <c r="AR92" s="581" t="str">
        <f>IF('4. Sem'!$AT$34="","",'4. Sem'!$AT$34)</f>
        <v/>
      </c>
      <c r="AS92" s="588" t="str">
        <f>IF('4. Sem'!$AU$34="","",'4. Sem'!$AU$34)</f>
        <v/>
      </c>
      <c r="AT92" s="581" t="str">
        <f>IF('4. Sem'!$AV$34="","",'4. Sem'!$AV$34)</f>
        <v/>
      </c>
      <c r="AU92" s="582" t="str">
        <f>IF('4. Sem'!$AW$34="","",'4. Sem'!$AW$34)</f>
        <v/>
      </c>
      <c r="AV92" s="583" t="str">
        <f>IF('4. Sem'!$AX$34="","",'4. Sem'!$AX$34)</f>
        <v/>
      </c>
      <c r="AW92" s="584" t="str">
        <f>IF('4. Sem'!$AY$34="","",'4. Sem'!$AY$34)</f>
        <v/>
      </c>
      <c r="AX92" s="588" t="str">
        <f>IF('4. Sem'!$AZ$34="","",'4. Sem'!$AZ$34)</f>
        <v/>
      </c>
      <c r="AY92" s="584" t="str">
        <f>IF('4. Sem'!$BA$34="","",'4. Sem'!$BA$34)</f>
        <v/>
      </c>
      <c r="AZ92" s="585" t="str">
        <f>IF('4. Sem'!$BB$34="","",'4. Sem'!$BB$34)</f>
        <v/>
      </c>
      <c r="BA92" s="586" t="str">
        <f>IF('4. Sem'!$BC$34="","",'4. Sem'!$BC$34)</f>
        <v/>
      </c>
      <c r="BB92" s="581" t="str">
        <f>IF('4. Sem'!$BD$34="","",'4. Sem'!$BD$34)</f>
        <v/>
      </c>
      <c r="BC92" s="588" t="str">
        <f>IF('4. Sem'!$BE$34="","",'4. Sem'!$BE$34)</f>
        <v/>
      </c>
      <c r="BD92" s="581" t="str">
        <f>IF('4. Sem'!$BF$34="","",'4. Sem'!$BF$34)</f>
        <v/>
      </c>
      <c r="BE92" s="582" t="str">
        <f>IF('4. Sem'!$BG$34="","",'4. Sem'!$BG$34)</f>
        <v/>
      </c>
      <c r="BF92" s="583" t="str">
        <f>IF('4. Sem'!$BH$34="","",'4. Sem'!$BH$34)</f>
        <v/>
      </c>
      <c r="BG92" s="584" t="str">
        <f>IF('4. Sem'!$BI$34="","",'4. Sem'!$BI$34)</f>
        <v/>
      </c>
      <c r="BH92" s="588" t="str">
        <f>IF('4. Sem'!$BJ$34="","",'4. Sem'!$BJ$34)</f>
        <v/>
      </c>
      <c r="BI92" s="584" t="str">
        <f>IF('4. Sem'!$BK$34="","",'4. Sem'!$BK$34)</f>
        <v/>
      </c>
      <c r="BJ92" s="585" t="str">
        <f>IF('4. Sem'!$BL$34="","",'4. Sem'!$BL$34)</f>
        <v/>
      </c>
      <c r="BK92" s="586" t="str">
        <f>IF('4. Sem'!$BM$34="","",'4. Sem'!$BM$34)</f>
        <v/>
      </c>
      <c r="BL92" s="581" t="str">
        <f>IF('4. Sem'!$BN$34="","",'4. Sem'!$BN$34)</f>
        <v/>
      </c>
      <c r="BM92" s="588" t="str">
        <f>IF('4. Sem'!$BO$34="","",'4. Sem'!$BO$34)</f>
        <v/>
      </c>
      <c r="BN92" s="581" t="str">
        <f>IF('4. Sem'!$BP$34="","",'4. Sem'!$BP$34)</f>
        <v/>
      </c>
      <c r="BO92" s="582" t="str">
        <f>IF('4. Sem'!$BQ$34="","",'4. Sem'!$BQ$34)</f>
        <v/>
      </c>
      <c r="BP92" s="583" t="str">
        <f>IF('4. Sem'!$BR$34="","",'4. Sem'!$BR$34)</f>
        <v/>
      </c>
      <c r="BQ92" s="584" t="str">
        <f>IF('4. Sem'!$BS$34="","",'4. Sem'!$BS$34)</f>
        <v/>
      </c>
      <c r="BR92" s="588" t="str">
        <f>IF('4. Sem'!$BT$34="","",'4. Sem'!$BT$34)</f>
        <v/>
      </c>
      <c r="BS92" s="588" t="str">
        <f>IF('4. Sem'!$BU$34="","",'4. Sem'!$BU$34)</f>
        <v/>
      </c>
      <c r="BT92" s="589" t="str">
        <f>IF('4. Sem'!$BV$34="","",'4. Sem'!$BV$34)</f>
        <v/>
      </c>
      <c r="BU92" s="586" t="str">
        <f>IF('4. Sem'!$BW$34="","",'4. Sem'!$BW$34)</f>
        <v/>
      </c>
      <c r="BV92" s="581" t="str">
        <f>IF('4. Sem'!$BX$34="","",'4. Sem'!$BX$34)</f>
        <v/>
      </c>
      <c r="BW92" s="588" t="str">
        <f>IF('4. Sem'!$BY$34="","",'4. Sem'!$BY$34)</f>
        <v/>
      </c>
      <c r="BX92" s="581" t="str">
        <f>IF('4. Sem'!$BZ$34="","",'4. Sem'!$BZ$34)</f>
        <v/>
      </c>
      <c r="BY92" s="582" t="str">
        <f>IF('4. Sem'!$CA$34="","",'4. Sem'!$CA$34)</f>
        <v/>
      </c>
      <c r="BZ92" s="590" t="str">
        <f>IF('4. Sem'!$CB$34="","",'4. Sem'!$CB$34)</f>
        <v/>
      </c>
      <c r="CA92" s="584" t="str">
        <f>IF('4. Sem'!$CC$34="","",'4. Sem'!$CC$34)</f>
        <v/>
      </c>
      <c r="CB92" s="588" t="str">
        <f>IF('4. Sem'!$CD$34="","",'4. Sem'!$CD$34)</f>
        <v/>
      </c>
      <c r="CC92" s="584" t="str">
        <f>IF('4. Sem'!$CE$34="","",'4. Sem'!$CE$34)</f>
        <v/>
      </c>
      <c r="CD92" s="585" t="str">
        <f>IF('4. Sem'!$CF$34="","",'4. Sem'!$CF$34)</f>
        <v/>
      </c>
      <c r="CE92" s="586" t="str">
        <f>IF('4. Sem'!$CG$34="","",'4. Sem'!$CG$34)</f>
        <v/>
      </c>
      <c r="CF92" s="581" t="str">
        <f>IF('4. Sem'!$CH$34="","",'4. Sem'!$CH$34)</f>
        <v/>
      </c>
      <c r="CG92" s="588" t="str">
        <f>IF('4. Sem'!$CI$34="","",'4. Sem'!$CI$34)</f>
        <v/>
      </c>
      <c r="CH92" s="581" t="str">
        <f>IF('4. Sem'!$CJ$34="","",'4. Sem'!$CJ$34)</f>
        <v/>
      </c>
      <c r="CI92" s="582" t="str">
        <f>IF('4. Sem'!$CK$34="","",'4. Sem'!$CK$34)</f>
        <v/>
      </c>
      <c r="CJ92" s="583" t="str">
        <f>IF('4. Sem'!$CL$34="","",'4. Sem'!$CL$34)</f>
        <v/>
      </c>
      <c r="CK92" s="584" t="str">
        <f>IF('4. Sem'!$CM$34="","",'4. Sem'!$CM$34)</f>
        <v/>
      </c>
      <c r="CL92" s="588" t="str">
        <f>IF('4. Sem'!$CN$34="","",'4. Sem'!$CN$34)</f>
        <v/>
      </c>
      <c r="CM92" s="584" t="str">
        <f>IF('4. Sem'!$CO$34="","",'4. Sem'!$CO$34)</f>
        <v/>
      </c>
      <c r="CN92" s="585" t="str">
        <f>IF('4. Sem'!$CP$34="","",'4. Sem'!$CP$34)</f>
        <v/>
      </c>
      <c r="CO92" s="586" t="str">
        <f>IF('4. Sem'!$CQ$34="","",'4. Sem'!$CQ$34)</f>
        <v/>
      </c>
      <c r="CP92" s="581" t="str">
        <f>IF('4. Sem'!$CR$34="","",'4. Sem'!$CR$34)</f>
        <v/>
      </c>
      <c r="CQ92" s="588" t="str">
        <f>IF('4. Sem'!$CS$34="","",'4. Sem'!$CS$34)</f>
        <v/>
      </c>
      <c r="CR92" s="581" t="str">
        <f>IF('4. Sem'!$CT$34="","",'4. Sem'!$CT$34)</f>
        <v/>
      </c>
      <c r="CS92" s="582" t="str">
        <f>IF('4. Sem'!$CU$34="","",'4. Sem'!$CU$34)</f>
        <v/>
      </c>
      <c r="CT92" s="583" t="str">
        <f>IF('4. Sem'!$CV$34="","",'4. Sem'!$CV$34)</f>
        <v/>
      </c>
      <c r="CU92" s="584" t="str">
        <f>IF('4. Sem'!$CW$34="","",'4. Sem'!$CW$34)</f>
        <v/>
      </c>
      <c r="CV92" s="588" t="str">
        <f>IF('4. Sem'!$CX$34="","",'4. Sem'!$CX$34)</f>
        <v/>
      </c>
      <c r="CW92" s="584" t="str">
        <f>IF('4. Sem'!$CY$34="","",'4. Sem'!$CY$34)</f>
        <v/>
      </c>
      <c r="CX92" s="585" t="str">
        <f>IF('4. Sem'!$CZ$34="","",'4. Sem'!$CZ$34)</f>
        <v/>
      </c>
      <c r="CY92" s="586" t="str">
        <f>IF('4. Sem'!$DA$34="","",'4. Sem'!$DA$34)</f>
        <v/>
      </c>
      <c r="CZ92" s="581" t="str">
        <f>IF('4. Sem'!$DB$34="","",'4. Sem'!$DB$34)</f>
        <v/>
      </c>
      <c r="DA92" s="588" t="str">
        <f>IF('4. Sem'!$DC$34="","",'4. Sem'!$DC$34)</f>
        <v/>
      </c>
      <c r="DB92" s="581" t="str">
        <f>IF('4. Sem'!$DD$34="","",'4. Sem'!$DD$34)</f>
        <v/>
      </c>
      <c r="DC92" s="582" t="str">
        <f>IF('4. Sem'!$DE$34="","",'4. Sem'!$DE$34)</f>
        <v/>
      </c>
    </row>
    <row r="93" spans="1:107" ht="16" customHeight="1" x14ac:dyDescent="0.2">
      <c r="A93" s="566"/>
      <c r="B93" s="579" t="s">
        <v>22</v>
      </c>
      <c r="C93" s="593" t="str">
        <f>IF('4. Sem'!$E$35="","",'4. Sem'!$E$35)</f>
        <v/>
      </c>
      <c r="D93" s="581" t="str">
        <f>IF('4. Sem'!$F$35="","",'4. Sem'!$F$35)</f>
        <v/>
      </c>
      <c r="E93" s="588" t="str">
        <f>IF('4. Sem'!$G$35="","",'4. Sem'!$G$35)</f>
        <v/>
      </c>
      <c r="F93" s="581" t="str">
        <f>IF('4. Sem'!$H$35="","",'4. Sem'!$H$35)</f>
        <v/>
      </c>
      <c r="G93" s="582" t="str">
        <f>IF('4. Sem'!$I$35="","",'4. Sem'!$I$35)</f>
        <v/>
      </c>
      <c r="H93" s="583" t="str">
        <f>IF('4. Sem'!$J$35="","",'4. Sem'!$J$35)</f>
        <v/>
      </c>
      <c r="I93" s="584" t="str">
        <f>IF('4. Sem'!$K$35="","",'4. Sem'!$K$35)</f>
        <v/>
      </c>
      <c r="J93" s="588" t="str">
        <f>IF('4. Sem'!$L$35="","",'4. Sem'!$L$35)</f>
        <v/>
      </c>
      <c r="K93" s="584" t="str">
        <f>IF('4. Sem'!$M$35="","",'4. Sem'!$M$35)</f>
        <v/>
      </c>
      <c r="L93" s="592" t="str">
        <f>IF('4. Sem'!$N$35="","",'4. Sem'!$N$35)</f>
        <v/>
      </c>
      <c r="M93" s="593" t="str">
        <f>IF('4. Sem'!$O$35="","",'4. Sem'!$O$35)</f>
        <v/>
      </c>
      <c r="N93" s="581" t="str">
        <f>IF('4. Sem'!$P$35="","",'4. Sem'!$P$35)</f>
        <v/>
      </c>
      <c r="O93" s="588" t="str">
        <f>IF('4. Sem'!$Q$35="","",'4. Sem'!$Q$35)</f>
        <v/>
      </c>
      <c r="P93" s="581" t="str">
        <f>IF('4. Sem'!$R$35="","",'4. Sem'!$R$35)</f>
        <v/>
      </c>
      <c r="Q93" s="582" t="str">
        <f>IF('4. Sem'!$S$35="","",'4. Sem'!$S$35)</f>
        <v/>
      </c>
      <c r="R93" s="583" t="str">
        <f>IF('4. Sem'!$T$35="","",'4. Sem'!$T$35)</f>
        <v/>
      </c>
      <c r="S93" s="584" t="str">
        <f>IF('4. Sem'!$U$35="","",'4. Sem'!$U$35)</f>
        <v/>
      </c>
      <c r="T93" s="588" t="str">
        <f>IF('4. Sem'!$V$35="","",'4. Sem'!$V$35)</f>
        <v/>
      </c>
      <c r="U93" s="584" t="str">
        <f>IF('4. Sem'!$W$35="","",'4. Sem'!$W$35)</f>
        <v/>
      </c>
      <c r="V93" s="592" t="str">
        <f>IF('4. Sem'!$X$35="","",'4. Sem'!$X$35)</f>
        <v/>
      </c>
      <c r="W93" s="593" t="str">
        <f>IF('4. Sem'!$Y$35="","",'4. Sem'!$Y$35)</f>
        <v/>
      </c>
      <c r="X93" s="581" t="str">
        <f>IF('4. Sem'!$Z$35="","",'4. Sem'!$Z$35)</f>
        <v/>
      </c>
      <c r="Y93" s="588" t="str">
        <f>IF('4. Sem'!$AA$35="","",'4. Sem'!$AA$35)</f>
        <v/>
      </c>
      <c r="Z93" s="581" t="str">
        <f>IF('4. Sem'!$AB$35="","",'4. Sem'!$AB$35)</f>
        <v/>
      </c>
      <c r="AA93" s="582" t="str">
        <f>IF('4. Sem'!$AC$35="","",'4. Sem'!$AC$35)</f>
        <v/>
      </c>
      <c r="AB93" s="583" t="str">
        <f>IF('4. Sem'!$AD$35="","",'4. Sem'!$AD$35)</f>
        <v/>
      </c>
      <c r="AC93" s="584" t="str">
        <f>IF('4. Sem'!$AE$35="","",'4. Sem'!$AE$35)</f>
        <v/>
      </c>
      <c r="AD93" s="588" t="str">
        <f>IF('4. Sem'!$AF$35="","",'4. Sem'!$AF$35)</f>
        <v/>
      </c>
      <c r="AE93" s="584" t="str">
        <f>IF('4. Sem'!$AG$35="","",'4. Sem'!$AG$35)</f>
        <v/>
      </c>
      <c r="AF93" s="592" t="str">
        <f>IF('4. Sem'!$AH$35="","",'4. Sem'!$AH$35)</f>
        <v/>
      </c>
      <c r="AG93" s="593" t="str">
        <f>IF('4. Sem'!$AI$35="","",'4. Sem'!$AI$35)</f>
        <v/>
      </c>
      <c r="AH93" s="581" t="str">
        <f>IF('4. Sem'!$AJ$35="","",'4. Sem'!$AJ$35)</f>
        <v/>
      </c>
      <c r="AI93" s="588" t="str">
        <f>IF('4. Sem'!$AK$35="","",'4. Sem'!$AK$35)</f>
        <v/>
      </c>
      <c r="AJ93" s="581" t="str">
        <f>IF('4. Sem'!$AL$35="","",'4. Sem'!$AL$35)</f>
        <v/>
      </c>
      <c r="AK93" s="582" t="str">
        <f>IF('4. Sem'!$AM$35="","",'4. Sem'!$AM$35)</f>
        <v/>
      </c>
      <c r="AL93" s="590" t="str">
        <f>IF('4. Sem'!$AN$35="","",'4. Sem'!$AN$35)</f>
        <v/>
      </c>
      <c r="AM93" s="588" t="str">
        <f>IF('4. Sem'!$AO$35="","",'4. Sem'!$AO$35)</f>
        <v/>
      </c>
      <c r="AN93" s="588" t="str">
        <f>IF('4. Sem'!$AP$35="","",'4. Sem'!$AP$35)</f>
        <v/>
      </c>
      <c r="AO93" s="588" t="str">
        <f>IF('4. Sem'!$AQ$35="","",'4. Sem'!$AQ$35)</f>
        <v/>
      </c>
      <c r="AP93" s="595" t="str">
        <f>IF('4. Sem'!$AR$35="","",'4. Sem'!$AR$35)</f>
        <v/>
      </c>
      <c r="AQ93" s="594" t="str">
        <f>IF('4. Sem'!$AS$35="","",'4. Sem'!$AS$35)</f>
        <v/>
      </c>
      <c r="AR93" s="581" t="str">
        <f>IF('4. Sem'!$AT$35="","",'4. Sem'!$AT$35)</f>
        <v/>
      </c>
      <c r="AS93" s="588" t="str">
        <f>IF('4. Sem'!$AU$35="","",'4. Sem'!$AU$35)</f>
        <v/>
      </c>
      <c r="AT93" s="581" t="str">
        <f>IF('4. Sem'!$AV$35="","",'4. Sem'!$AV$35)</f>
        <v/>
      </c>
      <c r="AU93" s="582" t="str">
        <f>IF('4. Sem'!$AW$35="","",'4. Sem'!$AW$35)</f>
        <v/>
      </c>
      <c r="AV93" s="583" t="str">
        <f>IF('4. Sem'!$AX$35="","",'4. Sem'!$AX$35)</f>
        <v/>
      </c>
      <c r="AW93" s="584" t="str">
        <f>IF('4. Sem'!$AY$35="","",'4. Sem'!$AY$35)</f>
        <v/>
      </c>
      <c r="AX93" s="588" t="str">
        <f>IF('4. Sem'!$AZ$35="","",'4. Sem'!$AZ$35)</f>
        <v/>
      </c>
      <c r="AY93" s="584" t="str">
        <f>IF('4. Sem'!$BA$35="","",'4. Sem'!$BA$35)</f>
        <v/>
      </c>
      <c r="AZ93" s="592" t="str">
        <f>IF('4. Sem'!$BB$35="","",'4. Sem'!$BB$35)</f>
        <v/>
      </c>
      <c r="BA93" s="593" t="str">
        <f>IF('4. Sem'!$BC$35="","",'4. Sem'!$BC$35)</f>
        <v/>
      </c>
      <c r="BB93" s="581" t="str">
        <f>IF('4. Sem'!$BD$35="","",'4. Sem'!$BD$35)</f>
        <v/>
      </c>
      <c r="BC93" s="588" t="str">
        <f>IF('4. Sem'!$BE$35="","",'4. Sem'!$BE$35)</f>
        <v/>
      </c>
      <c r="BD93" s="581" t="str">
        <f>IF('4. Sem'!$BF$35="","",'4. Sem'!$BF$35)</f>
        <v/>
      </c>
      <c r="BE93" s="582" t="str">
        <f>IF('4. Sem'!$BG$35="","",'4. Sem'!$BG$35)</f>
        <v/>
      </c>
      <c r="BF93" s="583" t="str">
        <f>IF('4. Sem'!$BH$35="","",'4. Sem'!$BH$35)</f>
        <v/>
      </c>
      <c r="BG93" s="584" t="str">
        <f>IF('4. Sem'!$BI$35="","",'4. Sem'!$BI$35)</f>
        <v/>
      </c>
      <c r="BH93" s="588" t="str">
        <f>IF('4. Sem'!$BJ$35="","",'4. Sem'!$BJ$35)</f>
        <v/>
      </c>
      <c r="BI93" s="584" t="str">
        <f>IF('4. Sem'!$BK$35="","",'4. Sem'!$BK$35)</f>
        <v/>
      </c>
      <c r="BJ93" s="592" t="str">
        <f>IF('4. Sem'!$BL$35="","",'4. Sem'!$BL$35)</f>
        <v/>
      </c>
      <c r="BK93" s="593" t="str">
        <f>IF('4. Sem'!$BM$35="","",'4. Sem'!$BM$35)</f>
        <v/>
      </c>
      <c r="BL93" s="581" t="str">
        <f>IF('4. Sem'!$BN$35="","",'4. Sem'!$BN$35)</f>
        <v/>
      </c>
      <c r="BM93" s="588" t="str">
        <f>IF('4. Sem'!$BO$35="","",'4. Sem'!$BO$35)</f>
        <v/>
      </c>
      <c r="BN93" s="581" t="str">
        <f>IF('4. Sem'!$BP$35="","",'4. Sem'!$BP$35)</f>
        <v/>
      </c>
      <c r="BO93" s="582" t="str">
        <f>IF('4. Sem'!$BQ$35="","",'4. Sem'!$BQ$35)</f>
        <v/>
      </c>
      <c r="BP93" s="583" t="str">
        <f>IF('4. Sem'!$BR$35="","",'4. Sem'!$BR$35)</f>
        <v/>
      </c>
      <c r="BQ93" s="584" t="str">
        <f>IF('4. Sem'!$BS$35="","",'4. Sem'!$BS$35)</f>
        <v/>
      </c>
      <c r="BR93" s="588" t="str">
        <f>IF('4. Sem'!$BT$35="","",'4. Sem'!$BT$35)</f>
        <v/>
      </c>
      <c r="BS93" s="588" t="str">
        <f>IF('4. Sem'!$BU$35="","",'4. Sem'!$BU$35)</f>
        <v/>
      </c>
      <c r="BT93" s="595" t="str">
        <f>IF('4. Sem'!$BV$35="","",'4. Sem'!$BV$35)</f>
        <v/>
      </c>
      <c r="BU93" s="593" t="str">
        <f>IF('4. Sem'!$BW$35="","",'4. Sem'!$BW$35)</f>
        <v/>
      </c>
      <c r="BV93" s="581" t="str">
        <f>IF('4. Sem'!$BX$35="","",'4. Sem'!$BX$35)</f>
        <v/>
      </c>
      <c r="BW93" s="588" t="str">
        <f>IF('4. Sem'!$BY$35="","",'4. Sem'!$BY$35)</f>
        <v/>
      </c>
      <c r="BX93" s="581" t="str">
        <f>IF('4. Sem'!$BZ$35="","",'4. Sem'!$BZ$35)</f>
        <v/>
      </c>
      <c r="BY93" s="582" t="str">
        <f>IF('4. Sem'!$CA$35="","",'4. Sem'!$CA$35)</f>
        <v/>
      </c>
      <c r="BZ93" s="590" t="str">
        <f>IF('4. Sem'!$CB$35="","",'4. Sem'!$CB$35)</f>
        <v/>
      </c>
      <c r="CA93" s="584" t="str">
        <f>IF('4. Sem'!$CC$35="","",'4. Sem'!$CC$35)</f>
        <v/>
      </c>
      <c r="CB93" s="588" t="str">
        <f>IF('4. Sem'!$CD$35="","",'4. Sem'!$CD$35)</f>
        <v/>
      </c>
      <c r="CC93" s="584" t="str">
        <f>IF('4. Sem'!$CE$35="","",'4. Sem'!$CE$35)</f>
        <v/>
      </c>
      <c r="CD93" s="592" t="str">
        <f>IF('4. Sem'!$CF$35="","",'4. Sem'!$CF$35)</f>
        <v/>
      </c>
      <c r="CE93" s="593" t="str">
        <f>IF('4. Sem'!$CG$35="","",'4. Sem'!$CG$35)</f>
        <v/>
      </c>
      <c r="CF93" s="581" t="str">
        <f>IF('4. Sem'!$CH$35="","",'4. Sem'!$CH$35)</f>
        <v/>
      </c>
      <c r="CG93" s="588" t="str">
        <f>IF('4. Sem'!$CI$35="","",'4. Sem'!$CI$35)</f>
        <v/>
      </c>
      <c r="CH93" s="581" t="str">
        <f>IF('4. Sem'!$CJ$35="","",'4. Sem'!$CJ$35)</f>
        <v/>
      </c>
      <c r="CI93" s="582" t="str">
        <f>IF('4. Sem'!$CK$35="","",'4. Sem'!$CK$35)</f>
        <v/>
      </c>
      <c r="CJ93" s="583" t="str">
        <f>IF('4. Sem'!$CL$35="","",'4. Sem'!$CL$35)</f>
        <v/>
      </c>
      <c r="CK93" s="584" t="str">
        <f>IF('4. Sem'!$CM$35="","",'4. Sem'!$CM$35)</f>
        <v/>
      </c>
      <c r="CL93" s="588" t="str">
        <f>IF('4. Sem'!$CN$35="","",'4. Sem'!$CN$35)</f>
        <v/>
      </c>
      <c r="CM93" s="584" t="str">
        <f>IF('4. Sem'!$CO$35="","",'4. Sem'!$CO$35)</f>
        <v/>
      </c>
      <c r="CN93" s="592" t="str">
        <f>IF('4. Sem'!$CP$35="","",'4. Sem'!$CP$35)</f>
        <v/>
      </c>
      <c r="CO93" s="593" t="str">
        <f>IF('4. Sem'!$CQ$35="","",'4. Sem'!$CQ$35)</f>
        <v/>
      </c>
      <c r="CP93" s="581" t="str">
        <f>IF('4. Sem'!$CR$35="","",'4. Sem'!$CR$35)</f>
        <v/>
      </c>
      <c r="CQ93" s="588" t="str">
        <f>IF('4. Sem'!$CS$35="","",'4. Sem'!$CS$35)</f>
        <v/>
      </c>
      <c r="CR93" s="581" t="str">
        <f>IF('4. Sem'!$CT$35="","",'4. Sem'!$CT$35)</f>
        <v/>
      </c>
      <c r="CS93" s="582" t="str">
        <f>IF('4. Sem'!$CU$35="","",'4. Sem'!$CU$35)</f>
        <v/>
      </c>
      <c r="CT93" s="583" t="str">
        <f>IF('4. Sem'!$CV$35="","",'4. Sem'!$CV$35)</f>
        <v/>
      </c>
      <c r="CU93" s="584" t="str">
        <f>IF('4. Sem'!$CW$35="","",'4. Sem'!$CW$35)</f>
        <v/>
      </c>
      <c r="CV93" s="588" t="str">
        <f>IF('4. Sem'!$CX$35="","",'4. Sem'!$CX$35)</f>
        <v/>
      </c>
      <c r="CW93" s="584" t="str">
        <f>IF('4. Sem'!$CY$35="","",'4. Sem'!$CY$35)</f>
        <v/>
      </c>
      <c r="CX93" s="592" t="str">
        <f>IF('4. Sem'!$CZ$35="","",'4. Sem'!$CZ$35)</f>
        <v/>
      </c>
      <c r="CY93" s="593" t="str">
        <f>IF('4. Sem'!$DA$35="","",'4. Sem'!$DA$35)</f>
        <v/>
      </c>
      <c r="CZ93" s="581" t="str">
        <f>IF('4. Sem'!$DB$35="","",'4. Sem'!$DB$35)</f>
        <v/>
      </c>
      <c r="DA93" s="588" t="str">
        <f>IF('4. Sem'!$DC$35="","",'4. Sem'!$DC$35)</f>
        <v/>
      </c>
      <c r="DB93" s="581" t="str">
        <f>IF('4. Sem'!$DD$35="","",'4. Sem'!$DD$35)</f>
        <v/>
      </c>
      <c r="DC93" s="582" t="str">
        <f>IF('4. Sem'!$DE$35="","",'4. Sem'!$DE$35)</f>
        <v/>
      </c>
    </row>
    <row r="94" spans="1:107" ht="17" customHeight="1" thickBot="1" x14ac:dyDescent="0.25">
      <c r="A94" s="566"/>
      <c r="B94" s="579" t="s">
        <v>23</v>
      </c>
      <c r="C94" s="613" t="str">
        <f>IF('4. Sem'!$E$36="","",'4. Sem'!$E$36)</f>
        <v/>
      </c>
      <c r="D94" s="607" t="str">
        <f>IF('4. Sem'!$F$36="","",'4. Sem'!$F$36)</f>
        <v/>
      </c>
      <c r="E94" s="608" t="str">
        <f>IF('4. Sem'!$G$36="","",'4. Sem'!$G$36)</f>
        <v/>
      </c>
      <c r="F94" s="607" t="str">
        <f>IF('4. Sem'!$H$36="","",'4. Sem'!$H$36)</f>
        <v/>
      </c>
      <c r="G94" s="609" t="str">
        <f>IF('4. Sem'!$I$36="","",'4. Sem'!$I$36)</f>
        <v/>
      </c>
      <c r="H94" s="610" t="str">
        <f>IF('4. Sem'!$J$36="","",'4. Sem'!$J$36)</f>
        <v/>
      </c>
      <c r="I94" s="611" t="str">
        <f>IF('4. Sem'!$K$36="","",'4. Sem'!$K$36)</f>
        <v/>
      </c>
      <c r="J94" s="608" t="str">
        <f>IF('4. Sem'!$L$36="","",'4. Sem'!$L$36)</f>
        <v/>
      </c>
      <c r="K94" s="611" t="str">
        <f>IF('4. Sem'!$M$36="","",'4. Sem'!$M$36)</f>
        <v/>
      </c>
      <c r="L94" s="612" t="str">
        <f>IF('4. Sem'!$N$36="","",'4. Sem'!$N$36)</f>
        <v/>
      </c>
      <c r="M94" s="613" t="str">
        <f>IF('4. Sem'!$O$36="","",'4. Sem'!$O$36)</f>
        <v/>
      </c>
      <c r="N94" s="607" t="str">
        <f>IF('4. Sem'!$P$36="","",'4. Sem'!$P$36)</f>
        <v/>
      </c>
      <c r="O94" s="608" t="str">
        <f>IF('4. Sem'!$Q$36="","",'4. Sem'!$Q$36)</f>
        <v/>
      </c>
      <c r="P94" s="607" t="str">
        <f>IF('4. Sem'!$R$36="","",'4. Sem'!$R$36)</f>
        <v/>
      </c>
      <c r="Q94" s="609" t="str">
        <f>IF('4. Sem'!$S$36="","",'4. Sem'!$S$36)</f>
        <v/>
      </c>
      <c r="R94" s="610" t="str">
        <f>IF('4. Sem'!$T$36="","",'4. Sem'!$T$36)</f>
        <v/>
      </c>
      <c r="S94" s="611" t="str">
        <f>IF('4. Sem'!$U$36="","",'4. Sem'!$U$36)</f>
        <v/>
      </c>
      <c r="T94" s="608" t="str">
        <f>IF('4. Sem'!$V$36="","",'4. Sem'!$V$36)</f>
        <v/>
      </c>
      <c r="U94" s="611" t="str">
        <f>IF('4. Sem'!$W$36="","",'4. Sem'!$W$36)</f>
        <v/>
      </c>
      <c r="V94" s="612" t="str">
        <f>IF('4. Sem'!$X$36="","",'4. Sem'!$X$36)</f>
        <v/>
      </c>
      <c r="W94" s="613" t="str">
        <f>IF('4. Sem'!$Y$36="","",'4. Sem'!$Y$36)</f>
        <v/>
      </c>
      <c r="X94" s="607" t="str">
        <f>IF('4. Sem'!$Z$36="","",'4. Sem'!$Z$36)</f>
        <v/>
      </c>
      <c r="Y94" s="608" t="str">
        <f>IF('4. Sem'!$AA$36="","",'4. Sem'!$AA$36)</f>
        <v/>
      </c>
      <c r="Z94" s="607" t="str">
        <f>IF('4. Sem'!$AB$36="","",'4. Sem'!$AB$36)</f>
        <v/>
      </c>
      <c r="AA94" s="609" t="str">
        <f>IF('4. Sem'!$AC$36="","",'4. Sem'!$AC$36)</f>
        <v/>
      </c>
      <c r="AB94" s="610" t="str">
        <f>IF('4. Sem'!$AD$36="","",'4. Sem'!$AD$36)</f>
        <v/>
      </c>
      <c r="AC94" s="611" t="str">
        <f>IF('4. Sem'!$AE$36="","",'4. Sem'!$AE$36)</f>
        <v/>
      </c>
      <c r="AD94" s="608" t="str">
        <f>IF('4. Sem'!$AF$36="","",'4. Sem'!$AF$36)</f>
        <v/>
      </c>
      <c r="AE94" s="611" t="str">
        <f>IF('4. Sem'!$AG$36="","",'4. Sem'!$AG$36)</f>
        <v/>
      </c>
      <c r="AF94" s="612" t="str">
        <f>IF('4. Sem'!$AH$36="","",'4. Sem'!$AH$36)</f>
        <v/>
      </c>
      <c r="AG94" s="613" t="str">
        <f>IF('4. Sem'!$AI$36="","",'4. Sem'!$AI$36)</f>
        <v/>
      </c>
      <c r="AH94" s="607" t="str">
        <f>IF('4. Sem'!$AJ$36="","",'4. Sem'!$AJ$36)</f>
        <v/>
      </c>
      <c r="AI94" s="608" t="str">
        <f>IF('4. Sem'!$AK$36="","",'4. Sem'!$AK$36)</f>
        <v/>
      </c>
      <c r="AJ94" s="607" t="str">
        <f>IF('4. Sem'!$AL$36="","",'4. Sem'!$AL$36)</f>
        <v/>
      </c>
      <c r="AK94" s="609" t="str">
        <f>IF('4. Sem'!$AM$36="","",'4. Sem'!$AM$36)</f>
        <v/>
      </c>
      <c r="AL94" s="616" t="str">
        <f>IF('4. Sem'!$AN$36="","",'4. Sem'!$AN$36)</f>
        <v/>
      </c>
      <c r="AM94" s="608" t="str">
        <f>IF('4. Sem'!$AO$36="","",'4. Sem'!$AO$36)</f>
        <v/>
      </c>
      <c r="AN94" s="608" t="str">
        <f>IF('4. Sem'!$AP$36="","",'4. Sem'!$AP$36)</f>
        <v/>
      </c>
      <c r="AO94" s="608" t="str">
        <f>IF('4. Sem'!$AQ$36="","",'4. Sem'!$AQ$36)</f>
        <v/>
      </c>
      <c r="AP94" s="615" t="str">
        <f>IF('4. Sem'!$AR$36="","",'4. Sem'!$AR$36)</f>
        <v/>
      </c>
      <c r="AQ94" s="614" t="str">
        <f>IF('4. Sem'!$AS$36="","",'4. Sem'!$AS$36)</f>
        <v/>
      </c>
      <c r="AR94" s="607" t="str">
        <f>IF('4. Sem'!$AT$36="","",'4. Sem'!$AT$36)</f>
        <v/>
      </c>
      <c r="AS94" s="608" t="str">
        <f>IF('4. Sem'!$AU$36="","",'4. Sem'!$AU$36)</f>
        <v/>
      </c>
      <c r="AT94" s="607" t="str">
        <f>IF('4. Sem'!$AV$36="","",'4. Sem'!$AV$36)</f>
        <v/>
      </c>
      <c r="AU94" s="609" t="str">
        <f>IF('4. Sem'!$AW$36="","",'4. Sem'!$AW$36)</f>
        <v/>
      </c>
      <c r="AV94" s="610" t="str">
        <f>IF('4. Sem'!$AX$36="","",'4. Sem'!$AX$36)</f>
        <v/>
      </c>
      <c r="AW94" s="611" t="str">
        <f>IF('4. Sem'!$AY$36="","",'4. Sem'!$AY$36)</f>
        <v/>
      </c>
      <c r="AX94" s="608" t="str">
        <f>IF('4. Sem'!$AZ$36="","",'4. Sem'!$AZ$36)</f>
        <v/>
      </c>
      <c r="AY94" s="611" t="str">
        <f>IF('4. Sem'!$BA$36="","",'4. Sem'!$BA$36)</f>
        <v/>
      </c>
      <c r="AZ94" s="612" t="str">
        <f>IF('4. Sem'!$BB$36="","",'4. Sem'!$BB$36)</f>
        <v/>
      </c>
      <c r="BA94" s="613" t="str">
        <f>IF('4. Sem'!$BC$36="","",'4. Sem'!$BC$36)</f>
        <v/>
      </c>
      <c r="BB94" s="607" t="str">
        <f>IF('4. Sem'!$BD$36="","",'4. Sem'!$BD$36)</f>
        <v/>
      </c>
      <c r="BC94" s="608" t="str">
        <f>IF('4. Sem'!$BE$36="","",'4. Sem'!$BE$36)</f>
        <v/>
      </c>
      <c r="BD94" s="607" t="str">
        <f>IF('4. Sem'!$BF$36="","",'4. Sem'!$BF$36)</f>
        <v/>
      </c>
      <c r="BE94" s="609" t="str">
        <f>IF('4. Sem'!$BG$36="","",'4. Sem'!$BG$36)</f>
        <v/>
      </c>
      <c r="BF94" s="610" t="str">
        <f>IF('4. Sem'!$BH$36="","",'4. Sem'!$BH$36)</f>
        <v/>
      </c>
      <c r="BG94" s="611" t="str">
        <f>IF('4. Sem'!$BI$36="","",'4. Sem'!$BI$36)</f>
        <v/>
      </c>
      <c r="BH94" s="608" t="str">
        <f>IF('4. Sem'!$BJ$36="","",'4. Sem'!$BJ$36)</f>
        <v/>
      </c>
      <c r="BI94" s="611" t="str">
        <f>IF('4. Sem'!$BK$36="","",'4. Sem'!$BK$36)</f>
        <v/>
      </c>
      <c r="BJ94" s="612" t="str">
        <f>IF('4. Sem'!$BL$36="","",'4. Sem'!$BL$36)</f>
        <v/>
      </c>
      <c r="BK94" s="613" t="str">
        <f>IF('4. Sem'!$BM$36="","",'4. Sem'!$BM$36)</f>
        <v/>
      </c>
      <c r="BL94" s="607" t="str">
        <f>IF('4. Sem'!$BN$36="","",'4. Sem'!$BN$36)</f>
        <v/>
      </c>
      <c r="BM94" s="608" t="str">
        <f>IF('4. Sem'!$BO$36="","",'4. Sem'!$BO$36)</f>
        <v/>
      </c>
      <c r="BN94" s="607" t="str">
        <f>IF('4. Sem'!$BP$36="","",'4. Sem'!$BP$36)</f>
        <v/>
      </c>
      <c r="BO94" s="609" t="str">
        <f>IF('4. Sem'!$BQ$36="","",'4. Sem'!$BQ$36)</f>
        <v/>
      </c>
      <c r="BP94" s="610" t="str">
        <f>IF('4. Sem'!$BR$36="","",'4. Sem'!$BR$36)</f>
        <v/>
      </c>
      <c r="BQ94" s="611" t="str">
        <f>IF('4. Sem'!$BS$36="","",'4. Sem'!$BS$36)</f>
        <v/>
      </c>
      <c r="BR94" s="608" t="str">
        <f>IF('4. Sem'!$BT$36="","",'4. Sem'!$BT$36)</f>
        <v/>
      </c>
      <c r="BS94" s="608" t="str">
        <f>IF('4. Sem'!$BU$36="","",'4. Sem'!$BU$36)</f>
        <v/>
      </c>
      <c r="BT94" s="615" t="str">
        <f>IF('4. Sem'!$BV$36="","",'4. Sem'!$BV$36)</f>
        <v/>
      </c>
      <c r="BU94" s="613" t="str">
        <f>IF('4. Sem'!$BW$36="","",'4. Sem'!$BW$36)</f>
        <v/>
      </c>
      <c r="BV94" s="607" t="str">
        <f>IF('4. Sem'!$BX$36="","",'4. Sem'!$BX$36)</f>
        <v/>
      </c>
      <c r="BW94" s="608" t="str">
        <f>IF('4. Sem'!$BY$36="","",'4. Sem'!$BY$36)</f>
        <v/>
      </c>
      <c r="BX94" s="607" t="str">
        <f>IF('4. Sem'!$BZ$36="","",'4. Sem'!$BZ$36)</f>
        <v/>
      </c>
      <c r="BY94" s="609" t="str">
        <f>IF('4. Sem'!$CA$36="","",'4. Sem'!$CA$36)</f>
        <v/>
      </c>
      <c r="BZ94" s="616" t="str">
        <f>IF('4. Sem'!$CB$36="","",'4. Sem'!$CB$36)</f>
        <v/>
      </c>
      <c r="CA94" s="611" t="str">
        <f>IF('4. Sem'!$CC$36="","",'4. Sem'!$CC$36)</f>
        <v/>
      </c>
      <c r="CB94" s="608" t="str">
        <f>IF('4. Sem'!$CD$36="","",'4. Sem'!$CD$36)</f>
        <v/>
      </c>
      <c r="CC94" s="611" t="str">
        <f>IF('4. Sem'!$CE$36="","",'4. Sem'!$CE$36)</f>
        <v/>
      </c>
      <c r="CD94" s="612" t="str">
        <f>IF('4. Sem'!$CF$36="","",'4. Sem'!$CF$36)</f>
        <v/>
      </c>
      <c r="CE94" s="613" t="str">
        <f>IF('4. Sem'!$CG$36="","",'4. Sem'!$CG$36)</f>
        <v/>
      </c>
      <c r="CF94" s="607" t="str">
        <f>IF('4. Sem'!$CH$36="","",'4. Sem'!$CH$36)</f>
        <v/>
      </c>
      <c r="CG94" s="608" t="str">
        <f>IF('4. Sem'!$CI$36="","",'4. Sem'!$CI$36)</f>
        <v/>
      </c>
      <c r="CH94" s="607" t="str">
        <f>IF('4. Sem'!$CJ$36="","",'4. Sem'!$CJ$36)</f>
        <v/>
      </c>
      <c r="CI94" s="609" t="str">
        <f>IF('4. Sem'!$CK$36="","",'4. Sem'!$CK$36)</f>
        <v/>
      </c>
      <c r="CJ94" s="610" t="str">
        <f>IF('4. Sem'!$CL$36="","",'4. Sem'!$CL$36)</f>
        <v/>
      </c>
      <c r="CK94" s="611" t="str">
        <f>IF('4. Sem'!$CM$36="","",'4. Sem'!$CM$36)</f>
        <v/>
      </c>
      <c r="CL94" s="608" t="str">
        <f>IF('4. Sem'!$CN$36="","",'4. Sem'!$CN$36)</f>
        <v/>
      </c>
      <c r="CM94" s="611" t="str">
        <f>IF('4. Sem'!$CO$36="","",'4. Sem'!$CO$36)</f>
        <v/>
      </c>
      <c r="CN94" s="612" t="str">
        <f>IF('4. Sem'!$CP$36="","",'4. Sem'!$CP$36)</f>
        <v/>
      </c>
      <c r="CO94" s="613" t="str">
        <f>IF('4. Sem'!$CQ$36="","",'4. Sem'!$CQ$36)</f>
        <v/>
      </c>
      <c r="CP94" s="607" t="str">
        <f>IF('4. Sem'!$CR$36="","",'4. Sem'!$CR$36)</f>
        <v/>
      </c>
      <c r="CQ94" s="608" t="str">
        <f>IF('4. Sem'!$CS$36="","",'4. Sem'!$CS$36)</f>
        <v/>
      </c>
      <c r="CR94" s="607" t="str">
        <f>IF('4. Sem'!$CT$36="","",'4. Sem'!$CT$36)</f>
        <v/>
      </c>
      <c r="CS94" s="609" t="str">
        <f>IF('4. Sem'!$CU$36="","",'4. Sem'!$CU$36)</f>
        <v/>
      </c>
      <c r="CT94" s="610" t="str">
        <f>IF('4. Sem'!$CV$36="","",'4. Sem'!$CV$36)</f>
        <v/>
      </c>
      <c r="CU94" s="611" t="str">
        <f>IF('4. Sem'!$CW$36="","",'4. Sem'!$CW$36)</f>
        <v/>
      </c>
      <c r="CV94" s="608" t="str">
        <f>IF('4. Sem'!$CX$36="","",'4. Sem'!$CX$36)</f>
        <v/>
      </c>
      <c r="CW94" s="611" t="str">
        <f>IF('4. Sem'!$CY$36="","",'4. Sem'!$CY$36)</f>
        <v/>
      </c>
      <c r="CX94" s="612" t="str">
        <f>IF('4. Sem'!$CZ$36="","",'4. Sem'!$CZ$36)</f>
        <v/>
      </c>
      <c r="CY94" s="613" t="str">
        <f>IF('4. Sem'!$DA$36="","",'4. Sem'!$DA$36)</f>
        <v/>
      </c>
      <c r="CZ94" s="607" t="str">
        <f>IF('4. Sem'!$DB$36="","",'4. Sem'!$DB$36)</f>
        <v/>
      </c>
      <c r="DA94" s="608" t="str">
        <f>IF('4. Sem'!$DC$36="","",'4. Sem'!$DC$36)</f>
        <v/>
      </c>
      <c r="DB94" s="607" t="str">
        <f>IF('4. Sem'!$DD$36="","",'4. Sem'!$DD$36)</f>
        <v/>
      </c>
      <c r="DC94" s="609" t="str">
        <f>IF('4. Sem'!$DE$36="","",'4. Sem'!$DE$36)</f>
        <v/>
      </c>
    </row>
    <row r="95" spans="1:107" ht="16" customHeight="1" x14ac:dyDescent="0.2">
      <c r="A95" s="566"/>
      <c r="B95" s="579" t="s">
        <v>24</v>
      </c>
      <c r="C95" s="617" t="str">
        <f>IF('4. Sem'!$E$37="","",'4. Sem'!$E$37)</f>
        <v/>
      </c>
      <c r="D95" s="618" t="str">
        <f>IF('4. Sem'!$F$37="","",'4. Sem'!$F$37)</f>
        <v/>
      </c>
      <c r="E95" s="618" t="str">
        <f>IF('4. Sem'!$G$37="","",'4. Sem'!$G$37)</f>
        <v/>
      </c>
      <c r="F95" s="618" t="str">
        <f>IF('4. Sem'!$H$37="","",'4. Sem'!$H$37)</f>
        <v/>
      </c>
      <c r="G95" s="619" t="str">
        <f>IF('4. Sem'!$I$37="","",'4. Sem'!$I$37)</f>
        <v/>
      </c>
      <c r="H95" s="620" t="str">
        <f>IF('4. Sem'!$J$37="","",'4. Sem'!$J$37)</f>
        <v/>
      </c>
      <c r="I95" s="621" t="str">
        <f>IF('4. Sem'!$K$37="","",'4. Sem'!$K$37)</f>
        <v/>
      </c>
      <c r="J95" s="621" t="str">
        <f>IF('4. Sem'!$L$37="","",'4. Sem'!$L$37)</f>
        <v/>
      </c>
      <c r="K95" s="621" t="str">
        <f>IF('4. Sem'!$M$37="","",'4. Sem'!$M$37)</f>
        <v/>
      </c>
      <c r="L95" s="622" t="str">
        <f>IF('4. Sem'!$N$37="","",'4. Sem'!$N$37)</f>
        <v/>
      </c>
      <c r="M95" s="617" t="str">
        <f>IF('4. Sem'!$O$37="","",'4. Sem'!$O$37)</f>
        <v/>
      </c>
      <c r="N95" s="618" t="str">
        <f>IF('4. Sem'!$P$37="","",'4. Sem'!$P$37)</f>
        <v/>
      </c>
      <c r="O95" s="618" t="str">
        <f>IF('4. Sem'!$Q$37="","",'4. Sem'!$Q$37)</f>
        <v/>
      </c>
      <c r="P95" s="618" t="str">
        <f>IF('4. Sem'!$R$37="","",'4. Sem'!$R$37)</f>
        <v/>
      </c>
      <c r="Q95" s="619" t="str">
        <f>IF('4. Sem'!$S$37="","",'4. Sem'!$S$37)</f>
        <v/>
      </c>
      <c r="R95" s="620" t="str">
        <f>IF('4. Sem'!$T$37="","",'4. Sem'!$T$37)</f>
        <v/>
      </c>
      <c r="S95" s="621" t="str">
        <f>IF('4. Sem'!$U$37="","",'4. Sem'!$U$37)</f>
        <v/>
      </c>
      <c r="T95" s="621" t="str">
        <f>IF('4. Sem'!$V$37="","",'4. Sem'!$V$37)</f>
        <v/>
      </c>
      <c r="U95" s="621" t="str">
        <f>IF('4. Sem'!$W$37="","",'4. Sem'!$W$37)</f>
        <v/>
      </c>
      <c r="V95" s="622" t="str">
        <f>IF('4. Sem'!$X$37="","",'4. Sem'!$X$37)</f>
        <v/>
      </c>
      <c r="W95" s="617" t="str">
        <f>IF('4. Sem'!$Y$37="","",'4. Sem'!$Y$37)</f>
        <v/>
      </c>
      <c r="X95" s="618" t="str">
        <f>IF('4. Sem'!$Z$37="","",'4. Sem'!$Z$37)</f>
        <v/>
      </c>
      <c r="Y95" s="618" t="str">
        <f>IF('4. Sem'!$AA$37="","",'4. Sem'!$AA$37)</f>
        <v/>
      </c>
      <c r="Z95" s="618" t="str">
        <f>IF('4. Sem'!$AB$37="","",'4. Sem'!$AB$37)</f>
        <v/>
      </c>
      <c r="AA95" s="619" t="str">
        <f>IF('4. Sem'!$AC$37="","",'4. Sem'!$AC$37)</f>
        <v/>
      </c>
      <c r="AB95" s="620" t="str">
        <f>IF('4. Sem'!$AD$37="","",'4. Sem'!$AD$37)</f>
        <v/>
      </c>
      <c r="AC95" s="621" t="str">
        <f>IF('4. Sem'!$AE$37="","",'4. Sem'!$AE$37)</f>
        <v/>
      </c>
      <c r="AD95" s="621" t="str">
        <f>IF('4. Sem'!$AF$37="","",'4. Sem'!$AF$37)</f>
        <v/>
      </c>
      <c r="AE95" s="621" t="str">
        <f>IF('4. Sem'!$AG$37="","",'4. Sem'!$AG$37)</f>
        <v/>
      </c>
      <c r="AF95" s="622" t="str">
        <f>IF('4. Sem'!$AH$37="","",'4. Sem'!$AH$37)</f>
        <v/>
      </c>
      <c r="AG95" s="617" t="str">
        <f>IF('4. Sem'!$AI$37="","",'4. Sem'!$AI$37)</f>
        <v/>
      </c>
      <c r="AH95" s="618" t="str">
        <f>IF('4. Sem'!$AJ$37="","",'4. Sem'!$AJ$37)</f>
        <v/>
      </c>
      <c r="AI95" s="618" t="str">
        <f>IF('4. Sem'!$AK$37="","",'4. Sem'!$AK$37)</f>
        <v/>
      </c>
      <c r="AJ95" s="618" t="str">
        <f>IF('4. Sem'!$AL$37="","",'4. Sem'!$AL$37)</f>
        <v/>
      </c>
      <c r="AK95" s="619" t="str">
        <f>IF('4. Sem'!$AM$37="","",'4. Sem'!$AM$37)</f>
        <v/>
      </c>
      <c r="AL95" s="620" t="str">
        <f>IF('4. Sem'!$AN$37="","",'4. Sem'!$AN$37)</f>
        <v/>
      </c>
      <c r="AM95" s="621" t="str">
        <f>IF('4. Sem'!$AO$37="","",'4. Sem'!$AO$37)</f>
        <v/>
      </c>
      <c r="AN95" s="621" t="str">
        <f>IF('4. Sem'!$AP$37="","",'4. Sem'!$AP$37)</f>
        <v/>
      </c>
      <c r="AO95" s="621" t="str">
        <f>IF('4. Sem'!$AQ$37="","",'4. Sem'!$AQ$37)</f>
        <v/>
      </c>
      <c r="AP95" s="622" t="str">
        <f>IF('4. Sem'!$AR$37="","",'4. Sem'!$AR$37)</f>
        <v/>
      </c>
      <c r="AQ95" s="617" t="str">
        <f>IF('4. Sem'!$AS$37="","",'4. Sem'!$AS$37)</f>
        <v/>
      </c>
      <c r="AR95" s="618" t="str">
        <f>IF('4. Sem'!$AT$37="","",'4. Sem'!$AT$37)</f>
        <v/>
      </c>
      <c r="AS95" s="618" t="str">
        <f>IF('4. Sem'!$AU$37="","",'4. Sem'!$AU$37)</f>
        <v/>
      </c>
      <c r="AT95" s="618" t="str">
        <f>IF('4. Sem'!$AV$37="","",'4. Sem'!$AV$37)</f>
        <v/>
      </c>
      <c r="AU95" s="619" t="str">
        <f>IF('4. Sem'!$AW$37="","",'4. Sem'!$AW$37)</f>
        <v/>
      </c>
      <c r="AV95" s="620" t="str">
        <f>IF('4. Sem'!$AX$37="","",'4. Sem'!$AX$37)</f>
        <v/>
      </c>
      <c r="AW95" s="621" t="str">
        <f>IF('4. Sem'!$AY$37="","",'4. Sem'!$AY$37)</f>
        <v/>
      </c>
      <c r="AX95" s="621" t="str">
        <f>IF('4. Sem'!$AZ$37="","",'4. Sem'!$AZ$37)</f>
        <v/>
      </c>
      <c r="AY95" s="621" t="str">
        <f>IF('4. Sem'!$BA$37="","",'4. Sem'!$BA$37)</f>
        <v/>
      </c>
      <c r="AZ95" s="622" t="str">
        <f>IF('4. Sem'!$BB$37="","",'4. Sem'!$BB$37)</f>
        <v/>
      </c>
      <c r="BA95" s="617" t="str">
        <f>IF('4. Sem'!$BC$37="","",'4. Sem'!$BC$37)</f>
        <v/>
      </c>
      <c r="BB95" s="618" t="str">
        <f>IF('4. Sem'!$BD$37="","",'4. Sem'!$BD$37)</f>
        <v/>
      </c>
      <c r="BC95" s="618" t="str">
        <f>IF('4. Sem'!$BE$37="","",'4. Sem'!$BE$37)</f>
        <v/>
      </c>
      <c r="BD95" s="618" t="str">
        <f>IF('4. Sem'!$BF$37="","",'4. Sem'!$BF$37)</f>
        <v/>
      </c>
      <c r="BE95" s="619" t="str">
        <f>IF('4. Sem'!$BG$37="","",'4. Sem'!$BG$37)</f>
        <v/>
      </c>
      <c r="BF95" s="620" t="str">
        <f>IF('4. Sem'!$BH$37="","",'4. Sem'!$BH$37)</f>
        <v/>
      </c>
      <c r="BG95" s="621" t="str">
        <f>IF('4. Sem'!$BI$37="","",'4. Sem'!$BI$37)</f>
        <v/>
      </c>
      <c r="BH95" s="621" t="str">
        <f>IF('4. Sem'!$BJ$37="","",'4. Sem'!$BJ$37)</f>
        <v/>
      </c>
      <c r="BI95" s="621" t="str">
        <f>IF('4. Sem'!$BK$37="","",'4. Sem'!$BK$37)</f>
        <v/>
      </c>
      <c r="BJ95" s="622" t="str">
        <f>IF('4. Sem'!$BL$37="","",'4. Sem'!$BL$37)</f>
        <v/>
      </c>
      <c r="BK95" s="617" t="str">
        <f>IF('4. Sem'!$BM$37="","",'4. Sem'!$BM$37)</f>
        <v/>
      </c>
      <c r="BL95" s="618" t="str">
        <f>IF('4. Sem'!$BN$37="","",'4. Sem'!$BN$37)</f>
        <v/>
      </c>
      <c r="BM95" s="618" t="str">
        <f>IF('4. Sem'!$BO$37="","",'4. Sem'!$BO$37)</f>
        <v/>
      </c>
      <c r="BN95" s="618" t="str">
        <f>IF('4. Sem'!$BP$37="","",'4. Sem'!$BP$37)</f>
        <v/>
      </c>
      <c r="BO95" s="619" t="str">
        <f>IF('4. Sem'!$BQ$37="","",'4. Sem'!$BQ$37)</f>
        <v/>
      </c>
      <c r="BP95" s="620" t="str">
        <f>IF('4. Sem'!$BR$37="","",'4. Sem'!$BR$37)</f>
        <v/>
      </c>
      <c r="BQ95" s="621" t="str">
        <f>IF('4. Sem'!$BS$37="","",'4. Sem'!$BS$37)</f>
        <v/>
      </c>
      <c r="BR95" s="621" t="str">
        <f>IF('4. Sem'!$BT$37="","",'4. Sem'!$BT$37)</f>
        <v/>
      </c>
      <c r="BS95" s="621" t="str">
        <f>IF('4. Sem'!$BU$37="","",'4. Sem'!$BU$37)</f>
        <v/>
      </c>
      <c r="BT95" s="622" t="str">
        <f>IF('4. Sem'!$BV$37="","",'4. Sem'!$BV$37)</f>
        <v/>
      </c>
      <c r="BU95" s="617" t="str">
        <f>IF('4. Sem'!$BW$37="","",'4. Sem'!$BW$37)</f>
        <v/>
      </c>
      <c r="BV95" s="618" t="str">
        <f>IF('4. Sem'!$BX$37="","",'4. Sem'!$BX$37)</f>
        <v/>
      </c>
      <c r="BW95" s="618" t="str">
        <f>IF('4. Sem'!$BY$37="","",'4. Sem'!$BY$37)</f>
        <v/>
      </c>
      <c r="BX95" s="618" t="str">
        <f>IF('4. Sem'!$BZ$37="","",'4. Sem'!$BZ$37)</f>
        <v/>
      </c>
      <c r="BY95" s="619" t="str">
        <f>IF('4. Sem'!$CA$37="","",'4. Sem'!$CA$37)</f>
        <v/>
      </c>
      <c r="BZ95" s="620" t="str">
        <f>IF('4. Sem'!$CB$37="","",'4. Sem'!$CB$37)</f>
        <v/>
      </c>
      <c r="CA95" s="621" t="str">
        <f>IF('4. Sem'!$CC$37="","",'4. Sem'!$CC$37)</f>
        <v/>
      </c>
      <c r="CB95" s="621" t="str">
        <f>IF('4. Sem'!$CD$37="","",'4. Sem'!$CD$37)</f>
        <v/>
      </c>
      <c r="CC95" s="621" t="str">
        <f>IF('4. Sem'!$CE$37="","",'4. Sem'!$CE$37)</f>
        <v/>
      </c>
      <c r="CD95" s="622" t="str">
        <f>IF('4. Sem'!$CF$37="","",'4. Sem'!$CF$37)</f>
        <v/>
      </c>
      <c r="CE95" s="617" t="str">
        <f>IF('4. Sem'!$CG$37="","",'4. Sem'!$CG$37)</f>
        <v/>
      </c>
      <c r="CF95" s="618" t="str">
        <f>IF('4. Sem'!$CH$37="","",'4. Sem'!$CH$37)</f>
        <v/>
      </c>
      <c r="CG95" s="618" t="str">
        <f>IF('4. Sem'!$CI$37="","",'4. Sem'!$CI$37)</f>
        <v/>
      </c>
      <c r="CH95" s="618" t="str">
        <f>IF('4. Sem'!$CJ$37="","",'4. Sem'!$CJ$37)</f>
        <v/>
      </c>
      <c r="CI95" s="619" t="str">
        <f>IF('4. Sem'!$CK$37="","",'4. Sem'!$CK$37)</f>
        <v/>
      </c>
      <c r="CJ95" s="620" t="str">
        <f>IF('4. Sem'!$CL$37="","",'4. Sem'!$CL$37)</f>
        <v/>
      </c>
      <c r="CK95" s="621" t="str">
        <f>IF('4. Sem'!$CM$37="","",'4. Sem'!$CM$37)</f>
        <v/>
      </c>
      <c r="CL95" s="621" t="str">
        <f>IF('4. Sem'!$CN$37="","",'4. Sem'!$CN$37)</f>
        <v/>
      </c>
      <c r="CM95" s="621" t="str">
        <f>IF('4. Sem'!$CO$37="","",'4. Sem'!$CO$37)</f>
        <v/>
      </c>
      <c r="CN95" s="622" t="str">
        <f>IF('4. Sem'!$CP$37="","",'4. Sem'!$CP$37)</f>
        <v/>
      </c>
      <c r="CO95" s="617" t="str">
        <f>IF('4. Sem'!$CQ$37="","",'4. Sem'!$CQ$37)</f>
        <v/>
      </c>
      <c r="CP95" s="618" t="str">
        <f>IF('4. Sem'!$CR$37="","",'4. Sem'!$CR$37)</f>
        <v/>
      </c>
      <c r="CQ95" s="618" t="str">
        <f>IF('4. Sem'!$CS$37="","",'4. Sem'!$CS$37)</f>
        <v/>
      </c>
      <c r="CR95" s="618" t="str">
        <f>IF('4. Sem'!$CT$37="","",'4. Sem'!$CT$37)</f>
        <v/>
      </c>
      <c r="CS95" s="619" t="str">
        <f>IF('4. Sem'!$CU$37="","",'4. Sem'!$CU$37)</f>
        <v/>
      </c>
      <c r="CT95" s="620" t="str">
        <f>IF('4. Sem'!$CV$37="","",'4. Sem'!$CV$37)</f>
        <v/>
      </c>
      <c r="CU95" s="621" t="str">
        <f>IF('4. Sem'!$CW$37="","",'4. Sem'!$CW$37)</f>
        <v/>
      </c>
      <c r="CV95" s="621" t="str">
        <f>IF('4. Sem'!$CX$37="","",'4. Sem'!$CX$37)</f>
        <v/>
      </c>
      <c r="CW95" s="621" t="str">
        <f>IF('4. Sem'!$CY$37="","",'4. Sem'!$CY$37)</f>
        <v/>
      </c>
      <c r="CX95" s="622" t="str">
        <f>IF('4. Sem'!$CZ$37="","",'4. Sem'!$CZ$37)</f>
        <v/>
      </c>
      <c r="CY95" s="617" t="str">
        <f>IF('4. Sem'!$DA$37="","",'4. Sem'!$DA$37)</f>
        <v/>
      </c>
      <c r="CZ95" s="618" t="str">
        <f>IF('4. Sem'!$DB$37="","",'4. Sem'!$DB$37)</f>
        <v/>
      </c>
      <c r="DA95" s="618" t="str">
        <f>IF('4. Sem'!$DC$37="","",'4. Sem'!$DC$37)</f>
        <v/>
      </c>
      <c r="DB95" s="618" t="str">
        <f>IF('4. Sem'!$DD$37="","",'4. Sem'!$DD$37)</f>
        <v/>
      </c>
      <c r="DC95" s="619" t="str">
        <f>IF('4. Sem'!$DE$37="","",'4. Sem'!$DE$37)</f>
        <v/>
      </c>
    </row>
    <row r="96" spans="1:107" ht="16" customHeight="1" x14ac:dyDescent="0.2">
      <c r="A96" s="566"/>
      <c r="B96" s="579" t="s">
        <v>30</v>
      </c>
      <c r="C96" s="623" t="str">
        <f>IF('4. Sem'!$E$38="","",'4. Sem'!$E$38)</f>
        <v/>
      </c>
      <c r="D96" s="624" t="str">
        <f>IF('4. Sem'!$F$38="","",'4. Sem'!$F$38)</f>
        <v/>
      </c>
      <c r="E96" s="624" t="str">
        <f>IF('4. Sem'!$G$38="","",'4. Sem'!$G$38)</f>
        <v/>
      </c>
      <c r="F96" s="624" t="str">
        <f>IF('4. Sem'!$H$38="","",'4. Sem'!$H$38)</f>
        <v/>
      </c>
      <c r="G96" s="625" t="str">
        <f>IF('4. Sem'!$I$38="","",'4. Sem'!$I$38)</f>
        <v/>
      </c>
      <c r="H96" s="626" t="str">
        <f>IF('4. Sem'!$J$38="","",'4. Sem'!$J$38)</f>
        <v/>
      </c>
      <c r="I96" s="627" t="str">
        <f>IF('4. Sem'!$K$38="","",'4. Sem'!$K$38)</f>
        <v/>
      </c>
      <c r="J96" s="627" t="str">
        <f>IF('4. Sem'!$L$38="","",'4. Sem'!$L$38)</f>
        <v/>
      </c>
      <c r="K96" s="627" t="str">
        <f>IF('4. Sem'!$M$38="","",'4. Sem'!$M$38)</f>
        <v/>
      </c>
      <c r="L96" s="628" t="str">
        <f>IF('4. Sem'!$N$38="","",'4. Sem'!$N$38)</f>
        <v/>
      </c>
      <c r="M96" s="623" t="str">
        <f>IF('4. Sem'!$O$38="","",'4. Sem'!$O$38)</f>
        <v/>
      </c>
      <c r="N96" s="624" t="str">
        <f>IF('4. Sem'!$P$38="","",'4. Sem'!$P$38)</f>
        <v/>
      </c>
      <c r="O96" s="624" t="str">
        <f>IF('4. Sem'!$Q$38="","",'4. Sem'!$Q$38)</f>
        <v/>
      </c>
      <c r="P96" s="624" t="str">
        <f>IF('4. Sem'!$R$38="","",'4. Sem'!$R$38)</f>
        <v/>
      </c>
      <c r="Q96" s="625" t="str">
        <f>IF('4. Sem'!$S$38="","",'4. Sem'!$S$38)</f>
        <v/>
      </c>
      <c r="R96" s="626" t="str">
        <f>IF('4. Sem'!$T$38="","",'4. Sem'!$T$38)</f>
        <v/>
      </c>
      <c r="S96" s="627" t="str">
        <f>IF('4. Sem'!$U$38="","",'4. Sem'!$U$38)</f>
        <v/>
      </c>
      <c r="T96" s="627" t="str">
        <f>IF('4. Sem'!$V$38="","",'4. Sem'!$V$38)</f>
        <v/>
      </c>
      <c r="U96" s="627" t="str">
        <f>IF('4. Sem'!$W$38="","",'4. Sem'!$W$38)</f>
        <v/>
      </c>
      <c r="V96" s="628" t="str">
        <f>IF('4. Sem'!$X$38="","",'4. Sem'!$X$38)</f>
        <v/>
      </c>
      <c r="W96" s="623" t="str">
        <f>IF('4. Sem'!$Y$38="","",'4. Sem'!$Y$38)</f>
        <v/>
      </c>
      <c r="X96" s="624" t="str">
        <f>IF('4. Sem'!$Z$38="","",'4. Sem'!$Z$38)</f>
        <v/>
      </c>
      <c r="Y96" s="624" t="str">
        <f>IF('4. Sem'!$AA$38="","",'4. Sem'!$AA$38)</f>
        <v/>
      </c>
      <c r="Z96" s="624" t="str">
        <f>IF('4. Sem'!$AB$38="","",'4. Sem'!$AB$38)</f>
        <v/>
      </c>
      <c r="AA96" s="625" t="str">
        <f>IF('4. Sem'!$AC$38="","",'4. Sem'!$AC$38)</f>
        <v/>
      </c>
      <c r="AB96" s="626" t="str">
        <f>IF('4. Sem'!$AD$38="","",'4. Sem'!$AD$38)</f>
        <v/>
      </c>
      <c r="AC96" s="627" t="str">
        <f>IF('4. Sem'!$AE$38="","",'4. Sem'!$AE$38)</f>
        <v/>
      </c>
      <c r="AD96" s="627" t="str">
        <f>IF('4. Sem'!$AF$38="","",'4. Sem'!$AF$38)</f>
        <v/>
      </c>
      <c r="AE96" s="627" t="str">
        <f>IF('4. Sem'!$AG$38="","",'4. Sem'!$AG$38)</f>
        <v/>
      </c>
      <c r="AF96" s="628" t="str">
        <f>IF('4. Sem'!$AH$38="","",'4. Sem'!$AH$38)</f>
        <v/>
      </c>
      <c r="AG96" s="623" t="str">
        <f>IF('4. Sem'!$AI$38="","",'4. Sem'!$AI$38)</f>
        <v/>
      </c>
      <c r="AH96" s="624" t="str">
        <f>IF('4. Sem'!$AJ$38="","",'4. Sem'!$AJ$38)</f>
        <v/>
      </c>
      <c r="AI96" s="624" t="str">
        <f>IF('4. Sem'!$AK$38="","",'4. Sem'!$AK$38)</f>
        <v/>
      </c>
      <c r="AJ96" s="624" t="str">
        <f>IF('4. Sem'!$AL$38="","",'4. Sem'!$AL$38)</f>
        <v/>
      </c>
      <c r="AK96" s="625" t="str">
        <f>IF('4. Sem'!$AM$38="","",'4. Sem'!$AM$38)</f>
        <v/>
      </c>
      <c r="AL96" s="626" t="str">
        <f>IF('4. Sem'!$AN$38="","",'4. Sem'!$AN$38)</f>
        <v/>
      </c>
      <c r="AM96" s="627" t="str">
        <f>IF('4. Sem'!$AO$38="","",'4. Sem'!$AO$38)</f>
        <v/>
      </c>
      <c r="AN96" s="627" t="str">
        <f>IF('4. Sem'!$AP$38="","",'4. Sem'!$AP$38)</f>
        <v/>
      </c>
      <c r="AO96" s="627" t="str">
        <f>IF('4. Sem'!$AQ$38="","",'4. Sem'!$AQ$38)</f>
        <v/>
      </c>
      <c r="AP96" s="628" t="str">
        <f>IF('4. Sem'!$AR$38="","",'4. Sem'!$AR$38)</f>
        <v/>
      </c>
      <c r="AQ96" s="623" t="str">
        <f>IF('4. Sem'!$AS$38="","",'4. Sem'!$AS$38)</f>
        <v/>
      </c>
      <c r="AR96" s="624" t="str">
        <f>IF('4. Sem'!$AT$38="","",'4. Sem'!$AT$38)</f>
        <v/>
      </c>
      <c r="AS96" s="624" t="str">
        <f>IF('4. Sem'!$AU$38="","",'4. Sem'!$AU$38)</f>
        <v/>
      </c>
      <c r="AT96" s="624" t="str">
        <f>IF('4. Sem'!$AV$38="","",'4. Sem'!$AV$38)</f>
        <v/>
      </c>
      <c r="AU96" s="625" t="str">
        <f>IF('4. Sem'!$AW$38="","",'4. Sem'!$AW$38)</f>
        <v/>
      </c>
      <c r="AV96" s="626" t="str">
        <f>IF('4. Sem'!$AX$38="","",'4. Sem'!$AX$38)</f>
        <v/>
      </c>
      <c r="AW96" s="627" t="str">
        <f>IF('4. Sem'!$AY$38="","",'4. Sem'!$AY$38)</f>
        <v/>
      </c>
      <c r="AX96" s="627" t="str">
        <f>IF('4. Sem'!$AZ$38="","",'4. Sem'!$AZ$38)</f>
        <v/>
      </c>
      <c r="AY96" s="627" t="str">
        <f>IF('4. Sem'!$BA$38="","",'4. Sem'!$BA$38)</f>
        <v/>
      </c>
      <c r="AZ96" s="628" t="str">
        <f>IF('4. Sem'!$BB$38="","",'4. Sem'!$BB$38)</f>
        <v/>
      </c>
      <c r="BA96" s="623" t="str">
        <f>IF('4. Sem'!$BC$38="","",'4. Sem'!$BC$38)</f>
        <v/>
      </c>
      <c r="BB96" s="624" t="str">
        <f>IF('4. Sem'!$BD$38="","",'4. Sem'!$BD$38)</f>
        <v/>
      </c>
      <c r="BC96" s="624" t="str">
        <f>IF('4. Sem'!$BE$38="","",'4. Sem'!$BE$38)</f>
        <v/>
      </c>
      <c r="BD96" s="624" t="str">
        <f>IF('4. Sem'!$BF$38="","",'4. Sem'!$BF$38)</f>
        <v/>
      </c>
      <c r="BE96" s="625" t="str">
        <f>IF('4. Sem'!$BG$38="","",'4. Sem'!$BG$38)</f>
        <v/>
      </c>
      <c r="BF96" s="626" t="str">
        <f>IF('4. Sem'!$BH$38="","",'4. Sem'!$BH$38)</f>
        <v/>
      </c>
      <c r="BG96" s="627" t="str">
        <f>IF('4. Sem'!$BI$38="","",'4. Sem'!$BI$38)</f>
        <v/>
      </c>
      <c r="BH96" s="627" t="str">
        <f>IF('4. Sem'!$BJ$38="","",'4. Sem'!$BJ$38)</f>
        <v/>
      </c>
      <c r="BI96" s="627" t="str">
        <f>IF('4. Sem'!$BK$38="","",'4. Sem'!$BK$38)</f>
        <v/>
      </c>
      <c r="BJ96" s="628" t="str">
        <f>IF('4. Sem'!$BL$38="","",'4. Sem'!$BL$38)</f>
        <v/>
      </c>
      <c r="BK96" s="623" t="str">
        <f>IF('4. Sem'!$BM$38="","",'4. Sem'!$BM$38)</f>
        <v/>
      </c>
      <c r="BL96" s="624" t="str">
        <f>IF('4. Sem'!$BN$38="","",'4. Sem'!$BN$38)</f>
        <v/>
      </c>
      <c r="BM96" s="624" t="str">
        <f>IF('4. Sem'!$BO$38="","",'4. Sem'!$BO$38)</f>
        <v/>
      </c>
      <c r="BN96" s="624" t="str">
        <f>IF('4. Sem'!$BP$38="","",'4. Sem'!$BP$38)</f>
        <v/>
      </c>
      <c r="BO96" s="625" t="str">
        <f>IF('4. Sem'!$BQ$38="","",'4. Sem'!$BQ$38)</f>
        <v/>
      </c>
      <c r="BP96" s="626" t="str">
        <f>IF('4. Sem'!$BR$38="","",'4. Sem'!$BR$38)</f>
        <v/>
      </c>
      <c r="BQ96" s="627" t="str">
        <f>IF('4. Sem'!$BS$38="","",'4. Sem'!$BS$38)</f>
        <v/>
      </c>
      <c r="BR96" s="627" t="str">
        <f>IF('4. Sem'!$BT$38="","",'4. Sem'!$BT$38)</f>
        <v/>
      </c>
      <c r="BS96" s="627" t="str">
        <f>IF('4. Sem'!$BU$38="","",'4. Sem'!$BU$38)</f>
        <v/>
      </c>
      <c r="BT96" s="628" t="str">
        <f>IF('4. Sem'!$BV$38="","",'4. Sem'!$BV$38)</f>
        <v/>
      </c>
      <c r="BU96" s="623" t="str">
        <f>IF('4. Sem'!$BW$38="","",'4. Sem'!$BW$38)</f>
        <v/>
      </c>
      <c r="BV96" s="624" t="str">
        <f>IF('4. Sem'!$BX$38="","",'4. Sem'!$BX$38)</f>
        <v/>
      </c>
      <c r="BW96" s="624" t="str">
        <f>IF('4. Sem'!$BY$38="","",'4. Sem'!$BY$38)</f>
        <v/>
      </c>
      <c r="BX96" s="624" t="str">
        <f>IF('4. Sem'!$BZ$38="","",'4. Sem'!$BZ$38)</f>
        <v/>
      </c>
      <c r="BY96" s="625" t="str">
        <f>IF('4. Sem'!$CA$38="","",'4. Sem'!$CA$38)</f>
        <v/>
      </c>
      <c r="BZ96" s="626" t="str">
        <f>IF('4. Sem'!$CB$38="","",'4. Sem'!$CB$38)</f>
        <v/>
      </c>
      <c r="CA96" s="627" t="str">
        <f>IF('4. Sem'!$CC$38="","",'4. Sem'!$CC$38)</f>
        <v/>
      </c>
      <c r="CB96" s="627" t="str">
        <f>IF('4. Sem'!$CD$38="","",'4. Sem'!$CD$38)</f>
        <v/>
      </c>
      <c r="CC96" s="627" t="str">
        <f>IF('4. Sem'!$CE$38="","",'4. Sem'!$CE$38)</f>
        <v/>
      </c>
      <c r="CD96" s="628" t="str">
        <f>IF('4. Sem'!$CF$38="","",'4. Sem'!$CF$38)</f>
        <v/>
      </c>
      <c r="CE96" s="623" t="str">
        <f>IF('4. Sem'!$CG$38="","",'4. Sem'!$CG$38)</f>
        <v/>
      </c>
      <c r="CF96" s="624" t="str">
        <f>IF('4. Sem'!$CH$38="","",'4. Sem'!$CH$38)</f>
        <v/>
      </c>
      <c r="CG96" s="624" t="str">
        <f>IF('4. Sem'!$CI$38="","",'4. Sem'!$CI$38)</f>
        <v/>
      </c>
      <c r="CH96" s="624" t="str">
        <f>IF('4. Sem'!$CJ$38="","",'4. Sem'!$CJ$38)</f>
        <v/>
      </c>
      <c r="CI96" s="625" t="str">
        <f>IF('4. Sem'!$CK$38="","",'4. Sem'!$CK$38)</f>
        <v/>
      </c>
      <c r="CJ96" s="626" t="str">
        <f>IF('4. Sem'!$CL$38="","",'4. Sem'!$CL$38)</f>
        <v/>
      </c>
      <c r="CK96" s="627" t="str">
        <f>IF('4. Sem'!$CM$38="","",'4. Sem'!$CM$38)</f>
        <v/>
      </c>
      <c r="CL96" s="627" t="str">
        <f>IF('4. Sem'!$CN$38="","",'4. Sem'!$CN$38)</f>
        <v/>
      </c>
      <c r="CM96" s="627" t="str">
        <f>IF('4. Sem'!$CO$38="","",'4. Sem'!$CO$38)</f>
        <v/>
      </c>
      <c r="CN96" s="628" t="str">
        <f>IF('4. Sem'!$CP$38="","",'4. Sem'!$CP$38)</f>
        <v/>
      </c>
      <c r="CO96" s="623" t="str">
        <f>IF('4. Sem'!$CQ$38="","",'4. Sem'!$CQ$38)</f>
        <v/>
      </c>
      <c r="CP96" s="624" t="str">
        <f>IF('4. Sem'!$CR$38="","",'4. Sem'!$CR$38)</f>
        <v/>
      </c>
      <c r="CQ96" s="624" t="str">
        <f>IF('4. Sem'!$CS$38="","",'4. Sem'!$CS$38)</f>
        <v/>
      </c>
      <c r="CR96" s="624" t="str">
        <f>IF('4. Sem'!$CT$38="","",'4. Sem'!$CT$38)</f>
        <v/>
      </c>
      <c r="CS96" s="625" t="str">
        <f>IF('4. Sem'!$CU$38="","",'4. Sem'!$CU$38)</f>
        <v/>
      </c>
      <c r="CT96" s="626" t="str">
        <f>IF('4. Sem'!$CV$38="","",'4. Sem'!$CV$38)</f>
        <v/>
      </c>
      <c r="CU96" s="627" t="str">
        <f>IF('4. Sem'!$CW$38="","",'4. Sem'!$CW$38)</f>
        <v/>
      </c>
      <c r="CV96" s="627" t="str">
        <f>IF('4. Sem'!$CX$38="","",'4. Sem'!$CX$38)</f>
        <v/>
      </c>
      <c r="CW96" s="627" t="str">
        <f>IF('4. Sem'!$CY$38="","",'4. Sem'!$CY$38)</f>
        <v/>
      </c>
      <c r="CX96" s="628" t="str">
        <f>IF('4. Sem'!$CZ$38="","",'4. Sem'!$CZ$38)</f>
        <v/>
      </c>
      <c r="CY96" s="623" t="str">
        <f>IF('4. Sem'!$DA$38="","",'4. Sem'!$DA$38)</f>
        <v/>
      </c>
      <c r="CZ96" s="624" t="str">
        <f>IF('4. Sem'!$DB$38="","",'4. Sem'!$DB$38)</f>
        <v/>
      </c>
      <c r="DA96" s="624" t="str">
        <f>IF('4. Sem'!$DC$38="","",'4. Sem'!$DC$38)</f>
        <v/>
      </c>
      <c r="DB96" s="624" t="str">
        <f>IF('4. Sem'!$DD$38="","",'4. Sem'!$DD$38)</f>
        <v/>
      </c>
      <c r="DC96" s="625" t="str">
        <f>IF('4. Sem'!$DE$38="","",'4. Sem'!$DE$38)</f>
        <v/>
      </c>
    </row>
    <row r="97" spans="1:107" ht="16" customHeight="1" x14ac:dyDescent="0.2">
      <c r="A97" s="566"/>
      <c r="B97" s="579" t="s">
        <v>31</v>
      </c>
      <c r="C97" s="623" t="str">
        <f>IF('4. Sem'!$E$39="","",'4. Sem'!$E$39)</f>
        <v/>
      </c>
      <c r="D97" s="624" t="str">
        <f>IF('4. Sem'!$F$39="","",'4. Sem'!$F$39)</f>
        <v/>
      </c>
      <c r="E97" s="624" t="str">
        <f>IF('4. Sem'!$G$39="","",'4. Sem'!$G$39)</f>
        <v/>
      </c>
      <c r="F97" s="624" t="str">
        <f>IF('4. Sem'!$H$39="","",'4. Sem'!$H$39)</f>
        <v/>
      </c>
      <c r="G97" s="625" t="str">
        <f>IF('4. Sem'!$I$39="","",'4. Sem'!$I$39)</f>
        <v/>
      </c>
      <c r="H97" s="626" t="str">
        <f>IF('4. Sem'!$J$39="","",'4. Sem'!$J$39)</f>
        <v/>
      </c>
      <c r="I97" s="627" t="str">
        <f>IF('4. Sem'!$K$39="","",'4. Sem'!$K$39)</f>
        <v/>
      </c>
      <c r="J97" s="627" t="str">
        <f>IF('4. Sem'!$L$39="","",'4. Sem'!$L$39)</f>
        <v/>
      </c>
      <c r="K97" s="627" t="str">
        <f>IF('4. Sem'!$M$39="","",'4. Sem'!$M$39)</f>
        <v/>
      </c>
      <c r="L97" s="628" t="str">
        <f>IF('4. Sem'!$N$39="","",'4. Sem'!$N$39)</f>
        <v/>
      </c>
      <c r="M97" s="623" t="str">
        <f>IF('4. Sem'!$O$39="","",'4. Sem'!$O$39)</f>
        <v/>
      </c>
      <c r="N97" s="624" t="str">
        <f>IF('4. Sem'!$P$39="","",'4. Sem'!$P$39)</f>
        <v/>
      </c>
      <c r="O97" s="624" t="str">
        <f>IF('4. Sem'!$Q$39="","",'4. Sem'!$Q$39)</f>
        <v/>
      </c>
      <c r="P97" s="624" t="str">
        <f>IF('4. Sem'!$R$39="","",'4. Sem'!$R$39)</f>
        <v/>
      </c>
      <c r="Q97" s="625" t="str">
        <f>IF('4. Sem'!$S$39="","",'4. Sem'!$S$39)</f>
        <v/>
      </c>
      <c r="R97" s="626" t="str">
        <f>IF('4. Sem'!$T$39="","",'4. Sem'!$T$39)</f>
        <v/>
      </c>
      <c r="S97" s="627" t="str">
        <f>IF('4. Sem'!$U$39="","",'4. Sem'!$U$39)</f>
        <v/>
      </c>
      <c r="T97" s="627" t="str">
        <f>IF('4. Sem'!$V$39="","",'4. Sem'!$V$39)</f>
        <v/>
      </c>
      <c r="U97" s="627" t="str">
        <f>IF('4. Sem'!$W$39="","",'4. Sem'!$W$39)</f>
        <v/>
      </c>
      <c r="V97" s="628" t="str">
        <f>IF('4. Sem'!$X$39="","",'4. Sem'!$X$39)</f>
        <v/>
      </c>
      <c r="W97" s="623" t="str">
        <f>IF('4. Sem'!$Y$39="","",'4. Sem'!$Y$39)</f>
        <v/>
      </c>
      <c r="X97" s="624" t="str">
        <f>IF('4. Sem'!$Z$39="","",'4. Sem'!$Z$39)</f>
        <v/>
      </c>
      <c r="Y97" s="624" t="str">
        <f>IF('4. Sem'!$AA$39="","",'4. Sem'!$AA$39)</f>
        <v/>
      </c>
      <c r="Z97" s="624" t="str">
        <f>IF('4. Sem'!$AB$39="","",'4. Sem'!$AB$39)</f>
        <v/>
      </c>
      <c r="AA97" s="625" t="str">
        <f>IF('4. Sem'!$AC$39="","",'4. Sem'!$AC$39)</f>
        <v/>
      </c>
      <c r="AB97" s="626" t="str">
        <f>IF('4. Sem'!$AD$39="","",'4. Sem'!$AD$39)</f>
        <v/>
      </c>
      <c r="AC97" s="627" t="str">
        <f>IF('4. Sem'!$AE$39="","",'4. Sem'!$AE$39)</f>
        <v/>
      </c>
      <c r="AD97" s="627" t="str">
        <f>IF('4. Sem'!$AF$39="","",'4. Sem'!$AF$39)</f>
        <v/>
      </c>
      <c r="AE97" s="627" t="str">
        <f>IF('4. Sem'!$AG$39="","",'4. Sem'!$AG$39)</f>
        <v/>
      </c>
      <c r="AF97" s="628" t="str">
        <f>IF('4. Sem'!$AH$39="","",'4. Sem'!$AH$39)</f>
        <v/>
      </c>
      <c r="AG97" s="623" t="str">
        <f>IF('4. Sem'!$AI$39="","",'4. Sem'!$AI$39)</f>
        <v/>
      </c>
      <c r="AH97" s="624" t="str">
        <f>IF('4. Sem'!$AJ$39="","",'4. Sem'!$AJ$39)</f>
        <v/>
      </c>
      <c r="AI97" s="624" t="str">
        <f>IF('4. Sem'!$AK$39="","",'4. Sem'!$AK$39)</f>
        <v/>
      </c>
      <c r="AJ97" s="624" t="str">
        <f>IF('4. Sem'!$AL$39="","",'4. Sem'!$AL$39)</f>
        <v/>
      </c>
      <c r="AK97" s="625" t="str">
        <f>IF('4. Sem'!$AM$39="","",'4. Sem'!$AM$39)</f>
        <v/>
      </c>
      <c r="AL97" s="626" t="str">
        <f>IF('4. Sem'!$AN$39="","",'4. Sem'!$AN$39)</f>
        <v/>
      </c>
      <c r="AM97" s="627" t="str">
        <f>IF('4. Sem'!$AO$39="","",'4. Sem'!$AO$39)</f>
        <v/>
      </c>
      <c r="AN97" s="627" t="str">
        <f>IF('4. Sem'!$AP$39="","",'4. Sem'!$AP$39)</f>
        <v/>
      </c>
      <c r="AO97" s="627" t="str">
        <f>IF('4. Sem'!$AQ$39="","",'4. Sem'!$AQ$39)</f>
        <v/>
      </c>
      <c r="AP97" s="628" t="str">
        <f>IF('4. Sem'!$AR$39="","",'4. Sem'!$AR$39)</f>
        <v/>
      </c>
      <c r="AQ97" s="623" t="str">
        <f>IF('4. Sem'!$AS$39="","",'4. Sem'!$AS$39)</f>
        <v/>
      </c>
      <c r="AR97" s="624" t="str">
        <f>IF('4. Sem'!$AT$39="","",'4. Sem'!$AT$39)</f>
        <v/>
      </c>
      <c r="AS97" s="624" t="str">
        <f>IF('4. Sem'!$AU$39="","",'4. Sem'!$AU$39)</f>
        <v/>
      </c>
      <c r="AT97" s="624" t="str">
        <f>IF('4. Sem'!$AV$39="","",'4. Sem'!$AV$39)</f>
        <v/>
      </c>
      <c r="AU97" s="625" t="str">
        <f>IF('4. Sem'!$AW$39="","",'4. Sem'!$AW$39)</f>
        <v/>
      </c>
      <c r="AV97" s="626" t="str">
        <f>IF('4. Sem'!$AX$39="","",'4. Sem'!$AX$39)</f>
        <v/>
      </c>
      <c r="AW97" s="627" t="str">
        <f>IF('4. Sem'!$AY$39="","",'4. Sem'!$AY$39)</f>
        <v/>
      </c>
      <c r="AX97" s="627" t="str">
        <f>IF('4. Sem'!$AZ$39="","",'4. Sem'!$AZ$39)</f>
        <v/>
      </c>
      <c r="AY97" s="627" t="str">
        <f>IF('4. Sem'!$BA$39="","",'4. Sem'!$BA$39)</f>
        <v/>
      </c>
      <c r="AZ97" s="628" t="str">
        <f>IF('4. Sem'!$BB$39="","",'4. Sem'!$BB$39)</f>
        <v/>
      </c>
      <c r="BA97" s="623" t="str">
        <f>IF('4. Sem'!$BC$39="","",'4. Sem'!$BC$39)</f>
        <v/>
      </c>
      <c r="BB97" s="624" t="str">
        <f>IF('4. Sem'!$BD$39="","",'4. Sem'!$BD$39)</f>
        <v/>
      </c>
      <c r="BC97" s="624" t="str">
        <f>IF('4. Sem'!$BE$39="","",'4. Sem'!$BE$39)</f>
        <v/>
      </c>
      <c r="BD97" s="624" t="str">
        <f>IF('4. Sem'!$BF$39="","",'4. Sem'!$BF$39)</f>
        <v/>
      </c>
      <c r="BE97" s="625" t="str">
        <f>IF('4. Sem'!$BG$39="","",'4. Sem'!$BG$39)</f>
        <v/>
      </c>
      <c r="BF97" s="626" t="str">
        <f>IF('4. Sem'!$BH$39="","",'4. Sem'!$BH$39)</f>
        <v/>
      </c>
      <c r="BG97" s="627" t="str">
        <f>IF('4. Sem'!$BI$39="","",'4. Sem'!$BI$39)</f>
        <v/>
      </c>
      <c r="BH97" s="627" t="str">
        <f>IF('4. Sem'!$BJ$39="","",'4. Sem'!$BJ$39)</f>
        <v/>
      </c>
      <c r="BI97" s="627" t="str">
        <f>IF('4. Sem'!$BK$39="","",'4. Sem'!$BK$39)</f>
        <v/>
      </c>
      <c r="BJ97" s="628" t="str">
        <f>IF('4. Sem'!$BL$39="","",'4. Sem'!$BL$39)</f>
        <v/>
      </c>
      <c r="BK97" s="623" t="str">
        <f>IF('4. Sem'!$BM$39="","",'4. Sem'!$BM$39)</f>
        <v/>
      </c>
      <c r="BL97" s="624" t="str">
        <f>IF('4. Sem'!$BN$39="","",'4. Sem'!$BN$39)</f>
        <v/>
      </c>
      <c r="BM97" s="624" t="str">
        <f>IF('4. Sem'!$BO$39="","",'4. Sem'!$BO$39)</f>
        <v/>
      </c>
      <c r="BN97" s="624" t="str">
        <f>IF('4. Sem'!$BP$39="","",'4. Sem'!$BP$39)</f>
        <v/>
      </c>
      <c r="BO97" s="625" t="str">
        <f>IF('4. Sem'!$BQ$39="","",'4. Sem'!$BQ$39)</f>
        <v/>
      </c>
      <c r="BP97" s="626" t="str">
        <f>IF('4. Sem'!$BR$39="","",'4. Sem'!$BR$39)</f>
        <v/>
      </c>
      <c r="BQ97" s="627" t="str">
        <f>IF('4. Sem'!$BS$39="","",'4. Sem'!$BS$39)</f>
        <v/>
      </c>
      <c r="BR97" s="627" t="str">
        <f>IF('4. Sem'!$BT$39="","",'4. Sem'!$BT$39)</f>
        <v/>
      </c>
      <c r="BS97" s="627" t="str">
        <f>IF('4. Sem'!$BU$39="","",'4. Sem'!$BU$39)</f>
        <v/>
      </c>
      <c r="BT97" s="628" t="str">
        <f>IF('4. Sem'!$BV$39="","",'4. Sem'!$BV$39)</f>
        <v/>
      </c>
      <c r="BU97" s="623" t="str">
        <f>IF('4. Sem'!$BW$39="","",'4. Sem'!$BW$39)</f>
        <v/>
      </c>
      <c r="BV97" s="624" t="str">
        <f>IF('4. Sem'!$BX$39="","",'4. Sem'!$BX$39)</f>
        <v/>
      </c>
      <c r="BW97" s="624" t="str">
        <f>IF('4. Sem'!$BY$39="","",'4. Sem'!$BY$39)</f>
        <v/>
      </c>
      <c r="BX97" s="624" t="str">
        <f>IF('4. Sem'!$BZ$39="","",'4. Sem'!$BZ$39)</f>
        <v/>
      </c>
      <c r="BY97" s="625" t="str">
        <f>IF('4. Sem'!$CA$39="","",'4. Sem'!$CA$39)</f>
        <v/>
      </c>
      <c r="BZ97" s="626" t="str">
        <f>IF('4. Sem'!$CB$39="","",'4. Sem'!$CB$39)</f>
        <v/>
      </c>
      <c r="CA97" s="627" t="str">
        <f>IF('4. Sem'!$CC$39="","",'4. Sem'!$CC$39)</f>
        <v/>
      </c>
      <c r="CB97" s="627" t="str">
        <f>IF('4. Sem'!$CD$39="","",'4. Sem'!$CD$39)</f>
        <v/>
      </c>
      <c r="CC97" s="627" t="str">
        <f>IF('4. Sem'!$CE$39="","",'4. Sem'!$CE$39)</f>
        <v/>
      </c>
      <c r="CD97" s="628" t="str">
        <f>IF('4. Sem'!$CF$39="","",'4. Sem'!$CF$39)</f>
        <v/>
      </c>
      <c r="CE97" s="623" t="str">
        <f>IF('4. Sem'!$CG$39="","",'4. Sem'!$CG$39)</f>
        <v/>
      </c>
      <c r="CF97" s="624" t="str">
        <f>IF('4. Sem'!$CH$39="","",'4. Sem'!$CH$39)</f>
        <v/>
      </c>
      <c r="CG97" s="624" t="str">
        <f>IF('4. Sem'!$CI$39="","",'4. Sem'!$CI$39)</f>
        <v/>
      </c>
      <c r="CH97" s="624" t="str">
        <f>IF('4. Sem'!$CJ$39="","",'4. Sem'!$CJ$39)</f>
        <v/>
      </c>
      <c r="CI97" s="625" t="str">
        <f>IF('4. Sem'!$CK$39="","",'4. Sem'!$CK$39)</f>
        <v/>
      </c>
      <c r="CJ97" s="626" t="str">
        <f>IF('4. Sem'!$CL$39="","",'4. Sem'!$CL$39)</f>
        <v/>
      </c>
      <c r="CK97" s="627" t="str">
        <f>IF('4. Sem'!$CM$39="","",'4. Sem'!$CM$39)</f>
        <v/>
      </c>
      <c r="CL97" s="627" t="str">
        <f>IF('4. Sem'!$CN$39="","",'4. Sem'!$CN$39)</f>
        <v/>
      </c>
      <c r="CM97" s="627" t="str">
        <f>IF('4. Sem'!$CO$39="","",'4. Sem'!$CO$39)</f>
        <v/>
      </c>
      <c r="CN97" s="628" t="str">
        <f>IF('4. Sem'!$CP$39="","",'4. Sem'!$CP$39)</f>
        <v/>
      </c>
      <c r="CO97" s="623" t="str">
        <f>IF('4. Sem'!$CQ$39="","",'4. Sem'!$CQ$39)</f>
        <v/>
      </c>
      <c r="CP97" s="624" t="str">
        <f>IF('4. Sem'!$CR$39="","",'4. Sem'!$CR$39)</f>
        <v/>
      </c>
      <c r="CQ97" s="624" t="str">
        <f>IF('4. Sem'!$CS$39="","",'4. Sem'!$CS$39)</f>
        <v/>
      </c>
      <c r="CR97" s="624" t="str">
        <f>IF('4. Sem'!$CT$39="","",'4. Sem'!$CT$39)</f>
        <v/>
      </c>
      <c r="CS97" s="625" t="str">
        <f>IF('4. Sem'!$CU$39="","",'4. Sem'!$CU$39)</f>
        <v/>
      </c>
      <c r="CT97" s="626" t="str">
        <f>IF('4. Sem'!$CV$39="","",'4. Sem'!$CV$39)</f>
        <v/>
      </c>
      <c r="CU97" s="627" t="str">
        <f>IF('4. Sem'!$CW$39="","",'4. Sem'!$CW$39)</f>
        <v/>
      </c>
      <c r="CV97" s="627" t="str">
        <f>IF('4. Sem'!$CX$39="","",'4. Sem'!$CX$39)</f>
        <v/>
      </c>
      <c r="CW97" s="627" t="str">
        <f>IF('4. Sem'!$CY$39="","",'4. Sem'!$CY$39)</f>
        <v/>
      </c>
      <c r="CX97" s="628" t="str">
        <f>IF('4. Sem'!$CZ$39="","",'4. Sem'!$CZ$39)</f>
        <v/>
      </c>
      <c r="CY97" s="623" t="str">
        <f>IF('4. Sem'!$DA$39="","",'4. Sem'!$DA$39)</f>
        <v/>
      </c>
      <c r="CZ97" s="624" t="str">
        <f>IF('4. Sem'!$DB$39="","",'4. Sem'!$DB$39)</f>
        <v/>
      </c>
      <c r="DA97" s="624" t="str">
        <f>IF('4. Sem'!$DC$39="","",'4. Sem'!$DC$39)</f>
        <v/>
      </c>
      <c r="DB97" s="624" t="str">
        <f>IF('4. Sem'!$DD$39="","",'4. Sem'!$DD$39)</f>
        <v/>
      </c>
      <c r="DC97" s="625" t="str">
        <f>IF('4. Sem'!$DE$39="","",'4. Sem'!$DE$39)</f>
        <v/>
      </c>
    </row>
    <row r="98" spans="1:107" ht="16" customHeight="1" x14ac:dyDescent="0.2">
      <c r="A98" s="566"/>
      <c r="B98" s="579" t="s">
        <v>32</v>
      </c>
      <c r="C98" s="623" t="str">
        <f>IF('4. Sem'!$E$40="","",'4. Sem'!$E$40)</f>
        <v/>
      </c>
      <c r="D98" s="624" t="str">
        <f>IF('4. Sem'!$F$40="","",'4. Sem'!$F$40)</f>
        <v/>
      </c>
      <c r="E98" s="624" t="str">
        <f>IF('4. Sem'!$G$40="","",'4. Sem'!$G$40)</f>
        <v/>
      </c>
      <c r="F98" s="624" t="str">
        <f>IF('4. Sem'!$H$40="","",'4. Sem'!$H$40)</f>
        <v/>
      </c>
      <c r="G98" s="625" t="str">
        <f>IF('4. Sem'!$I$40="","",'4. Sem'!$I$40)</f>
        <v/>
      </c>
      <c r="H98" s="626" t="str">
        <f>IF('4. Sem'!$J$40="","",'4. Sem'!$J$40)</f>
        <v/>
      </c>
      <c r="I98" s="627" t="str">
        <f>IF('4. Sem'!$K$40="","",'4. Sem'!$K$40)</f>
        <v/>
      </c>
      <c r="J98" s="627" t="str">
        <f>IF('4. Sem'!$L$40="","",'4. Sem'!$L$40)</f>
        <v/>
      </c>
      <c r="K98" s="627" t="str">
        <f>IF('4. Sem'!$M$40="","",'4. Sem'!$M$40)</f>
        <v/>
      </c>
      <c r="L98" s="628" t="str">
        <f>IF('4. Sem'!$N$40="","",'4. Sem'!$N$40)</f>
        <v/>
      </c>
      <c r="M98" s="623" t="str">
        <f>IF('4. Sem'!$O$40="","",'4. Sem'!$O$40)</f>
        <v/>
      </c>
      <c r="N98" s="624" t="str">
        <f>IF('4. Sem'!$P$40="","",'4. Sem'!$P$40)</f>
        <v/>
      </c>
      <c r="O98" s="624" t="str">
        <f>IF('4. Sem'!$Q$40="","",'4. Sem'!$Q$40)</f>
        <v/>
      </c>
      <c r="P98" s="624" t="str">
        <f>IF('4. Sem'!$R$40="","",'4. Sem'!$R$40)</f>
        <v/>
      </c>
      <c r="Q98" s="625" t="str">
        <f>IF('4. Sem'!$S$40="","",'4. Sem'!$S$40)</f>
        <v/>
      </c>
      <c r="R98" s="626" t="str">
        <f>IF('4. Sem'!$T$40="","",'4. Sem'!$T$40)</f>
        <v/>
      </c>
      <c r="S98" s="627" t="str">
        <f>IF('4. Sem'!$U$40="","",'4. Sem'!$U$40)</f>
        <v/>
      </c>
      <c r="T98" s="627" t="str">
        <f>IF('4. Sem'!$V$40="","",'4. Sem'!$V$40)</f>
        <v/>
      </c>
      <c r="U98" s="627" t="str">
        <f>IF('4. Sem'!$W$40="","",'4. Sem'!$W$40)</f>
        <v/>
      </c>
      <c r="V98" s="628" t="str">
        <f>IF('4. Sem'!$X$40="","",'4. Sem'!$X$40)</f>
        <v/>
      </c>
      <c r="W98" s="623" t="str">
        <f>IF('4. Sem'!$Y$40="","",'4. Sem'!$Y$40)</f>
        <v/>
      </c>
      <c r="X98" s="624" t="str">
        <f>IF('4. Sem'!$Z$40="","",'4. Sem'!$Z$40)</f>
        <v/>
      </c>
      <c r="Y98" s="624" t="str">
        <f>IF('4. Sem'!$AA$40="","",'4. Sem'!$AA$40)</f>
        <v/>
      </c>
      <c r="Z98" s="624" t="str">
        <f>IF('4. Sem'!$AB$40="","",'4. Sem'!$AB$40)</f>
        <v/>
      </c>
      <c r="AA98" s="625" t="str">
        <f>IF('4. Sem'!$AC$40="","",'4. Sem'!$AC$40)</f>
        <v/>
      </c>
      <c r="AB98" s="626" t="str">
        <f>IF('4. Sem'!$AD$40="","",'4. Sem'!$AD$40)</f>
        <v/>
      </c>
      <c r="AC98" s="627" t="str">
        <f>IF('4. Sem'!$AE$40="","",'4. Sem'!$AE$40)</f>
        <v/>
      </c>
      <c r="AD98" s="627" t="str">
        <f>IF('4. Sem'!$AF$40="","",'4. Sem'!$AF$40)</f>
        <v/>
      </c>
      <c r="AE98" s="627" t="str">
        <f>IF('4. Sem'!$AG$40="","",'4. Sem'!$AG$40)</f>
        <v/>
      </c>
      <c r="AF98" s="628" t="str">
        <f>IF('4. Sem'!$AH$40="","",'4. Sem'!$AH$40)</f>
        <v/>
      </c>
      <c r="AG98" s="623" t="str">
        <f>IF('4. Sem'!$AI$40="","",'4. Sem'!$AI$40)</f>
        <v/>
      </c>
      <c r="AH98" s="624" t="str">
        <f>IF('4. Sem'!$AJ$40="","",'4. Sem'!$AJ$40)</f>
        <v/>
      </c>
      <c r="AI98" s="624" t="str">
        <f>IF('4. Sem'!$AK$40="","",'4. Sem'!$AK$40)</f>
        <v/>
      </c>
      <c r="AJ98" s="624" t="str">
        <f>IF('4. Sem'!$AL$40="","",'4. Sem'!$AL$40)</f>
        <v/>
      </c>
      <c r="AK98" s="625" t="str">
        <f>IF('4. Sem'!$AM$40="","",'4. Sem'!$AM$40)</f>
        <v/>
      </c>
      <c r="AL98" s="626" t="str">
        <f>IF('4. Sem'!$AN$40="","",'4. Sem'!$AN$40)</f>
        <v/>
      </c>
      <c r="AM98" s="627" t="str">
        <f>IF('4. Sem'!$AO$40="","",'4. Sem'!$AO$40)</f>
        <v/>
      </c>
      <c r="AN98" s="627" t="str">
        <f>IF('4. Sem'!$AP$40="","",'4. Sem'!$AP$40)</f>
        <v/>
      </c>
      <c r="AO98" s="627" t="str">
        <f>IF('4. Sem'!$AQ$40="","",'4. Sem'!$AQ$40)</f>
        <v/>
      </c>
      <c r="AP98" s="628" t="str">
        <f>IF('4. Sem'!$AR$40="","",'4. Sem'!$AR$40)</f>
        <v/>
      </c>
      <c r="AQ98" s="623" t="str">
        <f>IF('4. Sem'!$AS$40="","",'4. Sem'!$AS$40)</f>
        <v/>
      </c>
      <c r="AR98" s="624" t="str">
        <f>IF('4. Sem'!$AT$40="","",'4. Sem'!$AT$40)</f>
        <v/>
      </c>
      <c r="AS98" s="624" t="str">
        <f>IF('4. Sem'!$AU$40="","",'4. Sem'!$AU$40)</f>
        <v/>
      </c>
      <c r="AT98" s="624" t="str">
        <f>IF('4. Sem'!$AV$40="","",'4. Sem'!$AV$40)</f>
        <v/>
      </c>
      <c r="AU98" s="625" t="str">
        <f>IF('4. Sem'!$AW$40="","",'4. Sem'!$AW$40)</f>
        <v/>
      </c>
      <c r="AV98" s="626" t="str">
        <f>IF('4. Sem'!$AX$40="","",'4. Sem'!$AX$40)</f>
        <v/>
      </c>
      <c r="AW98" s="627" t="str">
        <f>IF('4. Sem'!$AY$40="","",'4. Sem'!$AY$40)</f>
        <v/>
      </c>
      <c r="AX98" s="627" t="str">
        <f>IF('4. Sem'!$AZ$40="","",'4. Sem'!$AZ$40)</f>
        <v/>
      </c>
      <c r="AY98" s="627" t="str">
        <f>IF('4. Sem'!$BA$40="","",'4. Sem'!$BA$40)</f>
        <v/>
      </c>
      <c r="AZ98" s="628" t="str">
        <f>IF('4. Sem'!$BB$40="","",'4. Sem'!$BB$40)</f>
        <v/>
      </c>
      <c r="BA98" s="623" t="str">
        <f>IF('4. Sem'!$BC$40="","",'4. Sem'!$BC$40)</f>
        <v/>
      </c>
      <c r="BB98" s="624" t="str">
        <f>IF('4. Sem'!$BD$40="","",'4. Sem'!$BD$40)</f>
        <v/>
      </c>
      <c r="BC98" s="624" t="str">
        <f>IF('4. Sem'!$BE$40="","",'4. Sem'!$BE$40)</f>
        <v/>
      </c>
      <c r="BD98" s="624" t="str">
        <f>IF('4. Sem'!$BF$40="","",'4. Sem'!$BF$40)</f>
        <v/>
      </c>
      <c r="BE98" s="625" t="str">
        <f>IF('4. Sem'!$BG$40="","",'4. Sem'!$BG$40)</f>
        <v/>
      </c>
      <c r="BF98" s="626" t="str">
        <f>IF('4. Sem'!$BH$40="","",'4. Sem'!$BH$40)</f>
        <v/>
      </c>
      <c r="BG98" s="627" t="str">
        <f>IF('4. Sem'!$BI$40="","",'4. Sem'!$BI$40)</f>
        <v/>
      </c>
      <c r="BH98" s="627" t="str">
        <f>IF('4. Sem'!$BJ$40="","",'4. Sem'!$BJ$40)</f>
        <v/>
      </c>
      <c r="BI98" s="627" t="str">
        <f>IF('4. Sem'!$BK$40="","",'4. Sem'!$BK$40)</f>
        <v/>
      </c>
      <c r="BJ98" s="628" t="str">
        <f>IF('4. Sem'!$BL$40="","",'4. Sem'!$BL$40)</f>
        <v/>
      </c>
      <c r="BK98" s="623" t="str">
        <f>IF('4. Sem'!$BM$40="","",'4. Sem'!$BM$40)</f>
        <v/>
      </c>
      <c r="BL98" s="624" t="str">
        <f>IF('4. Sem'!$BN$40="","",'4. Sem'!$BN$40)</f>
        <v/>
      </c>
      <c r="BM98" s="624" t="str">
        <f>IF('4. Sem'!$BO$40="","",'4. Sem'!$BO$40)</f>
        <v/>
      </c>
      <c r="BN98" s="624" t="str">
        <f>IF('4. Sem'!$BP$40="","",'4. Sem'!$BP$40)</f>
        <v/>
      </c>
      <c r="BO98" s="625" t="str">
        <f>IF('4. Sem'!$BQ$40="","",'4. Sem'!$BQ$40)</f>
        <v/>
      </c>
      <c r="BP98" s="626" t="str">
        <f>IF('4. Sem'!$BR$40="","",'4. Sem'!$BR$40)</f>
        <v/>
      </c>
      <c r="BQ98" s="627" t="str">
        <f>IF('4. Sem'!$BS$40="","",'4. Sem'!$BS$40)</f>
        <v/>
      </c>
      <c r="BR98" s="627" t="str">
        <f>IF('4. Sem'!$BT$40="","",'4. Sem'!$BT$40)</f>
        <v/>
      </c>
      <c r="BS98" s="627" t="str">
        <f>IF('4. Sem'!$BU$40="","",'4. Sem'!$BU$40)</f>
        <v/>
      </c>
      <c r="BT98" s="628" t="str">
        <f>IF('4. Sem'!$BV$40="","",'4. Sem'!$BV$40)</f>
        <v/>
      </c>
      <c r="BU98" s="623" t="str">
        <f>IF('4. Sem'!$BW$40="","",'4. Sem'!$BW$40)</f>
        <v/>
      </c>
      <c r="BV98" s="624" t="str">
        <f>IF('4. Sem'!$BX$40="","",'4. Sem'!$BX$40)</f>
        <v/>
      </c>
      <c r="BW98" s="624" t="str">
        <f>IF('4. Sem'!$BY$40="","",'4. Sem'!$BY$40)</f>
        <v/>
      </c>
      <c r="BX98" s="624" t="str">
        <f>IF('4. Sem'!$BZ$40="","",'4. Sem'!$BZ$40)</f>
        <v/>
      </c>
      <c r="BY98" s="625" t="str">
        <f>IF('4. Sem'!$CA$40="","",'4. Sem'!$CA$40)</f>
        <v/>
      </c>
      <c r="BZ98" s="626" t="str">
        <f>IF('4. Sem'!$CB$40="","",'4. Sem'!$CB$40)</f>
        <v/>
      </c>
      <c r="CA98" s="627" t="str">
        <f>IF('4. Sem'!$CC$40="","",'4. Sem'!$CC$40)</f>
        <v/>
      </c>
      <c r="CB98" s="627" t="str">
        <f>IF('4. Sem'!$CD$40="","",'4. Sem'!$CD$40)</f>
        <v/>
      </c>
      <c r="CC98" s="627" t="str">
        <f>IF('4. Sem'!$CE$40="","",'4. Sem'!$CE$40)</f>
        <v/>
      </c>
      <c r="CD98" s="628" t="str">
        <f>IF('4. Sem'!$CF$40="","",'4. Sem'!$CF$40)</f>
        <v/>
      </c>
      <c r="CE98" s="623" t="str">
        <f>IF('4. Sem'!$CG$40="","",'4. Sem'!$CG$40)</f>
        <v/>
      </c>
      <c r="CF98" s="624" t="str">
        <f>IF('4. Sem'!$CH$40="","",'4. Sem'!$CH$40)</f>
        <v/>
      </c>
      <c r="CG98" s="624" t="str">
        <f>IF('4. Sem'!$CI$40="","",'4. Sem'!$CI$40)</f>
        <v/>
      </c>
      <c r="CH98" s="624" t="str">
        <f>IF('4. Sem'!$CJ$40="","",'4. Sem'!$CJ$40)</f>
        <v/>
      </c>
      <c r="CI98" s="625" t="str">
        <f>IF('4. Sem'!$CK$40="","",'4. Sem'!$CK$40)</f>
        <v/>
      </c>
      <c r="CJ98" s="626" t="str">
        <f>IF('4. Sem'!$CL$40="","",'4. Sem'!$CL$40)</f>
        <v/>
      </c>
      <c r="CK98" s="627" t="str">
        <f>IF('4. Sem'!$CM$40="","",'4. Sem'!$CM$40)</f>
        <v/>
      </c>
      <c r="CL98" s="627" t="str">
        <f>IF('4. Sem'!$CN$40="","",'4. Sem'!$CN$40)</f>
        <v/>
      </c>
      <c r="CM98" s="627" t="str">
        <f>IF('4. Sem'!$CO$40="","",'4. Sem'!$CO$40)</f>
        <v/>
      </c>
      <c r="CN98" s="628" t="str">
        <f>IF('4. Sem'!$CP$40="","",'4. Sem'!$CP$40)</f>
        <v/>
      </c>
      <c r="CO98" s="623" t="str">
        <f>IF('4. Sem'!$CQ$40="","",'4. Sem'!$CQ$40)</f>
        <v/>
      </c>
      <c r="CP98" s="624" t="str">
        <f>IF('4. Sem'!$CR$40="","",'4. Sem'!$CR$40)</f>
        <v/>
      </c>
      <c r="CQ98" s="624" t="str">
        <f>IF('4. Sem'!$CS$40="","",'4. Sem'!$CS$40)</f>
        <v/>
      </c>
      <c r="CR98" s="624" t="str">
        <f>IF('4. Sem'!$CT$40="","",'4. Sem'!$CT$40)</f>
        <v/>
      </c>
      <c r="CS98" s="625" t="str">
        <f>IF('4. Sem'!$CU$40="","",'4. Sem'!$CU$40)</f>
        <v/>
      </c>
      <c r="CT98" s="626" t="str">
        <f>IF('4. Sem'!$CV$40="","",'4. Sem'!$CV$40)</f>
        <v/>
      </c>
      <c r="CU98" s="627" t="str">
        <f>IF('4. Sem'!$CW$40="","",'4. Sem'!$CW$40)</f>
        <v/>
      </c>
      <c r="CV98" s="627" t="str">
        <f>IF('4. Sem'!$CX$40="","",'4. Sem'!$CX$40)</f>
        <v/>
      </c>
      <c r="CW98" s="627" t="str">
        <f>IF('4. Sem'!$CY$40="","",'4. Sem'!$CY$40)</f>
        <v/>
      </c>
      <c r="CX98" s="628" t="str">
        <f>IF('4. Sem'!$CZ$40="","",'4. Sem'!$CZ$40)</f>
        <v/>
      </c>
      <c r="CY98" s="623" t="str">
        <f>IF('4. Sem'!$DA$40="","",'4. Sem'!$DA$40)</f>
        <v/>
      </c>
      <c r="CZ98" s="624" t="str">
        <f>IF('4. Sem'!$DB$40="","",'4. Sem'!$DB$40)</f>
        <v/>
      </c>
      <c r="DA98" s="624" t="str">
        <f>IF('4. Sem'!$DC$40="","",'4. Sem'!$DC$40)</f>
        <v/>
      </c>
      <c r="DB98" s="624" t="str">
        <f>IF('4. Sem'!$DD$40="","",'4. Sem'!$DD$40)</f>
        <v/>
      </c>
      <c r="DC98" s="625" t="str">
        <f>IF('4. Sem'!$DE$40="","",'4. Sem'!$DE$40)</f>
        <v/>
      </c>
    </row>
    <row r="99" spans="1:107" ht="16" customHeight="1" x14ac:dyDescent="0.2">
      <c r="A99" s="566"/>
      <c r="B99" s="579" t="s">
        <v>33</v>
      </c>
      <c r="C99" s="623" t="str">
        <f>IF('4. Sem'!$E$41="","",'4. Sem'!$E$41)</f>
        <v/>
      </c>
      <c r="D99" s="624" t="str">
        <f>IF('4. Sem'!$F$41="","",'4. Sem'!$F$41)</f>
        <v/>
      </c>
      <c r="E99" s="624" t="str">
        <f>IF('4. Sem'!$G$41="","",'4. Sem'!$G$41)</f>
        <v/>
      </c>
      <c r="F99" s="624" t="str">
        <f>IF('4. Sem'!$H$41="","",'4. Sem'!$H$41)</f>
        <v/>
      </c>
      <c r="G99" s="625" t="str">
        <f>IF('4. Sem'!$I$41="","",'4. Sem'!$I$41)</f>
        <v/>
      </c>
      <c r="H99" s="626" t="str">
        <f>IF('4. Sem'!$J$41="","",'4. Sem'!$J$41)</f>
        <v/>
      </c>
      <c r="I99" s="627" t="str">
        <f>IF('4. Sem'!$K$41="","",'4. Sem'!$K$41)</f>
        <v/>
      </c>
      <c r="J99" s="627" t="str">
        <f>IF('4. Sem'!$L$41="","",'4. Sem'!$L$41)</f>
        <v/>
      </c>
      <c r="K99" s="627" t="str">
        <f>IF('4. Sem'!$M$41="","",'4. Sem'!$M$41)</f>
        <v/>
      </c>
      <c r="L99" s="628" t="str">
        <f>IF('4. Sem'!$N$41="","",'4. Sem'!$N$41)</f>
        <v/>
      </c>
      <c r="M99" s="623" t="str">
        <f>IF('4. Sem'!$O$41="","",'4. Sem'!$O$41)</f>
        <v/>
      </c>
      <c r="N99" s="624" t="str">
        <f>IF('4. Sem'!$P$41="","",'4. Sem'!$P$41)</f>
        <v/>
      </c>
      <c r="O99" s="624" t="str">
        <f>IF('4. Sem'!$Q$41="","",'4. Sem'!$Q$41)</f>
        <v/>
      </c>
      <c r="P99" s="624" t="str">
        <f>IF('4. Sem'!$R$41="","",'4. Sem'!$R$41)</f>
        <v/>
      </c>
      <c r="Q99" s="625" t="str">
        <f>IF('4. Sem'!$S$41="","",'4. Sem'!$S$41)</f>
        <v/>
      </c>
      <c r="R99" s="626" t="str">
        <f>IF('4. Sem'!$T$41="","",'4. Sem'!$T$41)</f>
        <v/>
      </c>
      <c r="S99" s="627" t="str">
        <f>IF('4. Sem'!$U$41="","",'4. Sem'!$U$41)</f>
        <v/>
      </c>
      <c r="T99" s="627" t="str">
        <f>IF('4. Sem'!$V$41="","",'4. Sem'!$V$41)</f>
        <v/>
      </c>
      <c r="U99" s="627" t="str">
        <f>IF('4. Sem'!$W$41="","",'4. Sem'!$W$41)</f>
        <v/>
      </c>
      <c r="V99" s="628" t="str">
        <f>IF('4. Sem'!$X$41="","",'4. Sem'!$X$41)</f>
        <v/>
      </c>
      <c r="W99" s="623" t="str">
        <f>IF('4. Sem'!$Y$41="","",'4. Sem'!$Y$41)</f>
        <v/>
      </c>
      <c r="X99" s="624" t="str">
        <f>IF('4. Sem'!$Z$41="","",'4. Sem'!$Z$41)</f>
        <v/>
      </c>
      <c r="Y99" s="624" t="str">
        <f>IF('4. Sem'!$AA$41="","",'4. Sem'!$AA$41)</f>
        <v/>
      </c>
      <c r="Z99" s="624" t="str">
        <f>IF('4. Sem'!$AB$41="","",'4. Sem'!$AB$41)</f>
        <v/>
      </c>
      <c r="AA99" s="625" t="str">
        <f>IF('4. Sem'!$AC$41="","",'4. Sem'!$AC$41)</f>
        <v/>
      </c>
      <c r="AB99" s="626" t="str">
        <f>IF('4. Sem'!$AD$41="","",'4. Sem'!$AD$41)</f>
        <v/>
      </c>
      <c r="AC99" s="627" t="str">
        <f>IF('4. Sem'!$AE$41="","",'4. Sem'!$AE$41)</f>
        <v/>
      </c>
      <c r="AD99" s="627" t="str">
        <f>IF('4. Sem'!$AF$41="","",'4. Sem'!$AF$41)</f>
        <v/>
      </c>
      <c r="AE99" s="627" t="str">
        <f>IF('4. Sem'!$AG$41="","",'4. Sem'!$AG$41)</f>
        <v/>
      </c>
      <c r="AF99" s="628" t="str">
        <f>IF('4. Sem'!$AH$41="","",'4. Sem'!$AH$41)</f>
        <v/>
      </c>
      <c r="AG99" s="623" t="str">
        <f>IF('4. Sem'!$AI$41="","",'4. Sem'!$AI$41)</f>
        <v/>
      </c>
      <c r="AH99" s="624" t="str">
        <f>IF('4. Sem'!$AJ$41="","",'4. Sem'!$AJ$41)</f>
        <v/>
      </c>
      <c r="AI99" s="624" t="str">
        <f>IF('4. Sem'!$AK$41="","",'4. Sem'!$AK$41)</f>
        <v/>
      </c>
      <c r="AJ99" s="624" t="str">
        <f>IF('4. Sem'!$AL$41="","",'4. Sem'!$AL$41)</f>
        <v/>
      </c>
      <c r="AK99" s="625" t="str">
        <f>IF('4. Sem'!$AM$41="","",'4. Sem'!$AM$41)</f>
        <v/>
      </c>
      <c r="AL99" s="626" t="str">
        <f>IF('4. Sem'!$AN$41="","",'4. Sem'!$AN$41)</f>
        <v/>
      </c>
      <c r="AM99" s="627" t="str">
        <f>IF('4. Sem'!$AO$41="","",'4. Sem'!$AO$41)</f>
        <v/>
      </c>
      <c r="AN99" s="627" t="str">
        <f>IF('4. Sem'!$AP$41="","",'4. Sem'!$AP$41)</f>
        <v/>
      </c>
      <c r="AO99" s="627" t="str">
        <f>IF('4. Sem'!$AQ$41="","",'4. Sem'!$AQ$41)</f>
        <v/>
      </c>
      <c r="AP99" s="628" t="str">
        <f>IF('4. Sem'!$AR$41="","",'4. Sem'!$AR$41)</f>
        <v/>
      </c>
      <c r="AQ99" s="623" t="str">
        <f>IF('4. Sem'!$AS$41="","",'4. Sem'!$AS$41)</f>
        <v/>
      </c>
      <c r="AR99" s="624" t="str">
        <f>IF('4. Sem'!$AT$41="","",'4. Sem'!$AT$41)</f>
        <v/>
      </c>
      <c r="AS99" s="624" t="str">
        <f>IF('4. Sem'!$AU$41="","",'4. Sem'!$AU$41)</f>
        <v/>
      </c>
      <c r="AT99" s="624" t="str">
        <f>IF('4. Sem'!$AV$41="","",'4. Sem'!$AV$41)</f>
        <v/>
      </c>
      <c r="AU99" s="625" t="str">
        <f>IF('4. Sem'!$AW$41="","",'4. Sem'!$AW$41)</f>
        <v/>
      </c>
      <c r="AV99" s="626" t="str">
        <f>IF('4. Sem'!$AX$41="","",'4. Sem'!$AX$41)</f>
        <v/>
      </c>
      <c r="AW99" s="627" t="str">
        <f>IF('4. Sem'!$AY$41="","",'4. Sem'!$AY$41)</f>
        <v/>
      </c>
      <c r="AX99" s="627" t="str">
        <f>IF('4. Sem'!$AZ$41="","",'4. Sem'!$AZ$41)</f>
        <v/>
      </c>
      <c r="AY99" s="627" t="str">
        <f>IF('4. Sem'!$BA$41="","",'4. Sem'!$BA$41)</f>
        <v/>
      </c>
      <c r="AZ99" s="628" t="str">
        <f>IF('4. Sem'!$BB$41="","",'4. Sem'!$BB$41)</f>
        <v/>
      </c>
      <c r="BA99" s="623" t="str">
        <f>IF('4. Sem'!$BC$41="","",'4. Sem'!$BC$41)</f>
        <v/>
      </c>
      <c r="BB99" s="624" t="str">
        <f>IF('4. Sem'!$BD$41="","",'4. Sem'!$BD$41)</f>
        <v/>
      </c>
      <c r="BC99" s="624" t="str">
        <f>IF('4. Sem'!$BE$41="","",'4. Sem'!$BE$41)</f>
        <v/>
      </c>
      <c r="BD99" s="624" t="str">
        <f>IF('4. Sem'!$BF$41="","",'4. Sem'!$BF$41)</f>
        <v/>
      </c>
      <c r="BE99" s="625" t="str">
        <f>IF('4. Sem'!$BG$41="","",'4. Sem'!$BG$41)</f>
        <v/>
      </c>
      <c r="BF99" s="626" t="str">
        <f>IF('4. Sem'!$BH$41="","",'4. Sem'!$BH$41)</f>
        <v/>
      </c>
      <c r="BG99" s="627" t="str">
        <f>IF('4. Sem'!$BI$41="","",'4. Sem'!$BI$41)</f>
        <v/>
      </c>
      <c r="BH99" s="627" t="str">
        <f>IF('4. Sem'!$BJ$41="","",'4. Sem'!$BJ$41)</f>
        <v/>
      </c>
      <c r="BI99" s="627" t="str">
        <f>IF('4. Sem'!$BK$41="","",'4. Sem'!$BK$41)</f>
        <v/>
      </c>
      <c r="BJ99" s="628" t="str">
        <f>IF('4. Sem'!$BL$41="","",'4. Sem'!$BL$41)</f>
        <v/>
      </c>
      <c r="BK99" s="623" t="str">
        <f>IF('4. Sem'!$BM$41="","",'4. Sem'!$BM$41)</f>
        <v/>
      </c>
      <c r="BL99" s="624" t="str">
        <f>IF('4. Sem'!$BN$41="","",'4. Sem'!$BN$41)</f>
        <v/>
      </c>
      <c r="BM99" s="624" t="str">
        <f>IF('4. Sem'!$BO$41="","",'4. Sem'!$BO$41)</f>
        <v/>
      </c>
      <c r="BN99" s="624" t="str">
        <f>IF('4. Sem'!$BP$41="","",'4. Sem'!$BP$41)</f>
        <v/>
      </c>
      <c r="BO99" s="625" t="str">
        <f>IF('4. Sem'!$BQ$41="","",'4. Sem'!$BQ$41)</f>
        <v/>
      </c>
      <c r="BP99" s="626" t="str">
        <f>IF('4. Sem'!$BR$41="","",'4. Sem'!$BR$41)</f>
        <v/>
      </c>
      <c r="BQ99" s="627" t="str">
        <f>IF('4. Sem'!$BS$41="","",'4. Sem'!$BS$41)</f>
        <v/>
      </c>
      <c r="BR99" s="627" t="str">
        <f>IF('4. Sem'!$BT$41="","",'4. Sem'!$BT$41)</f>
        <v/>
      </c>
      <c r="BS99" s="627" t="str">
        <f>IF('4. Sem'!$BU$41="","",'4. Sem'!$BU$41)</f>
        <v/>
      </c>
      <c r="BT99" s="628" t="str">
        <f>IF('4. Sem'!$BV$41="","",'4. Sem'!$BV$41)</f>
        <v/>
      </c>
      <c r="BU99" s="623" t="str">
        <f>IF('4. Sem'!$BW$41="","",'4. Sem'!$BW$41)</f>
        <v/>
      </c>
      <c r="BV99" s="624" t="str">
        <f>IF('4. Sem'!$BX$41="","",'4. Sem'!$BX$41)</f>
        <v/>
      </c>
      <c r="BW99" s="624" t="str">
        <f>IF('4. Sem'!$BY$41="","",'4. Sem'!$BY$41)</f>
        <v/>
      </c>
      <c r="BX99" s="624" t="str">
        <f>IF('4. Sem'!$BZ$41="","",'4. Sem'!$BZ$41)</f>
        <v/>
      </c>
      <c r="BY99" s="625" t="str">
        <f>IF('4. Sem'!$CA$41="","",'4. Sem'!$CA$41)</f>
        <v/>
      </c>
      <c r="BZ99" s="626" t="str">
        <f>IF('4. Sem'!$CB$41="","",'4. Sem'!$CB$41)</f>
        <v/>
      </c>
      <c r="CA99" s="627" t="str">
        <f>IF('4. Sem'!$CC$41="","",'4. Sem'!$CC$41)</f>
        <v/>
      </c>
      <c r="CB99" s="627" t="str">
        <f>IF('4. Sem'!$CD$41="","",'4. Sem'!$CD$41)</f>
        <v/>
      </c>
      <c r="CC99" s="627" t="str">
        <f>IF('4. Sem'!$CE$41="","",'4. Sem'!$CE$41)</f>
        <v/>
      </c>
      <c r="CD99" s="628" t="str">
        <f>IF('4. Sem'!$CF$41="","",'4. Sem'!$CF$41)</f>
        <v/>
      </c>
      <c r="CE99" s="623" t="str">
        <f>IF('4. Sem'!$CG$41="","",'4. Sem'!$CG$41)</f>
        <v/>
      </c>
      <c r="CF99" s="624" t="str">
        <f>IF('4. Sem'!$CH$41="","",'4. Sem'!$CH$41)</f>
        <v/>
      </c>
      <c r="CG99" s="624" t="str">
        <f>IF('4. Sem'!$CI$41="","",'4. Sem'!$CI$41)</f>
        <v/>
      </c>
      <c r="CH99" s="624" t="str">
        <f>IF('4. Sem'!$CJ$41="","",'4. Sem'!$CJ$41)</f>
        <v/>
      </c>
      <c r="CI99" s="625" t="str">
        <f>IF('4. Sem'!$CK$41="","",'4. Sem'!$CK$41)</f>
        <v/>
      </c>
      <c r="CJ99" s="626" t="str">
        <f>IF('4. Sem'!$CL$41="","",'4. Sem'!$CL$41)</f>
        <v/>
      </c>
      <c r="CK99" s="627" t="str">
        <f>IF('4. Sem'!$CM$41="","",'4. Sem'!$CM$41)</f>
        <v/>
      </c>
      <c r="CL99" s="627" t="str">
        <f>IF('4. Sem'!$CN$41="","",'4. Sem'!$CN$41)</f>
        <v/>
      </c>
      <c r="CM99" s="627" t="str">
        <f>IF('4. Sem'!$CO$41="","",'4. Sem'!$CO$41)</f>
        <v/>
      </c>
      <c r="CN99" s="628" t="str">
        <f>IF('4. Sem'!$CP$41="","",'4. Sem'!$CP$41)</f>
        <v/>
      </c>
      <c r="CO99" s="623" t="str">
        <f>IF('4. Sem'!$CQ$41="","",'4. Sem'!$CQ$41)</f>
        <v/>
      </c>
      <c r="CP99" s="624" t="str">
        <f>IF('4. Sem'!$CR$41="","",'4. Sem'!$CR$41)</f>
        <v/>
      </c>
      <c r="CQ99" s="624" t="str">
        <f>IF('4. Sem'!$CS$41="","",'4. Sem'!$CS$41)</f>
        <v/>
      </c>
      <c r="CR99" s="624" t="str">
        <f>IF('4. Sem'!$CT$41="","",'4. Sem'!$CT$41)</f>
        <v/>
      </c>
      <c r="CS99" s="625" t="str">
        <f>IF('4. Sem'!$CU$41="","",'4. Sem'!$CU$41)</f>
        <v/>
      </c>
      <c r="CT99" s="626" t="str">
        <f>IF('4. Sem'!$CV$41="","",'4. Sem'!$CV$41)</f>
        <v/>
      </c>
      <c r="CU99" s="627" t="str">
        <f>IF('4. Sem'!$CW$41="","",'4. Sem'!$CW$41)</f>
        <v/>
      </c>
      <c r="CV99" s="627" t="str">
        <f>IF('4. Sem'!$CX$41="","",'4. Sem'!$CX$41)</f>
        <v/>
      </c>
      <c r="CW99" s="627" t="str">
        <f>IF('4. Sem'!$CY$41="","",'4. Sem'!$CY$41)</f>
        <v/>
      </c>
      <c r="CX99" s="628" t="str">
        <f>IF('4. Sem'!$CZ$41="","",'4. Sem'!$CZ$41)</f>
        <v/>
      </c>
      <c r="CY99" s="623" t="str">
        <f>IF('4. Sem'!$DA$41="","",'4. Sem'!$DA$41)</f>
        <v/>
      </c>
      <c r="CZ99" s="624" t="str">
        <f>IF('4. Sem'!$DB$41="","",'4. Sem'!$DB$41)</f>
        <v/>
      </c>
      <c r="DA99" s="624" t="str">
        <f>IF('4. Sem'!$DC$41="","",'4. Sem'!$DC$41)</f>
        <v/>
      </c>
      <c r="DB99" s="624" t="str">
        <f>IF('4. Sem'!$DD$41="","",'4. Sem'!$DD$41)</f>
        <v/>
      </c>
      <c r="DC99" s="625" t="str">
        <f>IF('4. Sem'!$DE$41="","",'4. Sem'!$DE$41)</f>
        <v/>
      </c>
    </row>
    <row r="100" spans="1:107" ht="17" customHeight="1" thickBot="1" x14ac:dyDescent="0.25">
      <c r="A100" s="566"/>
      <c r="B100" s="629" t="s">
        <v>34</v>
      </c>
      <c r="C100" s="630" t="str">
        <f>IF('4. Sem'!$E$42="","",'4. Sem'!$E$42)</f>
        <v/>
      </c>
      <c r="D100" s="631" t="str">
        <f>IF('4. Sem'!$F$42="","",'4. Sem'!$F$42)</f>
        <v/>
      </c>
      <c r="E100" s="631" t="str">
        <f>IF('4. Sem'!$G$42="","",'4. Sem'!$G$42)</f>
        <v/>
      </c>
      <c r="F100" s="631" t="str">
        <f>IF('4. Sem'!$H$42="","",'4. Sem'!$H$42)</f>
        <v/>
      </c>
      <c r="G100" s="632" t="str">
        <f>IF('4. Sem'!$I$42="","",'4. Sem'!$I$42)</f>
        <v/>
      </c>
      <c r="H100" s="633" t="str">
        <f>IF('4. Sem'!$J$42="","",'4. Sem'!$J$42)</f>
        <v/>
      </c>
      <c r="I100" s="634" t="str">
        <f>IF('4. Sem'!$K$42="","",'4. Sem'!$K$42)</f>
        <v/>
      </c>
      <c r="J100" s="634" t="str">
        <f>IF('4. Sem'!$L$42="","",'4. Sem'!$L$42)</f>
        <v/>
      </c>
      <c r="K100" s="634" t="str">
        <f>IF('4. Sem'!$M$42="","",'4. Sem'!$M$42)</f>
        <v/>
      </c>
      <c r="L100" s="635" t="str">
        <f>IF('4. Sem'!$N$42="","",'4. Sem'!$N$42)</f>
        <v/>
      </c>
      <c r="M100" s="630" t="str">
        <f>IF('4. Sem'!$O$42="","",'4. Sem'!$O$42)</f>
        <v/>
      </c>
      <c r="N100" s="631" t="str">
        <f>IF('4. Sem'!$P$42="","",'4. Sem'!$P$42)</f>
        <v/>
      </c>
      <c r="O100" s="631" t="str">
        <f>IF('4. Sem'!$Q$42="","",'4. Sem'!$Q$42)</f>
        <v/>
      </c>
      <c r="P100" s="631" t="str">
        <f>IF('4. Sem'!$R$42="","",'4. Sem'!$R$42)</f>
        <v/>
      </c>
      <c r="Q100" s="632" t="str">
        <f>IF('4. Sem'!$S$42="","",'4. Sem'!$S$42)</f>
        <v/>
      </c>
      <c r="R100" s="633" t="str">
        <f>IF('4. Sem'!$T$42="","",'4. Sem'!$T$42)</f>
        <v/>
      </c>
      <c r="S100" s="634" t="str">
        <f>IF('4. Sem'!$U$42="","",'4. Sem'!$U$42)</f>
        <v/>
      </c>
      <c r="T100" s="634" t="str">
        <f>IF('4. Sem'!$V$42="","",'4. Sem'!$V$42)</f>
        <v/>
      </c>
      <c r="U100" s="634" t="str">
        <f>IF('4. Sem'!$W$42="","",'4. Sem'!$W$42)</f>
        <v/>
      </c>
      <c r="V100" s="635" t="str">
        <f>IF('4. Sem'!$X$42="","",'4. Sem'!$X$42)</f>
        <v/>
      </c>
      <c r="W100" s="630" t="str">
        <f>IF('4. Sem'!$Y$42="","",'4. Sem'!$Y$42)</f>
        <v/>
      </c>
      <c r="X100" s="631" t="str">
        <f>IF('4. Sem'!$Z$42="","",'4. Sem'!$Z$42)</f>
        <v/>
      </c>
      <c r="Y100" s="631" t="str">
        <f>IF('4. Sem'!$AA$42="","",'4. Sem'!$AA$42)</f>
        <v/>
      </c>
      <c r="Z100" s="631" t="str">
        <f>IF('4. Sem'!$AB$42="","",'4. Sem'!$AB$42)</f>
        <v/>
      </c>
      <c r="AA100" s="632" t="str">
        <f>IF('4. Sem'!$AC$42="","",'4. Sem'!$AC$42)</f>
        <v/>
      </c>
      <c r="AB100" s="633" t="str">
        <f>IF('4. Sem'!$AD$42="","",'4. Sem'!$AD$42)</f>
        <v/>
      </c>
      <c r="AC100" s="634" t="str">
        <f>IF('4. Sem'!$AE$42="","",'4. Sem'!$AE$42)</f>
        <v/>
      </c>
      <c r="AD100" s="634" t="str">
        <f>IF('4. Sem'!$AF$42="","",'4. Sem'!$AF$42)</f>
        <v/>
      </c>
      <c r="AE100" s="634" t="str">
        <f>IF('4. Sem'!$AG$42="","",'4. Sem'!$AG$42)</f>
        <v/>
      </c>
      <c r="AF100" s="635" t="str">
        <f>IF('4. Sem'!$AH$42="","",'4. Sem'!$AH$42)</f>
        <v/>
      </c>
      <c r="AG100" s="630" t="str">
        <f>IF('4. Sem'!$AI$42="","",'4. Sem'!$AI$42)</f>
        <v/>
      </c>
      <c r="AH100" s="631" t="str">
        <f>IF('4. Sem'!$AJ$42="","",'4. Sem'!$AJ$42)</f>
        <v/>
      </c>
      <c r="AI100" s="631" t="str">
        <f>IF('4. Sem'!$AK$42="","",'4. Sem'!$AK$42)</f>
        <v/>
      </c>
      <c r="AJ100" s="631" t="str">
        <f>IF('4. Sem'!$AL$42="","",'4. Sem'!$AL$42)</f>
        <v/>
      </c>
      <c r="AK100" s="632" t="str">
        <f>IF('4. Sem'!$AM$42="","",'4. Sem'!$AM$42)</f>
        <v/>
      </c>
      <c r="AL100" s="633" t="str">
        <f>IF('4. Sem'!$AN$42="","",'4. Sem'!$AN$42)</f>
        <v/>
      </c>
      <c r="AM100" s="634" t="str">
        <f>IF('4. Sem'!$AO$42="","",'4. Sem'!$AO$42)</f>
        <v/>
      </c>
      <c r="AN100" s="634" t="str">
        <f>IF('4. Sem'!$AP$42="","",'4. Sem'!$AP$42)</f>
        <v/>
      </c>
      <c r="AO100" s="634" t="str">
        <f>IF('4. Sem'!$AQ$42="","",'4. Sem'!$AQ$42)</f>
        <v/>
      </c>
      <c r="AP100" s="635" t="str">
        <f>IF('4. Sem'!$AR$42="","",'4. Sem'!$AR$42)</f>
        <v/>
      </c>
      <c r="AQ100" s="630" t="str">
        <f>IF('4. Sem'!$AS$42="","",'4. Sem'!$AS$42)</f>
        <v/>
      </c>
      <c r="AR100" s="631" t="str">
        <f>IF('4. Sem'!$AT$42="","",'4. Sem'!$AT$42)</f>
        <v/>
      </c>
      <c r="AS100" s="631" t="str">
        <f>IF('4. Sem'!$AU$42="","",'4. Sem'!$AU$42)</f>
        <v/>
      </c>
      <c r="AT100" s="631" t="str">
        <f>IF('4. Sem'!$AV$42="","",'4. Sem'!$AV$42)</f>
        <v/>
      </c>
      <c r="AU100" s="632" t="str">
        <f>IF('4. Sem'!$AW$42="","",'4. Sem'!$AW$42)</f>
        <v/>
      </c>
      <c r="AV100" s="633" t="str">
        <f>IF('4. Sem'!$AX$42="","",'4. Sem'!$AX$42)</f>
        <v/>
      </c>
      <c r="AW100" s="634" t="str">
        <f>IF('4. Sem'!$AY$42="","",'4. Sem'!$AY$42)</f>
        <v/>
      </c>
      <c r="AX100" s="634" t="str">
        <f>IF('4. Sem'!$AZ$42="","",'4. Sem'!$AZ$42)</f>
        <v/>
      </c>
      <c r="AY100" s="634" t="str">
        <f>IF('4. Sem'!$BA$42="","",'4. Sem'!$BA$42)</f>
        <v/>
      </c>
      <c r="AZ100" s="635" t="str">
        <f>IF('4. Sem'!$BB$42="","",'4. Sem'!$BB$42)</f>
        <v/>
      </c>
      <c r="BA100" s="630" t="str">
        <f>IF('4. Sem'!$BC$42="","",'4. Sem'!$BC$42)</f>
        <v/>
      </c>
      <c r="BB100" s="631" t="str">
        <f>IF('4. Sem'!$BD$42="","",'4. Sem'!$BD$42)</f>
        <v/>
      </c>
      <c r="BC100" s="631" t="str">
        <f>IF('4. Sem'!$BE$42="","",'4. Sem'!$BE$42)</f>
        <v/>
      </c>
      <c r="BD100" s="631" t="str">
        <f>IF('4. Sem'!$BF$42="","",'4. Sem'!$BF$42)</f>
        <v/>
      </c>
      <c r="BE100" s="632" t="str">
        <f>IF('4. Sem'!$BG$42="","",'4. Sem'!$BG$42)</f>
        <v/>
      </c>
      <c r="BF100" s="633" t="str">
        <f>IF('4. Sem'!$BH$42="","",'4. Sem'!$BH$42)</f>
        <v/>
      </c>
      <c r="BG100" s="634" t="str">
        <f>IF('4. Sem'!$BI$42="","",'4. Sem'!$BI$42)</f>
        <v/>
      </c>
      <c r="BH100" s="634" t="str">
        <f>IF('4. Sem'!$BJ$42="","",'4. Sem'!$BJ$42)</f>
        <v/>
      </c>
      <c r="BI100" s="634" t="str">
        <f>IF('4. Sem'!$BK$42="","",'4. Sem'!$BK$42)</f>
        <v/>
      </c>
      <c r="BJ100" s="635" t="str">
        <f>IF('4. Sem'!$BL$42="","",'4. Sem'!$BL$42)</f>
        <v/>
      </c>
      <c r="BK100" s="630" t="str">
        <f>IF('4. Sem'!$BM$42="","",'4. Sem'!$BM$42)</f>
        <v/>
      </c>
      <c r="BL100" s="631" t="str">
        <f>IF('4. Sem'!$BN$42="","",'4. Sem'!$BN$42)</f>
        <v/>
      </c>
      <c r="BM100" s="631" t="str">
        <f>IF('4. Sem'!$BO$42="","",'4. Sem'!$BO$42)</f>
        <v/>
      </c>
      <c r="BN100" s="631" t="str">
        <f>IF('4. Sem'!$BP$42="","",'4. Sem'!$BP$42)</f>
        <v/>
      </c>
      <c r="BO100" s="632" t="str">
        <f>IF('4. Sem'!$BQ$42="","",'4. Sem'!$BQ$42)</f>
        <v/>
      </c>
      <c r="BP100" s="633" t="str">
        <f>IF('4. Sem'!$BR$42="","",'4. Sem'!$BR$42)</f>
        <v/>
      </c>
      <c r="BQ100" s="634" t="str">
        <f>IF('4. Sem'!$BS$42="","",'4. Sem'!$BS$42)</f>
        <v/>
      </c>
      <c r="BR100" s="634" t="str">
        <f>IF('4. Sem'!$BT$42="","",'4. Sem'!$BT$42)</f>
        <v/>
      </c>
      <c r="BS100" s="634" t="str">
        <f>IF('4. Sem'!$BU$42="","",'4. Sem'!$BU$42)</f>
        <v/>
      </c>
      <c r="BT100" s="635" t="str">
        <f>IF('4. Sem'!$BV$42="","",'4. Sem'!$BV$42)</f>
        <v/>
      </c>
      <c r="BU100" s="630" t="str">
        <f>IF('4. Sem'!$BW$42="","",'4. Sem'!$BW$42)</f>
        <v/>
      </c>
      <c r="BV100" s="631" t="str">
        <f>IF('4. Sem'!$BX$42="","",'4. Sem'!$BX$42)</f>
        <v/>
      </c>
      <c r="BW100" s="631" t="str">
        <f>IF('4. Sem'!$BY$42="","",'4. Sem'!$BY$42)</f>
        <v/>
      </c>
      <c r="BX100" s="631" t="str">
        <f>IF('4. Sem'!$BZ$42="","",'4. Sem'!$BZ$42)</f>
        <v/>
      </c>
      <c r="BY100" s="632" t="str">
        <f>IF('4. Sem'!$CA$42="","",'4. Sem'!$CA$42)</f>
        <v/>
      </c>
      <c r="BZ100" s="633" t="str">
        <f>IF('4. Sem'!$CB$42="","",'4. Sem'!$CB$42)</f>
        <v/>
      </c>
      <c r="CA100" s="634" t="str">
        <f>IF('4. Sem'!$CC$42="","",'4. Sem'!$CC$42)</f>
        <v/>
      </c>
      <c r="CB100" s="634" t="str">
        <f>IF('4. Sem'!$CD$42="","",'4. Sem'!$CD$42)</f>
        <v/>
      </c>
      <c r="CC100" s="634" t="str">
        <f>IF('4. Sem'!$CE$42="","",'4. Sem'!$CE$42)</f>
        <v/>
      </c>
      <c r="CD100" s="635" t="str">
        <f>IF('4. Sem'!$CF$42="","",'4. Sem'!$CF$42)</f>
        <v/>
      </c>
      <c r="CE100" s="630" t="str">
        <f>IF('4. Sem'!$CG$42="","",'4. Sem'!$CG$42)</f>
        <v/>
      </c>
      <c r="CF100" s="631" t="str">
        <f>IF('4. Sem'!$CH$42="","",'4. Sem'!$CH$42)</f>
        <v/>
      </c>
      <c r="CG100" s="631" t="str">
        <f>IF('4. Sem'!$CI$42="","",'4. Sem'!$CI$42)</f>
        <v/>
      </c>
      <c r="CH100" s="631" t="str">
        <f>IF('4. Sem'!$CJ$42="","",'4. Sem'!$CJ$42)</f>
        <v/>
      </c>
      <c r="CI100" s="632" t="str">
        <f>IF('4. Sem'!$CK$42="","",'4. Sem'!$CK$42)</f>
        <v/>
      </c>
      <c r="CJ100" s="633" t="str">
        <f>IF('4. Sem'!$CL$42="","",'4. Sem'!$CL$42)</f>
        <v/>
      </c>
      <c r="CK100" s="634" t="str">
        <f>IF('4. Sem'!$CM$42="","",'4. Sem'!$CM$42)</f>
        <v/>
      </c>
      <c r="CL100" s="634" t="str">
        <f>IF('4. Sem'!$CN$42="","",'4. Sem'!$CN$42)</f>
        <v/>
      </c>
      <c r="CM100" s="634" t="str">
        <f>IF('4. Sem'!$CO$42="","",'4. Sem'!$CO$42)</f>
        <v/>
      </c>
      <c r="CN100" s="635" t="str">
        <f>IF('4. Sem'!$CP$42="","",'4. Sem'!$CP$42)</f>
        <v/>
      </c>
      <c r="CO100" s="630" t="str">
        <f>IF('4. Sem'!$CQ$42="","",'4. Sem'!$CQ$42)</f>
        <v/>
      </c>
      <c r="CP100" s="631" t="str">
        <f>IF('4. Sem'!$CR$42="","",'4. Sem'!$CR$42)</f>
        <v/>
      </c>
      <c r="CQ100" s="631" t="str">
        <f>IF('4. Sem'!$CS$42="","",'4. Sem'!$CS$42)</f>
        <v/>
      </c>
      <c r="CR100" s="631" t="str">
        <f>IF('4. Sem'!$CT$42="","",'4. Sem'!$CT$42)</f>
        <v/>
      </c>
      <c r="CS100" s="632" t="str">
        <f>IF('4. Sem'!$CU$42="","",'4. Sem'!$CU$42)</f>
        <v/>
      </c>
      <c r="CT100" s="633" t="str">
        <f>IF('4. Sem'!$CV$42="","",'4. Sem'!$CV$42)</f>
        <v/>
      </c>
      <c r="CU100" s="634" t="str">
        <f>IF('4. Sem'!$CW$42="","",'4. Sem'!$CW$42)</f>
        <v/>
      </c>
      <c r="CV100" s="634" t="str">
        <f>IF('4. Sem'!$CX$42="","",'4. Sem'!$CX$42)</f>
        <v/>
      </c>
      <c r="CW100" s="634" t="str">
        <f>IF('4. Sem'!$CY$42="","",'4. Sem'!$CY$42)</f>
        <v/>
      </c>
      <c r="CX100" s="635" t="str">
        <f>IF('4. Sem'!$CZ$42="","",'4. Sem'!$CZ$42)</f>
        <v/>
      </c>
      <c r="CY100" s="630" t="str">
        <f>IF('4. Sem'!$DA$42="","",'4. Sem'!$DA$42)</f>
        <v/>
      </c>
      <c r="CZ100" s="631" t="str">
        <f>IF('4. Sem'!$DB$42="","",'4. Sem'!$DB$42)</f>
        <v/>
      </c>
      <c r="DA100" s="631" t="str">
        <f>IF('4. Sem'!$DC$42="","",'4. Sem'!$DC$42)</f>
        <v/>
      </c>
      <c r="DB100" s="631" t="str">
        <f>IF('4. Sem'!$DD$42="","",'4. Sem'!$DD$42)</f>
        <v/>
      </c>
      <c r="DC100" s="632" t="str">
        <f>IF('4. Sem'!$DE$42="","",'4. Sem'!$DE$42)</f>
        <v/>
      </c>
    </row>
    <row r="101" spans="1:107" x14ac:dyDescent="0.2">
      <c r="A101" s="562"/>
      <c r="B101" s="562"/>
      <c r="C101" s="562"/>
      <c r="D101" s="562"/>
      <c r="E101" s="562"/>
      <c r="F101" s="562"/>
      <c r="G101" s="562"/>
      <c r="H101" s="562"/>
      <c r="I101" s="562"/>
      <c r="J101" s="562"/>
      <c r="K101" s="562"/>
      <c r="L101" s="562"/>
      <c r="M101" s="562"/>
      <c r="N101" s="562"/>
      <c r="O101" s="562"/>
      <c r="P101" s="562"/>
      <c r="Q101" s="562"/>
      <c r="R101" s="562"/>
      <c r="S101" s="562"/>
      <c r="T101" s="562"/>
      <c r="U101" s="562"/>
      <c r="V101" s="562"/>
      <c r="W101" s="562"/>
      <c r="X101" s="562"/>
      <c r="Y101" s="562"/>
      <c r="Z101" s="562"/>
      <c r="AA101" s="562"/>
      <c r="AB101" s="562"/>
      <c r="AC101" s="562"/>
      <c r="AD101" s="562"/>
      <c r="AE101" s="562"/>
      <c r="AF101" s="562"/>
      <c r="AG101" s="562"/>
      <c r="AH101" s="562"/>
      <c r="AI101" s="562"/>
      <c r="AJ101" s="562"/>
      <c r="AK101" s="562"/>
      <c r="AL101" s="562"/>
      <c r="AM101" s="562"/>
      <c r="AN101" s="562"/>
      <c r="AO101" s="562"/>
      <c r="AP101" s="562"/>
      <c r="AQ101" s="562"/>
      <c r="AR101" s="562"/>
      <c r="AS101" s="562"/>
      <c r="AT101" s="562"/>
      <c r="AU101" s="562"/>
      <c r="AV101" s="562"/>
      <c r="AW101" s="562"/>
      <c r="AX101" s="562"/>
      <c r="AY101" s="562"/>
      <c r="AZ101" s="562"/>
      <c r="BA101" s="562"/>
      <c r="BB101" s="562"/>
      <c r="BC101" s="562"/>
      <c r="BD101" s="562"/>
      <c r="BE101" s="562"/>
      <c r="BF101" s="562"/>
      <c r="BG101" s="562"/>
      <c r="BH101" s="562"/>
      <c r="BI101" s="562"/>
      <c r="BJ101" s="562"/>
      <c r="BK101" s="562"/>
      <c r="BL101" s="562"/>
      <c r="BM101" s="562"/>
      <c r="BN101" s="562"/>
      <c r="BO101" s="562"/>
      <c r="BP101" s="562"/>
      <c r="BQ101" s="562"/>
      <c r="BR101" s="562"/>
      <c r="BS101" s="562"/>
      <c r="BT101" s="562"/>
      <c r="BU101" s="562"/>
      <c r="BV101" s="562"/>
      <c r="BW101" s="562"/>
      <c r="BX101" s="562"/>
      <c r="BY101" s="562"/>
      <c r="BZ101" s="562"/>
      <c r="CA101" s="562"/>
      <c r="CB101" s="562"/>
      <c r="CC101" s="562"/>
      <c r="CD101" s="562"/>
      <c r="CE101" s="562"/>
      <c r="CF101" s="562"/>
      <c r="CG101" s="562"/>
      <c r="CH101" s="562"/>
      <c r="CI101" s="562"/>
      <c r="CJ101" s="562"/>
      <c r="CK101" s="562"/>
      <c r="CL101" s="562"/>
      <c r="CM101" s="562"/>
      <c r="CN101" s="562"/>
      <c r="CO101" s="562"/>
      <c r="CP101" s="562"/>
      <c r="CQ101" s="562"/>
      <c r="CR101" s="562"/>
      <c r="CS101" s="562"/>
      <c r="CT101" s="562"/>
      <c r="CU101" s="562"/>
      <c r="CV101" s="562"/>
      <c r="CW101" s="562"/>
      <c r="CX101" s="562"/>
      <c r="CY101" s="562"/>
      <c r="CZ101" s="562"/>
      <c r="DA101" s="562"/>
      <c r="DB101" s="562"/>
      <c r="DC101" s="562"/>
    </row>
    <row r="102" spans="1:107" x14ac:dyDescent="0.2">
      <c r="A102" s="562"/>
      <c r="B102" s="562"/>
      <c r="C102" s="562"/>
      <c r="D102" s="562"/>
      <c r="E102" s="562"/>
      <c r="F102" s="562"/>
      <c r="G102" s="562"/>
      <c r="H102" s="562"/>
      <c r="I102" s="562"/>
      <c r="J102" s="562"/>
      <c r="K102" s="562"/>
      <c r="L102" s="562"/>
      <c r="M102" s="562"/>
      <c r="N102" s="562"/>
      <c r="O102" s="562"/>
      <c r="P102" s="562"/>
      <c r="Q102" s="562"/>
      <c r="R102" s="562"/>
      <c r="S102" s="562"/>
      <c r="T102" s="562"/>
      <c r="U102" s="562"/>
      <c r="V102" s="562"/>
      <c r="W102" s="562"/>
      <c r="X102" s="562"/>
      <c r="Y102" s="562"/>
      <c r="Z102" s="562"/>
      <c r="AA102" s="562"/>
      <c r="AB102" s="562"/>
      <c r="AC102" s="562"/>
      <c r="AD102" s="562"/>
      <c r="AE102" s="562"/>
      <c r="AF102" s="562"/>
      <c r="AG102" s="562"/>
      <c r="AH102" s="562"/>
      <c r="AI102" s="562"/>
      <c r="AJ102" s="562"/>
      <c r="AK102" s="562"/>
      <c r="AL102" s="562"/>
      <c r="AM102" s="562"/>
      <c r="AN102" s="562"/>
      <c r="AO102" s="562"/>
      <c r="AP102" s="562"/>
      <c r="AQ102" s="562"/>
      <c r="AR102" s="562"/>
      <c r="AS102" s="562"/>
      <c r="AT102" s="562"/>
      <c r="AU102" s="562"/>
      <c r="AV102" s="562"/>
      <c r="AW102" s="562"/>
      <c r="AX102" s="562"/>
      <c r="AY102" s="562"/>
      <c r="AZ102" s="562"/>
      <c r="BA102" s="562"/>
      <c r="BB102" s="562"/>
      <c r="BC102" s="562"/>
      <c r="BD102" s="562"/>
      <c r="BE102" s="562"/>
      <c r="BF102" s="562"/>
      <c r="BG102" s="562"/>
      <c r="BH102" s="562"/>
      <c r="BI102" s="562"/>
      <c r="BJ102" s="562"/>
      <c r="BK102" s="562"/>
      <c r="BL102" s="562"/>
      <c r="BM102" s="562"/>
      <c r="BN102" s="562"/>
      <c r="BO102" s="562"/>
      <c r="BP102" s="562"/>
      <c r="BQ102" s="562"/>
      <c r="BR102" s="562"/>
      <c r="BS102" s="562"/>
      <c r="BT102" s="562"/>
      <c r="BU102" s="562"/>
      <c r="BV102" s="562"/>
      <c r="BW102" s="562"/>
      <c r="BX102" s="562"/>
      <c r="BY102" s="562"/>
      <c r="BZ102" s="562"/>
      <c r="CA102" s="562"/>
      <c r="CB102" s="562"/>
      <c r="CC102" s="562"/>
      <c r="CD102" s="562"/>
      <c r="CE102" s="562"/>
      <c r="CF102" s="562"/>
      <c r="CG102" s="562"/>
      <c r="CH102" s="562"/>
      <c r="CI102" s="562"/>
      <c r="CJ102" s="562"/>
      <c r="CK102" s="562"/>
      <c r="CL102" s="562"/>
      <c r="CM102" s="562"/>
      <c r="CN102" s="562"/>
      <c r="CO102" s="562"/>
      <c r="CP102" s="562"/>
      <c r="CQ102" s="562"/>
      <c r="CR102" s="562"/>
      <c r="CS102" s="562"/>
      <c r="CT102" s="562"/>
      <c r="CU102" s="562"/>
      <c r="CV102" s="562"/>
      <c r="CW102" s="562"/>
      <c r="CX102" s="562"/>
      <c r="CY102" s="562"/>
      <c r="CZ102" s="562"/>
      <c r="DA102" s="562"/>
      <c r="DB102" s="562"/>
      <c r="DC102" s="562"/>
    </row>
    <row r="103" spans="1:107" x14ac:dyDescent="0.2">
      <c r="A103" s="562"/>
      <c r="B103" s="562"/>
      <c r="C103" s="562"/>
      <c r="D103" s="562"/>
      <c r="E103" s="562"/>
      <c r="F103" s="562"/>
      <c r="G103" s="562"/>
      <c r="H103" s="562"/>
      <c r="I103" s="562"/>
      <c r="J103" s="562"/>
      <c r="K103" s="562"/>
      <c r="L103" s="562"/>
      <c r="M103" s="562"/>
      <c r="N103" s="562"/>
      <c r="O103" s="562"/>
      <c r="P103" s="562"/>
      <c r="Q103" s="562"/>
      <c r="R103" s="562"/>
      <c r="S103" s="562"/>
      <c r="T103" s="562"/>
      <c r="U103" s="562"/>
      <c r="V103" s="562"/>
      <c r="W103" s="562"/>
      <c r="X103" s="562"/>
      <c r="Y103" s="562"/>
      <c r="Z103" s="562"/>
      <c r="AA103" s="562"/>
      <c r="AB103" s="562"/>
      <c r="AC103" s="562"/>
      <c r="AD103" s="562"/>
      <c r="AE103" s="562"/>
      <c r="AF103" s="562"/>
      <c r="AG103" s="562"/>
      <c r="AH103" s="562"/>
      <c r="AI103" s="562"/>
      <c r="AJ103" s="562"/>
      <c r="AK103" s="562"/>
      <c r="AL103" s="562"/>
      <c r="AM103" s="562"/>
      <c r="AN103" s="562"/>
      <c r="AO103" s="562"/>
      <c r="AP103" s="562"/>
      <c r="AQ103" s="562"/>
      <c r="AR103" s="562"/>
      <c r="AS103" s="562"/>
      <c r="AT103" s="562"/>
      <c r="AU103" s="562"/>
      <c r="AV103" s="562"/>
      <c r="AW103" s="562"/>
      <c r="AX103" s="562"/>
      <c r="AY103" s="562"/>
      <c r="AZ103" s="562"/>
      <c r="BA103" s="562"/>
      <c r="BB103" s="562"/>
      <c r="BC103" s="562"/>
      <c r="BD103" s="562"/>
      <c r="BE103" s="562"/>
      <c r="BF103" s="562"/>
      <c r="BG103" s="562"/>
      <c r="BH103" s="562"/>
      <c r="BI103" s="562"/>
      <c r="BJ103" s="562"/>
      <c r="BK103" s="562"/>
      <c r="BL103" s="562"/>
      <c r="BM103" s="562"/>
      <c r="BN103" s="562"/>
      <c r="BO103" s="562"/>
      <c r="BP103" s="562"/>
      <c r="BQ103" s="562"/>
      <c r="BR103" s="562"/>
      <c r="BS103" s="562"/>
      <c r="BT103" s="562"/>
      <c r="BU103" s="562"/>
      <c r="BV103" s="562"/>
      <c r="BW103" s="562"/>
      <c r="BX103" s="562"/>
      <c r="BY103" s="562"/>
      <c r="BZ103" s="562"/>
      <c r="CA103" s="562"/>
      <c r="CB103" s="562"/>
      <c r="CC103" s="562"/>
      <c r="CD103" s="562"/>
      <c r="CE103" s="562"/>
      <c r="CF103" s="562"/>
      <c r="CG103" s="562"/>
      <c r="CH103" s="562"/>
      <c r="CI103" s="562"/>
      <c r="CJ103" s="562"/>
      <c r="CK103" s="562"/>
      <c r="CL103" s="562"/>
      <c r="CM103" s="562"/>
      <c r="CN103" s="562"/>
      <c r="CO103" s="562"/>
      <c r="CP103" s="562"/>
      <c r="CQ103" s="562"/>
      <c r="CR103" s="562"/>
      <c r="CS103" s="562"/>
      <c r="CT103" s="562"/>
      <c r="CU103" s="562"/>
      <c r="CV103" s="562"/>
      <c r="CW103" s="562"/>
      <c r="CX103" s="562"/>
      <c r="CY103" s="562"/>
      <c r="CZ103" s="562"/>
      <c r="DA103" s="562"/>
      <c r="DB103" s="562"/>
      <c r="DC103" s="562"/>
    </row>
    <row r="104" spans="1:107" x14ac:dyDescent="0.2">
      <c r="A104" s="562"/>
      <c r="B104" s="562"/>
      <c r="C104" s="562"/>
      <c r="D104" s="562"/>
      <c r="E104" s="562"/>
      <c r="F104" s="562"/>
      <c r="G104" s="562"/>
      <c r="H104" s="562"/>
      <c r="I104" s="562"/>
      <c r="J104" s="562"/>
      <c r="K104" s="562"/>
      <c r="L104" s="562"/>
      <c r="M104" s="562"/>
      <c r="N104" s="562"/>
      <c r="O104" s="562"/>
      <c r="P104" s="562"/>
      <c r="Q104" s="562"/>
      <c r="R104" s="562"/>
      <c r="S104" s="562"/>
      <c r="T104" s="562"/>
      <c r="U104" s="562"/>
      <c r="V104" s="562"/>
      <c r="W104" s="562"/>
      <c r="X104" s="562"/>
      <c r="Y104" s="562"/>
      <c r="Z104" s="562"/>
      <c r="AA104" s="562"/>
      <c r="AB104" s="562"/>
      <c r="AC104" s="562"/>
      <c r="AD104" s="562"/>
      <c r="AE104" s="562"/>
      <c r="AF104" s="562"/>
      <c r="AG104" s="562"/>
      <c r="AH104" s="562"/>
      <c r="AI104" s="562"/>
      <c r="AJ104" s="562"/>
      <c r="AK104" s="562"/>
      <c r="AL104" s="562"/>
      <c r="AM104" s="562"/>
      <c r="AN104" s="562"/>
      <c r="AO104" s="562"/>
      <c r="AP104" s="562"/>
      <c r="AQ104" s="562"/>
      <c r="AR104" s="562"/>
      <c r="AS104" s="562"/>
      <c r="AT104" s="562"/>
      <c r="AU104" s="562"/>
      <c r="AV104" s="562"/>
      <c r="AW104" s="562"/>
      <c r="AX104" s="562"/>
      <c r="AY104" s="562"/>
      <c r="AZ104" s="562"/>
      <c r="BA104" s="562"/>
      <c r="BB104" s="562"/>
      <c r="BC104" s="562"/>
      <c r="BD104" s="562"/>
      <c r="BE104" s="562"/>
      <c r="BF104" s="562"/>
      <c r="BG104" s="562"/>
      <c r="BH104" s="562"/>
      <c r="BI104" s="562"/>
      <c r="BJ104" s="562"/>
      <c r="BK104" s="562"/>
      <c r="BL104" s="562"/>
      <c r="BM104" s="562"/>
      <c r="BN104" s="562"/>
      <c r="BO104" s="562"/>
      <c r="BP104" s="562"/>
      <c r="BQ104" s="562"/>
      <c r="BR104" s="562"/>
      <c r="BS104" s="562"/>
      <c r="BT104" s="562"/>
      <c r="BU104" s="562"/>
      <c r="BV104" s="562"/>
      <c r="BW104" s="562"/>
      <c r="BX104" s="562"/>
      <c r="BY104" s="562"/>
      <c r="BZ104" s="562"/>
      <c r="CA104" s="562"/>
      <c r="CB104" s="562"/>
      <c r="CC104" s="562"/>
      <c r="CD104" s="562"/>
      <c r="CE104" s="562"/>
      <c r="CF104" s="562"/>
      <c r="CG104" s="562"/>
      <c r="CH104" s="562"/>
      <c r="CI104" s="562"/>
      <c r="CJ104" s="562"/>
      <c r="CK104" s="562"/>
      <c r="CL104" s="562"/>
      <c r="CM104" s="562"/>
      <c r="CN104" s="562"/>
      <c r="CO104" s="562"/>
      <c r="CP104" s="562"/>
      <c r="CQ104" s="562"/>
      <c r="CR104" s="562"/>
      <c r="CS104" s="562"/>
      <c r="CT104" s="562"/>
      <c r="CU104" s="562"/>
      <c r="CV104" s="562"/>
      <c r="CW104" s="562"/>
      <c r="CX104" s="562"/>
      <c r="CY104" s="562"/>
      <c r="CZ104" s="562"/>
      <c r="DA104" s="562"/>
      <c r="DB104" s="562"/>
      <c r="DC104" s="562"/>
    </row>
    <row r="105" spans="1:107" x14ac:dyDescent="0.2">
      <c r="A105" s="562"/>
      <c r="B105" s="562"/>
      <c r="C105" s="562"/>
      <c r="D105" s="562"/>
      <c r="E105" s="562"/>
      <c r="F105" s="562"/>
      <c r="G105" s="562"/>
      <c r="H105" s="562"/>
      <c r="I105" s="562"/>
      <c r="J105" s="562"/>
      <c r="K105" s="562"/>
      <c r="L105" s="562"/>
      <c r="M105" s="562"/>
      <c r="N105" s="562"/>
      <c r="O105" s="562"/>
      <c r="P105" s="562"/>
      <c r="Q105" s="562"/>
      <c r="R105" s="562"/>
      <c r="S105" s="562"/>
      <c r="T105" s="562"/>
      <c r="U105" s="562"/>
      <c r="V105" s="562"/>
      <c r="W105" s="562"/>
      <c r="X105" s="562"/>
      <c r="Y105" s="562"/>
      <c r="Z105" s="562"/>
      <c r="AA105" s="562"/>
      <c r="AB105" s="562"/>
      <c r="AC105" s="562"/>
      <c r="AD105" s="562"/>
      <c r="AE105" s="562"/>
      <c r="AF105" s="562"/>
      <c r="AG105" s="562"/>
      <c r="AH105" s="562"/>
      <c r="AI105" s="562"/>
      <c r="AJ105" s="562"/>
      <c r="AK105" s="562"/>
      <c r="AL105" s="562"/>
      <c r="AM105" s="562"/>
      <c r="AN105" s="562"/>
      <c r="AO105" s="562"/>
      <c r="AP105" s="562"/>
      <c r="AQ105" s="562"/>
      <c r="AR105" s="562"/>
      <c r="AS105" s="562"/>
      <c r="AT105" s="562"/>
      <c r="AU105" s="562"/>
      <c r="AV105" s="562"/>
      <c r="AW105" s="562"/>
      <c r="AX105" s="562"/>
      <c r="AY105" s="562"/>
      <c r="AZ105" s="562"/>
      <c r="BA105" s="562"/>
      <c r="BB105" s="562"/>
      <c r="BC105" s="562"/>
      <c r="BD105" s="562"/>
      <c r="BE105" s="562"/>
      <c r="BF105" s="562"/>
      <c r="BG105" s="562"/>
      <c r="BH105" s="562"/>
      <c r="BI105" s="562"/>
      <c r="BJ105" s="562"/>
      <c r="BK105" s="562"/>
      <c r="BL105" s="562"/>
      <c r="BM105" s="562"/>
      <c r="BN105" s="562"/>
      <c r="BO105" s="562"/>
      <c r="BP105" s="562"/>
      <c r="BQ105" s="562"/>
      <c r="BR105" s="562"/>
      <c r="BS105" s="562"/>
      <c r="BT105" s="562"/>
      <c r="BU105" s="562"/>
      <c r="BV105" s="562"/>
      <c r="BW105" s="562"/>
      <c r="BX105" s="562"/>
      <c r="BY105" s="562"/>
      <c r="BZ105" s="562"/>
      <c r="CA105" s="562"/>
      <c r="CB105" s="562"/>
      <c r="CC105" s="562"/>
      <c r="CD105" s="562"/>
      <c r="CE105" s="562"/>
      <c r="CF105" s="562"/>
      <c r="CG105" s="562"/>
      <c r="CH105" s="562"/>
      <c r="CI105" s="562"/>
      <c r="CJ105" s="562"/>
      <c r="CK105" s="562"/>
      <c r="CL105" s="562"/>
      <c r="CM105" s="562"/>
      <c r="CN105" s="562"/>
      <c r="CO105" s="562"/>
      <c r="CP105" s="562"/>
      <c r="CQ105" s="562"/>
      <c r="CR105" s="562"/>
      <c r="CS105" s="562"/>
      <c r="CT105" s="562"/>
      <c r="CU105" s="562"/>
      <c r="CV105" s="562"/>
      <c r="CW105" s="562"/>
      <c r="CX105" s="562"/>
      <c r="CY105" s="562"/>
      <c r="CZ105" s="562"/>
      <c r="DA105" s="562"/>
      <c r="DB105" s="562"/>
      <c r="DC105" s="562"/>
    </row>
    <row r="106" spans="1:107" x14ac:dyDescent="0.2">
      <c r="A106" s="562"/>
      <c r="B106" s="562"/>
      <c r="C106" s="562"/>
      <c r="D106" s="562"/>
      <c r="E106" s="562"/>
      <c r="F106" s="562"/>
      <c r="G106" s="562"/>
      <c r="H106" s="562"/>
      <c r="I106" s="562"/>
      <c r="J106" s="562"/>
      <c r="K106" s="562"/>
      <c r="L106" s="562"/>
      <c r="M106" s="562"/>
      <c r="N106" s="562"/>
      <c r="O106" s="562"/>
      <c r="P106" s="562"/>
      <c r="Q106" s="562"/>
      <c r="R106" s="562"/>
      <c r="S106" s="562"/>
      <c r="T106" s="562"/>
      <c r="U106" s="562"/>
      <c r="V106" s="562"/>
      <c r="W106" s="562"/>
      <c r="X106" s="562"/>
      <c r="Y106" s="562"/>
      <c r="Z106" s="562"/>
      <c r="AA106" s="562"/>
      <c r="AB106" s="562"/>
      <c r="AC106" s="562"/>
      <c r="AD106" s="562"/>
      <c r="AE106" s="562"/>
      <c r="AF106" s="562"/>
      <c r="AG106" s="562"/>
      <c r="AH106" s="562"/>
      <c r="AI106" s="562"/>
      <c r="AJ106" s="562"/>
      <c r="AK106" s="562"/>
      <c r="AL106" s="562"/>
      <c r="AM106" s="562"/>
      <c r="AN106" s="562"/>
      <c r="AO106" s="562"/>
      <c r="AP106" s="562"/>
      <c r="AQ106" s="562"/>
      <c r="AR106" s="562"/>
      <c r="AS106" s="562"/>
      <c r="AT106" s="562"/>
      <c r="AU106" s="562"/>
      <c r="AV106" s="562"/>
      <c r="AW106" s="562"/>
      <c r="AX106" s="562"/>
      <c r="AY106" s="562"/>
      <c r="AZ106" s="562"/>
      <c r="BA106" s="562"/>
      <c r="BB106" s="562"/>
      <c r="BC106" s="562"/>
      <c r="BD106" s="562"/>
      <c r="BE106" s="562"/>
      <c r="BF106" s="562"/>
      <c r="BG106" s="562"/>
      <c r="BH106" s="562"/>
      <c r="BI106" s="562"/>
      <c r="BJ106" s="562"/>
      <c r="BK106" s="562"/>
      <c r="BL106" s="562"/>
      <c r="BM106" s="562"/>
      <c r="BN106" s="562"/>
      <c r="BO106" s="562"/>
      <c r="BP106" s="562"/>
      <c r="BQ106" s="562"/>
      <c r="BR106" s="562"/>
      <c r="BS106" s="562"/>
      <c r="BT106" s="562"/>
      <c r="BU106" s="562"/>
      <c r="BV106" s="562"/>
      <c r="BW106" s="562"/>
      <c r="BX106" s="562"/>
      <c r="BY106" s="562"/>
      <c r="BZ106" s="562"/>
      <c r="CA106" s="562"/>
      <c r="CB106" s="562"/>
      <c r="CC106" s="562"/>
      <c r="CD106" s="562"/>
      <c r="CE106" s="562"/>
      <c r="CF106" s="562"/>
      <c r="CG106" s="562"/>
      <c r="CH106" s="562"/>
      <c r="CI106" s="562"/>
      <c r="CJ106" s="562"/>
      <c r="CK106" s="562"/>
      <c r="CL106" s="562"/>
      <c r="CM106" s="562"/>
      <c r="CN106" s="562"/>
      <c r="CO106" s="562"/>
      <c r="CP106" s="562"/>
      <c r="CQ106" s="562"/>
      <c r="CR106" s="562"/>
      <c r="CS106" s="562"/>
      <c r="CT106" s="562"/>
      <c r="CU106" s="562"/>
      <c r="CV106" s="562"/>
      <c r="CW106" s="562"/>
      <c r="CX106" s="562"/>
      <c r="CY106" s="562"/>
      <c r="CZ106" s="562"/>
      <c r="DA106" s="562"/>
      <c r="DB106" s="562"/>
      <c r="DC106" s="562"/>
    </row>
    <row r="107" spans="1:107" x14ac:dyDescent="0.2">
      <c r="A107" s="562"/>
      <c r="B107" s="562"/>
      <c r="C107" s="562"/>
      <c r="D107" s="562"/>
      <c r="E107" s="562"/>
      <c r="F107" s="562"/>
      <c r="G107" s="562"/>
      <c r="H107" s="562"/>
      <c r="I107" s="562"/>
      <c r="J107" s="562"/>
      <c r="K107" s="562"/>
      <c r="L107" s="562"/>
      <c r="M107" s="562"/>
      <c r="N107" s="562"/>
      <c r="O107" s="562"/>
      <c r="P107" s="562"/>
      <c r="Q107" s="562"/>
      <c r="R107" s="562"/>
      <c r="S107" s="562"/>
      <c r="T107" s="562"/>
      <c r="U107" s="562"/>
      <c r="V107" s="562"/>
      <c r="W107" s="562"/>
      <c r="X107" s="562"/>
      <c r="Y107" s="562"/>
      <c r="Z107" s="562"/>
      <c r="AA107" s="562"/>
      <c r="AB107" s="562"/>
      <c r="AC107" s="562"/>
      <c r="AD107" s="562"/>
      <c r="AE107" s="562"/>
      <c r="AF107" s="562"/>
      <c r="AG107" s="562"/>
      <c r="AH107" s="562"/>
      <c r="AI107" s="562"/>
      <c r="AJ107" s="562"/>
      <c r="AK107" s="562"/>
      <c r="AL107" s="562"/>
      <c r="AM107" s="562"/>
      <c r="AN107" s="562"/>
      <c r="AO107" s="562"/>
      <c r="AP107" s="562"/>
      <c r="AQ107" s="562"/>
      <c r="AR107" s="562"/>
      <c r="AS107" s="562"/>
      <c r="AT107" s="562"/>
      <c r="AU107" s="562"/>
      <c r="AV107" s="562"/>
      <c r="AW107" s="562"/>
      <c r="AX107" s="562"/>
      <c r="AY107" s="562"/>
      <c r="AZ107" s="562"/>
      <c r="BA107" s="562"/>
      <c r="BB107" s="562"/>
      <c r="BC107" s="562"/>
      <c r="BD107" s="562"/>
      <c r="BE107" s="562"/>
      <c r="BF107" s="562"/>
      <c r="BG107" s="562"/>
      <c r="BH107" s="562"/>
      <c r="BI107" s="562"/>
      <c r="BJ107" s="562"/>
      <c r="BK107" s="562"/>
      <c r="BL107" s="562"/>
      <c r="BM107" s="562"/>
      <c r="BN107" s="562"/>
      <c r="BO107" s="562"/>
      <c r="BP107" s="562"/>
      <c r="BQ107" s="562"/>
      <c r="BR107" s="562"/>
      <c r="BS107" s="562"/>
      <c r="BT107" s="562"/>
      <c r="BU107" s="562"/>
      <c r="BV107" s="562"/>
      <c r="BW107" s="562"/>
      <c r="BX107" s="562"/>
      <c r="BY107" s="562"/>
      <c r="BZ107" s="562"/>
      <c r="CA107" s="562"/>
      <c r="CB107" s="562"/>
      <c r="CC107" s="562"/>
      <c r="CD107" s="562"/>
      <c r="CE107" s="562"/>
      <c r="CF107" s="562"/>
      <c r="CG107" s="562"/>
      <c r="CH107" s="562"/>
      <c r="CI107" s="562"/>
      <c r="CJ107" s="562"/>
      <c r="CK107" s="562"/>
      <c r="CL107" s="562"/>
      <c r="CM107" s="562"/>
      <c r="CN107" s="562"/>
      <c r="CO107" s="562"/>
      <c r="CP107" s="562"/>
      <c r="CQ107" s="562"/>
      <c r="CR107" s="562"/>
      <c r="CS107" s="562"/>
      <c r="CT107" s="562"/>
      <c r="CU107" s="562"/>
      <c r="CV107" s="562"/>
      <c r="CW107" s="562"/>
      <c r="CX107" s="562"/>
      <c r="CY107" s="562"/>
      <c r="CZ107" s="562"/>
      <c r="DA107" s="562"/>
      <c r="DB107" s="562"/>
      <c r="DC107" s="562"/>
    </row>
    <row r="108" spans="1:107" x14ac:dyDescent="0.2">
      <c r="A108" s="562"/>
      <c r="B108" s="562"/>
      <c r="C108" s="562"/>
      <c r="D108" s="562"/>
      <c r="E108" s="562"/>
      <c r="F108" s="562"/>
      <c r="G108" s="562"/>
      <c r="H108" s="562"/>
      <c r="I108" s="562"/>
      <c r="J108" s="562"/>
      <c r="K108" s="562"/>
      <c r="L108" s="562"/>
      <c r="M108" s="562"/>
      <c r="N108" s="562"/>
      <c r="O108" s="562"/>
      <c r="P108" s="562"/>
      <c r="Q108" s="562"/>
      <c r="R108" s="562"/>
      <c r="S108" s="562"/>
      <c r="T108" s="562"/>
      <c r="U108" s="562"/>
      <c r="V108" s="562"/>
      <c r="W108" s="562"/>
      <c r="X108" s="562"/>
      <c r="Y108" s="562"/>
      <c r="Z108" s="562"/>
      <c r="AA108" s="562"/>
      <c r="AB108" s="562"/>
      <c r="AC108" s="562"/>
      <c r="AD108" s="562"/>
      <c r="AE108" s="562"/>
      <c r="AF108" s="562"/>
      <c r="AG108" s="562"/>
      <c r="AH108" s="562"/>
      <c r="AI108" s="562"/>
      <c r="AJ108" s="562"/>
      <c r="AK108" s="562"/>
      <c r="AL108" s="562"/>
      <c r="AM108" s="562"/>
      <c r="AN108" s="562"/>
      <c r="AO108" s="562"/>
      <c r="AP108" s="562"/>
      <c r="AQ108" s="562"/>
      <c r="AR108" s="562"/>
      <c r="AS108" s="562"/>
      <c r="AT108" s="562"/>
      <c r="AU108" s="562"/>
      <c r="AV108" s="562"/>
      <c r="AW108" s="562"/>
      <c r="AX108" s="562"/>
      <c r="AY108" s="562"/>
      <c r="AZ108" s="562"/>
      <c r="BA108" s="562"/>
      <c r="BB108" s="562"/>
      <c r="BC108" s="562"/>
      <c r="BD108" s="562"/>
      <c r="BE108" s="562"/>
      <c r="BF108" s="562"/>
      <c r="BG108" s="562"/>
      <c r="BH108" s="562"/>
      <c r="BI108" s="562"/>
      <c r="BJ108" s="562"/>
      <c r="BK108" s="562"/>
      <c r="BL108" s="562"/>
      <c r="BM108" s="562"/>
      <c r="BN108" s="562"/>
      <c r="BO108" s="562"/>
      <c r="BP108" s="562"/>
      <c r="BQ108" s="562"/>
      <c r="BR108" s="562"/>
      <c r="BS108" s="562"/>
      <c r="BT108" s="562"/>
      <c r="BU108" s="562"/>
      <c r="BV108" s="562"/>
      <c r="BW108" s="562"/>
      <c r="BX108" s="562"/>
      <c r="BY108" s="562"/>
      <c r="BZ108" s="562"/>
      <c r="CA108" s="562"/>
      <c r="CB108" s="562"/>
      <c r="CC108" s="562"/>
      <c r="CD108" s="562"/>
      <c r="CE108" s="562"/>
      <c r="CF108" s="562"/>
      <c r="CG108" s="562"/>
      <c r="CH108" s="562"/>
      <c r="CI108" s="562"/>
      <c r="CJ108" s="562"/>
      <c r="CK108" s="562"/>
      <c r="CL108" s="562"/>
      <c r="CM108" s="562"/>
      <c r="CN108" s="562"/>
      <c r="CO108" s="562"/>
      <c r="CP108" s="562"/>
      <c r="CQ108" s="562"/>
      <c r="CR108" s="562"/>
      <c r="CS108" s="562"/>
      <c r="CT108" s="562"/>
      <c r="CU108" s="562"/>
      <c r="CV108" s="562"/>
      <c r="CW108" s="562"/>
      <c r="CX108" s="562"/>
      <c r="CY108" s="562"/>
      <c r="CZ108" s="562"/>
      <c r="DA108" s="562"/>
      <c r="DB108" s="562"/>
      <c r="DC108" s="562"/>
    </row>
    <row r="109" spans="1:107" x14ac:dyDescent="0.2">
      <c r="A109" s="562"/>
      <c r="B109" s="562"/>
      <c r="C109" s="562"/>
      <c r="D109" s="562"/>
      <c r="E109" s="562"/>
      <c r="F109" s="562"/>
      <c r="G109" s="562"/>
      <c r="H109" s="562"/>
      <c r="I109" s="562"/>
      <c r="J109" s="562"/>
      <c r="K109" s="562"/>
      <c r="L109" s="562"/>
      <c r="M109" s="562"/>
      <c r="N109" s="562"/>
      <c r="O109" s="562"/>
      <c r="P109" s="562"/>
      <c r="Q109" s="562"/>
      <c r="R109" s="562"/>
      <c r="S109" s="562"/>
      <c r="T109" s="562"/>
      <c r="U109" s="562"/>
      <c r="V109" s="562"/>
      <c r="W109" s="562"/>
      <c r="X109" s="562"/>
      <c r="Y109" s="562"/>
      <c r="Z109" s="562"/>
      <c r="AA109" s="562"/>
      <c r="AB109" s="562"/>
      <c r="AC109" s="562"/>
      <c r="AD109" s="562"/>
      <c r="AE109" s="562"/>
      <c r="AF109" s="562"/>
      <c r="AG109" s="562"/>
      <c r="AH109" s="562"/>
      <c r="AI109" s="562"/>
      <c r="AJ109" s="562"/>
      <c r="AK109" s="562"/>
      <c r="AL109" s="562"/>
      <c r="AM109" s="562"/>
      <c r="AN109" s="562"/>
      <c r="AO109" s="562"/>
      <c r="AP109" s="562"/>
      <c r="AQ109" s="562"/>
      <c r="AR109" s="562"/>
      <c r="AS109" s="562"/>
      <c r="AT109" s="562"/>
      <c r="AU109" s="562"/>
      <c r="AV109" s="562"/>
      <c r="AW109" s="562"/>
      <c r="AX109" s="562"/>
      <c r="AY109" s="562"/>
      <c r="AZ109" s="562"/>
      <c r="BA109" s="562"/>
      <c r="BB109" s="562"/>
      <c r="BC109" s="562"/>
      <c r="BD109" s="562"/>
      <c r="BE109" s="562"/>
      <c r="BF109" s="562"/>
      <c r="BG109" s="562"/>
      <c r="BH109" s="562"/>
      <c r="BI109" s="562"/>
      <c r="BJ109" s="562"/>
      <c r="BK109" s="562"/>
      <c r="BL109" s="562"/>
      <c r="BM109" s="562"/>
      <c r="BN109" s="562"/>
      <c r="BO109" s="562"/>
      <c r="BP109" s="562"/>
      <c r="BQ109" s="562"/>
      <c r="BR109" s="562"/>
      <c r="BS109" s="562"/>
      <c r="BT109" s="562"/>
      <c r="BU109" s="562"/>
      <c r="BV109" s="562"/>
      <c r="BW109" s="562"/>
      <c r="BX109" s="562"/>
      <c r="BY109" s="562"/>
      <c r="BZ109" s="562"/>
      <c r="CA109" s="562"/>
      <c r="CB109" s="562"/>
      <c r="CC109" s="562"/>
      <c r="CD109" s="562"/>
      <c r="CE109" s="562"/>
      <c r="CF109" s="562"/>
      <c r="CG109" s="562"/>
      <c r="CH109" s="562"/>
      <c r="CI109" s="562"/>
      <c r="CJ109" s="562"/>
      <c r="CK109" s="562"/>
      <c r="CL109" s="562"/>
      <c r="CM109" s="562"/>
      <c r="CN109" s="562"/>
      <c r="CO109" s="562"/>
      <c r="CP109" s="562"/>
      <c r="CQ109" s="562"/>
      <c r="CR109" s="562"/>
      <c r="CS109" s="562"/>
      <c r="CT109" s="562"/>
      <c r="CU109" s="562"/>
      <c r="CV109" s="562"/>
      <c r="CW109" s="562"/>
      <c r="CX109" s="562"/>
      <c r="CY109" s="562"/>
      <c r="CZ109" s="562"/>
      <c r="DA109" s="562"/>
      <c r="DB109" s="562"/>
      <c r="DC109" s="562"/>
    </row>
    <row r="110" spans="1:107" x14ac:dyDescent="0.2">
      <c r="A110" s="562"/>
      <c r="B110" s="562"/>
      <c r="C110" s="562"/>
      <c r="D110" s="562"/>
      <c r="E110" s="562"/>
      <c r="F110" s="562"/>
      <c r="G110" s="562"/>
      <c r="H110" s="562"/>
      <c r="I110" s="562"/>
      <c r="J110" s="562"/>
      <c r="K110" s="562"/>
      <c r="L110" s="562"/>
      <c r="M110" s="562"/>
      <c r="N110" s="562"/>
      <c r="O110" s="562"/>
      <c r="P110" s="562"/>
      <c r="Q110" s="562"/>
      <c r="R110" s="562"/>
      <c r="S110" s="562"/>
      <c r="T110" s="562"/>
      <c r="U110" s="562"/>
      <c r="V110" s="562"/>
      <c r="W110" s="562"/>
      <c r="X110" s="562"/>
      <c r="Y110" s="562"/>
      <c r="Z110" s="562"/>
      <c r="AA110" s="562"/>
      <c r="AB110" s="562"/>
      <c r="AC110" s="562"/>
      <c r="AD110" s="562"/>
      <c r="AE110" s="562"/>
      <c r="AF110" s="562"/>
      <c r="AG110" s="562"/>
      <c r="AH110" s="562"/>
      <c r="AI110" s="562"/>
      <c r="AJ110" s="562"/>
      <c r="AK110" s="562"/>
      <c r="AL110" s="562"/>
      <c r="AM110" s="562"/>
      <c r="AN110" s="562"/>
      <c r="AO110" s="562"/>
      <c r="AP110" s="562"/>
      <c r="AQ110" s="562"/>
      <c r="AR110" s="562"/>
      <c r="AS110" s="562"/>
      <c r="AT110" s="562"/>
      <c r="AU110" s="562"/>
      <c r="AV110" s="562"/>
      <c r="AW110" s="562"/>
      <c r="AX110" s="562"/>
      <c r="AY110" s="562"/>
      <c r="AZ110" s="562"/>
      <c r="BA110" s="562"/>
      <c r="BB110" s="562"/>
      <c r="BC110" s="562"/>
      <c r="BD110" s="562"/>
      <c r="BE110" s="562"/>
      <c r="BF110" s="562"/>
      <c r="BG110" s="562"/>
      <c r="BH110" s="562"/>
      <c r="BI110" s="562"/>
      <c r="BJ110" s="562"/>
      <c r="BK110" s="562"/>
      <c r="BL110" s="562"/>
      <c r="BM110" s="562"/>
      <c r="BN110" s="562"/>
      <c r="BO110" s="562"/>
      <c r="BP110" s="562"/>
      <c r="BQ110" s="562"/>
      <c r="BR110" s="562"/>
      <c r="BS110" s="562"/>
      <c r="BT110" s="562"/>
      <c r="BU110" s="562"/>
      <c r="BV110" s="562"/>
      <c r="BW110" s="562"/>
      <c r="BX110" s="562"/>
      <c r="BY110" s="562"/>
      <c r="BZ110" s="562"/>
      <c r="CA110" s="562"/>
      <c r="CB110" s="562"/>
      <c r="CC110" s="562"/>
      <c r="CD110" s="562"/>
      <c r="CE110" s="562"/>
      <c r="CF110" s="562"/>
      <c r="CG110" s="562"/>
      <c r="CH110" s="562"/>
      <c r="CI110" s="562"/>
      <c r="CJ110" s="562"/>
      <c r="CK110" s="562"/>
      <c r="CL110" s="562"/>
      <c r="CM110" s="562"/>
      <c r="CN110" s="562"/>
      <c r="CO110" s="562"/>
      <c r="CP110" s="562"/>
      <c r="CQ110" s="562"/>
      <c r="CR110" s="562"/>
      <c r="CS110" s="562"/>
      <c r="CT110" s="562"/>
      <c r="CU110" s="562"/>
      <c r="CV110" s="562"/>
      <c r="CW110" s="562"/>
      <c r="CX110" s="562"/>
      <c r="CY110" s="562"/>
      <c r="CZ110" s="562"/>
      <c r="DA110" s="562"/>
      <c r="DB110" s="562"/>
      <c r="DC110" s="562"/>
    </row>
    <row r="111" spans="1:107" x14ac:dyDescent="0.2">
      <c r="A111" s="562"/>
      <c r="B111" s="562"/>
      <c r="C111" s="562"/>
      <c r="D111" s="562"/>
      <c r="E111" s="562"/>
      <c r="F111" s="562"/>
      <c r="G111" s="562"/>
      <c r="H111" s="562"/>
      <c r="I111" s="562"/>
      <c r="J111" s="562"/>
      <c r="K111" s="562"/>
      <c r="L111" s="562"/>
      <c r="M111" s="562"/>
      <c r="N111" s="562"/>
      <c r="O111" s="562"/>
      <c r="P111" s="562"/>
      <c r="Q111" s="562"/>
      <c r="R111" s="562"/>
      <c r="S111" s="562"/>
      <c r="T111" s="562"/>
      <c r="U111" s="562"/>
      <c r="V111" s="562"/>
      <c r="W111" s="562"/>
      <c r="X111" s="562"/>
      <c r="Y111" s="562"/>
      <c r="Z111" s="562"/>
      <c r="AA111" s="562"/>
      <c r="AB111" s="562"/>
      <c r="AC111" s="562"/>
      <c r="AD111" s="562"/>
      <c r="AE111" s="562"/>
      <c r="AF111" s="562"/>
      <c r="AG111" s="562"/>
      <c r="AH111" s="562"/>
      <c r="AI111" s="562"/>
      <c r="AJ111" s="562"/>
      <c r="AK111" s="562"/>
      <c r="AL111" s="562"/>
      <c r="AM111" s="562"/>
      <c r="AN111" s="562"/>
      <c r="AO111" s="562"/>
      <c r="AP111" s="562"/>
      <c r="AQ111" s="562"/>
      <c r="AR111" s="562"/>
      <c r="AS111" s="562"/>
      <c r="AT111" s="562"/>
      <c r="AU111" s="562"/>
      <c r="AV111" s="562"/>
      <c r="AW111" s="562"/>
      <c r="AX111" s="562"/>
      <c r="AY111" s="562"/>
      <c r="AZ111" s="562"/>
      <c r="BA111" s="562"/>
      <c r="BB111" s="562"/>
      <c r="BC111" s="562"/>
      <c r="BD111" s="562"/>
      <c r="BE111" s="562"/>
      <c r="BF111" s="562"/>
      <c r="BG111" s="562"/>
      <c r="BH111" s="562"/>
      <c r="BI111" s="562"/>
      <c r="BJ111" s="562"/>
      <c r="BK111" s="562"/>
      <c r="BL111" s="562"/>
      <c r="BM111" s="562"/>
      <c r="BN111" s="562"/>
      <c r="BO111" s="562"/>
      <c r="BP111" s="562"/>
      <c r="BQ111" s="562"/>
      <c r="BR111" s="562"/>
      <c r="BS111" s="562"/>
      <c r="BT111" s="562"/>
      <c r="BU111" s="562"/>
      <c r="BV111" s="562"/>
      <c r="BW111" s="562"/>
      <c r="BX111" s="562"/>
      <c r="BY111" s="562"/>
      <c r="BZ111" s="562"/>
      <c r="CA111" s="562"/>
      <c r="CB111" s="562"/>
      <c r="CC111" s="562"/>
      <c r="CD111" s="562"/>
      <c r="CE111" s="562"/>
      <c r="CF111" s="562"/>
      <c r="CG111" s="562"/>
      <c r="CH111" s="562"/>
      <c r="CI111" s="562"/>
      <c r="CJ111" s="562"/>
      <c r="CK111" s="562"/>
      <c r="CL111" s="562"/>
      <c r="CM111" s="562"/>
      <c r="CN111" s="562"/>
      <c r="CO111" s="562"/>
      <c r="CP111" s="562"/>
      <c r="CQ111" s="562"/>
      <c r="CR111" s="562"/>
      <c r="CS111" s="562"/>
      <c r="CT111" s="562"/>
      <c r="CU111" s="562"/>
      <c r="CV111" s="562"/>
      <c r="CW111" s="562"/>
      <c r="CX111" s="562"/>
      <c r="CY111" s="562"/>
      <c r="CZ111" s="562"/>
      <c r="DA111" s="562"/>
      <c r="DB111" s="562"/>
      <c r="DC111" s="562"/>
    </row>
    <row r="112" spans="1:107" x14ac:dyDescent="0.2">
      <c r="A112" s="562"/>
      <c r="B112" s="562"/>
      <c r="C112" s="562"/>
      <c r="D112" s="562"/>
      <c r="E112" s="562"/>
      <c r="F112" s="562"/>
      <c r="G112" s="562"/>
      <c r="H112" s="562"/>
      <c r="I112" s="562"/>
      <c r="J112" s="562"/>
      <c r="K112" s="562"/>
      <c r="L112" s="562"/>
      <c r="M112" s="562"/>
      <c r="N112" s="562"/>
      <c r="O112" s="562"/>
      <c r="P112" s="562"/>
      <c r="Q112" s="562"/>
      <c r="R112" s="562"/>
      <c r="S112" s="562"/>
      <c r="T112" s="562"/>
      <c r="U112" s="562"/>
      <c r="V112" s="562"/>
      <c r="W112" s="562"/>
      <c r="X112" s="562"/>
      <c r="Y112" s="562"/>
      <c r="Z112" s="562"/>
      <c r="AA112" s="562"/>
      <c r="AB112" s="562"/>
      <c r="AC112" s="562"/>
      <c r="AD112" s="562"/>
      <c r="AE112" s="562"/>
      <c r="AF112" s="562"/>
      <c r="AG112" s="562"/>
      <c r="AH112" s="562"/>
      <c r="AI112" s="562"/>
      <c r="AJ112" s="562"/>
      <c r="AK112" s="562"/>
      <c r="AL112" s="562"/>
      <c r="AM112" s="562"/>
      <c r="AN112" s="562"/>
      <c r="AO112" s="562"/>
      <c r="AP112" s="562"/>
      <c r="AQ112" s="562"/>
      <c r="AR112" s="562"/>
      <c r="AS112" s="562"/>
      <c r="AT112" s="562"/>
      <c r="AU112" s="562"/>
      <c r="AV112" s="562"/>
      <c r="AW112" s="562"/>
      <c r="AX112" s="562"/>
      <c r="AY112" s="562"/>
      <c r="AZ112" s="562"/>
      <c r="BA112" s="562"/>
      <c r="BB112" s="562"/>
      <c r="BC112" s="562"/>
      <c r="BD112" s="562"/>
      <c r="BE112" s="562"/>
      <c r="BF112" s="562"/>
      <c r="BG112" s="562"/>
      <c r="BH112" s="562"/>
      <c r="BI112" s="562"/>
      <c r="BJ112" s="562"/>
      <c r="BK112" s="562"/>
      <c r="BL112" s="562"/>
      <c r="BM112" s="562"/>
      <c r="BN112" s="562"/>
      <c r="BO112" s="562"/>
      <c r="BP112" s="562"/>
      <c r="BQ112" s="562"/>
      <c r="BR112" s="562"/>
      <c r="BS112" s="562"/>
      <c r="BT112" s="562"/>
      <c r="BU112" s="562"/>
      <c r="BV112" s="562"/>
      <c r="BW112" s="562"/>
      <c r="BX112" s="562"/>
      <c r="BY112" s="562"/>
      <c r="BZ112" s="562"/>
      <c r="CA112" s="562"/>
      <c r="CB112" s="562"/>
      <c r="CC112" s="562"/>
      <c r="CD112" s="562"/>
      <c r="CE112" s="562"/>
      <c r="CF112" s="562"/>
      <c r="CG112" s="562"/>
      <c r="CH112" s="562"/>
      <c r="CI112" s="562"/>
      <c r="CJ112" s="562"/>
      <c r="CK112" s="562"/>
      <c r="CL112" s="562"/>
      <c r="CM112" s="562"/>
      <c r="CN112" s="562"/>
      <c r="CO112" s="562"/>
      <c r="CP112" s="562"/>
      <c r="CQ112" s="562"/>
      <c r="CR112" s="562"/>
      <c r="CS112" s="562"/>
      <c r="CT112" s="562"/>
      <c r="CU112" s="562"/>
      <c r="CV112" s="562"/>
      <c r="CW112" s="562"/>
      <c r="CX112" s="562"/>
      <c r="CY112" s="562"/>
      <c r="CZ112" s="562"/>
      <c r="DA112" s="562"/>
      <c r="DB112" s="562"/>
      <c r="DC112" s="562"/>
    </row>
    <row r="113" spans="1:107" x14ac:dyDescent="0.2">
      <c r="A113" s="562"/>
      <c r="B113" s="562"/>
      <c r="C113" s="562"/>
      <c r="D113" s="562"/>
      <c r="E113" s="562"/>
      <c r="F113" s="562"/>
      <c r="G113" s="562"/>
      <c r="H113" s="562"/>
      <c r="I113" s="562"/>
      <c r="J113" s="562"/>
      <c r="K113" s="562"/>
      <c r="L113" s="562"/>
      <c r="M113" s="562"/>
      <c r="N113" s="562"/>
      <c r="O113" s="562"/>
      <c r="P113" s="562"/>
      <c r="Q113" s="562"/>
      <c r="R113" s="562"/>
      <c r="S113" s="562"/>
      <c r="T113" s="562"/>
      <c r="U113" s="562"/>
      <c r="V113" s="562"/>
      <c r="W113" s="562"/>
      <c r="X113" s="562"/>
      <c r="Y113" s="562"/>
      <c r="Z113" s="562"/>
      <c r="AA113" s="562"/>
      <c r="AB113" s="562"/>
      <c r="AC113" s="562"/>
      <c r="AD113" s="562"/>
      <c r="AE113" s="562"/>
      <c r="AF113" s="562"/>
      <c r="AG113" s="562"/>
      <c r="AH113" s="562"/>
      <c r="AI113" s="562"/>
      <c r="AJ113" s="562"/>
      <c r="AK113" s="562"/>
      <c r="AL113" s="562"/>
      <c r="AM113" s="562"/>
      <c r="AN113" s="562"/>
      <c r="AO113" s="562"/>
      <c r="AP113" s="562"/>
      <c r="AQ113" s="562"/>
      <c r="AR113" s="562"/>
      <c r="AS113" s="562"/>
      <c r="AT113" s="562"/>
      <c r="AU113" s="562"/>
      <c r="AV113" s="562"/>
      <c r="AW113" s="562"/>
      <c r="AX113" s="562"/>
      <c r="AY113" s="562"/>
      <c r="AZ113" s="562"/>
      <c r="BA113" s="562"/>
      <c r="BB113" s="562"/>
      <c r="BC113" s="562"/>
      <c r="BD113" s="562"/>
      <c r="BE113" s="562"/>
      <c r="BF113" s="562"/>
      <c r="BG113" s="562"/>
      <c r="BH113" s="562"/>
      <c r="BI113" s="562"/>
      <c r="BJ113" s="562"/>
      <c r="BK113" s="562"/>
      <c r="BL113" s="562"/>
      <c r="BM113" s="562"/>
      <c r="BN113" s="562"/>
      <c r="BO113" s="562"/>
      <c r="BP113" s="562"/>
      <c r="BQ113" s="562"/>
      <c r="BR113" s="562"/>
      <c r="BS113" s="562"/>
      <c r="BT113" s="562"/>
      <c r="BU113" s="562"/>
      <c r="BV113" s="562"/>
      <c r="BW113" s="562"/>
      <c r="BX113" s="562"/>
      <c r="BY113" s="562"/>
      <c r="BZ113" s="562"/>
      <c r="CA113" s="562"/>
      <c r="CB113" s="562"/>
      <c r="CC113" s="562"/>
      <c r="CD113" s="562"/>
      <c r="CE113" s="562"/>
      <c r="CF113" s="562"/>
      <c r="CG113" s="562"/>
      <c r="CH113" s="562"/>
      <c r="CI113" s="562"/>
      <c r="CJ113" s="562"/>
      <c r="CK113" s="562"/>
      <c r="CL113" s="562"/>
      <c r="CM113" s="562"/>
      <c r="CN113" s="562"/>
      <c r="CO113" s="562"/>
      <c r="CP113" s="562"/>
      <c r="CQ113" s="562"/>
      <c r="CR113" s="562"/>
      <c r="CS113" s="562"/>
      <c r="CT113" s="562"/>
      <c r="CU113" s="562"/>
      <c r="CV113" s="562"/>
      <c r="CW113" s="562"/>
      <c r="CX113" s="562"/>
      <c r="CY113" s="562"/>
      <c r="CZ113" s="562"/>
      <c r="DA113" s="562"/>
      <c r="DB113" s="562"/>
      <c r="DC113" s="562"/>
    </row>
    <row r="114" spans="1:107" x14ac:dyDescent="0.2">
      <c r="A114" s="562"/>
      <c r="B114" s="562"/>
      <c r="C114" s="562"/>
      <c r="D114" s="562"/>
      <c r="E114" s="562"/>
      <c r="F114" s="562"/>
      <c r="G114" s="562"/>
      <c r="H114" s="562"/>
      <c r="I114" s="562"/>
      <c r="J114" s="562"/>
      <c r="K114" s="562"/>
      <c r="L114" s="562"/>
      <c r="M114" s="562"/>
      <c r="N114" s="562"/>
      <c r="O114" s="562"/>
      <c r="P114" s="562"/>
      <c r="Q114" s="562"/>
      <c r="R114" s="562"/>
      <c r="S114" s="562"/>
      <c r="T114" s="562"/>
      <c r="U114" s="562"/>
      <c r="V114" s="562"/>
      <c r="W114" s="562"/>
      <c r="X114" s="562"/>
      <c r="Y114" s="562"/>
      <c r="Z114" s="562"/>
      <c r="AA114" s="562"/>
      <c r="AB114" s="562"/>
      <c r="AC114" s="562"/>
      <c r="AD114" s="562"/>
      <c r="AE114" s="562"/>
      <c r="AF114" s="562"/>
      <c r="AG114" s="562"/>
      <c r="AH114" s="562"/>
      <c r="AI114" s="562"/>
      <c r="AJ114" s="562"/>
      <c r="AK114" s="562"/>
      <c r="AL114" s="562"/>
      <c r="AM114" s="562"/>
      <c r="AN114" s="562"/>
      <c r="AO114" s="562"/>
      <c r="AP114" s="562"/>
      <c r="AQ114" s="562"/>
      <c r="AR114" s="562"/>
      <c r="AS114" s="562"/>
      <c r="AT114" s="562"/>
      <c r="AU114" s="562"/>
      <c r="AV114" s="562"/>
      <c r="AW114" s="562"/>
      <c r="AX114" s="562"/>
      <c r="AY114" s="562"/>
      <c r="AZ114" s="562"/>
      <c r="BA114" s="562"/>
      <c r="BB114" s="562"/>
      <c r="BC114" s="562"/>
      <c r="BD114" s="562"/>
      <c r="BE114" s="562"/>
      <c r="BF114" s="562"/>
      <c r="BG114" s="562"/>
      <c r="BH114" s="562"/>
      <c r="BI114" s="562"/>
      <c r="BJ114" s="562"/>
      <c r="BK114" s="562"/>
      <c r="BL114" s="562"/>
      <c r="BM114" s="562"/>
      <c r="BN114" s="562"/>
      <c r="BO114" s="562"/>
      <c r="BP114" s="562"/>
      <c r="BQ114" s="562"/>
      <c r="BR114" s="562"/>
      <c r="BS114" s="562"/>
      <c r="BT114" s="562"/>
      <c r="BU114" s="562"/>
      <c r="BV114" s="562"/>
      <c r="BW114" s="562"/>
      <c r="BX114" s="562"/>
      <c r="BY114" s="562"/>
      <c r="BZ114" s="562"/>
      <c r="CA114" s="562"/>
      <c r="CB114" s="562"/>
      <c r="CC114" s="562"/>
      <c r="CD114" s="562"/>
      <c r="CE114" s="562"/>
      <c r="CF114" s="562"/>
      <c r="CG114" s="562"/>
      <c r="CH114" s="562"/>
      <c r="CI114" s="562"/>
      <c r="CJ114" s="562"/>
      <c r="CK114" s="562"/>
      <c r="CL114" s="562"/>
      <c r="CM114" s="562"/>
      <c r="CN114" s="562"/>
      <c r="CO114" s="562"/>
      <c r="CP114" s="562"/>
      <c r="CQ114" s="562"/>
      <c r="CR114" s="562"/>
      <c r="CS114" s="562"/>
      <c r="CT114" s="562"/>
      <c r="CU114" s="562"/>
      <c r="CV114" s="562"/>
      <c r="CW114" s="562"/>
      <c r="CX114" s="562"/>
      <c r="CY114" s="562"/>
      <c r="CZ114" s="562"/>
      <c r="DA114" s="562"/>
      <c r="DB114" s="562"/>
      <c r="DC114" s="562"/>
    </row>
    <row r="115" spans="1:107" x14ac:dyDescent="0.2">
      <c r="A115" s="562"/>
      <c r="B115" s="562"/>
      <c r="C115" s="562"/>
      <c r="D115" s="562"/>
      <c r="E115" s="562"/>
      <c r="F115" s="562"/>
      <c r="G115" s="562"/>
      <c r="H115" s="562"/>
      <c r="I115" s="562"/>
      <c r="J115" s="562"/>
      <c r="K115" s="562"/>
      <c r="L115" s="562"/>
      <c r="M115" s="562"/>
      <c r="N115" s="562"/>
      <c r="O115" s="562"/>
      <c r="P115" s="562"/>
      <c r="Q115" s="562"/>
      <c r="R115" s="562"/>
      <c r="S115" s="562"/>
      <c r="T115" s="562"/>
      <c r="U115" s="562"/>
      <c r="V115" s="562"/>
      <c r="W115" s="562"/>
      <c r="X115" s="562"/>
      <c r="Y115" s="562"/>
      <c r="Z115" s="562"/>
      <c r="AA115" s="562"/>
      <c r="AB115" s="562"/>
      <c r="AC115" s="562"/>
      <c r="AD115" s="562"/>
      <c r="AE115" s="562"/>
      <c r="AF115" s="562"/>
      <c r="AG115" s="562"/>
      <c r="AH115" s="562"/>
      <c r="AI115" s="562"/>
      <c r="AJ115" s="562"/>
      <c r="AK115" s="562"/>
      <c r="AL115" s="562"/>
      <c r="AM115" s="562"/>
      <c r="AN115" s="562"/>
      <c r="AO115" s="562"/>
      <c r="AP115" s="562"/>
      <c r="AQ115" s="562"/>
      <c r="AR115" s="562"/>
      <c r="AS115" s="562"/>
      <c r="AT115" s="562"/>
      <c r="AU115" s="562"/>
      <c r="AV115" s="562"/>
      <c r="AW115" s="562"/>
      <c r="AX115" s="562"/>
      <c r="AY115" s="562"/>
      <c r="AZ115" s="562"/>
      <c r="BA115" s="562"/>
      <c r="BB115" s="562"/>
      <c r="BC115" s="562"/>
      <c r="BD115" s="562"/>
      <c r="BE115" s="562"/>
      <c r="BF115" s="562"/>
      <c r="BG115" s="562"/>
      <c r="BH115" s="562"/>
      <c r="BI115" s="562"/>
      <c r="BJ115" s="562"/>
      <c r="BK115" s="562"/>
      <c r="BL115" s="562"/>
      <c r="BM115" s="562"/>
      <c r="BN115" s="562"/>
      <c r="BO115" s="562"/>
      <c r="BP115" s="562"/>
      <c r="BQ115" s="562"/>
      <c r="BR115" s="562"/>
      <c r="BS115" s="562"/>
      <c r="BT115" s="562"/>
      <c r="BU115" s="562"/>
      <c r="BV115" s="562"/>
      <c r="BW115" s="562"/>
      <c r="BX115" s="562"/>
      <c r="BY115" s="562"/>
      <c r="BZ115" s="562"/>
      <c r="CA115" s="562"/>
      <c r="CB115" s="562"/>
      <c r="CC115" s="562"/>
      <c r="CD115" s="562"/>
      <c r="CE115" s="562"/>
      <c r="CF115" s="562"/>
      <c r="CG115" s="562"/>
      <c r="CH115" s="562"/>
      <c r="CI115" s="562"/>
      <c r="CJ115" s="562"/>
      <c r="CK115" s="562"/>
      <c r="CL115" s="562"/>
      <c r="CM115" s="562"/>
      <c r="CN115" s="562"/>
      <c r="CO115" s="562"/>
      <c r="CP115" s="562"/>
      <c r="CQ115" s="562"/>
      <c r="CR115" s="562"/>
      <c r="CS115" s="562"/>
      <c r="CT115" s="562"/>
      <c r="CU115" s="562"/>
      <c r="CV115" s="562"/>
      <c r="CW115" s="562"/>
      <c r="CX115" s="562"/>
      <c r="CY115" s="562"/>
      <c r="CZ115" s="562"/>
      <c r="DA115" s="562"/>
      <c r="DB115" s="562"/>
      <c r="DC115" s="562"/>
    </row>
    <row r="116" spans="1:107" x14ac:dyDescent="0.2">
      <c r="A116" s="562"/>
      <c r="B116" s="562"/>
      <c r="C116" s="562"/>
      <c r="D116" s="562"/>
      <c r="E116" s="562"/>
      <c r="F116" s="562"/>
      <c r="G116" s="562"/>
      <c r="H116" s="562"/>
      <c r="I116" s="562"/>
      <c r="J116" s="562"/>
      <c r="K116" s="562"/>
      <c r="L116" s="562"/>
      <c r="M116" s="562"/>
      <c r="N116" s="562"/>
      <c r="O116" s="562"/>
      <c r="P116" s="562"/>
      <c r="Q116" s="562"/>
      <c r="R116" s="562"/>
      <c r="S116" s="562"/>
      <c r="T116" s="562"/>
      <c r="U116" s="562"/>
      <c r="V116" s="562"/>
      <c r="W116" s="562"/>
      <c r="X116" s="562"/>
      <c r="Y116" s="562"/>
      <c r="Z116" s="562"/>
      <c r="AA116" s="562"/>
      <c r="AB116" s="562"/>
      <c r="AC116" s="562"/>
      <c r="AD116" s="562"/>
      <c r="AE116" s="562"/>
      <c r="AF116" s="562"/>
      <c r="AG116" s="562"/>
      <c r="AH116" s="562"/>
      <c r="AI116" s="562"/>
      <c r="AJ116" s="562"/>
      <c r="AK116" s="562"/>
      <c r="AL116" s="562"/>
      <c r="AM116" s="562"/>
      <c r="AN116" s="562"/>
      <c r="AO116" s="562"/>
      <c r="AP116" s="562"/>
      <c r="AQ116" s="562"/>
      <c r="AR116" s="562"/>
      <c r="AS116" s="562"/>
      <c r="AT116" s="562"/>
      <c r="AU116" s="562"/>
      <c r="AV116" s="562"/>
      <c r="AW116" s="562"/>
      <c r="AX116" s="562"/>
      <c r="AY116" s="562"/>
      <c r="AZ116" s="562"/>
      <c r="BA116" s="562"/>
      <c r="BB116" s="562"/>
      <c r="BC116" s="562"/>
      <c r="BD116" s="562"/>
      <c r="BE116" s="562"/>
      <c r="BF116" s="562"/>
      <c r="BG116" s="562"/>
      <c r="BH116" s="562"/>
      <c r="BI116" s="562"/>
      <c r="BJ116" s="562"/>
      <c r="BK116" s="562"/>
      <c r="BL116" s="562"/>
      <c r="BM116" s="562"/>
      <c r="BN116" s="562"/>
      <c r="BO116" s="562"/>
      <c r="BP116" s="562"/>
      <c r="BQ116" s="562"/>
      <c r="BR116" s="562"/>
      <c r="BS116" s="562"/>
      <c r="BT116" s="562"/>
      <c r="BU116" s="562"/>
      <c r="BV116" s="562"/>
      <c r="BW116" s="562"/>
      <c r="BX116" s="562"/>
      <c r="BY116" s="562"/>
      <c r="BZ116" s="562"/>
      <c r="CA116" s="562"/>
      <c r="CB116" s="562"/>
      <c r="CC116" s="562"/>
      <c r="CD116" s="562"/>
      <c r="CE116" s="562"/>
      <c r="CF116" s="562"/>
      <c r="CG116" s="562"/>
      <c r="CH116" s="562"/>
      <c r="CI116" s="562"/>
      <c r="CJ116" s="562"/>
      <c r="CK116" s="562"/>
      <c r="CL116" s="562"/>
      <c r="CM116" s="562"/>
      <c r="CN116" s="562"/>
      <c r="CO116" s="562"/>
      <c r="CP116" s="562"/>
      <c r="CQ116" s="562"/>
      <c r="CR116" s="562"/>
      <c r="CS116" s="562"/>
      <c r="CT116" s="562"/>
      <c r="CU116" s="562"/>
      <c r="CV116" s="562"/>
      <c r="CW116" s="562"/>
      <c r="CX116" s="562"/>
      <c r="CY116" s="562"/>
      <c r="CZ116" s="562"/>
      <c r="DA116" s="562"/>
      <c r="DB116" s="562"/>
      <c r="DC116" s="562"/>
    </row>
    <row r="117" spans="1:107" x14ac:dyDescent="0.2">
      <c r="A117" s="562"/>
      <c r="B117" s="562"/>
      <c r="C117" s="562"/>
      <c r="D117" s="562"/>
      <c r="E117" s="562"/>
      <c r="F117" s="562"/>
      <c r="G117" s="562"/>
      <c r="H117" s="562"/>
      <c r="I117" s="562"/>
      <c r="J117" s="562"/>
      <c r="K117" s="562"/>
      <c r="L117" s="562"/>
      <c r="M117" s="562"/>
      <c r="N117" s="562"/>
      <c r="O117" s="562"/>
      <c r="P117" s="562"/>
      <c r="Q117" s="562"/>
      <c r="R117" s="562"/>
      <c r="S117" s="562"/>
      <c r="T117" s="562"/>
      <c r="U117" s="562"/>
      <c r="V117" s="562"/>
      <c r="W117" s="562"/>
      <c r="X117" s="562"/>
      <c r="Y117" s="562"/>
      <c r="Z117" s="562"/>
      <c r="AA117" s="562"/>
      <c r="AB117" s="562"/>
      <c r="AC117" s="562"/>
      <c r="AD117" s="562"/>
      <c r="AE117" s="562"/>
      <c r="AF117" s="562"/>
      <c r="AG117" s="562"/>
      <c r="AH117" s="562"/>
      <c r="AI117" s="562"/>
      <c r="AJ117" s="562"/>
      <c r="AK117" s="562"/>
      <c r="AL117" s="562"/>
      <c r="AM117" s="562"/>
      <c r="AN117" s="562"/>
      <c r="AO117" s="562"/>
      <c r="AP117" s="562"/>
      <c r="AQ117" s="562"/>
      <c r="AR117" s="562"/>
      <c r="AS117" s="562"/>
      <c r="AT117" s="562"/>
      <c r="AU117" s="562"/>
      <c r="AV117" s="562"/>
      <c r="AW117" s="562"/>
      <c r="AX117" s="562"/>
      <c r="AY117" s="562"/>
      <c r="AZ117" s="562"/>
      <c r="BA117" s="562"/>
      <c r="BB117" s="562"/>
      <c r="BC117" s="562"/>
      <c r="BD117" s="562"/>
      <c r="BE117" s="562"/>
      <c r="BF117" s="562"/>
      <c r="BG117" s="562"/>
      <c r="BH117" s="562"/>
      <c r="BI117" s="562"/>
      <c r="BJ117" s="562"/>
      <c r="BK117" s="562"/>
      <c r="BL117" s="562"/>
      <c r="BM117" s="562"/>
      <c r="BN117" s="562"/>
      <c r="BO117" s="562"/>
      <c r="BP117" s="562"/>
      <c r="BQ117" s="562"/>
      <c r="BR117" s="562"/>
      <c r="BS117" s="562"/>
      <c r="BT117" s="562"/>
      <c r="BU117" s="562"/>
      <c r="BV117" s="562"/>
      <c r="BW117" s="562"/>
      <c r="BX117" s="562"/>
      <c r="BY117" s="562"/>
      <c r="BZ117" s="562"/>
      <c r="CA117" s="562"/>
      <c r="CB117" s="562"/>
      <c r="CC117" s="562"/>
      <c r="CD117" s="562"/>
      <c r="CE117" s="562"/>
      <c r="CF117" s="562"/>
      <c r="CG117" s="562"/>
      <c r="CH117" s="562"/>
      <c r="CI117" s="562"/>
      <c r="CJ117" s="562"/>
      <c r="CK117" s="562"/>
      <c r="CL117" s="562"/>
      <c r="CM117" s="562"/>
      <c r="CN117" s="562"/>
      <c r="CO117" s="562"/>
      <c r="CP117" s="562"/>
      <c r="CQ117" s="562"/>
      <c r="CR117" s="562"/>
      <c r="CS117" s="562"/>
      <c r="CT117" s="562"/>
      <c r="CU117" s="562"/>
      <c r="CV117" s="562"/>
      <c r="CW117" s="562"/>
      <c r="CX117" s="562"/>
      <c r="CY117" s="562"/>
      <c r="CZ117" s="562"/>
      <c r="DA117" s="562"/>
      <c r="DB117" s="562"/>
      <c r="DC117" s="562"/>
    </row>
    <row r="118" spans="1:107" x14ac:dyDescent="0.2">
      <c r="A118" s="562"/>
      <c r="B118" s="562"/>
      <c r="C118" s="562"/>
      <c r="D118" s="562"/>
      <c r="E118" s="562"/>
      <c r="F118" s="562"/>
      <c r="G118" s="562"/>
      <c r="H118" s="562"/>
      <c r="I118" s="562"/>
      <c r="J118" s="562"/>
      <c r="K118" s="562"/>
      <c r="L118" s="562"/>
      <c r="M118" s="562"/>
      <c r="N118" s="562"/>
      <c r="O118" s="562"/>
      <c r="P118" s="562"/>
      <c r="Q118" s="562"/>
      <c r="R118" s="562"/>
      <c r="S118" s="562"/>
      <c r="T118" s="562"/>
      <c r="U118" s="562"/>
      <c r="V118" s="562"/>
      <c r="W118" s="562"/>
      <c r="X118" s="562"/>
      <c r="Y118" s="562"/>
      <c r="Z118" s="562"/>
      <c r="AA118" s="562"/>
      <c r="AB118" s="562"/>
      <c r="AC118" s="562"/>
      <c r="AD118" s="562"/>
      <c r="AE118" s="562"/>
      <c r="AF118" s="562"/>
      <c r="AG118" s="562"/>
      <c r="AH118" s="562"/>
      <c r="AI118" s="562"/>
      <c r="AJ118" s="562"/>
      <c r="AK118" s="562"/>
      <c r="AL118" s="562"/>
      <c r="AM118" s="562"/>
      <c r="AN118" s="562"/>
      <c r="AO118" s="562"/>
      <c r="AP118" s="562"/>
      <c r="AQ118" s="562"/>
      <c r="AR118" s="562"/>
      <c r="AS118" s="562"/>
      <c r="AT118" s="562"/>
      <c r="AU118" s="562"/>
      <c r="AV118" s="562"/>
      <c r="AW118" s="562"/>
      <c r="AX118" s="562"/>
      <c r="AY118" s="562"/>
      <c r="AZ118" s="562"/>
      <c r="BA118" s="562"/>
      <c r="BB118" s="562"/>
      <c r="BC118" s="562"/>
      <c r="BD118" s="562"/>
      <c r="BE118" s="562"/>
      <c r="BF118" s="562"/>
      <c r="BG118" s="562"/>
      <c r="BH118" s="562"/>
      <c r="BI118" s="562"/>
      <c r="BJ118" s="562"/>
      <c r="BK118" s="562"/>
      <c r="BL118" s="562"/>
      <c r="BM118" s="562"/>
      <c r="BN118" s="562"/>
      <c r="BO118" s="562"/>
      <c r="BP118" s="562"/>
      <c r="BQ118" s="562"/>
      <c r="BR118" s="562"/>
      <c r="BS118" s="562"/>
      <c r="BT118" s="562"/>
      <c r="BU118" s="562"/>
      <c r="BV118" s="562"/>
      <c r="BW118" s="562"/>
      <c r="BX118" s="562"/>
      <c r="BY118" s="562"/>
      <c r="BZ118" s="562"/>
      <c r="CA118" s="562"/>
      <c r="CB118" s="562"/>
      <c r="CC118" s="562"/>
      <c r="CD118" s="562"/>
      <c r="CE118" s="562"/>
      <c r="CF118" s="562"/>
      <c r="CG118" s="562"/>
      <c r="CH118" s="562"/>
      <c r="CI118" s="562"/>
      <c r="CJ118" s="562"/>
      <c r="CK118" s="562"/>
      <c r="CL118" s="562"/>
      <c r="CM118" s="562"/>
      <c r="CN118" s="562"/>
      <c r="CO118" s="562"/>
      <c r="CP118" s="562"/>
      <c r="CQ118" s="562"/>
      <c r="CR118" s="562"/>
      <c r="CS118" s="562"/>
      <c r="CT118" s="562"/>
      <c r="CU118" s="562"/>
      <c r="CV118" s="562"/>
      <c r="CW118" s="562"/>
      <c r="CX118" s="562"/>
      <c r="CY118" s="562"/>
      <c r="CZ118" s="562"/>
      <c r="DA118" s="562"/>
      <c r="DB118" s="562"/>
      <c r="DC118" s="562"/>
    </row>
    <row r="119" spans="1:107" x14ac:dyDescent="0.2">
      <c r="A119" s="562"/>
      <c r="B119" s="562"/>
      <c r="C119" s="562"/>
      <c r="D119" s="562"/>
      <c r="E119" s="562"/>
      <c r="F119" s="562"/>
      <c r="G119" s="562"/>
      <c r="H119" s="562"/>
      <c r="I119" s="562"/>
      <c r="J119" s="562"/>
      <c r="K119" s="562"/>
      <c r="L119" s="562"/>
      <c r="M119" s="562"/>
      <c r="N119" s="562"/>
      <c r="O119" s="562"/>
      <c r="P119" s="562"/>
      <c r="Q119" s="562"/>
      <c r="R119" s="562"/>
      <c r="S119" s="562"/>
      <c r="T119" s="562"/>
      <c r="U119" s="562"/>
      <c r="V119" s="562"/>
      <c r="W119" s="562"/>
      <c r="X119" s="562"/>
      <c r="Y119" s="562"/>
      <c r="Z119" s="562"/>
      <c r="AA119" s="562"/>
      <c r="AB119" s="562"/>
      <c r="AC119" s="562"/>
      <c r="AD119" s="562"/>
      <c r="AE119" s="562"/>
      <c r="AF119" s="562"/>
      <c r="AG119" s="562"/>
      <c r="AH119" s="562"/>
      <c r="AI119" s="562"/>
      <c r="AJ119" s="562"/>
      <c r="AK119" s="562"/>
      <c r="AL119" s="562"/>
      <c r="AM119" s="562"/>
      <c r="AN119" s="562"/>
      <c r="AO119" s="562"/>
      <c r="AP119" s="562"/>
      <c r="AQ119" s="562"/>
      <c r="AR119" s="562"/>
      <c r="AS119" s="562"/>
      <c r="AT119" s="562"/>
      <c r="AU119" s="562"/>
      <c r="AV119" s="562"/>
      <c r="AW119" s="562"/>
      <c r="AX119" s="562"/>
      <c r="AY119" s="562"/>
      <c r="AZ119" s="562"/>
      <c r="BA119" s="562"/>
      <c r="BB119" s="562"/>
      <c r="BC119" s="562"/>
      <c r="BD119" s="562"/>
      <c r="BE119" s="562"/>
      <c r="BF119" s="562"/>
      <c r="BG119" s="562"/>
      <c r="BH119" s="562"/>
      <c r="BI119" s="562"/>
      <c r="BJ119" s="562"/>
      <c r="BK119" s="562"/>
      <c r="BL119" s="562"/>
      <c r="BM119" s="562"/>
      <c r="BN119" s="562"/>
      <c r="BO119" s="562"/>
      <c r="BP119" s="562"/>
      <c r="BQ119" s="562"/>
      <c r="BR119" s="562"/>
      <c r="BS119" s="562"/>
      <c r="BT119" s="562"/>
      <c r="BU119" s="562"/>
      <c r="BV119" s="562"/>
      <c r="BW119" s="562"/>
      <c r="BX119" s="562"/>
      <c r="BY119" s="562"/>
      <c r="BZ119" s="562"/>
      <c r="CA119" s="562"/>
      <c r="CB119" s="562"/>
      <c r="CC119" s="562"/>
      <c r="CD119" s="562"/>
      <c r="CE119" s="562"/>
      <c r="CF119" s="562"/>
      <c r="CG119" s="562"/>
      <c r="CH119" s="562"/>
      <c r="CI119" s="562"/>
      <c r="CJ119" s="562"/>
      <c r="CK119" s="562"/>
      <c r="CL119" s="562"/>
      <c r="CM119" s="562"/>
      <c r="CN119" s="562"/>
      <c r="CO119" s="562"/>
      <c r="CP119" s="562"/>
      <c r="CQ119" s="562"/>
      <c r="CR119" s="562"/>
      <c r="CS119" s="562"/>
      <c r="CT119" s="562"/>
      <c r="CU119" s="562"/>
      <c r="CV119" s="562"/>
      <c r="CW119" s="562"/>
      <c r="CX119" s="562"/>
      <c r="CY119" s="562"/>
      <c r="CZ119" s="562"/>
      <c r="DA119" s="562"/>
      <c r="DB119" s="562"/>
      <c r="DC119" s="562"/>
    </row>
    <row r="120" spans="1:107" x14ac:dyDescent="0.2">
      <c r="A120" s="562"/>
      <c r="B120" s="562"/>
      <c r="C120" s="562"/>
      <c r="D120" s="562"/>
      <c r="E120" s="562"/>
      <c r="F120" s="562"/>
      <c r="G120" s="562"/>
      <c r="H120" s="562"/>
      <c r="I120" s="562"/>
      <c r="J120" s="562"/>
      <c r="K120" s="562"/>
      <c r="L120" s="562"/>
      <c r="M120" s="562"/>
      <c r="N120" s="562"/>
      <c r="O120" s="562"/>
      <c r="P120" s="562"/>
      <c r="Q120" s="562"/>
      <c r="R120" s="562"/>
      <c r="S120" s="562"/>
      <c r="T120" s="562"/>
      <c r="U120" s="562"/>
      <c r="V120" s="562"/>
      <c r="W120" s="562"/>
      <c r="X120" s="562"/>
      <c r="Y120" s="562"/>
      <c r="Z120" s="562"/>
      <c r="AA120" s="562"/>
      <c r="AB120" s="562"/>
      <c r="AC120" s="562"/>
      <c r="AD120" s="562"/>
      <c r="AE120" s="562"/>
      <c r="AF120" s="562"/>
      <c r="AG120" s="562"/>
      <c r="AH120" s="562"/>
      <c r="AI120" s="562"/>
      <c r="AJ120" s="562"/>
      <c r="AK120" s="562"/>
      <c r="AL120" s="562"/>
      <c r="AM120" s="562"/>
      <c r="AN120" s="562"/>
      <c r="AO120" s="562"/>
      <c r="AP120" s="562"/>
      <c r="AQ120" s="562"/>
      <c r="AR120" s="562"/>
      <c r="AS120" s="562"/>
      <c r="AT120" s="562"/>
      <c r="AU120" s="562"/>
      <c r="AV120" s="562"/>
      <c r="AW120" s="562"/>
      <c r="AX120" s="562"/>
      <c r="AY120" s="562"/>
      <c r="AZ120" s="562"/>
      <c r="BA120" s="562"/>
      <c r="BB120" s="562"/>
      <c r="BC120" s="562"/>
      <c r="BD120" s="562"/>
      <c r="BE120" s="562"/>
      <c r="BF120" s="562"/>
      <c r="BG120" s="562"/>
      <c r="BH120" s="562"/>
      <c r="BI120" s="562"/>
      <c r="BJ120" s="562"/>
      <c r="BK120" s="562"/>
      <c r="BL120" s="562"/>
      <c r="BM120" s="562"/>
      <c r="BN120" s="562"/>
      <c r="BO120" s="562"/>
      <c r="BP120" s="562"/>
      <c r="BQ120" s="562"/>
      <c r="BR120" s="562"/>
      <c r="BS120" s="562"/>
      <c r="BT120" s="562"/>
      <c r="BU120" s="562"/>
      <c r="BV120" s="562"/>
      <c r="BW120" s="562"/>
      <c r="BX120" s="562"/>
      <c r="BY120" s="562"/>
      <c r="BZ120" s="562"/>
      <c r="CA120" s="562"/>
      <c r="CB120" s="562"/>
      <c r="CC120" s="562"/>
      <c r="CD120" s="562"/>
      <c r="CE120" s="562"/>
      <c r="CF120" s="562"/>
      <c r="CG120" s="562"/>
      <c r="CH120" s="562"/>
      <c r="CI120" s="562"/>
      <c r="CJ120" s="562"/>
      <c r="CK120" s="562"/>
      <c r="CL120" s="562"/>
      <c r="CM120" s="562"/>
      <c r="CN120" s="562"/>
      <c r="CO120" s="562"/>
      <c r="CP120" s="562"/>
      <c r="CQ120" s="562"/>
      <c r="CR120" s="562"/>
      <c r="CS120" s="562"/>
      <c r="CT120" s="562"/>
      <c r="CU120" s="562"/>
      <c r="CV120" s="562"/>
      <c r="CW120" s="562"/>
      <c r="CX120" s="562"/>
      <c r="CY120" s="562"/>
      <c r="CZ120" s="562"/>
      <c r="DA120" s="562"/>
      <c r="DB120" s="562"/>
      <c r="DC120" s="562"/>
    </row>
    <row r="121" spans="1:107" x14ac:dyDescent="0.2">
      <c r="A121" s="562"/>
      <c r="B121" s="562"/>
      <c r="C121" s="562"/>
      <c r="D121" s="562"/>
      <c r="E121" s="562"/>
      <c r="F121" s="562"/>
      <c r="G121" s="562"/>
      <c r="H121" s="562"/>
      <c r="I121" s="562"/>
      <c r="J121" s="562"/>
      <c r="K121" s="562"/>
      <c r="L121" s="562"/>
      <c r="M121" s="562"/>
      <c r="N121" s="562"/>
      <c r="O121" s="562"/>
      <c r="P121" s="562"/>
      <c r="Q121" s="562"/>
      <c r="R121" s="562"/>
      <c r="S121" s="562"/>
      <c r="T121" s="562"/>
      <c r="U121" s="562"/>
      <c r="V121" s="562"/>
      <c r="W121" s="562"/>
      <c r="X121" s="562"/>
      <c r="Y121" s="562"/>
      <c r="Z121" s="562"/>
      <c r="AA121" s="562"/>
      <c r="AB121" s="562"/>
      <c r="AC121" s="562"/>
      <c r="AD121" s="562"/>
      <c r="AE121" s="562"/>
      <c r="AF121" s="562"/>
      <c r="AG121" s="562"/>
      <c r="AH121" s="562"/>
      <c r="AI121" s="562"/>
      <c r="AJ121" s="562"/>
      <c r="AK121" s="562"/>
      <c r="AL121" s="562"/>
      <c r="AM121" s="562"/>
      <c r="AN121" s="562"/>
      <c r="AO121" s="562"/>
      <c r="AP121" s="562"/>
      <c r="AQ121" s="562"/>
      <c r="AR121" s="562"/>
      <c r="AS121" s="562"/>
      <c r="AT121" s="562"/>
      <c r="AU121" s="562"/>
      <c r="AV121" s="562"/>
      <c r="AW121" s="562"/>
      <c r="AX121" s="562"/>
      <c r="AY121" s="562"/>
      <c r="AZ121" s="562"/>
      <c r="BA121" s="562"/>
      <c r="BB121" s="562"/>
      <c r="BC121" s="562"/>
      <c r="BD121" s="562"/>
      <c r="BE121" s="562"/>
      <c r="BF121" s="562"/>
      <c r="BG121" s="562"/>
      <c r="BH121" s="562"/>
      <c r="BI121" s="562"/>
      <c r="BJ121" s="562"/>
      <c r="BK121" s="562"/>
      <c r="BL121" s="562"/>
      <c r="BM121" s="562"/>
      <c r="BN121" s="562"/>
      <c r="BO121" s="562"/>
      <c r="BP121" s="562"/>
      <c r="BQ121" s="562"/>
      <c r="BR121" s="562"/>
      <c r="BS121" s="562"/>
      <c r="BT121" s="562"/>
      <c r="BU121" s="562"/>
      <c r="BV121" s="562"/>
      <c r="BW121" s="562"/>
      <c r="BX121" s="562"/>
      <c r="BY121" s="562"/>
      <c r="BZ121" s="562"/>
      <c r="CA121" s="562"/>
      <c r="CB121" s="562"/>
      <c r="CC121" s="562"/>
      <c r="CD121" s="562"/>
      <c r="CE121" s="562"/>
      <c r="CF121" s="562"/>
      <c r="CG121" s="562"/>
      <c r="CH121" s="562"/>
      <c r="CI121" s="562"/>
      <c r="CJ121" s="562"/>
      <c r="CK121" s="562"/>
      <c r="CL121" s="562"/>
      <c r="CM121" s="562"/>
      <c r="CN121" s="562"/>
      <c r="CO121" s="562"/>
      <c r="CP121" s="562"/>
      <c r="CQ121" s="562"/>
      <c r="CR121" s="562"/>
      <c r="CS121" s="562"/>
      <c r="CT121" s="562"/>
      <c r="CU121" s="562"/>
      <c r="CV121" s="562"/>
      <c r="CW121" s="562"/>
      <c r="CX121" s="562"/>
      <c r="CY121" s="562"/>
      <c r="CZ121" s="562"/>
      <c r="DA121" s="562"/>
      <c r="DB121" s="562"/>
      <c r="DC121" s="562"/>
    </row>
    <row r="122" spans="1:107" x14ac:dyDescent="0.2">
      <c r="A122" s="562"/>
      <c r="B122" s="562"/>
      <c r="C122" s="562"/>
      <c r="D122" s="562"/>
      <c r="E122" s="562"/>
      <c r="F122" s="562"/>
      <c r="G122" s="562"/>
      <c r="H122" s="562"/>
      <c r="I122" s="562"/>
      <c r="J122" s="562"/>
      <c r="K122" s="562"/>
      <c r="L122" s="562"/>
      <c r="M122" s="562"/>
      <c r="N122" s="562"/>
      <c r="O122" s="562"/>
      <c r="P122" s="562"/>
      <c r="Q122" s="562"/>
      <c r="R122" s="562"/>
      <c r="S122" s="562"/>
      <c r="T122" s="562"/>
      <c r="U122" s="562"/>
      <c r="V122" s="562"/>
      <c r="W122" s="562"/>
      <c r="X122" s="562"/>
      <c r="Y122" s="562"/>
      <c r="Z122" s="562"/>
      <c r="AA122" s="562"/>
      <c r="AB122" s="562"/>
      <c r="AC122" s="562"/>
      <c r="AD122" s="562"/>
      <c r="AE122" s="562"/>
      <c r="AF122" s="562"/>
      <c r="AG122" s="562"/>
      <c r="AH122" s="562"/>
      <c r="AI122" s="562"/>
      <c r="AJ122" s="562"/>
      <c r="AK122" s="562"/>
      <c r="AL122" s="562"/>
      <c r="AM122" s="562"/>
      <c r="AN122" s="562"/>
      <c r="AO122" s="562"/>
      <c r="AP122" s="562"/>
      <c r="AQ122" s="562"/>
      <c r="AR122" s="562"/>
      <c r="AS122" s="562"/>
      <c r="AT122" s="562"/>
      <c r="AU122" s="562"/>
      <c r="AV122" s="562"/>
      <c r="AW122" s="562"/>
      <c r="AX122" s="562"/>
      <c r="AY122" s="562"/>
      <c r="AZ122" s="562"/>
      <c r="BA122" s="562"/>
      <c r="BB122" s="562"/>
      <c r="BC122" s="562"/>
      <c r="BD122" s="562"/>
      <c r="BE122" s="562"/>
      <c r="BF122" s="562"/>
      <c r="BG122" s="562"/>
      <c r="BH122" s="562"/>
      <c r="BI122" s="562"/>
      <c r="BJ122" s="562"/>
      <c r="BK122" s="562"/>
      <c r="BL122" s="562"/>
      <c r="BM122" s="562"/>
      <c r="BN122" s="562"/>
      <c r="BO122" s="562"/>
      <c r="BP122" s="562"/>
      <c r="BQ122" s="562"/>
      <c r="BR122" s="562"/>
      <c r="BS122" s="562"/>
      <c r="BT122" s="562"/>
      <c r="BU122" s="562"/>
      <c r="BV122" s="562"/>
      <c r="BW122" s="562"/>
      <c r="BX122" s="562"/>
      <c r="BY122" s="562"/>
      <c r="BZ122" s="562"/>
      <c r="CA122" s="562"/>
      <c r="CB122" s="562"/>
      <c r="CC122" s="562"/>
      <c r="CD122" s="562"/>
      <c r="CE122" s="562"/>
      <c r="CF122" s="562"/>
      <c r="CG122" s="562"/>
      <c r="CH122" s="562"/>
      <c r="CI122" s="562"/>
      <c r="CJ122" s="562"/>
      <c r="CK122" s="562"/>
      <c r="CL122" s="562"/>
      <c r="CM122" s="562"/>
      <c r="CN122" s="562"/>
      <c r="CO122" s="562"/>
      <c r="CP122" s="562"/>
      <c r="CQ122" s="562"/>
      <c r="CR122" s="562"/>
      <c r="CS122" s="562"/>
      <c r="CT122" s="562"/>
      <c r="CU122" s="562"/>
      <c r="CV122" s="562"/>
      <c r="CW122" s="562"/>
      <c r="CX122" s="562"/>
      <c r="CY122" s="562"/>
      <c r="CZ122" s="562"/>
      <c r="DA122" s="562"/>
      <c r="DB122" s="562"/>
      <c r="DC122" s="562"/>
    </row>
    <row r="123" spans="1:107" x14ac:dyDescent="0.2">
      <c r="A123" s="562"/>
      <c r="B123" s="562"/>
      <c r="C123" s="562"/>
      <c r="D123" s="562"/>
      <c r="E123" s="562"/>
      <c r="F123" s="562"/>
      <c r="G123" s="562"/>
      <c r="H123" s="562"/>
      <c r="I123" s="562"/>
      <c r="J123" s="562"/>
      <c r="K123" s="562"/>
      <c r="L123" s="562"/>
      <c r="M123" s="562"/>
      <c r="N123" s="562"/>
      <c r="O123" s="562"/>
      <c r="P123" s="562"/>
      <c r="Q123" s="562"/>
      <c r="R123" s="562"/>
      <c r="S123" s="562"/>
      <c r="T123" s="562"/>
      <c r="U123" s="562"/>
      <c r="V123" s="562"/>
      <c r="W123" s="562"/>
      <c r="X123" s="562"/>
      <c r="Y123" s="562"/>
      <c r="Z123" s="562"/>
      <c r="AA123" s="562"/>
      <c r="AB123" s="562"/>
      <c r="AC123" s="562"/>
      <c r="AD123" s="562"/>
      <c r="AE123" s="562"/>
      <c r="AF123" s="562"/>
      <c r="AG123" s="562"/>
      <c r="AH123" s="562"/>
      <c r="AI123" s="562"/>
      <c r="AJ123" s="562"/>
      <c r="AK123" s="562"/>
      <c r="AL123" s="562"/>
      <c r="AM123" s="562"/>
      <c r="AN123" s="562"/>
      <c r="AO123" s="562"/>
      <c r="AP123" s="562"/>
      <c r="AQ123" s="562"/>
      <c r="AR123" s="562"/>
      <c r="AS123" s="562"/>
      <c r="AT123" s="562"/>
      <c r="AU123" s="562"/>
      <c r="AV123" s="562"/>
      <c r="AW123" s="562"/>
      <c r="AX123" s="562"/>
      <c r="AY123" s="562"/>
      <c r="AZ123" s="562"/>
      <c r="BA123" s="562"/>
      <c r="BB123" s="562"/>
      <c r="BC123" s="562"/>
      <c r="BD123" s="562"/>
      <c r="BE123" s="562"/>
      <c r="BF123" s="562"/>
      <c r="BG123" s="562"/>
      <c r="BH123" s="562"/>
      <c r="BI123" s="562"/>
      <c r="BJ123" s="562"/>
      <c r="BK123" s="562"/>
      <c r="BL123" s="562"/>
      <c r="BM123" s="562"/>
      <c r="BN123" s="562"/>
      <c r="BO123" s="562"/>
      <c r="BP123" s="562"/>
      <c r="BQ123" s="562"/>
      <c r="BR123" s="562"/>
      <c r="BS123" s="562"/>
      <c r="BT123" s="562"/>
      <c r="BU123" s="562"/>
      <c r="BV123" s="562"/>
      <c r="BW123" s="562"/>
      <c r="BX123" s="562"/>
      <c r="BY123" s="562"/>
      <c r="BZ123" s="562"/>
      <c r="CA123" s="562"/>
      <c r="CB123" s="562"/>
      <c r="CC123" s="562"/>
      <c r="CD123" s="562"/>
      <c r="CE123" s="562"/>
      <c r="CF123" s="562"/>
      <c r="CG123" s="562"/>
      <c r="CH123" s="562"/>
      <c r="CI123" s="562"/>
      <c r="CJ123" s="562"/>
      <c r="CK123" s="562"/>
      <c r="CL123" s="562"/>
      <c r="CM123" s="562"/>
      <c r="CN123" s="562"/>
      <c r="CO123" s="562"/>
      <c r="CP123" s="562"/>
      <c r="CQ123" s="562"/>
      <c r="CR123" s="562"/>
      <c r="CS123" s="562"/>
      <c r="CT123" s="562"/>
      <c r="CU123" s="562"/>
      <c r="CV123" s="562"/>
      <c r="CW123" s="562"/>
      <c r="CX123" s="562"/>
      <c r="CY123" s="562"/>
      <c r="CZ123" s="562"/>
      <c r="DA123" s="562"/>
      <c r="DB123" s="562"/>
      <c r="DC123" s="562"/>
    </row>
    <row r="124" spans="1:107" x14ac:dyDescent="0.2">
      <c r="A124" s="562"/>
      <c r="B124" s="562"/>
      <c r="C124" s="562"/>
      <c r="D124" s="562"/>
      <c r="E124" s="562"/>
      <c r="F124" s="562"/>
      <c r="G124" s="562"/>
      <c r="H124" s="562"/>
      <c r="I124" s="562"/>
      <c r="J124" s="562"/>
      <c r="K124" s="562"/>
      <c r="L124" s="562"/>
      <c r="M124" s="562"/>
      <c r="N124" s="562"/>
      <c r="O124" s="562"/>
      <c r="P124" s="562"/>
      <c r="Q124" s="562"/>
      <c r="R124" s="562"/>
      <c r="S124" s="562"/>
      <c r="T124" s="562"/>
      <c r="U124" s="562"/>
      <c r="V124" s="562"/>
      <c r="W124" s="562"/>
      <c r="X124" s="562"/>
      <c r="Y124" s="562"/>
      <c r="Z124" s="562"/>
      <c r="AA124" s="562"/>
      <c r="AB124" s="562"/>
      <c r="AC124" s="562"/>
      <c r="AD124" s="562"/>
      <c r="AE124" s="562"/>
      <c r="AF124" s="562"/>
      <c r="AG124" s="562"/>
      <c r="AH124" s="562"/>
      <c r="AI124" s="562"/>
      <c r="AJ124" s="562"/>
      <c r="AK124" s="562"/>
      <c r="AL124" s="562"/>
      <c r="AM124" s="562"/>
      <c r="AN124" s="562"/>
      <c r="AO124" s="562"/>
      <c r="AP124" s="562"/>
      <c r="AQ124" s="562"/>
      <c r="AR124" s="562"/>
      <c r="AS124" s="562"/>
      <c r="AT124" s="562"/>
      <c r="AU124" s="562"/>
      <c r="AV124" s="562"/>
      <c r="AW124" s="562"/>
      <c r="AX124" s="562"/>
      <c r="AY124" s="562"/>
      <c r="AZ124" s="562"/>
      <c r="BA124" s="562"/>
      <c r="BB124" s="562"/>
      <c r="BC124" s="562"/>
      <c r="BD124" s="562"/>
      <c r="BE124" s="562"/>
      <c r="BF124" s="562"/>
      <c r="BG124" s="562"/>
      <c r="BH124" s="562"/>
      <c r="BI124" s="562"/>
      <c r="BJ124" s="562"/>
      <c r="BK124" s="562"/>
      <c r="BL124" s="562"/>
      <c r="BM124" s="562"/>
      <c r="BN124" s="562"/>
      <c r="BO124" s="562"/>
      <c r="BP124" s="562"/>
      <c r="BQ124" s="562"/>
      <c r="BR124" s="562"/>
      <c r="BS124" s="562"/>
      <c r="BT124" s="562"/>
      <c r="BU124" s="562"/>
      <c r="BV124" s="562"/>
      <c r="BW124" s="562"/>
      <c r="BX124" s="562"/>
      <c r="BY124" s="562"/>
      <c r="BZ124" s="562"/>
      <c r="CA124" s="562"/>
      <c r="CB124" s="562"/>
      <c r="CC124" s="562"/>
      <c r="CD124" s="562"/>
      <c r="CE124" s="562"/>
      <c r="CF124" s="562"/>
      <c r="CG124" s="562"/>
      <c r="CH124" s="562"/>
      <c r="CI124" s="562"/>
      <c r="CJ124" s="562"/>
      <c r="CK124" s="562"/>
      <c r="CL124" s="562"/>
      <c r="CM124" s="562"/>
      <c r="CN124" s="562"/>
      <c r="CO124" s="562"/>
      <c r="CP124" s="562"/>
      <c r="CQ124" s="562"/>
      <c r="CR124" s="562"/>
      <c r="CS124" s="562"/>
      <c r="CT124" s="562"/>
      <c r="CU124" s="562"/>
      <c r="CV124" s="562"/>
      <c r="CW124" s="562"/>
      <c r="CX124" s="562"/>
      <c r="CY124" s="562"/>
      <c r="CZ124" s="562"/>
      <c r="DA124" s="562"/>
      <c r="DB124" s="562"/>
      <c r="DC124" s="562"/>
    </row>
    <row r="125" spans="1:107" x14ac:dyDescent="0.2">
      <c r="A125" s="562"/>
      <c r="B125" s="562"/>
      <c r="C125" s="562"/>
      <c r="D125" s="562"/>
      <c r="E125" s="562"/>
      <c r="F125" s="562"/>
      <c r="G125" s="562"/>
      <c r="H125" s="562"/>
      <c r="I125" s="562"/>
      <c r="J125" s="562"/>
      <c r="K125" s="562"/>
      <c r="L125" s="562"/>
      <c r="M125" s="562"/>
      <c r="N125" s="562"/>
      <c r="O125" s="562"/>
      <c r="P125" s="562"/>
      <c r="Q125" s="562"/>
      <c r="R125" s="562"/>
      <c r="S125" s="562"/>
      <c r="T125" s="562"/>
      <c r="U125" s="562"/>
      <c r="V125" s="562"/>
      <c r="W125" s="562"/>
      <c r="X125" s="562"/>
      <c r="Y125" s="562"/>
      <c r="Z125" s="562"/>
      <c r="AA125" s="562"/>
      <c r="AB125" s="562"/>
      <c r="AC125" s="562"/>
      <c r="AD125" s="562"/>
      <c r="AE125" s="562"/>
      <c r="AF125" s="562"/>
      <c r="AG125" s="562"/>
      <c r="AH125" s="562"/>
      <c r="AI125" s="562"/>
      <c r="AJ125" s="562"/>
      <c r="AK125" s="562"/>
      <c r="AL125" s="562"/>
      <c r="AM125" s="562"/>
      <c r="AN125" s="562"/>
      <c r="AO125" s="562"/>
      <c r="AP125" s="562"/>
      <c r="AQ125" s="562"/>
      <c r="AR125" s="562"/>
      <c r="AS125" s="562"/>
      <c r="AT125" s="562"/>
      <c r="AU125" s="562"/>
      <c r="AV125" s="562"/>
      <c r="AW125" s="562"/>
      <c r="AX125" s="562"/>
      <c r="AY125" s="562"/>
      <c r="AZ125" s="562"/>
      <c r="BA125" s="562"/>
      <c r="BB125" s="562"/>
      <c r="BC125" s="562"/>
      <c r="BD125" s="562"/>
      <c r="BE125" s="562"/>
      <c r="BF125" s="562"/>
      <c r="BG125" s="562"/>
      <c r="BH125" s="562"/>
      <c r="BI125" s="562"/>
      <c r="BJ125" s="562"/>
      <c r="BK125" s="562"/>
      <c r="BL125" s="562"/>
      <c r="BM125" s="562"/>
      <c r="BN125" s="562"/>
      <c r="BO125" s="562"/>
      <c r="BP125" s="562"/>
      <c r="BQ125" s="562"/>
      <c r="BR125" s="562"/>
      <c r="BS125" s="562"/>
      <c r="BT125" s="562"/>
      <c r="BU125" s="562"/>
      <c r="BV125" s="562"/>
      <c r="BW125" s="562"/>
      <c r="BX125" s="562"/>
      <c r="BY125" s="562"/>
      <c r="BZ125" s="562"/>
      <c r="CA125" s="562"/>
      <c r="CB125" s="562"/>
      <c r="CC125" s="562"/>
      <c r="CD125" s="562"/>
      <c r="CE125" s="562"/>
      <c r="CF125" s="562"/>
      <c r="CG125" s="562"/>
      <c r="CH125" s="562"/>
      <c r="CI125" s="562"/>
      <c r="CJ125" s="562"/>
      <c r="CK125" s="562"/>
      <c r="CL125" s="562"/>
      <c r="CM125" s="562"/>
      <c r="CN125" s="562"/>
      <c r="CO125" s="562"/>
      <c r="CP125" s="562"/>
      <c r="CQ125" s="562"/>
      <c r="CR125" s="562"/>
      <c r="CS125" s="562"/>
      <c r="CT125" s="562"/>
      <c r="CU125" s="562"/>
      <c r="CV125" s="562"/>
      <c r="CW125" s="562"/>
      <c r="CX125" s="562"/>
      <c r="CY125" s="562"/>
      <c r="CZ125" s="562"/>
      <c r="DA125" s="562"/>
      <c r="DB125" s="562"/>
      <c r="DC125" s="562"/>
    </row>
    <row r="126" spans="1:107" x14ac:dyDescent="0.2">
      <c r="A126" s="562"/>
      <c r="B126" s="562"/>
      <c r="C126" s="562"/>
      <c r="D126" s="562"/>
      <c r="E126" s="562"/>
      <c r="F126" s="562"/>
      <c r="G126" s="562"/>
      <c r="H126" s="562"/>
      <c r="I126" s="562"/>
      <c r="J126" s="562"/>
      <c r="K126" s="562"/>
      <c r="L126" s="562"/>
      <c r="M126" s="562"/>
      <c r="N126" s="562"/>
      <c r="O126" s="562"/>
      <c r="P126" s="562"/>
      <c r="Q126" s="562"/>
      <c r="R126" s="562"/>
      <c r="S126" s="562"/>
      <c r="T126" s="562"/>
      <c r="U126" s="562"/>
      <c r="V126" s="562"/>
      <c r="W126" s="562"/>
      <c r="X126" s="562"/>
      <c r="Y126" s="562"/>
      <c r="Z126" s="562"/>
      <c r="AA126" s="562"/>
      <c r="AB126" s="562"/>
      <c r="AC126" s="562"/>
      <c r="AD126" s="562"/>
      <c r="AE126" s="562"/>
      <c r="AF126" s="562"/>
      <c r="AG126" s="562"/>
      <c r="AH126" s="562"/>
      <c r="AI126" s="562"/>
      <c r="AJ126" s="562"/>
      <c r="AK126" s="562"/>
      <c r="AL126" s="562"/>
      <c r="AM126" s="562"/>
      <c r="AN126" s="562"/>
      <c r="AO126" s="562"/>
      <c r="AP126" s="562"/>
      <c r="AQ126" s="562"/>
      <c r="AR126" s="562"/>
      <c r="AS126" s="562"/>
      <c r="AT126" s="562"/>
      <c r="AU126" s="562"/>
      <c r="AV126" s="562"/>
      <c r="AW126" s="562"/>
      <c r="AX126" s="562"/>
      <c r="AY126" s="562"/>
      <c r="AZ126" s="562"/>
      <c r="BA126" s="562"/>
      <c r="BB126" s="562"/>
      <c r="BC126" s="562"/>
      <c r="BD126" s="562"/>
      <c r="BE126" s="562"/>
      <c r="BF126" s="562"/>
      <c r="BG126" s="562"/>
      <c r="BH126" s="562"/>
      <c r="BI126" s="562"/>
      <c r="BJ126" s="562"/>
      <c r="BK126" s="562"/>
      <c r="BL126" s="562"/>
      <c r="BM126" s="562"/>
      <c r="BN126" s="562"/>
      <c r="BO126" s="562"/>
      <c r="BP126" s="562"/>
      <c r="BQ126" s="562"/>
      <c r="BR126" s="562"/>
      <c r="BS126" s="562"/>
      <c r="BT126" s="562"/>
      <c r="BU126" s="562"/>
      <c r="BV126" s="562"/>
      <c r="BW126" s="562"/>
      <c r="BX126" s="562"/>
      <c r="BY126" s="562"/>
      <c r="BZ126" s="562"/>
      <c r="CA126" s="562"/>
      <c r="CB126" s="562"/>
      <c r="CC126" s="562"/>
      <c r="CD126" s="562"/>
      <c r="CE126" s="562"/>
      <c r="CF126" s="562"/>
      <c r="CG126" s="562"/>
      <c r="CH126" s="562"/>
      <c r="CI126" s="562"/>
      <c r="CJ126" s="562"/>
      <c r="CK126" s="562"/>
      <c r="CL126" s="562"/>
      <c r="CM126" s="562"/>
      <c r="CN126" s="562"/>
      <c r="CO126" s="562"/>
      <c r="CP126" s="562"/>
      <c r="CQ126" s="562"/>
      <c r="CR126" s="562"/>
      <c r="CS126" s="562"/>
      <c r="CT126" s="562"/>
      <c r="CU126" s="562"/>
      <c r="CV126" s="562"/>
      <c r="CW126" s="562"/>
      <c r="CX126" s="562"/>
      <c r="CY126" s="562"/>
      <c r="CZ126" s="562"/>
      <c r="DA126" s="562"/>
      <c r="DB126" s="562"/>
      <c r="DC126" s="562"/>
    </row>
    <row r="127" spans="1:107" x14ac:dyDescent="0.2">
      <c r="A127" s="562"/>
      <c r="B127" s="562"/>
      <c r="C127" s="562"/>
      <c r="D127" s="562"/>
      <c r="E127" s="562"/>
      <c r="F127" s="562"/>
      <c r="G127" s="562"/>
      <c r="H127" s="562"/>
      <c r="I127" s="562"/>
      <c r="J127" s="562"/>
      <c r="K127" s="562"/>
      <c r="L127" s="562"/>
      <c r="M127" s="562"/>
      <c r="N127" s="562"/>
      <c r="O127" s="562"/>
      <c r="P127" s="562"/>
      <c r="Q127" s="562"/>
      <c r="R127" s="562"/>
      <c r="S127" s="562"/>
      <c r="T127" s="562"/>
      <c r="U127" s="562"/>
      <c r="V127" s="562"/>
      <c r="W127" s="562"/>
      <c r="X127" s="562"/>
      <c r="Y127" s="562"/>
      <c r="Z127" s="562"/>
      <c r="AA127" s="562"/>
      <c r="AB127" s="562"/>
      <c r="AC127" s="562"/>
      <c r="AD127" s="562"/>
      <c r="AE127" s="562"/>
      <c r="AF127" s="562"/>
      <c r="AG127" s="562"/>
      <c r="AH127" s="562"/>
      <c r="AI127" s="562"/>
      <c r="AJ127" s="562"/>
      <c r="AK127" s="562"/>
      <c r="AL127" s="562"/>
      <c r="AM127" s="562"/>
      <c r="AN127" s="562"/>
      <c r="AO127" s="562"/>
      <c r="AP127" s="562"/>
      <c r="AQ127" s="562"/>
      <c r="AR127" s="562"/>
      <c r="AS127" s="562"/>
      <c r="AT127" s="562"/>
      <c r="AU127" s="562"/>
      <c r="AV127" s="562"/>
      <c r="AW127" s="562"/>
      <c r="AX127" s="562"/>
      <c r="AY127" s="562"/>
      <c r="AZ127" s="562"/>
      <c r="BA127" s="562"/>
      <c r="BB127" s="562"/>
      <c r="BC127" s="562"/>
      <c r="BD127" s="562"/>
      <c r="BE127" s="562"/>
      <c r="BF127" s="562"/>
      <c r="BG127" s="562"/>
      <c r="BH127" s="562"/>
      <c r="BI127" s="562"/>
      <c r="BJ127" s="562"/>
      <c r="BK127" s="562"/>
      <c r="BL127" s="562"/>
      <c r="BM127" s="562"/>
      <c r="BN127" s="562"/>
      <c r="BO127" s="562"/>
      <c r="BP127" s="562"/>
      <c r="BQ127" s="562"/>
      <c r="BR127" s="562"/>
      <c r="BS127" s="562"/>
      <c r="BT127" s="562"/>
      <c r="BU127" s="562"/>
      <c r="BV127" s="562"/>
      <c r="BW127" s="562"/>
      <c r="BX127" s="562"/>
      <c r="BY127" s="562"/>
      <c r="BZ127" s="562"/>
      <c r="CA127" s="562"/>
      <c r="CB127" s="562"/>
      <c r="CC127" s="562"/>
      <c r="CD127" s="562"/>
      <c r="CE127" s="562"/>
      <c r="CF127" s="562"/>
      <c r="CG127" s="562"/>
      <c r="CH127" s="562"/>
      <c r="CI127" s="562"/>
      <c r="CJ127" s="562"/>
      <c r="CK127" s="562"/>
      <c r="CL127" s="562"/>
      <c r="CM127" s="562"/>
      <c r="CN127" s="562"/>
      <c r="CO127" s="562"/>
      <c r="CP127" s="562"/>
      <c r="CQ127" s="562"/>
      <c r="CR127" s="562"/>
      <c r="CS127" s="562"/>
      <c r="CT127" s="562"/>
      <c r="CU127" s="562"/>
      <c r="CV127" s="562"/>
      <c r="CW127" s="562"/>
      <c r="CX127" s="562"/>
      <c r="CY127" s="562"/>
      <c r="CZ127" s="562"/>
      <c r="DA127" s="562"/>
      <c r="DB127" s="562"/>
      <c r="DC127" s="562"/>
    </row>
    <row r="128" spans="1:107" x14ac:dyDescent="0.2">
      <c r="A128" s="562"/>
      <c r="B128" s="562"/>
      <c r="C128" s="562"/>
      <c r="D128" s="562"/>
      <c r="E128" s="562"/>
      <c r="F128" s="562"/>
      <c r="G128" s="562"/>
      <c r="H128" s="562"/>
      <c r="I128" s="562"/>
      <c r="J128" s="562"/>
      <c r="K128" s="562"/>
      <c r="L128" s="562"/>
      <c r="M128" s="562"/>
      <c r="N128" s="562"/>
      <c r="O128" s="562"/>
      <c r="P128" s="562"/>
      <c r="Q128" s="562"/>
      <c r="R128" s="562"/>
      <c r="S128" s="562"/>
      <c r="T128" s="562"/>
      <c r="U128" s="562"/>
      <c r="V128" s="562"/>
      <c r="W128" s="562"/>
      <c r="X128" s="562"/>
      <c r="Y128" s="562"/>
      <c r="Z128" s="562"/>
      <c r="AA128" s="562"/>
      <c r="AB128" s="562"/>
      <c r="AC128" s="562"/>
      <c r="AD128" s="562"/>
      <c r="AE128" s="562"/>
      <c r="AF128" s="562"/>
      <c r="AG128" s="562"/>
      <c r="AH128" s="562"/>
      <c r="AI128" s="562"/>
      <c r="AJ128" s="562"/>
      <c r="AK128" s="562"/>
      <c r="AL128" s="562"/>
      <c r="AM128" s="562"/>
      <c r="AN128" s="562"/>
      <c r="AO128" s="562"/>
      <c r="AP128" s="562"/>
      <c r="AQ128" s="562"/>
      <c r="AR128" s="562"/>
      <c r="AS128" s="562"/>
      <c r="AT128" s="562"/>
      <c r="AU128" s="562"/>
      <c r="AV128" s="562"/>
      <c r="AW128" s="562"/>
      <c r="AX128" s="562"/>
      <c r="AY128" s="562"/>
      <c r="AZ128" s="562"/>
      <c r="BA128" s="562"/>
      <c r="BB128" s="562"/>
      <c r="BC128" s="562"/>
      <c r="BD128" s="562"/>
      <c r="BE128" s="562"/>
      <c r="BF128" s="562"/>
      <c r="BG128" s="562"/>
      <c r="BH128" s="562"/>
      <c r="BI128" s="562"/>
      <c r="BJ128" s="562"/>
      <c r="BK128" s="562"/>
      <c r="BL128" s="562"/>
      <c r="BM128" s="562"/>
      <c r="BN128" s="562"/>
      <c r="BO128" s="562"/>
      <c r="BP128" s="562"/>
      <c r="BQ128" s="562"/>
      <c r="BR128" s="562"/>
      <c r="BS128" s="562"/>
      <c r="BT128" s="562"/>
      <c r="BU128" s="562"/>
      <c r="BV128" s="562"/>
      <c r="BW128" s="562"/>
      <c r="BX128" s="562"/>
      <c r="BY128" s="562"/>
      <c r="BZ128" s="562"/>
      <c r="CA128" s="562"/>
      <c r="CB128" s="562"/>
      <c r="CC128" s="562"/>
      <c r="CD128" s="562"/>
      <c r="CE128" s="562"/>
      <c r="CF128" s="562"/>
      <c r="CG128" s="562"/>
      <c r="CH128" s="562"/>
      <c r="CI128" s="562"/>
      <c r="CJ128" s="562"/>
      <c r="CK128" s="562"/>
      <c r="CL128" s="562"/>
      <c r="CM128" s="562"/>
      <c r="CN128" s="562"/>
      <c r="CO128" s="562"/>
      <c r="CP128" s="562"/>
      <c r="CQ128" s="562"/>
      <c r="CR128" s="562"/>
      <c r="CS128" s="562"/>
      <c r="CT128" s="562"/>
      <c r="CU128" s="562"/>
      <c r="CV128" s="562"/>
      <c r="CW128" s="562"/>
      <c r="CX128" s="562"/>
      <c r="CY128" s="562"/>
      <c r="CZ128" s="562"/>
      <c r="DA128" s="562"/>
      <c r="DB128" s="562"/>
      <c r="DC128" s="562"/>
    </row>
    <row r="129" spans="1:107" x14ac:dyDescent="0.2">
      <c r="A129" s="562"/>
      <c r="B129" s="562"/>
      <c r="C129" s="562"/>
      <c r="D129" s="562"/>
      <c r="E129" s="562"/>
      <c r="F129" s="562"/>
      <c r="G129" s="562"/>
      <c r="H129" s="562"/>
      <c r="I129" s="562"/>
      <c r="J129" s="562"/>
      <c r="K129" s="562"/>
      <c r="L129" s="562"/>
      <c r="M129" s="562"/>
      <c r="N129" s="562"/>
      <c r="O129" s="562"/>
      <c r="P129" s="562"/>
      <c r="Q129" s="562"/>
      <c r="R129" s="562"/>
      <c r="S129" s="562"/>
      <c r="T129" s="562"/>
      <c r="U129" s="562"/>
      <c r="V129" s="562"/>
      <c r="W129" s="562"/>
      <c r="X129" s="562"/>
      <c r="Y129" s="562"/>
      <c r="Z129" s="562"/>
      <c r="AA129" s="562"/>
      <c r="AB129" s="562"/>
      <c r="AC129" s="562"/>
      <c r="AD129" s="562"/>
      <c r="AE129" s="562"/>
      <c r="AF129" s="562"/>
      <c r="AG129" s="562"/>
      <c r="AH129" s="562"/>
      <c r="AI129" s="562"/>
      <c r="AJ129" s="562"/>
      <c r="AK129" s="562"/>
      <c r="AL129" s="562"/>
      <c r="AM129" s="562"/>
      <c r="AN129" s="562"/>
      <c r="AO129" s="562"/>
      <c r="AP129" s="562"/>
      <c r="AQ129" s="562"/>
      <c r="AR129" s="562"/>
      <c r="AS129" s="562"/>
      <c r="AT129" s="562"/>
      <c r="AU129" s="562"/>
      <c r="AV129" s="562"/>
      <c r="AW129" s="562"/>
      <c r="AX129" s="562"/>
      <c r="AY129" s="562"/>
      <c r="AZ129" s="562"/>
      <c r="BA129" s="562"/>
      <c r="BB129" s="562"/>
      <c r="BC129" s="562"/>
      <c r="BD129" s="562"/>
      <c r="BE129" s="562"/>
      <c r="BF129" s="562"/>
      <c r="BG129" s="562"/>
      <c r="BH129" s="562"/>
      <c r="BI129" s="562"/>
      <c r="BJ129" s="562"/>
      <c r="BK129" s="562"/>
      <c r="BL129" s="562"/>
      <c r="BM129" s="562"/>
      <c r="BN129" s="562"/>
      <c r="BO129" s="562"/>
      <c r="BP129" s="562"/>
      <c r="BQ129" s="562"/>
      <c r="BR129" s="562"/>
      <c r="BS129" s="562"/>
      <c r="BT129" s="562"/>
      <c r="BU129" s="562"/>
      <c r="BV129" s="562"/>
      <c r="BW129" s="562"/>
      <c r="BX129" s="562"/>
      <c r="BY129" s="562"/>
      <c r="BZ129" s="562"/>
      <c r="CA129" s="562"/>
      <c r="CB129" s="562"/>
      <c r="CC129" s="562"/>
      <c r="CD129" s="562"/>
      <c r="CE129" s="562"/>
      <c r="CF129" s="562"/>
      <c r="CG129" s="562"/>
      <c r="CH129" s="562"/>
      <c r="CI129" s="562"/>
      <c r="CJ129" s="562"/>
      <c r="CK129" s="562"/>
      <c r="CL129" s="562"/>
      <c r="CM129" s="562"/>
      <c r="CN129" s="562"/>
      <c r="CO129" s="562"/>
      <c r="CP129" s="562"/>
      <c r="CQ129" s="562"/>
      <c r="CR129" s="562"/>
      <c r="CS129" s="562"/>
      <c r="CT129" s="562"/>
      <c r="CU129" s="562"/>
      <c r="CV129" s="562"/>
      <c r="CW129" s="562"/>
      <c r="CX129" s="562"/>
      <c r="CY129" s="562"/>
      <c r="CZ129" s="562"/>
      <c r="DA129" s="562"/>
      <c r="DB129" s="562"/>
      <c r="DC129" s="562"/>
    </row>
    <row r="130" spans="1:107" x14ac:dyDescent="0.2">
      <c r="A130" s="562"/>
      <c r="B130" s="562"/>
      <c r="C130" s="562"/>
      <c r="D130" s="562"/>
      <c r="E130" s="562"/>
      <c r="F130" s="562"/>
      <c r="G130" s="562"/>
      <c r="H130" s="562"/>
      <c r="I130" s="562"/>
      <c r="J130" s="562"/>
      <c r="K130" s="562"/>
      <c r="L130" s="562"/>
      <c r="M130" s="562"/>
      <c r="N130" s="562"/>
      <c r="O130" s="562"/>
      <c r="P130" s="562"/>
      <c r="Q130" s="562"/>
      <c r="R130" s="562"/>
      <c r="S130" s="562"/>
      <c r="T130" s="562"/>
      <c r="U130" s="562"/>
      <c r="V130" s="562"/>
      <c r="W130" s="562"/>
      <c r="X130" s="562"/>
      <c r="Y130" s="562"/>
      <c r="Z130" s="562"/>
      <c r="AA130" s="562"/>
      <c r="AB130" s="562"/>
      <c r="AC130" s="562"/>
      <c r="AD130" s="562"/>
      <c r="AE130" s="562"/>
      <c r="AF130" s="562"/>
      <c r="AG130" s="562"/>
      <c r="AH130" s="562"/>
      <c r="AI130" s="562"/>
      <c r="AJ130" s="562"/>
      <c r="AK130" s="562"/>
      <c r="AL130" s="562"/>
      <c r="AM130" s="562"/>
      <c r="AN130" s="562"/>
      <c r="AO130" s="562"/>
      <c r="AP130" s="562"/>
      <c r="AQ130" s="562"/>
      <c r="AR130" s="562"/>
      <c r="AS130" s="562"/>
      <c r="AT130" s="562"/>
      <c r="AU130" s="562"/>
      <c r="AV130" s="562"/>
      <c r="AW130" s="562"/>
      <c r="AX130" s="562"/>
      <c r="AY130" s="562"/>
      <c r="AZ130" s="562"/>
      <c r="BA130" s="562"/>
      <c r="BB130" s="562"/>
      <c r="BC130" s="562"/>
      <c r="BD130" s="562"/>
      <c r="BE130" s="562"/>
      <c r="BF130" s="562"/>
      <c r="BG130" s="562"/>
      <c r="BH130" s="562"/>
      <c r="BI130" s="562"/>
      <c r="BJ130" s="562"/>
      <c r="BK130" s="562"/>
      <c r="BL130" s="562"/>
      <c r="BM130" s="562"/>
      <c r="BN130" s="562"/>
      <c r="BO130" s="562"/>
      <c r="BP130" s="562"/>
      <c r="BQ130" s="562"/>
      <c r="BR130" s="562"/>
      <c r="BS130" s="562"/>
      <c r="BT130" s="562"/>
      <c r="BU130" s="562"/>
      <c r="BV130" s="562"/>
      <c r="BW130" s="562"/>
      <c r="BX130" s="562"/>
      <c r="BY130" s="562"/>
      <c r="BZ130" s="562"/>
      <c r="CA130" s="562"/>
      <c r="CB130" s="562"/>
      <c r="CC130" s="562"/>
      <c r="CD130" s="562"/>
      <c r="CE130" s="562"/>
      <c r="CF130" s="562"/>
      <c r="CG130" s="562"/>
      <c r="CH130" s="562"/>
      <c r="CI130" s="562"/>
      <c r="CJ130" s="562"/>
      <c r="CK130" s="562"/>
      <c r="CL130" s="562"/>
      <c r="CM130" s="562"/>
      <c r="CN130" s="562"/>
      <c r="CO130" s="562"/>
      <c r="CP130" s="562"/>
      <c r="CQ130" s="562"/>
      <c r="CR130" s="562"/>
      <c r="CS130" s="562"/>
      <c r="CT130" s="562"/>
      <c r="CU130" s="562"/>
      <c r="CV130" s="562"/>
      <c r="CW130" s="562"/>
      <c r="CX130" s="562"/>
      <c r="CY130" s="562"/>
      <c r="CZ130" s="562"/>
      <c r="DA130" s="562"/>
      <c r="DB130" s="562"/>
      <c r="DC130" s="562"/>
    </row>
    <row r="131" spans="1:107" x14ac:dyDescent="0.2">
      <c r="A131" s="562"/>
      <c r="B131" s="562"/>
      <c r="C131" s="562"/>
      <c r="D131" s="562"/>
      <c r="E131" s="562"/>
      <c r="F131" s="562"/>
      <c r="G131" s="562"/>
      <c r="H131" s="562"/>
      <c r="I131" s="562"/>
      <c r="J131" s="562"/>
      <c r="K131" s="562"/>
      <c r="L131" s="562"/>
      <c r="M131" s="562"/>
      <c r="N131" s="562"/>
      <c r="O131" s="562"/>
      <c r="P131" s="562"/>
      <c r="Q131" s="562"/>
      <c r="R131" s="562"/>
      <c r="S131" s="562"/>
      <c r="T131" s="562"/>
      <c r="U131" s="562"/>
      <c r="V131" s="562"/>
      <c r="W131" s="562"/>
      <c r="X131" s="562"/>
      <c r="Y131" s="562"/>
      <c r="Z131" s="562"/>
      <c r="AA131" s="562"/>
      <c r="AB131" s="562"/>
      <c r="AC131" s="562"/>
      <c r="AD131" s="562"/>
      <c r="AE131" s="562"/>
      <c r="AF131" s="562"/>
      <c r="AG131" s="562"/>
      <c r="AH131" s="562"/>
      <c r="AI131" s="562"/>
      <c r="AJ131" s="562"/>
      <c r="AK131" s="562"/>
      <c r="AL131" s="562"/>
      <c r="AM131" s="562"/>
      <c r="AN131" s="562"/>
      <c r="AO131" s="562"/>
      <c r="AP131" s="562"/>
      <c r="AQ131" s="562"/>
      <c r="AR131" s="562"/>
      <c r="AS131" s="562"/>
      <c r="AT131" s="562"/>
      <c r="AU131" s="562"/>
      <c r="AV131" s="562"/>
      <c r="AW131" s="562"/>
      <c r="AX131" s="562"/>
      <c r="AY131" s="562"/>
      <c r="AZ131" s="562"/>
      <c r="BA131" s="562"/>
      <c r="BB131" s="562"/>
      <c r="BC131" s="562"/>
      <c r="BD131" s="562"/>
      <c r="BE131" s="562"/>
      <c r="BF131" s="562"/>
      <c r="BG131" s="562"/>
      <c r="BH131" s="562"/>
      <c r="BI131" s="562"/>
      <c r="BJ131" s="562"/>
      <c r="BK131" s="562"/>
      <c r="BL131" s="562"/>
      <c r="BM131" s="562"/>
      <c r="BN131" s="562"/>
      <c r="BO131" s="562"/>
      <c r="BP131" s="562"/>
      <c r="BQ131" s="562"/>
      <c r="BR131" s="562"/>
      <c r="BS131" s="562"/>
      <c r="BT131" s="562"/>
      <c r="BU131" s="562"/>
      <c r="BV131" s="562"/>
      <c r="BW131" s="562"/>
      <c r="BX131" s="562"/>
      <c r="BY131" s="562"/>
      <c r="BZ131" s="562"/>
      <c r="CA131" s="562"/>
      <c r="CB131" s="562"/>
      <c r="CC131" s="562"/>
      <c r="CD131" s="562"/>
      <c r="CE131" s="562"/>
      <c r="CF131" s="562"/>
      <c r="CG131" s="562"/>
      <c r="CH131" s="562"/>
      <c r="CI131" s="562"/>
      <c r="CJ131" s="562"/>
      <c r="CK131" s="562"/>
      <c r="CL131" s="562"/>
      <c r="CM131" s="562"/>
      <c r="CN131" s="562"/>
      <c r="CO131" s="562"/>
      <c r="CP131" s="562"/>
      <c r="CQ131" s="562"/>
      <c r="CR131" s="562"/>
      <c r="CS131" s="562"/>
      <c r="CT131" s="562"/>
      <c r="CU131" s="562"/>
      <c r="CV131" s="562"/>
      <c r="CW131" s="562"/>
      <c r="CX131" s="562"/>
      <c r="CY131" s="562"/>
      <c r="CZ131" s="562"/>
      <c r="DA131" s="562"/>
      <c r="DB131" s="562"/>
      <c r="DC131" s="562"/>
    </row>
    <row r="132" spans="1:107" x14ac:dyDescent="0.2">
      <c r="A132" s="562"/>
      <c r="B132" s="562"/>
      <c r="C132" s="562"/>
      <c r="D132" s="562"/>
      <c r="E132" s="562"/>
      <c r="F132" s="562"/>
      <c r="G132" s="562"/>
      <c r="H132" s="562"/>
      <c r="I132" s="562"/>
      <c r="J132" s="562"/>
      <c r="K132" s="562"/>
      <c r="L132" s="562"/>
      <c r="M132" s="562"/>
      <c r="N132" s="562"/>
      <c r="O132" s="562"/>
      <c r="P132" s="562"/>
      <c r="Q132" s="562"/>
      <c r="R132" s="562"/>
      <c r="S132" s="562"/>
      <c r="T132" s="562"/>
      <c r="U132" s="562"/>
      <c r="V132" s="562"/>
      <c r="W132" s="562"/>
      <c r="X132" s="562"/>
      <c r="Y132" s="562"/>
      <c r="Z132" s="562"/>
      <c r="AA132" s="562"/>
      <c r="AB132" s="562"/>
      <c r="AC132" s="562"/>
      <c r="AD132" s="562"/>
      <c r="AE132" s="562"/>
      <c r="AF132" s="562"/>
      <c r="AG132" s="562"/>
      <c r="AH132" s="562"/>
      <c r="AI132" s="562"/>
      <c r="AJ132" s="562"/>
      <c r="AK132" s="562"/>
      <c r="AL132" s="562"/>
      <c r="AM132" s="562"/>
      <c r="AN132" s="562"/>
      <c r="AO132" s="562"/>
      <c r="AP132" s="562"/>
      <c r="AQ132" s="562"/>
      <c r="AR132" s="562"/>
      <c r="AS132" s="562"/>
      <c r="AT132" s="562"/>
      <c r="AU132" s="562"/>
      <c r="AV132" s="562"/>
      <c r="AW132" s="562"/>
      <c r="AX132" s="562"/>
      <c r="AY132" s="562"/>
      <c r="AZ132" s="562"/>
      <c r="BA132" s="562"/>
      <c r="BB132" s="562"/>
      <c r="BC132" s="562"/>
      <c r="BD132" s="562"/>
      <c r="BE132" s="562"/>
      <c r="BF132" s="562"/>
      <c r="BG132" s="562"/>
      <c r="BH132" s="562"/>
      <c r="BI132" s="562"/>
      <c r="BJ132" s="562"/>
      <c r="BK132" s="562"/>
      <c r="BL132" s="562"/>
      <c r="BM132" s="562"/>
      <c r="BN132" s="562"/>
      <c r="BO132" s="562"/>
      <c r="BP132" s="562"/>
      <c r="BQ132" s="562"/>
      <c r="BR132" s="562"/>
      <c r="BS132" s="562"/>
      <c r="BT132" s="562"/>
      <c r="BU132" s="562"/>
      <c r="BV132" s="562"/>
      <c r="BW132" s="562"/>
      <c r="BX132" s="562"/>
      <c r="BY132" s="562"/>
      <c r="BZ132" s="562"/>
      <c r="CA132" s="562"/>
      <c r="CB132" s="562"/>
      <c r="CC132" s="562"/>
      <c r="CD132" s="562"/>
      <c r="CE132" s="562"/>
      <c r="CF132" s="562"/>
      <c r="CG132" s="562"/>
      <c r="CH132" s="562"/>
      <c r="CI132" s="562"/>
      <c r="CJ132" s="562"/>
      <c r="CK132" s="562"/>
      <c r="CL132" s="562"/>
      <c r="CM132" s="562"/>
      <c r="CN132" s="562"/>
      <c r="CO132" s="562"/>
      <c r="CP132" s="562"/>
      <c r="CQ132" s="562"/>
      <c r="CR132" s="562"/>
      <c r="CS132" s="562"/>
      <c r="CT132" s="562"/>
      <c r="CU132" s="562"/>
      <c r="CV132" s="562"/>
      <c r="CW132" s="562"/>
      <c r="CX132" s="562"/>
      <c r="CY132" s="562"/>
      <c r="CZ132" s="562"/>
      <c r="DA132" s="562"/>
      <c r="DB132" s="562"/>
      <c r="DC132" s="562"/>
    </row>
    <row r="133" spans="1:107" x14ac:dyDescent="0.2">
      <c r="A133" s="562"/>
      <c r="B133" s="562"/>
      <c r="C133" s="562"/>
      <c r="D133" s="562"/>
      <c r="E133" s="562"/>
      <c r="F133" s="562"/>
      <c r="G133" s="562"/>
      <c r="H133" s="562"/>
      <c r="I133" s="562"/>
      <c r="J133" s="562"/>
      <c r="K133" s="562"/>
      <c r="L133" s="562"/>
      <c r="M133" s="562"/>
      <c r="N133" s="562"/>
      <c r="O133" s="562"/>
      <c r="P133" s="562"/>
      <c r="Q133" s="562"/>
      <c r="R133" s="562"/>
      <c r="S133" s="562"/>
      <c r="T133" s="562"/>
      <c r="U133" s="562"/>
      <c r="V133" s="562"/>
      <c r="W133" s="562"/>
      <c r="X133" s="562"/>
      <c r="Y133" s="562"/>
      <c r="Z133" s="562"/>
      <c r="AA133" s="562"/>
      <c r="AB133" s="562"/>
      <c r="AC133" s="562"/>
      <c r="AD133" s="562"/>
      <c r="AE133" s="562"/>
      <c r="AF133" s="562"/>
      <c r="AG133" s="562"/>
      <c r="AH133" s="562"/>
      <c r="AI133" s="562"/>
      <c r="AJ133" s="562"/>
      <c r="AK133" s="562"/>
      <c r="AL133" s="562"/>
      <c r="AM133" s="562"/>
      <c r="AN133" s="562"/>
      <c r="AO133" s="562"/>
      <c r="AP133" s="562"/>
      <c r="AQ133" s="562"/>
      <c r="AR133" s="562"/>
      <c r="AS133" s="562"/>
      <c r="AT133" s="562"/>
      <c r="AU133" s="562"/>
      <c r="AV133" s="562"/>
      <c r="AW133" s="562"/>
      <c r="AX133" s="562"/>
      <c r="AY133" s="562"/>
      <c r="AZ133" s="562"/>
      <c r="BA133" s="562"/>
      <c r="BB133" s="562"/>
      <c r="BC133" s="562"/>
      <c r="BD133" s="562"/>
      <c r="BE133" s="562"/>
      <c r="BF133" s="562"/>
      <c r="BG133" s="562"/>
      <c r="BH133" s="562"/>
      <c r="BI133" s="562"/>
      <c r="BJ133" s="562"/>
      <c r="BK133" s="562"/>
      <c r="BL133" s="562"/>
      <c r="BM133" s="562"/>
      <c r="BN133" s="562"/>
      <c r="BO133" s="562"/>
      <c r="BP133" s="562"/>
      <c r="BQ133" s="562"/>
      <c r="BR133" s="562"/>
      <c r="BS133" s="562"/>
      <c r="BT133" s="562"/>
      <c r="BU133" s="562"/>
      <c r="BV133" s="562"/>
      <c r="BW133" s="562"/>
      <c r="BX133" s="562"/>
      <c r="BY133" s="562"/>
      <c r="BZ133" s="562"/>
      <c r="CA133" s="562"/>
      <c r="CB133" s="562"/>
      <c r="CC133" s="562"/>
      <c r="CD133" s="562"/>
      <c r="CE133" s="562"/>
      <c r="CF133" s="562"/>
      <c r="CG133" s="562"/>
      <c r="CH133" s="562"/>
      <c r="CI133" s="562"/>
      <c r="CJ133" s="562"/>
      <c r="CK133" s="562"/>
      <c r="CL133" s="562"/>
      <c r="CM133" s="562"/>
      <c r="CN133" s="562"/>
      <c r="CO133" s="562"/>
      <c r="CP133" s="562"/>
      <c r="CQ133" s="562"/>
      <c r="CR133" s="562"/>
      <c r="CS133" s="562"/>
      <c r="CT133" s="562"/>
      <c r="CU133" s="562"/>
      <c r="CV133" s="562"/>
      <c r="CW133" s="562"/>
      <c r="CX133" s="562"/>
      <c r="CY133" s="562"/>
      <c r="CZ133" s="562"/>
      <c r="DA133" s="562"/>
      <c r="DB133" s="562"/>
      <c r="DC133" s="562"/>
    </row>
    <row r="134" spans="1:107" x14ac:dyDescent="0.2">
      <c r="A134" s="562"/>
      <c r="B134" s="562"/>
      <c r="C134" s="562"/>
      <c r="D134" s="562"/>
      <c r="E134" s="562"/>
      <c r="F134" s="562"/>
      <c r="G134" s="562"/>
      <c r="H134" s="562"/>
      <c r="I134" s="562"/>
      <c r="J134" s="562"/>
      <c r="K134" s="562"/>
      <c r="L134" s="562"/>
      <c r="M134" s="562"/>
      <c r="N134" s="562"/>
      <c r="O134" s="562"/>
      <c r="P134" s="562"/>
      <c r="Q134" s="562"/>
      <c r="R134" s="562"/>
      <c r="S134" s="562"/>
      <c r="T134" s="562"/>
      <c r="U134" s="562"/>
      <c r="V134" s="562"/>
      <c r="W134" s="562"/>
      <c r="X134" s="562"/>
      <c r="Y134" s="562"/>
      <c r="Z134" s="562"/>
      <c r="AA134" s="562"/>
      <c r="AB134" s="562"/>
      <c r="AC134" s="562"/>
      <c r="AD134" s="562"/>
      <c r="AE134" s="562"/>
      <c r="AF134" s="562"/>
      <c r="AG134" s="562"/>
      <c r="AH134" s="562"/>
      <c r="AI134" s="562"/>
      <c r="AJ134" s="562"/>
      <c r="AK134" s="562"/>
      <c r="AL134" s="562"/>
      <c r="AM134" s="562"/>
      <c r="AN134" s="562"/>
      <c r="AO134" s="562"/>
      <c r="AP134" s="562"/>
      <c r="AQ134" s="562"/>
      <c r="AR134" s="562"/>
      <c r="AS134" s="562"/>
      <c r="AT134" s="562"/>
      <c r="AU134" s="562"/>
      <c r="AV134" s="562"/>
      <c r="AW134" s="562"/>
      <c r="AX134" s="562"/>
      <c r="AY134" s="562"/>
      <c r="AZ134" s="562"/>
      <c r="BA134" s="562"/>
      <c r="BB134" s="562"/>
      <c r="BC134" s="562"/>
      <c r="BD134" s="562"/>
      <c r="BE134" s="562"/>
      <c r="BF134" s="562"/>
      <c r="BG134" s="562"/>
      <c r="BH134" s="562"/>
      <c r="BI134" s="562"/>
      <c r="BJ134" s="562"/>
      <c r="BK134" s="562"/>
      <c r="BL134" s="562"/>
      <c r="BM134" s="562"/>
      <c r="BN134" s="562"/>
      <c r="BO134" s="562"/>
      <c r="BP134" s="562"/>
      <c r="BQ134" s="562"/>
      <c r="BR134" s="562"/>
      <c r="BS134" s="562"/>
      <c r="BT134" s="562"/>
      <c r="BU134" s="562"/>
      <c r="BV134" s="562"/>
      <c r="BW134" s="562"/>
      <c r="BX134" s="562"/>
      <c r="BY134" s="562"/>
      <c r="BZ134" s="562"/>
      <c r="CA134" s="562"/>
      <c r="CB134" s="562"/>
      <c r="CC134" s="562"/>
      <c r="CD134" s="562"/>
      <c r="CE134" s="562"/>
      <c r="CF134" s="562"/>
      <c r="CG134" s="562"/>
      <c r="CH134" s="562"/>
      <c r="CI134" s="562"/>
      <c r="CJ134" s="562"/>
      <c r="CK134" s="562"/>
      <c r="CL134" s="562"/>
      <c r="CM134" s="562"/>
      <c r="CN134" s="562"/>
      <c r="CO134" s="562"/>
      <c r="CP134" s="562"/>
      <c r="CQ134" s="562"/>
      <c r="CR134" s="562"/>
      <c r="CS134" s="562"/>
      <c r="CT134" s="562"/>
      <c r="CU134" s="562"/>
      <c r="CV134" s="562"/>
      <c r="CW134" s="562"/>
      <c r="CX134" s="562"/>
      <c r="CY134" s="562"/>
      <c r="CZ134" s="562"/>
      <c r="DA134" s="562"/>
      <c r="DB134" s="562"/>
      <c r="DC134" s="562"/>
    </row>
    <row r="135" spans="1:107" x14ac:dyDescent="0.2">
      <c r="A135" s="562"/>
      <c r="B135" s="562"/>
      <c r="C135" s="562"/>
      <c r="D135" s="562"/>
      <c r="E135" s="562"/>
      <c r="F135" s="562"/>
      <c r="G135" s="562"/>
      <c r="H135" s="562"/>
      <c r="I135" s="562"/>
      <c r="J135" s="562"/>
      <c r="K135" s="562"/>
      <c r="L135" s="562"/>
      <c r="M135" s="562"/>
      <c r="N135" s="562"/>
      <c r="O135" s="562"/>
      <c r="P135" s="562"/>
      <c r="Q135" s="562"/>
      <c r="R135" s="562"/>
      <c r="S135" s="562"/>
      <c r="T135" s="562"/>
      <c r="U135" s="562"/>
      <c r="V135" s="562"/>
      <c r="W135" s="562"/>
      <c r="X135" s="562"/>
      <c r="Y135" s="562"/>
      <c r="Z135" s="562"/>
      <c r="AA135" s="562"/>
      <c r="AB135" s="562"/>
      <c r="AC135" s="562"/>
      <c r="AD135" s="562"/>
      <c r="AE135" s="562"/>
      <c r="AF135" s="562"/>
      <c r="AG135" s="562"/>
      <c r="AH135" s="562"/>
      <c r="AI135" s="562"/>
      <c r="AJ135" s="562"/>
      <c r="AK135" s="562"/>
      <c r="AL135" s="562"/>
      <c r="AM135" s="562"/>
      <c r="AN135" s="562"/>
      <c r="AO135" s="562"/>
      <c r="AP135" s="562"/>
      <c r="AQ135" s="562"/>
      <c r="AR135" s="562"/>
      <c r="AS135" s="562"/>
      <c r="AT135" s="562"/>
      <c r="AU135" s="562"/>
      <c r="AV135" s="562"/>
      <c r="AW135" s="562"/>
      <c r="AX135" s="562"/>
      <c r="AY135" s="562"/>
      <c r="AZ135" s="562"/>
      <c r="BA135" s="562"/>
      <c r="BB135" s="562"/>
      <c r="BC135" s="562"/>
      <c r="BD135" s="562"/>
      <c r="BE135" s="562"/>
      <c r="BF135" s="562"/>
      <c r="BG135" s="562"/>
      <c r="BH135" s="562"/>
      <c r="BI135" s="562"/>
      <c r="BJ135" s="562"/>
      <c r="BK135" s="562"/>
      <c r="BL135" s="562"/>
      <c r="BM135" s="562"/>
      <c r="BN135" s="562"/>
      <c r="BO135" s="562"/>
      <c r="BP135" s="562"/>
      <c r="BQ135" s="562"/>
      <c r="BR135" s="562"/>
      <c r="BS135" s="562"/>
      <c r="BT135" s="562"/>
      <c r="BU135" s="562"/>
      <c r="BV135" s="562"/>
      <c r="BW135" s="562"/>
      <c r="BX135" s="562"/>
      <c r="BY135" s="562"/>
      <c r="BZ135" s="562"/>
      <c r="CA135" s="562"/>
      <c r="CB135" s="562"/>
      <c r="CC135" s="562"/>
      <c r="CD135" s="562"/>
      <c r="CE135" s="562"/>
      <c r="CF135" s="562"/>
      <c r="CG135" s="562"/>
      <c r="CH135" s="562"/>
      <c r="CI135" s="562"/>
      <c r="CJ135" s="562"/>
      <c r="CK135" s="562"/>
      <c r="CL135" s="562"/>
      <c r="CM135" s="562"/>
      <c r="CN135" s="562"/>
      <c r="CO135" s="562"/>
      <c r="CP135" s="562"/>
      <c r="CQ135" s="562"/>
      <c r="CR135" s="562"/>
      <c r="CS135" s="562"/>
      <c r="CT135" s="562"/>
      <c r="CU135" s="562"/>
      <c r="CV135" s="562"/>
      <c r="CW135" s="562"/>
      <c r="CX135" s="562"/>
      <c r="CY135" s="562"/>
      <c r="CZ135" s="562"/>
      <c r="DA135" s="562"/>
      <c r="DB135" s="562"/>
      <c r="DC135" s="562"/>
    </row>
    <row r="136" spans="1:107" x14ac:dyDescent="0.2">
      <c r="A136" s="562"/>
      <c r="B136" s="562"/>
      <c r="C136" s="562"/>
      <c r="D136" s="562"/>
      <c r="E136" s="562"/>
      <c r="F136" s="562"/>
      <c r="G136" s="562"/>
      <c r="H136" s="562"/>
      <c r="I136" s="562"/>
      <c r="J136" s="562"/>
      <c r="K136" s="562"/>
      <c r="L136" s="562"/>
      <c r="M136" s="562"/>
      <c r="N136" s="562"/>
      <c r="O136" s="562"/>
      <c r="P136" s="562"/>
      <c r="Q136" s="562"/>
      <c r="R136" s="562"/>
      <c r="S136" s="562"/>
      <c r="T136" s="562"/>
      <c r="U136" s="562"/>
      <c r="V136" s="562"/>
      <c r="W136" s="562"/>
      <c r="X136" s="562"/>
      <c r="Y136" s="562"/>
      <c r="Z136" s="562"/>
      <c r="AA136" s="562"/>
      <c r="AB136" s="562"/>
      <c r="AC136" s="562"/>
      <c r="AD136" s="562"/>
      <c r="AE136" s="562"/>
      <c r="AF136" s="562"/>
      <c r="AG136" s="562"/>
      <c r="AH136" s="562"/>
      <c r="AI136" s="562"/>
      <c r="AJ136" s="562"/>
      <c r="AK136" s="562"/>
      <c r="AL136" s="562"/>
      <c r="AM136" s="562"/>
      <c r="AN136" s="562"/>
      <c r="AO136" s="562"/>
      <c r="AP136" s="562"/>
      <c r="AQ136" s="562"/>
      <c r="AR136" s="562"/>
      <c r="AS136" s="562"/>
      <c r="AT136" s="562"/>
      <c r="AU136" s="562"/>
      <c r="AV136" s="562"/>
      <c r="AW136" s="562"/>
      <c r="AX136" s="562"/>
      <c r="AY136" s="562"/>
      <c r="AZ136" s="562"/>
      <c r="BA136" s="562"/>
      <c r="BB136" s="562"/>
      <c r="BC136" s="562"/>
      <c r="BD136" s="562"/>
      <c r="BE136" s="562"/>
      <c r="BF136" s="562"/>
      <c r="BG136" s="562"/>
      <c r="BH136" s="562"/>
      <c r="BI136" s="562"/>
      <c r="BJ136" s="562"/>
      <c r="BK136" s="562"/>
      <c r="BL136" s="562"/>
      <c r="BM136" s="562"/>
      <c r="BN136" s="562"/>
      <c r="BO136" s="562"/>
      <c r="BP136" s="562"/>
      <c r="BQ136" s="562"/>
      <c r="BR136" s="562"/>
      <c r="BS136" s="562"/>
      <c r="BT136" s="562"/>
      <c r="BU136" s="562"/>
      <c r="BV136" s="562"/>
      <c r="BW136" s="562"/>
      <c r="BX136" s="562"/>
      <c r="BY136" s="562"/>
      <c r="BZ136" s="562"/>
      <c r="CA136" s="562"/>
      <c r="CB136" s="562"/>
      <c r="CC136" s="562"/>
      <c r="CD136" s="562"/>
      <c r="CE136" s="562"/>
      <c r="CF136" s="562"/>
      <c r="CG136" s="562"/>
      <c r="CH136" s="562"/>
      <c r="CI136" s="562"/>
      <c r="CJ136" s="562"/>
      <c r="CK136" s="562"/>
      <c r="CL136" s="562"/>
      <c r="CM136" s="562"/>
      <c r="CN136" s="562"/>
      <c r="CO136" s="562"/>
      <c r="CP136" s="562"/>
      <c r="CQ136" s="562"/>
      <c r="CR136" s="562"/>
      <c r="CS136" s="562"/>
      <c r="CT136" s="562"/>
      <c r="CU136" s="562"/>
      <c r="CV136" s="562"/>
      <c r="CW136" s="562"/>
      <c r="CX136" s="562"/>
      <c r="CY136" s="562"/>
      <c r="CZ136" s="562"/>
      <c r="DA136" s="562"/>
      <c r="DB136" s="562"/>
      <c r="DC136" s="562"/>
    </row>
    <row r="137" spans="1:107" x14ac:dyDescent="0.2">
      <c r="A137" s="562"/>
      <c r="B137" s="562"/>
      <c r="C137" s="562"/>
      <c r="D137" s="562"/>
      <c r="E137" s="562"/>
      <c r="F137" s="562"/>
      <c r="G137" s="562"/>
      <c r="H137" s="562"/>
      <c r="I137" s="562"/>
      <c r="J137" s="562"/>
      <c r="K137" s="562"/>
      <c r="L137" s="562"/>
      <c r="M137" s="562"/>
      <c r="N137" s="562"/>
      <c r="O137" s="562"/>
      <c r="P137" s="562"/>
      <c r="Q137" s="562"/>
      <c r="R137" s="562"/>
      <c r="S137" s="562"/>
      <c r="T137" s="562"/>
      <c r="U137" s="562"/>
      <c r="V137" s="562"/>
      <c r="W137" s="562"/>
      <c r="X137" s="562"/>
      <c r="Y137" s="562"/>
      <c r="Z137" s="562"/>
      <c r="AA137" s="562"/>
      <c r="AB137" s="562"/>
      <c r="AC137" s="562"/>
      <c r="AD137" s="562"/>
      <c r="AE137" s="562"/>
      <c r="AF137" s="562"/>
      <c r="AG137" s="562"/>
      <c r="AH137" s="562"/>
      <c r="AI137" s="562"/>
      <c r="AJ137" s="562"/>
      <c r="AK137" s="562"/>
      <c r="AL137" s="562"/>
      <c r="AM137" s="562"/>
      <c r="AN137" s="562"/>
      <c r="AO137" s="562"/>
      <c r="AP137" s="562"/>
      <c r="AQ137" s="562"/>
      <c r="AR137" s="562"/>
      <c r="AS137" s="562"/>
      <c r="AT137" s="562"/>
      <c r="AU137" s="562"/>
      <c r="AV137" s="562"/>
      <c r="AW137" s="562"/>
      <c r="AX137" s="562"/>
      <c r="AY137" s="562"/>
      <c r="AZ137" s="562"/>
      <c r="BA137" s="562"/>
      <c r="BB137" s="562"/>
      <c r="BC137" s="562"/>
      <c r="BD137" s="562"/>
      <c r="BE137" s="562"/>
      <c r="BF137" s="562"/>
      <c r="BG137" s="562"/>
      <c r="BH137" s="562"/>
      <c r="BI137" s="562"/>
      <c r="BJ137" s="562"/>
      <c r="BK137" s="562"/>
      <c r="BL137" s="562"/>
      <c r="BM137" s="562"/>
      <c r="BN137" s="562"/>
      <c r="BO137" s="562"/>
      <c r="BP137" s="562"/>
      <c r="BQ137" s="562"/>
      <c r="BR137" s="562"/>
      <c r="BS137" s="562"/>
      <c r="BT137" s="562"/>
      <c r="BU137" s="562"/>
      <c r="BV137" s="562"/>
      <c r="BW137" s="562"/>
      <c r="BX137" s="562"/>
      <c r="BY137" s="562"/>
      <c r="BZ137" s="562"/>
      <c r="CA137" s="562"/>
      <c r="CB137" s="562"/>
      <c r="CC137" s="562"/>
      <c r="CD137" s="562"/>
      <c r="CE137" s="562"/>
      <c r="CF137" s="562"/>
      <c r="CG137" s="562"/>
      <c r="CH137" s="562"/>
      <c r="CI137" s="562"/>
      <c r="CJ137" s="562"/>
      <c r="CK137" s="562"/>
      <c r="CL137" s="562"/>
      <c r="CM137" s="562"/>
      <c r="CN137" s="562"/>
      <c r="CO137" s="562"/>
      <c r="CP137" s="562"/>
      <c r="CQ137" s="562"/>
      <c r="CR137" s="562"/>
      <c r="CS137" s="562"/>
      <c r="CT137" s="562"/>
      <c r="CU137" s="562"/>
      <c r="CV137" s="562"/>
      <c r="CW137" s="562"/>
      <c r="CX137" s="562"/>
      <c r="CY137" s="562"/>
      <c r="CZ137" s="562"/>
      <c r="DA137" s="562"/>
      <c r="DB137" s="562"/>
      <c r="DC137" s="562"/>
    </row>
    <row r="138" spans="1:107" x14ac:dyDescent="0.2">
      <c r="A138" s="562"/>
      <c r="B138" s="562"/>
      <c r="C138" s="562"/>
      <c r="D138" s="562"/>
      <c r="E138" s="562"/>
      <c r="F138" s="562"/>
      <c r="G138" s="562"/>
      <c r="H138" s="562"/>
      <c r="I138" s="562"/>
      <c r="J138" s="562"/>
      <c r="K138" s="562"/>
      <c r="L138" s="562"/>
      <c r="M138" s="562"/>
      <c r="N138" s="562"/>
      <c r="O138" s="562"/>
      <c r="P138" s="562"/>
      <c r="Q138" s="562"/>
      <c r="R138" s="562"/>
      <c r="S138" s="562"/>
      <c r="T138" s="562"/>
      <c r="U138" s="562"/>
      <c r="V138" s="562"/>
      <c r="W138" s="562"/>
      <c r="X138" s="562"/>
      <c r="Y138" s="562"/>
      <c r="Z138" s="562"/>
      <c r="AA138" s="562"/>
      <c r="AB138" s="562"/>
      <c r="AC138" s="562"/>
      <c r="AD138" s="562"/>
      <c r="AE138" s="562"/>
      <c r="AF138" s="562"/>
      <c r="AG138" s="562"/>
      <c r="AH138" s="562"/>
      <c r="AI138" s="562"/>
      <c r="AJ138" s="562"/>
      <c r="AK138" s="562"/>
      <c r="AL138" s="562"/>
      <c r="AM138" s="562"/>
      <c r="AN138" s="562"/>
      <c r="AO138" s="562"/>
      <c r="AP138" s="562"/>
      <c r="AQ138" s="562"/>
      <c r="AR138" s="562"/>
      <c r="AS138" s="562"/>
      <c r="AT138" s="562"/>
      <c r="AU138" s="562"/>
      <c r="AV138" s="562"/>
      <c r="AW138" s="562"/>
      <c r="AX138" s="562"/>
      <c r="AY138" s="562"/>
      <c r="AZ138" s="562"/>
      <c r="BA138" s="562"/>
      <c r="BB138" s="562"/>
      <c r="BC138" s="562"/>
      <c r="BD138" s="562"/>
      <c r="BE138" s="562"/>
      <c r="BF138" s="562"/>
      <c r="BG138" s="562"/>
      <c r="BH138" s="562"/>
      <c r="BI138" s="562"/>
      <c r="BJ138" s="562"/>
      <c r="BK138" s="562"/>
      <c r="BL138" s="562"/>
      <c r="BM138" s="562"/>
      <c r="BN138" s="562"/>
      <c r="BO138" s="562"/>
      <c r="BP138" s="562"/>
      <c r="BQ138" s="562"/>
      <c r="BR138" s="562"/>
      <c r="BS138" s="562"/>
      <c r="BT138" s="562"/>
      <c r="BU138" s="562"/>
      <c r="BV138" s="562"/>
      <c r="BW138" s="562"/>
      <c r="BX138" s="562"/>
      <c r="BY138" s="562"/>
      <c r="BZ138" s="562"/>
      <c r="CA138" s="562"/>
      <c r="CB138" s="562"/>
      <c r="CC138" s="562"/>
      <c r="CD138" s="562"/>
      <c r="CE138" s="562"/>
      <c r="CF138" s="562"/>
      <c r="CG138" s="562"/>
      <c r="CH138" s="562"/>
      <c r="CI138" s="562"/>
      <c r="CJ138" s="562"/>
      <c r="CK138" s="562"/>
      <c r="CL138" s="562"/>
      <c r="CM138" s="562"/>
      <c r="CN138" s="562"/>
      <c r="CO138" s="562"/>
      <c r="CP138" s="562"/>
      <c r="CQ138" s="562"/>
      <c r="CR138" s="562"/>
      <c r="CS138" s="562"/>
      <c r="CT138" s="562"/>
      <c r="CU138" s="562"/>
      <c r="CV138" s="562"/>
      <c r="CW138" s="562"/>
      <c r="CX138" s="562"/>
      <c r="CY138" s="562"/>
      <c r="CZ138" s="562"/>
      <c r="DA138" s="562"/>
      <c r="DB138" s="562"/>
      <c r="DC138" s="562"/>
    </row>
    <row r="139" spans="1:107" x14ac:dyDescent="0.2">
      <c r="A139" s="562"/>
      <c r="B139" s="562"/>
      <c r="C139" s="562"/>
      <c r="D139" s="562"/>
      <c r="E139" s="562"/>
      <c r="F139" s="562"/>
      <c r="G139" s="562"/>
      <c r="H139" s="562"/>
      <c r="I139" s="562"/>
      <c r="J139" s="562"/>
      <c r="K139" s="562"/>
      <c r="L139" s="562"/>
      <c r="M139" s="562"/>
      <c r="N139" s="562"/>
      <c r="O139" s="562"/>
      <c r="P139" s="562"/>
      <c r="Q139" s="562"/>
      <c r="R139" s="562"/>
      <c r="S139" s="562"/>
      <c r="T139" s="562"/>
      <c r="U139" s="562"/>
      <c r="V139" s="562"/>
      <c r="W139" s="562"/>
      <c r="X139" s="562"/>
      <c r="Y139" s="562"/>
      <c r="Z139" s="562"/>
      <c r="AA139" s="562"/>
      <c r="AB139" s="562"/>
      <c r="AC139" s="562"/>
      <c r="AD139" s="562"/>
      <c r="AE139" s="562"/>
      <c r="AF139" s="562"/>
      <c r="AG139" s="562"/>
      <c r="AH139" s="562"/>
      <c r="AI139" s="562"/>
      <c r="AJ139" s="562"/>
      <c r="AK139" s="562"/>
      <c r="AL139" s="562"/>
      <c r="AM139" s="562"/>
      <c r="AN139" s="562"/>
      <c r="AO139" s="562"/>
      <c r="AP139" s="562"/>
      <c r="AQ139" s="562"/>
      <c r="AR139" s="562"/>
      <c r="AS139" s="562"/>
      <c r="AT139" s="562"/>
      <c r="AU139" s="562"/>
      <c r="AV139" s="562"/>
      <c r="AW139" s="562"/>
      <c r="AX139" s="562"/>
      <c r="AY139" s="562"/>
      <c r="AZ139" s="562"/>
      <c r="BA139" s="562"/>
      <c r="BB139" s="562"/>
      <c r="BC139" s="562"/>
      <c r="BD139" s="562"/>
      <c r="BE139" s="562"/>
      <c r="BF139" s="562"/>
      <c r="BG139" s="562"/>
      <c r="BH139" s="562"/>
      <c r="BI139" s="562"/>
      <c r="BJ139" s="562"/>
      <c r="BK139" s="562"/>
      <c r="BL139" s="562"/>
      <c r="BM139" s="562"/>
      <c r="BN139" s="562"/>
      <c r="BO139" s="562"/>
      <c r="BP139" s="562"/>
      <c r="BQ139" s="562"/>
      <c r="BR139" s="562"/>
      <c r="BS139" s="562"/>
      <c r="BT139" s="562"/>
      <c r="BU139" s="562"/>
      <c r="BV139" s="562"/>
      <c r="BW139" s="562"/>
      <c r="BX139" s="562"/>
      <c r="BY139" s="562"/>
      <c r="BZ139" s="562"/>
      <c r="CA139" s="562"/>
      <c r="CB139" s="562"/>
      <c r="CC139" s="562"/>
      <c r="CD139" s="562"/>
      <c r="CE139" s="562"/>
      <c r="CF139" s="562"/>
      <c r="CG139" s="562"/>
      <c r="CH139" s="562"/>
      <c r="CI139" s="562"/>
      <c r="CJ139" s="562"/>
      <c r="CK139" s="562"/>
      <c r="CL139" s="562"/>
      <c r="CM139" s="562"/>
      <c r="CN139" s="562"/>
      <c r="CO139" s="562"/>
      <c r="CP139" s="562"/>
      <c r="CQ139" s="562"/>
      <c r="CR139" s="562"/>
      <c r="CS139" s="562"/>
      <c r="CT139" s="562"/>
      <c r="CU139" s="562"/>
      <c r="CV139" s="562"/>
      <c r="CW139" s="562"/>
      <c r="CX139" s="562"/>
      <c r="CY139" s="562"/>
      <c r="CZ139" s="562"/>
      <c r="DA139" s="562"/>
      <c r="DB139" s="562"/>
      <c r="DC139" s="562"/>
    </row>
    <row r="140" spans="1:107" x14ac:dyDescent="0.2">
      <c r="A140" s="562"/>
      <c r="B140" s="562"/>
      <c r="C140" s="562"/>
      <c r="D140" s="562"/>
      <c r="E140" s="562"/>
      <c r="F140" s="562"/>
      <c r="G140" s="562"/>
      <c r="H140" s="562"/>
      <c r="I140" s="562"/>
      <c r="J140" s="562"/>
      <c r="K140" s="562"/>
      <c r="L140" s="562"/>
      <c r="M140" s="562"/>
      <c r="N140" s="562"/>
      <c r="O140" s="562"/>
      <c r="P140" s="562"/>
      <c r="Q140" s="562"/>
      <c r="R140" s="562"/>
      <c r="S140" s="562"/>
      <c r="T140" s="562"/>
      <c r="U140" s="562"/>
      <c r="V140" s="562"/>
      <c r="W140" s="562"/>
      <c r="X140" s="562"/>
      <c r="Y140" s="562"/>
      <c r="Z140" s="562"/>
      <c r="AA140" s="562"/>
      <c r="AB140" s="562"/>
      <c r="AC140" s="562"/>
      <c r="AD140" s="562"/>
      <c r="AE140" s="562"/>
      <c r="AF140" s="562"/>
      <c r="AG140" s="562"/>
      <c r="AH140" s="562"/>
      <c r="AI140" s="562"/>
      <c r="AJ140" s="562"/>
      <c r="AK140" s="562"/>
      <c r="AL140" s="562"/>
      <c r="AM140" s="562"/>
      <c r="AN140" s="562"/>
      <c r="AO140" s="562"/>
      <c r="AP140" s="562"/>
      <c r="AQ140" s="562"/>
      <c r="AR140" s="562"/>
      <c r="AS140" s="562"/>
      <c r="AT140" s="562"/>
      <c r="AU140" s="562"/>
      <c r="AV140" s="562"/>
      <c r="AW140" s="562"/>
      <c r="AX140" s="562"/>
      <c r="AY140" s="562"/>
      <c r="AZ140" s="562"/>
      <c r="BA140" s="562"/>
      <c r="BB140" s="562"/>
      <c r="BC140" s="562"/>
      <c r="BD140" s="562"/>
      <c r="BE140" s="562"/>
      <c r="BF140" s="562"/>
      <c r="BG140" s="562"/>
      <c r="BH140" s="562"/>
      <c r="BI140" s="562"/>
      <c r="BJ140" s="562"/>
      <c r="BK140" s="562"/>
      <c r="BL140" s="562"/>
      <c r="BM140" s="562"/>
      <c r="BN140" s="562"/>
      <c r="BO140" s="562"/>
      <c r="BP140" s="562"/>
      <c r="BQ140" s="562"/>
      <c r="BR140" s="562"/>
      <c r="BS140" s="562"/>
      <c r="BT140" s="562"/>
      <c r="BU140" s="562"/>
      <c r="BV140" s="562"/>
      <c r="BW140" s="562"/>
      <c r="BX140" s="562"/>
      <c r="BY140" s="562"/>
      <c r="BZ140" s="562"/>
      <c r="CA140" s="562"/>
      <c r="CB140" s="562"/>
      <c r="CC140" s="562"/>
      <c r="CD140" s="562"/>
      <c r="CE140" s="562"/>
      <c r="CF140" s="562"/>
      <c r="CG140" s="562"/>
      <c r="CH140" s="562"/>
      <c r="CI140" s="562"/>
      <c r="CJ140" s="562"/>
      <c r="CK140" s="562"/>
      <c r="CL140" s="562"/>
      <c r="CM140" s="562"/>
      <c r="CN140" s="562"/>
      <c r="CO140" s="562"/>
      <c r="CP140" s="562"/>
      <c r="CQ140" s="562"/>
      <c r="CR140" s="562"/>
      <c r="CS140" s="562"/>
      <c r="CT140" s="562"/>
      <c r="CU140" s="562"/>
      <c r="CV140" s="562"/>
      <c r="CW140" s="562"/>
      <c r="CX140" s="562"/>
      <c r="CY140" s="562"/>
      <c r="CZ140" s="562"/>
      <c r="DA140" s="562"/>
      <c r="DB140" s="562"/>
      <c r="DC140" s="562"/>
    </row>
    <row r="141" spans="1:107" x14ac:dyDescent="0.2">
      <c r="A141" s="562"/>
      <c r="B141" s="562"/>
      <c r="C141" s="562"/>
      <c r="D141" s="562"/>
      <c r="E141" s="562"/>
      <c r="F141" s="562"/>
      <c r="G141" s="562"/>
      <c r="H141" s="562"/>
      <c r="I141" s="562"/>
      <c r="J141" s="562"/>
      <c r="K141" s="562"/>
      <c r="L141" s="562"/>
      <c r="M141" s="562"/>
      <c r="N141" s="562"/>
      <c r="O141" s="562"/>
      <c r="P141" s="562"/>
      <c r="Q141" s="562"/>
      <c r="R141" s="562"/>
      <c r="S141" s="562"/>
      <c r="T141" s="562"/>
      <c r="U141" s="562"/>
      <c r="V141" s="562"/>
      <c r="W141" s="562"/>
      <c r="X141" s="562"/>
      <c r="Y141" s="562"/>
      <c r="Z141" s="562"/>
      <c r="AA141" s="562"/>
      <c r="AB141" s="562"/>
      <c r="AC141" s="562"/>
      <c r="AD141" s="562"/>
      <c r="AE141" s="562"/>
      <c r="AF141" s="562"/>
      <c r="AG141" s="562"/>
      <c r="AH141" s="562"/>
      <c r="AI141" s="562"/>
      <c r="AJ141" s="562"/>
      <c r="AK141" s="562"/>
      <c r="AL141" s="562"/>
      <c r="AM141" s="562"/>
      <c r="AN141" s="562"/>
      <c r="AO141" s="562"/>
      <c r="AP141" s="562"/>
      <c r="AQ141" s="562"/>
      <c r="AR141" s="562"/>
      <c r="AS141" s="562"/>
      <c r="AT141" s="562"/>
      <c r="AU141" s="562"/>
      <c r="AV141" s="562"/>
      <c r="AW141" s="562"/>
      <c r="AX141" s="562"/>
      <c r="AY141" s="562"/>
      <c r="AZ141" s="562"/>
      <c r="BA141" s="562"/>
      <c r="BB141" s="562"/>
      <c r="BC141" s="562"/>
      <c r="BD141" s="562"/>
      <c r="BE141" s="562"/>
      <c r="BF141" s="562"/>
      <c r="BG141" s="562"/>
      <c r="BH141" s="562"/>
      <c r="BI141" s="562"/>
      <c r="BJ141" s="562"/>
      <c r="BK141" s="562"/>
      <c r="BL141" s="562"/>
      <c r="BM141" s="562"/>
      <c r="BN141" s="562"/>
      <c r="BO141" s="562"/>
      <c r="BP141" s="562"/>
      <c r="BQ141" s="562"/>
      <c r="BR141" s="562"/>
      <c r="BS141" s="562"/>
      <c r="BT141" s="562"/>
      <c r="BU141" s="562"/>
      <c r="BV141" s="562"/>
      <c r="BW141" s="562"/>
      <c r="BX141" s="562"/>
      <c r="BY141" s="562"/>
      <c r="BZ141" s="562"/>
      <c r="CA141" s="562"/>
      <c r="CB141" s="562"/>
      <c r="CC141" s="562"/>
      <c r="CD141" s="562"/>
      <c r="CE141" s="562"/>
      <c r="CF141" s="562"/>
      <c r="CG141" s="562"/>
      <c r="CH141" s="562"/>
      <c r="CI141" s="562"/>
      <c r="CJ141" s="562"/>
      <c r="CK141" s="562"/>
      <c r="CL141" s="562"/>
      <c r="CM141" s="562"/>
      <c r="CN141" s="562"/>
      <c r="CO141" s="562"/>
      <c r="CP141" s="562"/>
      <c r="CQ141" s="562"/>
      <c r="CR141" s="562"/>
      <c r="CS141" s="562"/>
      <c r="CT141" s="562"/>
      <c r="CU141" s="562"/>
      <c r="CV141" s="562"/>
      <c r="CW141" s="562"/>
      <c r="CX141" s="562"/>
      <c r="CY141" s="562"/>
      <c r="CZ141" s="562"/>
      <c r="DA141" s="562"/>
      <c r="DB141" s="562"/>
      <c r="DC141" s="562"/>
    </row>
    <row r="142" spans="1:107" x14ac:dyDescent="0.2">
      <c r="A142" s="562"/>
      <c r="B142" s="562"/>
      <c r="C142" s="562"/>
      <c r="D142" s="562"/>
      <c r="E142" s="562"/>
      <c r="F142" s="562"/>
      <c r="G142" s="562"/>
      <c r="H142" s="562"/>
      <c r="I142" s="562"/>
      <c r="J142" s="562"/>
      <c r="K142" s="562"/>
      <c r="L142" s="562"/>
      <c r="M142" s="562"/>
      <c r="N142" s="562"/>
      <c r="O142" s="562"/>
      <c r="P142" s="562"/>
      <c r="Q142" s="562"/>
      <c r="R142" s="562"/>
      <c r="S142" s="562"/>
      <c r="T142" s="562"/>
      <c r="U142" s="562"/>
      <c r="V142" s="562"/>
      <c r="W142" s="562"/>
      <c r="X142" s="562"/>
      <c r="Y142" s="562"/>
      <c r="Z142" s="562"/>
      <c r="AA142" s="562"/>
      <c r="AB142" s="562"/>
      <c r="AC142" s="562"/>
      <c r="AD142" s="562"/>
      <c r="AE142" s="562"/>
      <c r="AF142" s="562"/>
      <c r="AG142" s="562"/>
      <c r="AH142" s="562"/>
      <c r="AI142" s="562"/>
      <c r="AJ142" s="562"/>
      <c r="AK142" s="562"/>
      <c r="AL142" s="562"/>
      <c r="AM142" s="562"/>
      <c r="AN142" s="562"/>
      <c r="AO142" s="562"/>
      <c r="AP142" s="562"/>
      <c r="AQ142" s="562"/>
      <c r="AR142" s="562"/>
      <c r="AS142" s="562"/>
      <c r="AT142" s="562"/>
      <c r="AU142" s="562"/>
      <c r="AV142" s="562"/>
      <c r="AW142" s="562"/>
      <c r="AX142" s="562"/>
      <c r="AY142" s="562"/>
      <c r="AZ142" s="562"/>
      <c r="BA142" s="562"/>
      <c r="BB142" s="562"/>
      <c r="BC142" s="562"/>
      <c r="BD142" s="562"/>
      <c r="BE142" s="562"/>
      <c r="BF142" s="562"/>
      <c r="BG142" s="562"/>
      <c r="BH142" s="562"/>
      <c r="BI142" s="562"/>
      <c r="BJ142" s="562"/>
      <c r="BK142" s="562"/>
      <c r="BL142" s="562"/>
      <c r="BM142" s="562"/>
      <c r="BN142" s="562"/>
      <c r="BO142" s="562"/>
      <c r="BP142" s="562"/>
      <c r="BQ142" s="562"/>
      <c r="BR142" s="562"/>
      <c r="BS142" s="562"/>
      <c r="BT142" s="562"/>
      <c r="BU142" s="562"/>
      <c r="BV142" s="562"/>
      <c r="BW142" s="562"/>
      <c r="BX142" s="562"/>
      <c r="BY142" s="562"/>
      <c r="BZ142" s="562"/>
      <c r="CA142" s="562"/>
      <c r="CB142" s="562"/>
      <c r="CC142" s="562"/>
      <c r="CD142" s="562"/>
      <c r="CE142" s="562"/>
      <c r="CF142" s="562"/>
      <c r="CG142" s="562"/>
      <c r="CH142" s="562"/>
      <c r="CI142" s="562"/>
      <c r="CJ142" s="562"/>
      <c r="CK142" s="562"/>
      <c r="CL142" s="562"/>
      <c r="CM142" s="562"/>
      <c r="CN142" s="562"/>
      <c r="CO142" s="562"/>
      <c r="CP142" s="562"/>
      <c r="CQ142" s="562"/>
      <c r="CR142" s="562"/>
      <c r="CS142" s="562"/>
      <c r="CT142" s="562"/>
      <c r="CU142" s="562"/>
      <c r="CV142" s="562"/>
      <c r="CW142" s="562"/>
      <c r="CX142" s="562"/>
      <c r="CY142" s="562"/>
      <c r="CZ142" s="562"/>
      <c r="DA142" s="562"/>
      <c r="DB142" s="562"/>
      <c r="DC142" s="562"/>
    </row>
    <row r="143" spans="1:107" x14ac:dyDescent="0.2">
      <c r="A143" s="562"/>
      <c r="B143" s="562"/>
      <c r="C143" s="562"/>
      <c r="D143" s="562"/>
      <c r="E143" s="562"/>
      <c r="F143" s="562"/>
      <c r="G143" s="562"/>
      <c r="H143" s="562"/>
      <c r="I143" s="562"/>
      <c r="J143" s="562"/>
      <c r="K143" s="562"/>
      <c r="L143" s="562"/>
      <c r="M143" s="562"/>
      <c r="N143" s="562"/>
      <c r="O143" s="562"/>
      <c r="P143" s="562"/>
      <c r="Q143" s="562"/>
      <c r="R143" s="562"/>
      <c r="S143" s="562"/>
      <c r="T143" s="562"/>
      <c r="U143" s="562"/>
      <c r="V143" s="562"/>
      <c r="W143" s="562"/>
      <c r="X143" s="562"/>
      <c r="Y143" s="562"/>
      <c r="Z143" s="562"/>
      <c r="AA143" s="562"/>
      <c r="AB143" s="562"/>
      <c r="AC143" s="562"/>
      <c r="AD143" s="562"/>
      <c r="AE143" s="562"/>
      <c r="AF143" s="562"/>
      <c r="AG143" s="562"/>
      <c r="AH143" s="562"/>
      <c r="AI143" s="562"/>
      <c r="AJ143" s="562"/>
      <c r="AK143" s="562"/>
      <c r="AL143" s="562"/>
      <c r="AM143" s="562"/>
      <c r="AN143" s="562"/>
      <c r="AO143" s="562"/>
      <c r="AP143" s="562"/>
      <c r="AQ143" s="562"/>
      <c r="AR143" s="562"/>
      <c r="AS143" s="562"/>
      <c r="AT143" s="562"/>
      <c r="AU143" s="562"/>
      <c r="AV143" s="562"/>
      <c r="AW143" s="562"/>
      <c r="AX143" s="562"/>
      <c r="AY143" s="562"/>
      <c r="AZ143" s="562"/>
      <c r="BA143" s="562"/>
      <c r="BB143" s="562"/>
      <c r="BC143" s="562"/>
      <c r="BD143" s="562"/>
      <c r="BE143" s="562"/>
      <c r="BF143" s="562"/>
      <c r="BG143" s="562"/>
      <c r="BH143" s="562"/>
      <c r="BI143" s="562"/>
      <c r="BJ143" s="562"/>
      <c r="BK143" s="562"/>
      <c r="BL143" s="562"/>
      <c r="BM143" s="562"/>
      <c r="BN143" s="562"/>
      <c r="BO143" s="562"/>
      <c r="BP143" s="562"/>
      <c r="BQ143" s="562"/>
      <c r="BR143" s="562"/>
      <c r="BS143" s="562"/>
      <c r="BT143" s="562"/>
      <c r="BU143" s="562"/>
      <c r="BV143" s="562"/>
      <c r="BW143" s="562"/>
      <c r="BX143" s="562"/>
      <c r="BY143" s="562"/>
      <c r="BZ143" s="562"/>
      <c r="CA143" s="562"/>
      <c r="CB143" s="562"/>
      <c r="CC143" s="562"/>
      <c r="CD143" s="562"/>
      <c r="CE143" s="562"/>
      <c r="CF143" s="562"/>
      <c r="CG143" s="562"/>
      <c r="CH143" s="562"/>
      <c r="CI143" s="562"/>
      <c r="CJ143" s="562"/>
      <c r="CK143" s="562"/>
      <c r="CL143" s="562"/>
      <c r="CM143" s="562"/>
      <c r="CN143" s="562"/>
      <c r="CO143" s="562"/>
      <c r="CP143" s="562"/>
      <c r="CQ143" s="562"/>
      <c r="CR143" s="562"/>
      <c r="CS143" s="562"/>
      <c r="CT143" s="562"/>
      <c r="CU143" s="562"/>
      <c r="CV143" s="562"/>
      <c r="CW143" s="562"/>
      <c r="CX143" s="562"/>
      <c r="CY143" s="562"/>
      <c r="CZ143" s="562"/>
      <c r="DA143" s="562"/>
      <c r="DB143" s="562"/>
      <c r="DC143" s="562"/>
    </row>
    <row r="144" spans="1:107" x14ac:dyDescent="0.2">
      <c r="A144" s="562"/>
      <c r="B144" s="562"/>
      <c r="C144" s="562"/>
      <c r="D144" s="562"/>
      <c r="E144" s="562"/>
      <c r="F144" s="562"/>
      <c r="G144" s="562"/>
      <c r="H144" s="562"/>
      <c r="I144" s="562"/>
      <c r="J144" s="562"/>
      <c r="K144" s="562"/>
      <c r="L144" s="562"/>
      <c r="M144" s="562"/>
      <c r="N144" s="562"/>
      <c r="O144" s="562"/>
      <c r="P144" s="562"/>
      <c r="Q144" s="562"/>
      <c r="R144" s="562"/>
      <c r="S144" s="562"/>
      <c r="T144" s="562"/>
      <c r="U144" s="562"/>
      <c r="V144" s="562"/>
      <c r="W144" s="562"/>
      <c r="X144" s="562"/>
      <c r="Y144" s="562"/>
      <c r="Z144" s="562"/>
      <c r="AA144" s="562"/>
      <c r="AB144" s="562"/>
      <c r="AC144" s="562"/>
      <c r="AD144" s="562"/>
      <c r="AE144" s="562"/>
      <c r="AF144" s="562"/>
      <c r="AG144" s="562"/>
      <c r="AH144" s="562"/>
      <c r="AI144" s="562"/>
      <c r="AJ144" s="562"/>
      <c r="AK144" s="562"/>
      <c r="AL144" s="562"/>
      <c r="AM144" s="562"/>
      <c r="AN144" s="562"/>
      <c r="AO144" s="562"/>
      <c r="AP144" s="562"/>
      <c r="AQ144" s="562"/>
      <c r="AR144" s="562"/>
      <c r="AS144" s="562"/>
      <c r="AT144" s="562"/>
      <c r="AU144" s="562"/>
      <c r="AV144" s="562"/>
      <c r="AW144" s="562"/>
      <c r="AX144" s="562"/>
      <c r="AY144" s="562"/>
      <c r="AZ144" s="562"/>
      <c r="BA144" s="562"/>
      <c r="BB144" s="562"/>
      <c r="BC144" s="562"/>
      <c r="BD144" s="562"/>
      <c r="BE144" s="562"/>
      <c r="BF144" s="562"/>
      <c r="BG144" s="562"/>
      <c r="BH144" s="562"/>
      <c r="BI144" s="562"/>
      <c r="BJ144" s="562"/>
      <c r="BK144" s="562"/>
      <c r="BL144" s="562"/>
      <c r="BM144" s="562"/>
      <c r="BN144" s="562"/>
      <c r="BO144" s="562"/>
      <c r="BP144" s="562"/>
      <c r="BQ144" s="562"/>
      <c r="BR144" s="562"/>
      <c r="BS144" s="562"/>
      <c r="BT144" s="562"/>
      <c r="BU144" s="562"/>
      <c r="BV144" s="562"/>
      <c r="BW144" s="562"/>
      <c r="BX144" s="562"/>
      <c r="BY144" s="562"/>
      <c r="BZ144" s="562"/>
      <c r="CA144" s="562"/>
      <c r="CB144" s="562"/>
      <c r="CC144" s="562"/>
      <c r="CD144" s="562"/>
      <c r="CE144" s="562"/>
      <c r="CF144" s="562"/>
      <c r="CG144" s="562"/>
      <c r="CH144" s="562"/>
      <c r="CI144" s="562"/>
      <c r="CJ144" s="562"/>
      <c r="CK144" s="562"/>
      <c r="CL144" s="562"/>
      <c r="CM144" s="562"/>
      <c r="CN144" s="562"/>
      <c r="CO144" s="562"/>
      <c r="CP144" s="562"/>
      <c r="CQ144" s="562"/>
      <c r="CR144" s="562"/>
      <c r="CS144" s="562"/>
      <c r="CT144" s="562"/>
      <c r="CU144" s="562"/>
      <c r="CV144" s="562"/>
      <c r="CW144" s="562"/>
      <c r="CX144" s="562"/>
      <c r="CY144" s="562"/>
      <c r="CZ144" s="562"/>
      <c r="DA144" s="562"/>
      <c r="DB144" s="562"/>
      <c r="DC144" s="562"/>
    </row>
    <row r="145" spans="1:107" x14ac:dyDescent="0.2">
      <c r="A145" s="562"/>
      <c r="B145" s="562"/>
      <c r="C145" s="562"/>
      <c r="D145" s="562"/>
      <c r="E145" s="562"/>
      <c r="F145" s="562"/>
      <c r="G145" s="562"/>
      <c r="H145" s="562"/>
      <c r="I145" s="562"/>
      <c r="J145" s="562"/>
      <c r="K145" s="562"/>
      <c r="L145" s="562"/>
      <c r="M145" s="562"/>
      <c r="N145" s="562"/>
      <c r="O145" s="562"/>
      <c r="P145" s="562"/>
      <c r="Q145" s="562"/>
      <c r="R145" s="562"/>
      <c r="S145" s="562"/>
      <c r="T145" s="562"/>
      <c r="U145" s="562"/>
      <c r="V145" s="562"/>
      <c r="W145" s="562"/>
      <c r="X145" s="562"/>
      <c r="Y145" s="562"/>
      <c r="Z145" s="562"/>
      <c r="AA145" s="562"/>
      <c r="AB145" s="562"/>
      <c r="AC145" s="562"/>
      <c r="AD145" s="562"/>
      <c r="AE145" s="562"/>
      <c r="AF145" s="562"/>
      <c r="AG145" s="562"/>
      <c r="AH145" s="562"/>
      <c r="AI145" s="562"/>
      <c r="AJ145" s="562"/>
      <c r="AK145" s="562"/>
      <c r="AL145" s="562"/>
      <c r="AM145" s="562"/>
      <c r="AN145" s="562"/>
      <c r="AO145" s="562"/>
      <c r="AP145" s="562"/>
      <c r="AQ145" s="562"/>
      <c r="AR145" s="562"/>
      <c r="AS145" s="562"/>
      <c r="AT145" s="562"/>
      <c r="AU145" s="562"/>
      <c r="AV145" s="562"/>
      <c r="AW145" s="562"/>
      <c r="AX145" s="562"/>
      <c r="AY145" s="562"/>
      <c r="AZ145" s="562"/>
      <c r="BA145" s="562"/>
      <c r="BB145" s="562"/>
      <c r="BC145" s="562"/>
      <c r="BD145" s="562"/>
      <c r="BE145" s="562"/>
      <c r="BF145" s="562"/>
      <c r="BG145" s="562"/>
      <c r="BH145" s="562"/>
      <c r="BI145" s="562"/>
      <c r="BJ145" s="562"/>
      <c r="BK145" s="562"/>
      <c r="BL145" s="562"/>
      <c r="BM145" s="562"/>
      <c r="BN145" s="562"/>
      <c r="BO145" s="562"/>
      <c r="BP145" s="562"/>
      <c r="BQ145" s="562"/>
      <c r="BR145" s="562"/>
      <c r="BS145" s="562"/>
      <c r="BT145" s="562"/>
      <c r="BU145" s="562"/>
      <c r="BV145" s="562"/>
      <c r="BW145" s="562"/>
      <c r="BX145" s="562"/>
      <c r="BY145" s="562"/>
      <c r="BZ145" s="562"/>
      <c r="CA145" s="562"/>
      <c r="CB145" s="562"/>
      <c r="CC145" s="562"/>
      <c r="CD145" s="562"/>
      <c r="CE145" s="562"/>
      <c r="CF145" s="562"/>
      <c r="CG145" s="562"/>
      <c r="CH145" s="562"/>
      <c r="CI145" s="562"/>
      <c r="CJ145" s="562"/>
      <c r="CK145" s="562"/>
      <c r="CL145" s="562"/>
      <c r="CM145" s="562"/>
      <c r="CN145" s="562"/>
      <c r="CO145" s="562"/>
      <c r="CP145" s="562"/>
      <c r="CQ145" s="562"/>
      <c r="CR145" s="562"/>
      <c r="CS145" s="562"/>
      <c r="CT145" s="562"/>
      <c r="CU145" s="562"/>
      <c r="CV145" s="562"/>
      <c r="CW145" s="562"/>
      <c r="CX145" s="562"/>
      <c r="CY145" s="562"/>
      <c r="CZ145" s="562"/>
      <c r="DA145" s="562"/>
      <c r="DB145" s="562"/>
      <c r="DC145" s="562"/>
    </row>
    <row r="146" spans="1:107" x14ac:dyDescent="0.2">
      <c r="A146" s="562"/>
      <c r="B146" s="562"/>
      <c r="C146" s="562"/>
      <c r="D146" s="562"/>
      <c r="E146" s="562"/>
      <c r="F146" s="562"/>
      <c r="G146" s="562"/>
      <c r="H146" s="562"/>
      <c r="I146" s="562"/>
      <c r="J146" s="562"/>
      <c r="K146" s="562"/>
      <c r="L146" s="562"/>
      <c r="M146" s="562"/>
      <c r="N146" s="562"/>
      <c r="O146" s="562"/>
      <c r="P146" s="562"/>
      <c r="Q146" s="562"/>
      <c r="R146" s="562"/>
      <c r="S146" s="562"/>
      <c r="T146" s="562"/>
      <c r="U146" s="562"/>
      <c r="V146" s="562"/>
      <c r="W146" s="562"/>
      <c r="X146" s="562"/>
      <c r="Y146" s="562"/>
      <c r="Z146" s="562"/>
      <c r="AA146" s="562"/>
      <c r="AB146" s="562"/>
      <c r="AC146" s="562"/>
      <c r="AD146" s="562"/>
      <c r="AE146" s="562"/>
      <c r="AF146" s="562"/>
      <c r="AG146" s="562"/>
      <c r="AH146" s="562"/>
      <c r="AI146" s="562"/>
      <c r="AJ146" s="562"/>
      <c r="AK146" s="562"/>
      <c r="AL146" s="562"/>
      <c r="AM146" s="562"/>
      <c r="AN146" s="562"/>
      <c r="AO146" s="562"/>
      <c r="AP146" s="562"/>
      <c r="AQ146" s="562"/>
      <c r="AR146" s="562"/>
      <c r="AS146" s="562"/>
      <c r="AT146" s="562"/>
      <c r="AU146" s="562"/>
      <c r="AV146" s="562"/>
      <c r="AW146" s="562"/>
      <c r="AX146" s="562"/>
      <c r="AY146" s="562"/>
      <c r="AZ146" s="562"/>
      <c r="BA146" s="562"/>
      <c r="BB146" s="562"/>
      <c r="BC146" s="562"/>
      <c r="BD146" s="562"/>
      <c r="BE146" s="562"/>
      <c r="BF146" s="562"/>
      <c r="BG146" s="562"/>
      <c r="BH146" s="562"/>
      <c r="BI146" s="562"/>
      <c r="BJ146" s="562"/>
      <c r="BK146" s="562"/>
      <c r="BL146" s="562"/>
      <c r="BM146" s="562"/>
      <c r="BN146" s="562"/>
      <c r="BO146" s="562"/>
      <c r="BP146" s="562"/>
      <c r="BQ146" s="562"/>
      <c r="BR146" s="562"/>
      <c r="BS146" s="562"/>
      <c r="BT146" s="562"/>
      <c r="BU146" s="562"/>
      <c r="BV146" s="562"/>
      <c r="BW146" s="562"/>
      <c r="BX146" s="562"/>
      <c r="BY146" s="562"/>
      <c r="BZ146" s="562"/>
      <c r="CA146" s="562"/>
      <c r="CB146" s="562"/>
      <c r="CC146" s="562"/>
      <c r="CD146" s="562"/>
      <c r="CE146" s="562"/>
      <c r="CF146" s="562"/>
      <c r="CG146" s="562"/>
      <c r="CH146" s="562"/>
      <c r="CI146" s="562"/>
      <c r="CJ146" s="562"/>
      <c r="CK146" s="562"/>
      <c r="CL146" s="562"/>
      <c r="CM146" s="562"/>
      <c r="CN146" s="562"/>
      <c r="CO146" s="562"/>
      <c r="CP146" s="562"/>
      <c r="CQ146" s="562"/>
      <c r="CR146" s="562"/>
      <c r="CS146" s="562"/>
      <c r="CT146" s="562"/>
      <c r="CU146" s="562"/>
      <c r="CV146" s="562"/>
      <c r="CW146" s="562"/>
      <c r="CX146" s="562"/>
      <c r="CY146" s="562"/>
      <c r="CZ146" s="562"/>
      <c r="DA146" s="562"/>
      <c r="DB146" s="562"/>
      <c r="DC146" s="562"/>
    </row>
    <row r="147" spans="1:107" x14ac:dyDescent="0.2">
      <c r="A147" s="562"/>
      <c r="B147" s="562"/>
      <c r="C147" s="562"/>
      <c r="D147" s="562"/>
      <c r="E147" s="562"/>
      <c r="F147" s="562"/>
      <c r="G147" s="562"/>
      <c r="H147" s="562"/>
      <c r="I147" s="562"/>
      <c r="J147" s="562"/>
      <c r="K147" s="562"/>
      <c r="L147" s="562"/>
      <c r="M147" s="562"/>
      <c r="N147" s="562"/>
      <c r="O147" s="562"/>
      <c r="P147" s="562"/>
      <c r="Q147" s="562"/>
      <c r="R147" s="562"/>
      <c r="S147" s="562"/>
      <c r="T147" s="562"/>
      <c r="U147" s="562"/>
      <c r="V147" s="562"/>
      <c r="W147" s="562"/>
      <c r="X147" s="562"/>
      <c r="Y147" s="562"/>
      <c r="Z147" s="562"/>
      <c r="AA147" s="562"/>
      <c r="AB147" s="562"/>
      <c r="AC147" s="562"/>
      <c r="AD147" s="562"/>
      <c r="AE147" s="562"/>
      <c r="AF147" s="562"/>
      <c r="AG147" s="562"/>
      <c r="AH147" s="562"/>
      <c r="AI147" s="562"/>
      <c r="AJ147" s="562"/>
      <c r="AK147" s="562"/>
      <c r="AL147" s="562"/>
      <c r="AM147" s="562"/>
      <c r="AN147" s="562"/>
      <c r="AO147" s="562"/>
      <c r="AP147" s="562"/>
      <c r="AQ147" s="562"/>
      <c r="AR147" s="562"/>
      <c r="AS147" s="562"/>
      <c r="AT147" s="562"/>
      <c r="AU147" s="562"/>
      <c r="AV147" s="562"/>
      <c r="AW147" s="562"/>
      <c r="AX147" s="562"/>
      <c r="AY147" s="562"/>
      <c r="AZ147" s="562"/>
      <c r="BA147" s="562"/>
      <c r="BB147" s="562"/>
      <c r="BC147" s="562"/>
      <c r="BD147" s="562"/>
      <c r="BE147" s="562"/>
      <c r="BF147" s="562"/>
      <c r="BG147" s="562"/>
      <c r="BH147" s="562"/>
      <c r="BI147" s="562"/>
      <c r="BJ147" s="562"/>
      <c r="BK147" s="562"/>
      <c r="BL147" s="562"/>
      <c r="BM147" s="562"/>
      <c r="BN147" s="562"/>
      <c r="BO147" s="562"/>
      <c r="BP147" s="562"/>
      <c r="BQ147" s="562"/>
      <c r="BR147" s="562"/>
      <c r="BS147" s="562"/>
      <c r="BT147" s="562"/>
      <c r="BU147" s="562"/>
      <c r="BV147" s="562"/>
      <c r="BW147" s="562"/>
      <c r="BX147" s="562"/>
      <c r="BY147" s="562"/>
      <c r="BZ147" s="562"/>
      <c r="CA147" s="562"/>
      <c r="CB147" s="562"/>
      <c r="CC147" s="562"/>
      <c r="CD147" s="562"/>
      <c r="CE147" s="562"/>
      <c r="CF147" s="562"/>
      <c r="CG147" s="562"/>
      <c r="CH147" s="562"/>
      <c r="CI147" s="562"/>
      <c r="CJ147" s="562"/>
      <c r="CK147" s="562"/>
      <c r="CL147" s="562"/>
      <c r="CM147" s="562"/>
      <c r="CN147" s="562"/>
      <c r="CO147" s="562"/>
      <c r="CP147" s="562"/>
      <c r="CQ147" s="562"/>
      <c r="CR147" s="562"/>
      <c r="CS147" s="562"/>
      <c r="CT147" s="562"/>
      <c r="CU147" s="562"/>
      <c r="CV147" s="562"/>
      <c r="CW147" s="562"/>
      <c r="CX147" s="562"/>
      <c r="CY147" s="562"/>
      <c r="CZ147" s="562"/>
      <c r="DA147" s="562"/>
      <c r="DB147" s="562"/>
      <c r="DC147" s="562"/>
    </row>
    <row r="148" spans="1:107" x14ac:dyDescent="0.2">
      <c r="A148" s="562"/>
      <c r="B148" s="562"/>
      <c r="C148" s="562"/>
      <c r="D148" s="562"/>
      <c r="E148" s="562"/>
      <c r="F148" s="562"/>
      <c r="G148" s="562"/>
      <c r="H148" s="562"/>
      <c r="I148" s="562"/>
      <c r="J148" s="562"/>
      <c r="K148" s="562"/>
      <c r="L148" s="562"/>
      <c r="M148" s="562"/>
      <c r="N148" s="562"/>
      <c r="O148" s="562"/>
      <c r="P148" s="562"/>
      <c r="Q148" s="562"/>
      <c r="R148" s="562"/>
      <c r="S148" s="562"/>
      <c r="T148" s="562"/>
      <c r="U148" s="562"/>
      <c r="V148" s="562"/>
      <c r="W148" s="562"/>
      <c r="X148" s="562"/>
      <c r="Y148" s="562"/>
      <c r="Z148" s="562"/>
      <c r="AA148" s="562"/>
      <c r="AB148" s="562"/>
      <c r="AC148" s="562"/>
      <c r="AD148" s="562"/>
      <c r="AE148" s="562"/>
      <c r="AF148" s="562"/>
      <c r="AG148" s="562"/>
      <c r="AH148" s="562"/>
      <c r="AI148" s="562"/>
      <c r="AJ148" s="562"/>
      <c r="AK148" s="562"/>
      <c r="AL148" s="562"/>
      <c r="AM148" s="562"/>
      <c r="AN148" s="562"/>
      <c r="AO148" s="562"/>
      <c r="AP148" s="562"/>
      <c r="AQ148" s="562"/>
      <c r="AR148" s="562"/>
      <c r="AS148" s="562"/>
      <c r="AT148" s="562"/>
      <c r="AU148" s="562"/>
      <c r="AV148" s="562"/>
      <c r="AW148" s="562"/>
      <c r="AX148" s="562"/>
      <c r="AY148" s="562"/>
      <c r="AZ148" s="562"/>
      <c r="BA148" s="562"/>
      <c r="BB148" s="562"/>
      <c r="BC148" s="562"/>
      <c r="BD148" s="562"/>
      <c r="BE148" s="562"/>
      <c r="BF148" s="562"/>
      <c r="BG148" s="562"/>
      <c r="BH148" s="562"/>
      <c r="BI148" s="562"/>
      <c r="BJ148" s="562"/>
      <c r="BK148" s="562"/>
      <c r="BL148" s="562"/>
      <c r="BM148" s="562"/>
      <c r="BN148" s="562"/>
      <c r="BO148" s="562"/>
      <c r="BP148" s="562"/>
      <c r="BQ148" s="562"/>
      <c r="BR148" s="562"/>
      <c r="BS148" s="562"/>
      <c r="BT148" s="562"/>
      <c r="BU148" s="562"/>
      <c r="BV148" s="562"/>
      <c r="BW148" s="562"/>
      <c r="BX148" s="562"/>
      <c r="BY148" s="562"/>
      <c r="BZ148" s="562"/>
      <c r="CA148" s="562"/>
      <c r="CB148" s="562"/>
      <c r="CC148" s="562"/>
      <c r="CD148" s="562"/>
      <c r="CE148" s="562"/>
      <c r="CF148" s="562"/>
      <c r="CG148" s="562"/>
      <c r="CH148" s="562"/>
      <c r="CI148" s="562"/>
      <c r="CJ148" s="562"/>
      <c r="CK148" s="562"/>
      <c r="CL148" s="562"/>
      <c r="CM148" s="562"/>
      <c r="CN148" s="562"/>
      <c r="CO148" s="562"/>
      <c r="CP148" s="562"/>
      <c r="CQ148" s="562"/>
      <c r="CR148" s="562"/>
      <c r="CS148" s="562"/>
      <c r="CT148" s="562"/>
      <c r="CU148" s="562"/>
      <c r="CV148" s="562"/>
      <c r="CW148" s="562"/>
      <c r="CX148" s="562"/>
      <c r="CY148" s="562"/>
      <c r="CZ148" s="562"/>
      <c r="DA148" s="562"/>
      <c r="DB148" s="562"/>
      <c r="DC148" s="562"/>
    </row>
    <row r="149" spans="1:107" x14ac:dyDescent="0.2">
      <c r="A149" s="562"/>
      <c r="B149" s="562"/>
      <c r="C149" s="562"/>
      <c r="D149" s="562"/>
      <c r="E149" s="562"/>
      <c r="F149" s="562"/>
      <c r="G149" s="562"/>
      <c r="H149" s="562"/>
      <c r="I149" s="562"/>
      <c r="J149" s="562"/>
      <c r="K149" s="562"/>
      <c r="L149" s="562"/>
      <c r="M149" s="562"/>
      <c r="N149" s="562"/>
      <c r="O149" s="562"/>
      <c r="P149" s="562"/>
      <c r="Q149" s="562"/>
      <c r="R149" s="562"/>
      <c r="S149" s="562"/>
      <c r="T149" s="562"/>
      <c r="U149" s="562"/>
      <c r="V149" s="562"/>
      <c r="W149" s="562"/>
      <c r="X149" s="562"/>
      <c r="Y149" s="562"/>
      <c r="Z149" s="562"/>
      <c r="AA149" s="562"/>
      <c r="AB149" s="562"/>
      <c r="AC149" s="562"/>
      <c r="AD149" s="562"/>
      <c r="AE149" s="562"/>
      <c r="AF149" s="562"/>
      <c r="AG149" s="562"/>
      <c r="AH149" s="562"/>
      <c r="AI149" s="562"/>
      <c r="AJ149" s="562"/>
      <c r="AK149" s="562"/>
      <c r="AL149" s="562"/>
      <c r="AM149" s="562"/>
      <c r="AN149" s="562"/>
      <c r="AO149" s="562"/>
      <c r="AP149" s="562"/>
      <c r="AQ149" s="562"/>
      <c r="AR149" s="562"/>
      <c r="AS149" s="562"/>
      <c r="AT149" s="562"/>
      <c r="AU149" s="562"/>
      <c r="AV149" s="562"/>
      <c r="AW149" s="562"/>
      <c r="AX149" s="562"/>
      <c r="AY149" s="562"/>
      <c r="AZ149" s="562"/>
      <c r="BA149" s="562"/>
      <c r="BB149" s="562"/>
      <c r="BC149" s="562"/>
      <c r="BD149" s="562"/>
      <c r="BE149" s="562"/>
      <c r="BF149" s="562"/>
      <c r="BG149" s="562"/>
      <c r="BH149" s="562"/>
      <c r="BI149" s="562"/>
      <c r="BJ149" s="562"/>
      <c r="BK149" s="562"/>
      <c r="BL149" s="562"/>
      <c r="BM149" s="562"/>
      <c r="BN149" s="562"/>
      <c r="BO149" s="562"/>
      <c r="BP149" s="562"/>
      <c r="BQ149" s="562"/>
      <c r="BR149" s="562"/>
      <c r="BS149" s="562"/>
      <c r="BT149" s="562"/>
      <c r="BU149" s="562"/>
      <c r="BV149" s="562"/>
      <c r="BW149" s="562"/>
      <c r="BX149" s="562"/>
      <c r="BY149" s="562"/>
      <c r="BZ149" s="562"/>
      <c r="CA149" s="562"/>
      <c r="CB149" s="562"/>
      <c r="CC149" s="562"/>
      <c r="CD149" s="562"/>
      <c r="CE149" s="562"/>
      <c r="CF149" s="562"/>
      <c r="CG149" s="562"/>
      <c r="CH149" s="562"/>
      <c r="CI149" s="562"/>
      <c r="CJ149" s="562"/>
      <c r="CK149" s="562"/>
      <c r="CL149" s="562"/>
      <c r="CM149" s="562"/>
      <c r="CN149" s="562"/>
      <c r="CO149" s="562"/>
      <c r="CP149" s="562"/>
      <c r="CQ149" s="562"/>
      <c r="CR149" s="562"/>
      <c r="CS149" s="562"/>
      <c r="CT149" s="562"/>
      <c r="CU149" s="562"/>
      <c r="CV149" s="562"/>
      <c r="CW149" s="562"/>
      <c r="CX149" s="562"/>
      <c r="CY149" s="562"/>
      <c r="CZ149" s="562"/>
      <c r="DA149" s="562"/>
      <c r="DB149" s="562"/>
      <c r="DC149" s="562"/>
    </row>
    <row r="150" spans="1:107" x14ac:dyDescent="0.2">
      <c r="A150" s="562"/>
      <c r="B150" s="562"/>
      <c r="C150" s="562"/>
      <c r="D150" s="562"/>
      <c r="E150" s="562"/>
      <c r="F150" s="562"/>
      <c r="G150" s="562"/>
      <c r="H150" s="562"/>
      <c r="I150" s="562"/>
      <c r="J150" s="562"/>
      <c r="K150" s="562"/>
      <c r="L150" s="562"/>
      <c r="M150" s="562"/>
      <c r="N150" s="562"/>
      <c r="O150" s="562"/>
      <c r="P150" s="562"/>
      <c r="Q150" s="562"/>
      <c r="R150" s="562"/>
      <c r="S150" s="562"/>
      <c r="T150" s="562"/>
      <c r="U150" s="562"/>
      <c r="V150" s="562"/>
      <c r="W150" s="562"/>
      <c r="X150" s="562"/>
      <c r="Y150" s="562"/>
      <c r="Z150" s="562"/>
      <c r="AA150" s="562"/>
      <c r="AB150" s="562"/>
      <c r="AC150" s="562"/>
      <c r="AD150" s="562"/>
      <c r="AE150" s="562"/>
      <c r="AF150" s="562"/>
      <c r="AG150" s="562"/>
      <c r="AH150" s="562"/>
      <c r="AI150" s="562"/>
      <c r="AJ150" s="562"/>
      <c r="AK150" s="562"/>
      <c r="AL150" s="562"/>
      <c r="AM150" s="562"/>
      <c r="AN150" s="562"/>
      <c r="AO150" s="562"/>
      <c r="AP150" s="562"/>
      <c r="AQ150" s="562"/>
      <c r="AR150" s="562"/>
      <c r="AS150" s="562"/>
      <c r="AT150" s="562"/>
      <c r="AU150" s="562"/>
      <c r="AV150" s="562"/>
      <c r="AW150" s="562"/>
      <c r="AX150" s="562"/>
      <c r="AY150" s="562"/>
      <c r="AZ150" s="562"/>
      <c r="BA150" s="562"/>
      <c r="BB150" s="562"/>
      <c r="BC150" s="562"/>
      <c r="BD150" s="562"/>
      <c r="BE150" s="562"/>
      <c r="BF150" s="562"/>
      <c r="BG150" s="562"/>
      <c r="BH150" s="562"/>
      <c r="BI150" s="562"/>
      <c r="BJ150" s="562"/>
      <c r="BK150" s="562"/>
      <c r="BL150" s="562"/>
      <c r="BM150" s="562"/>
      <c r="BN150" s="562"/>
      <c r="BO150" s="562"/>
      <c r="BP150" s="562"/>
      <c r="BQ150" s="562"/>
      <c r="BR150" s="562"/>
      <c r="BS150" s="562"/>
      <c r="BT150" s="562"/>
      <c r="BU150" s="562"/>
      <c r="BV150" s="562"/>
      <c r="BW150" s="562"/>
      <c r="BX150" s="562"/>
      <c r="BY150" s="562"/>
      <c r="BZ150" s="562"/>
      <c r="CA150" s="562"/>
      <c r="CB150" s="562"/>
      <c r="CC150" s="562"/>
      <c r="CD150" s="562"/>
      <c r="CE150" s="562"/>
      <c r="CF150" s="562"/>
      <c r="CG150" s="562"/>
      <c r="CH150" s="562"/>
      <c r="CI150" s="562"/>
      <c r="CJ150" s="562"/>
      <c r="CK150" s="562"/>
      <c r="CL150" s="562"/>
      <c r="CM150" s="562"/>
      <c r="CN150" s="562"/>
      <c r="CO150" s="562"/>
      <c r="CP150" s="562"/>
      <c r="CQ150" s="562"/>
      <c r="CR150" s="562"/>
      <c r="CS150" s="562"/>
      <c r="CT150" s="562"/>
      <c r="CU150" s="562"/>
      <c r="CV150" s="562"/>
      <c r="CW150" s="562"/>
      <c r="CX150" s="562"/>
      <c r="CY150" s="562"/>
      <c r="CZ150" s="562"/>
      <c r="DA150" s="562"/>
      <c r="DB150" s="562"/>
      <c r="DC150" s="562"/>
    </row>
    <row r="151" spans="1:107" x14ac:dyDescent="0.2">
      <c r="A151" s="562"/>
      <c r="B151" s="562"/>
      <c r="C151" s="562"/>
      <c r="D151" s="562"/>
      <c r="E151" s="562"/>
      <c r="F151" s="562"/>
      <c r="G151" s="562"/>
      <c r="H151" s="562"/>
      <c r="I151" s="562"/>
      <c r="J151" s="562"/>
      <c r="K151" s="562"/>
      <c r="L151" s="562"/>
      <c r="M151" s="562"/>
      <c r="N151" s="562"/>
      <c r="O151" s="562"/>
      <c r="P151" s="562"/>
      <c r="Q151" s="562"/>
      <c r="R151" s="562"/>
      <c r="S151" s="562"/>
      <c r="T151" s="562"/>
      <c r="U151" s="562"/>
      <c r="V151" s="562"/>
      <c r="W151" s="562"/>
      <c r="X151" s="562"/>
      <c r="Y151" s="562"/>
      <c r="Z151" s="562"/>
      <c r="AA151" s="562"/>
      <c r="AB151" s="562"/>
      <c r="AC151" s="562"/>
      <c r="AD151" s="562"/>
      <c r="AE151" s="562"/>
      <c r="AF151" s="562"/>
      <c r="AG151" s="562"/>
      <c r="AH151" s="562"/>
      <c r="AI151" s="562"/>
      <c r="AJ151" s="562"/>
      <c r="AK151" s="562"/>
      <c r="AL151" s="562"/>
      <c r="AM151" s="562"/>
      <c r="AN151" s="562"/>
      <c r="AO151" s="562"/>
      <c r="AP151" s="562"/>
      <c r="AQ151" s="562"/>
      <c r="AR151" s="562"/>
      <c r="AS151" s="562"/>
      <c r="AT151" s="562"/>
      <c r="AU151" s="562"/>
      <c r="AV151" s="562"/>
      <c r="AW151" s="562"/>
      <c r="AX151" s="562"/>
      <c r="AY151" s="562"/>
      <c r="AZ151" s="562"/>
      <c r="BA151" s="562"/>
      <c r="BB151" s="562"/>
      <c r="BC151" s="562"/>
      <c r="BD151" s="562"/>
      <c r="BE151" s="562"/>
      <c r="BF151" s="562"/>
      <c r="BG151" s="562"/>
      <c r="BH151" s="562"/>
      <c r="BI151" s="562"/>
      <c r="BJ151" s="562"/>
      <c r="BK151" s="562"/>
      <c r="BL151" s="562"/>
      <c r="BM151" s="562"/>
      <c r="BN151" s="562"/>
      <c r="BO151" s="562"/>
      <c r="BP151" s="562"/>
      <c r="BQ151" s="562"/>
      <c r="BR151" s="562"/>
      <c r="BS151" s="562"/>
      <c r="BT151" s="562"/>
      <c r="BU151" s="562"/>
      <c r="BV151" s="562"/>
      <c r="BW151" s="562"/>
      <c r="BX151" s="562"/>
      <c r="BY151" s="562"/>
      <c r="BZ151" s="562"/>
      <c r="CA151" s="562"/>
      <c r="CB151" s="562"/>
      <c r="CC151" s="562"/>
      <c r="CD151" s="562"/>
      <c r="CE151" s="562"/>
      <c r="CF151" s="562"/>
      <c r="CG151" s="562"/>
      <c r="CH151" s="562"/>
      <c r="CI151" s="562"/>
      <c r="CJ151" s="562"/>
      <c r="CK151" s="562"/>
      <c r="CL151" s="562"/>
      <c r="CM151" s="562"/>
      <c r="CN151" s="562"/>
      <c r="CO151" s="562"/>
      <c r="CP151" s="562"/>
      <c r="CQ151" s="562"/>
      <c r="CR151" s="562"/>
      <c r="CS151" s="562"/>
      <c r="CT151" s="562"/>
      <c r="CU151" s="562"/>
      <c r="CV151" s="562"/>
      <c r="CW151" s="562"/>
      <c r="CX151" s="562"/>
      <c r="CY151" s="562"/>
      <c r="CZ151" s="562"/>
      <c r="DA151" s="562"/>
      <c r="DB151" s="562"/>
      <c r="DC151" s="562"/>
    </row>
    <row r="152" spans="1:107" x14ac:dyDescent="0.2">
      <c r="A152" s="562"/>
      <c r="B152" s="562"/>
      <c r="C152" s="562"/>
      <c r="D152" s="562"/>
      <c r="E152" s="562"/>
      <c r="F152" s="562"/>
      <c r="G152" s="562"/>
      <c r="H152" s="562"/>
      <c r="I152" s="562"/>
      <c r="J152" s="562"/>
      <c r="K152" s="562"/>
      <c r="L152" s="562"/>
      <c r="M152" s="562"/>
      <c r="N152" s="562"/>
      <c r="O152" s="562"/>
      <c r="P152" s="562"/>
      <c r="Q152" s="562"/>
      <c r="R152" s="562"/>
      <c r="S152" s="562"/>
      <c r="T152" s="562"/>
      <c r="U152" s="562"/>
      <c r="V152" s="562"/>
      <c r="W152" s="562"/>
      <c r="X152" s="562"/>
      <c r="Y152" s="562"/>
      <c r="Z152" s="562"/>
      <c r="AA152" s="562"/>
      <c r="AB152" s="562"/>
      <c r="AC152" s="562"/>
      <c r="AD152" s="562"/>
      <c r="AE152" s="562"/>
      <c r="AF152" s="562"/>
      <c r="AG152" s="562"/>
      <c r="AH152" s="562"/>
      <c r="AI152" s="562"/>
      <c r="AJ152" s="562"/>
      <c r="AK152" s="562"/>
      <c r="AL152" s="562"/>
      <c r="AM152" s="562"/>
      <c r="AN152" s="562"/>
      <c r="AO152" s="562"/>
      <c r="AP152" s="562"/>
      <c r="AQ152" s="562"/>
      <c r="AR152" s="562"/>
      <c r="AS152" s="562"/>
      <c r="AT152" s="562"/>
      <c r="AU152" s="562"/>
      <c r="AV152" s="562"/>
      <c r="AW152" s="562"/>
      <c r="AX152" s="562"/>
      <c r="AY152" s="562"/>
      <c r="AZ152" s="562"/>
      <c r="BA152" s="562"/>
      <c r="BB152" s="562"/>
      <c r="BC152" s="562"/>
      <c r="BD152" s="562"/>
      <c r="BE152" s="562"/>
      <c r="BF152" s="562"/>
      <c r="BG152" s="562"/>
      <c r="BH152" s="562"/>
      <c r="BI152" s="562"/>
      <c r="BJ152" s="562"/>
      <c r="BK152" s="562"/>
      <c r="BL152" s="562"/>
      <c r="BM152" s="562"/>
      <c r="BN152" s="562"/>
      <c r="BO152" s="562"/>
      <c r="BP152" s="562"/>
      <c r="BQ152" s="562"/>
      <c r="BR152" s="562"/>
      <c r="BS152" s="562"/>
      <c r="BT152" s="562"/>
      <c r="BU152" s="562"/>
      <c r="BV152" s="562"/>
      <c r="BW152" s="562"/>
      <c r="BX152" s="562"/>
      <c r="BY152" s="562"/>
      <c r="BZ152" s="562"/>
      <c r="CA152" s="562"/>
      <c r="CB152" s="562"/>
      <c r="CC152" s="562"/>
      <c r="CD152" s="562"/>
      <c r="CE152" s="562"/>
      <c r="CF152" s="562"/>
      <c r="CG152" s="562"/>
      <c r="CH152" s="562"/>
      <c r="CI152" s="562"/>
      <c r="CJ152" s="562"/>
      <c r="CK152" s="562"/>
      <c r="CL152" s="562"/>
      <c r="CM152" s="562"/>
      <c r="CN152" s="562"/>
      <c r="CO152" s="562"/>
      <c r="CP152" s="562"/>
      <c r="CQ152" s="562"/>
      <c r="CR152" s="562"/>
      <c r="CS152" s="562"/>
      <c r="CT152" s="562"/>
      <c r="CU152" s="562"/>
      <c r="CV152" s="562"/>
      <c r="CW152" s="562"/>
      <c r="CX152" s="562"/>
      <c r="CY152" s="562"/>
      <c r="CZ152" s="562"/>
      <c r="DA152" s="562"/>
      <c r="DB152" s="562"/>
      <c r="DC152" s="562"/>
    </row>
    <row r="153" spans="1:107" x14ac:dyDescent="0.2">
      <c r="A153" s="562"/>
      <c r="B153" s="562"/>
      <c r="C153" s="562"/>
      <c r="D153" s="562"/>
      <c r="E153" s="562"/>
      <c r="F153" s="562"/>
      <c r="G153" s="562"/>
      <c r="H153" s="562"/>
      <c r="I153" s="562"/>
      <c r="J153" s="562"/>
      <c r="K153" s="562"/>
      <c r="L153" s="562"/>
      <c r="M153" s="562"/>
      <c r="N153" s="562"/>
      <c r="O153" s="562"/>
      <c r="P153" s="562"/>
      <c r="Q153" s="562"/>
      <c r="R153" s="562"/>
      <c r="S153" s="562"/>
      <c r="T153" s="562"/>
      <c r="U153" s="562"/>
      <c r="V153" s="562"/>
      <c r="W153" s="562"/>
      <c r="X153" s="562"/>
      <c r="Y153" s="562"/>
      <c r="Z153" s="562"/>
      <c r="AA153" s="562"/>
      <c r="AB153" s="562"/>
      <c r="AC153" s="562"/>
      <c r="AD153" s="562"/>
      <c r="AE153" s="562"/>
      <c r="AF153" s="562"/>
      <c r="AG153" s="562"/>
      <c r="AH153" s="562"/>
      <c r="AI153" s="562"/>
      <c r="AJ153" s="562"/>
      <c r="AK153" s="562"/>
      <c r="AL153" s="562"/>
      <c r="AM153" s="562"/>
      <c r="AN153" s="562"/>
      <c r="AO153" s="562"/>
      <c r="AP153" s="562"/>
      <c r="AQ153" s="562"/>
      <c r="AR153" s="562"/>
      <c r="AS153" s="562"/>
      <c r="AT153" s="562"/>
      <c r="AU153" s="562"/>
      <c r="AV153" s="562"/>
      <c r="AW153" s="562"/>
      <c r="AX153" s="562"/>
      <c r="AY153" s="562"/>
      <c r="AZ153" s="562"/>
      <c r="BA153" s="562"/>
      <c r="BB153" s="562"/>
      <c r="BC153" s="562"/>
      <c r="BD153" s="562"/>
      <c r="BE153" s="562"/>
      <c r="BF153" s="562"/>
      <c r="BG153" s="562"/>
      <c r="BH153" s="562"/>
      <c r="BI153" s="562"/>
      <c r="BJ153" s="562"/>
      <c r="BK153" s="562"/>
      <c r="BL153" s="562"/>
      <c r="BM153" s="562"/>
      <c r="BN153" s="562"/>
      <c r="BO153" s="562"/>
      <c r="BP153" s="562"/>
      <c r="BQ153" s="562"/>
      <c r="BR153" s="562"/>
      <c r="BS153" s="562"/>
      <c r="BT153" s="562"/>
      <c r="BU153" s="562"/>
      <c r="BV153" s="562"/>
      <c r="BW153" s="562"/>
      <c r="BX153" s="562"/>
      <c r="BY153" s="562"/>
      <c r="BZ153" s="562"/>
      <c r="CA153" s="562"/>
      <c r="CB153" s="562"/>
      <c r="CC153" s="562"/>
      <c r="CD153" s="562"/>
      <c r="CE153" s="562"/>
      <c r="CF153" s="562"/>
      <c r="CG153" s="562"/>
      <c r="CH153" s="562"/>
      <c r="CI153" s="562"/>
      <c r="CJ153" s="562"/>
      <c r="CK153" s="562"/>
      <c r="CL153" s="562"/>
      <c r="CM153" s="562"/>
      <c r="CN153" s="562"/>
      <c r="CO153" s="562"/>
      <c r="CP153" s="562"/>
      <c r="CQ153" s="562"/>
      <c r="CR153" s="562"/>
      <c r="CS153" s="562"/>
      <c r="CT153" s="562"/>
      <c r="CU153" s="562"/>
      <c r="CV153" s="562"/>
      <c r="CW153" s="562"/>
      <c r="CX153" s="562"/>
      <c r="CY153" s="562"/>
      <c r="CZ153" s="562"/>
      <c r="DA153" s="562"/>
      <c r="DB153" s="562"/>
      <c r="DC153" s="562"/>
    </row>
    <row r="154" spans="1:107" x14ac:dyDescent="0.2">
      <c r="A154" s="562"/>
      <c r="B154" s="562"/>
      <c r="C154" s="562"/>
      <c r="D154" s="562"/>
      <c r="E154" s="562"/>
      <c r="F154" s="562"/>
      <c r="G154" s="562"/>
      <c r="H154" s="562"/>
      <c r="I154" s="562"/>
      <c r="J154" s="562"/>
      <c r="K154" s="562"/>
      <c r="L154" s="562"/>
      <c r="M154" s="562"/>
      <c r="N154" s="562"/>
      <c r="O154" s="562"/>
      <c r="P154" s="562"/>
      <c r="Q154" s="562"/>
      <c r="R154" s="562"/>
      <c r="S154" s="562"/>
      <c r="T154" s="562"/>
      <c r="U154" s="562"/>
      <c r="V154" s="562"/>
      <c r="W154" s="562"/>
      <c r="X154" s="562"/>
      <c r="Y154" s="562"/>
      <c r="Z154" s="562"/>
      <c r="AA154" s="562"/>
      <c r="AB154" s="562"/>
      <c r="AC154" s="562"/>
      <c r="AD154" s="562"/>
      <c r="AE154" s="562"/>
      <c r="AF154" s="562"/>
      <c r="AG154" s="562"/>
      <c r="AH154" s="562"/>
      <c r="AI154" s="562"/>
      <c r="AJ154" s="562"/>
      <c r="AK154" s="562"/>
      <c r="AL154" s="562"/>
      <c r="AM154" s="562"/>
      <c r="AN154" s="562"/>
      <c r="AO154" s="562"/>
      <c r="AP154" s="562"/>
      <c r="AQ154" s="562"/>
      <c r="AR154" s="562"/>
      <c r="AS154" s="562"/>
      <c r="AT154" s="562"/>
      <c r="AU154" s="562"/>
      <c r="AV154" s="562"/>
      <c r="AW154" s="562"/>
      <c r="AX154" s="562"/>
      <c r="AY154" s="562"/>
      <c r="AZ154" s="562"/>
      <c r="BA154" s="562"/>
      <c r="BB154" s="562"/>
      <c r="BC154" s="562"/>
      <c r="BD154" s="562"/>
      <c r="BE154" s="562"/>
      <c r="BF154" s="562"/>
      <c r="BG154" s="562"/>
      <c r="BH154" s="562"/>
      <c r="BI154" s="562"/>
      <c r="BJ154" s="562"/>
      <c r="BK154" s="562"/>
      <c r="BL154" s="562"/>
      <c r="BM154" s="562"/>
      <c r="BN154" s="562"/>
      <c r="BO154" s="562"/>
      <c r="BP154" s="562"/>
      <c r="BQ154" s="562"/>
      <c r="BR154" s="562"/>
      <c r="BS154" s="562"/>
      <c r="BT154" s="562"/>
      <c r="BU154" s="562"/>
      <c r="BV154" s="562"/>
      <c r="BW154" s="562"/>
      <c r="BX154" s="562"/>
      <c r="BY154" s="562"/>
      <c r="BZ154" s="562"/>
      <c r="CA154" s="562"/>
      <c r="CB154" s="562"/>
      <c r="CC154" s="562"/>
      <c r="CD154" s="562"/>
      <c r="CE154" s="562"/>
      <c r="CF154" s="562"/>
      <c r="CG154" s="562"/>
      <c r="CH154" s="562"/>
      <c r="CI154" s="562"/>
      <c r="CJ154" s="562"/>
      <c r="CK154" s="562"/>
      <c r="CL154" s="562"/>
      <c r="CM154" s="562"/>
      <c r="CN154" s="562"/>
      <c r="CO154" s="562"/>
      <c r="CP154" s="562"/>
      <c r="CQ154" s="562"/>
      <c r="CR154" s="562"/>
      <c r="CS154" s="562"/>
      <c r="CT154" s="562"/>
      <c r="CU154" s="562"/>
      <c r="CV154" s="562"/>
      <c r="CW154" s="562"/>
      <c r="CX154" s="562"/>
      <c r="CY154" s="562"/>
      <c r="CZ154" s="562"/>
      <c r="DA154" s="562"/>
      <c r="DB154" s="562"/>
      <c r="DC154" s="562"/>
    </row>
    <row r="155" spans="1:107" x14ac:dyDescent="0.2">
      <c r="A155" s="562"/>
      <c r="B155" s="562"/>
      <c r="C155" s="562"/>
      <c r="D155" s="562"/>
      <c r="E155" s="562"/>
      <c r="F155" s="562"/>
      <c r="G155" s="562"/>
      <c r="H155" s="562"/>
      <c r="I155" s="562"/>
      <c r="J155" s="562"/>
      <c r="K155" s="562"/>
      <c r="L155" s="562"/>
      <c r="M155" s="562"/>
      <c r="N155" s="562"/>
      <c r="O155" s="562"/>
      <c r="P155" s="562"/>
      <c r="Q155" s="562"/>
      <c r="R155" s="562"/>
      <c r="S155" s="562"/>
      <c r="T155" s="562"/>
      <c r="U155" s="562"/>
      <c r="V155" s="562"/>
      <c r="W155" s="562"/>
      <c r="X155" s="562"/>
      <c r="Y155" s="562"/>
      <c r="Z155" s="562"/>
      <c r="AA155" s="562"/>
      <c r="AB155" s="562"/>
      <c r="AC155" s="562"/>
      <c r="AD155" s="562"/>
      <c r="AE155" s="562"/>
      <c r="AF155" s="562"/>
      <c r="AG155" s="562"/>
      <c r="AH155" s="562"/>
      <c r="AI155" s="562"/>
      <c r="AJ155" s="562"/>
      <c r="AK155" s="562"/>
      <c r="AL155" s="562"/>
      <c r="AM155" s="562"/>
      <c r="AN155" s="562"/>
      <c r="AO155" s="562"/>
      <c r="AP155" s="562"/>
      <c r="AQ155" s="562"/>
      <c r="AR155" s="562"/>
      <c r="AS155" s="562"/>
      <c r="AT155" s="562"/>
      <c r="AU155" s="562"/>
      <c r="AV155" s="562"/>
      <c r="AW155" s="562"/>
      <c r="AX155" s="562"/>
      <c r="AY155" s="562"/>
      <c r="AZ155" s="562"/>
      <c r="BA155" s="562"/>
      <c r="BB155" s="562"/>
      <c r="BC155" s="562"/>
      <c r="BD155" s="562"/>
      <c r="BE155" s="562"/>
      <c r="BF155" s="562"/>
      <c r="BG155" s="562"/>
      <c r="BH155" s="562"/>
      <c r="BI155" s="562"/>
      <c r="BJ155" s="562"/>
      <c r="BK155" s="562"/>
      <c r="BL155" s="562"/>
      <c r="BM155" s="562"/>
      <c r="BN155" s="562"/>
      <c r="BO155" s="562"/>
      <c r="BP155" s="562"/>
      <c r="BQ155" s="562"/>
      <c r="BR155" s="562"/>
      <c r="BS155" s="562"/>
      <c r="BT155" s="562"/>
      <c r="BU155" s="562"/>
      <c r="BV155" s="562"/>
      <c r="BW155" s="562"/>
      <c r="BX155" s="562"/>
      <c r="BY155" s="562"/>
      <c r="BZ155" s="562"/>
      <c r="CA155" s="562"/>
      <c r="CB155" s="562"/>
      <c r="CC155" s="562"/>
      <c r="CD155" s="562"/>
      <c r="CE155" s="562"/>
      <c r="CF155" s="562"/>
      <c r="CG155" s="562"/>
      <c r="CH155" s="562"/>
      <c r="CI155" s="562"/>
      <c r="CJ155" s="562"/>
      <c r="CK155" s="562"/>
      <c r="CL155" s="562"/>
      <c r="CM155" s="562"/>
      <c r="CN155" s="562"/>
      <c r="CO155" s="562"/>
      <c r="CP155" s="562"/>
      <c r="CQ155" s="562"/>
      <c r="CR155" s="562"/>
      <c r="CS155" s="562"/>
      <c r="CT155" s="562"/>
      <c r="CU155" s="562"/>
      <c r="CV155" s="562"/>
      <c r="CW155" s="562"/>
      <c r="CX155" s="562"/>
      <c r="CY155" s="562"/>
      <c r="CZ155" s="562"/>
      <c r="DA155" s="562"/>
      <c r="DB155" s="562"/>
      <c r="DC155" s="562"/>
    </row>
    <row r="156" spans="1:107" x14ac:dyDescent="0.2">
      <c r="A156" s="562"/>
      <c r="B156" s="562"/>
      <c r="C156" s="562"/>
      <c r="D156" s="562"/>
      <c r="E156" s="562"/>
      <c r="F156" s="562"/>
      <c r="G156" s="562"/>
      <c r="H156" s="562"/>
      <c r="I156" s="562"/>
      <c r="J156" s="562"/>
      <c r="K156" s="562"/>
      <c r="L156" s="562"/>
      <c r="M156" s="562"/>
      <c r="N156" s="562"/>
      <c r="O156" s="562"/>
      <c r="P156" s="562"/>
      <c r="Q156" s="562"/>
      <c r="R156" s="562"/>
      <c r="S156" s="562"/>
      <c r="T156" s="562"/>
      <c r="U156" s="562"/>
      <c r="V156" s="562"/>
      <c r="W156" s="562"/>
      <c r="X156" s="562"/>
      <c r="Y156" s="562"/>
      <c r="Z156" s="562"/>
      <c r="AA156" s="562"/>
      <c r="AB156" s="562"/>
      <c r="AC156" s="562"/>
      <c r="AD156" s="562"/>
      <c r="AE156" s="562"/>
      <c r="AF156" s="562"/>
      <c r="AG156" s="562"/>
      <c r="AH156" s="562"/>
      <c r="AI156" s="562"/>
      <c r="AJ156" s="562"/>
      <c r="AK156" s="562"/>
      <c r="AL156" s="562"/>
      <c r="AM156" s="562"/>
      <c r="AN156" s="562"/>
      <c r="AO156" s="562"/>
      <c r="AP156" s="562"/>
      <c r="AQ156" s="562"/>
      <c r="AR156" s="562"/>
      <c r="AS156" s="562"/>
      <c r="AT156" s="562"/>
      <c r="AU156" s="562"/>
      <c r="AV156" s="562"/>
      <c r="AW156" s="562"/>
      <c r="AX156" s="562"/>
      <c r="AY156" s="562"/>
      <c r="AZ156" s="562"/>
      <c r="BA156" s="562"/>
      <c r="BB156" s="562"/>
      <c r="BC156" s="562"/>
      <c r="BD156" s="562"/>
      <c r="BE156" s="562"/>
      <c r="BF156" s="562"/>
      <c r="BG156" s="562"/>
      <c r="BH156" s="562"/>
      <c r="BI156" s="562"/>
      <c r="BJ156" s="562"/>
      <c r="BK156" s="562"/>
      <c r="BL156" s="562"/>
      <c r="BM156" s="562"/>
      <c r="BN156" s="562"/>
      <c r="BO156" s="562"/>
      <c r="BP156" s="562"/>
      <c r="BQ156" s="562"/>
      <c r="BR156" s="562"/>
      <c r="BS156" s="562"/>
      <c r="BT156" s="562"/>
      <c r="BU156" s="562"/>
      <c r="BV156" s="562"/>
      <c r="BW156" s="562"/>
      <c r="BX156" s="562"/>
      <c r="BY156" s="562"/>
      <c r="BZ156" s="562"/>
      <c r="CA156" s="562"/>
      <c r="CB156" s="562"/>
      <c r="CC156" s="562"/>
      <c r="CD156" s="562"/>
      <c r="CE156" s="562"/>
      <c r="CF156" s="562"/>
      <c r="CG156" s="562"/>
      <c r="CH156" s="562"/>
      <c r="CI156" s="562"/>
      <c r="CJ156" s="562"/>
      <c r="CK156" s="562"/>
      <c r="CL156" s="562"/>
      <c r="CM156" s="562"/>
      <c r="CN156" s="562"/>
      <c r="CO156" s="562"/>
      <c r="CP156" s="562"/>
      <c r="CQ156" s="562"/>
      <c r="CR156" s="562"/>
      <c r="CS156" s="562"/>
      <c r="CT156" s="562"/>
      <c r="CU156" s="562"/>
      <c r="CV156" s="562"/>
      <c r="CW156" s="562"/>
      <c r="CX156" s="562"/>
      <c r="CY156" s="562"/>
      <c r="CZ156" s="562"/>
      <c r="DA156" s="562"/>
      <c r="DB156" s="562"/>
      <c r="DC156" s="562"/>
    </row>
    <row r="157" spans="1:107" x14ac:dyDescent="0.2">
      <c r="A157" s="562"/>
      <c r="B157" s="562"/>
      <c r="C157" s="562"/>
      <c r="D157" s="562"/>
      <c r="E157" s="562"/>
      <c r="F157" s="562"/>
      <c r="G157" s="562"/>
      <c r="H157" s="562"/>
      <c r="I157" s="562"/>
      <c r="J157" s="562"/>
      <c r="K157" s="562"/>
      <c r="L157" s="562"/>
      <c r="M157" s="562"/>
      <c r="N157" s="562"/>
      <c r="O157" s="562"/>
      <c r="P157" s="562"/>
      <c r="Q157" s="562"/>
      <c r="R157" s="562"/>
      <c r="S157" s="562"/>
      <c r="T157" s="562"/>
      <c r="U157" s="562"/>
      <c r="V157" s="562"/>
      <c r="W157" s="562"/>
      <c r="X157" s="562"/>
      <c r="Y157" s="562"/>
      <c r="Z157" s="562"/>
      <c r="AA157" s="562"/>
      <c r="AB157" s="562"/>
      <c r="AC157" s="562"/>
      <c r="AD157" s="562"/>
      <c r="AE157" s="562"/>
      <c r="AF157" s="562"/>
      <c r="AG157" s="562"/>
      <c r="AH157" s="562"/>
      <c r="AI157" s="562"/>
      <c r="AJ157" s="562"/>
      <c r="AK157" s="562"/>
      <c r="AL157" s="562"/>
      <c r="AM157" s="562"/>
      <c r="AN157" s="562"/>
      <c r="AO157" s="562"/>
      <c r="AP157" s="562"/>
      <c r="AQ157" s="562"/>
      <c r="AR157" s="562"/>
      <c r="AS157" s="562"/>
      <c r="AT157" s="562"/>
      <c r="AU157" s="562"/>
      <c r="AV157" s="562"/>
      <c r="AW157" s="562"/>
      <c r="AX157" s="562"/>
      <c r="AY157" s="562"/>
      <c r="AZ157" s="562"/>
      <c r="BA157" s="562"/>
      <c r="BB157" s="562"/>
      <c r="BC157" s="562"/>
      <c r="BD157" s="562"/>
      <c r="BE157" s="562"/>
      <c r="BF157" s="562"/>
      <c r="BG157" s="562"/>
      <c r="BH157" s="562"/>
      <c r="BI157" s="562"/>
      <c r="BJ157" s="562"/>
      <c r="BK157" s="562"/>
      <c r="BL157" s="562"/>
      <c r="BM157" s="562"/>
      <c r="BN157" s="562"/>
      <c r="BO157" s="562"/>
      <c r="BP157" s="562"/>
      <c r="BQ157" s="562"/>
      <c r="BR157" s="562"/>
      <c r="BS157" s="562"/>
      <c r="BT157" s="562"/>
      <c r="BU157" s="562"/>
      <c r="BV157" s="562"/>
      <c r="BW157" s="562"/>
      <c r="BX157" s="562"/>
      <c r="BY157" s="562"/>
      <c r="BZ157" s="562"/>
      <c r="CA157" s="562"/>
      <c r="CB157" s="562"/>
      <c r="CC157" s="562"/>
      <c r="CD157" s="562"/>
      <c r="CE157" s="562"/>
      <c r="CF157" s="562"/>
      <c r="CG157" s="562"/>
      <c r="CH157" s="562"/>
      <c r="CI157" s="562"/>
      <c r="CJ157" s="562"/>
      <c r="CK157" s="562"/>
      <c r="CL157" s="562"/>
      <c r="CM157" s="562"/>
      <c r="CN157" s="562"/>
      <c r="CO157" s="562"/>
      <c r="CP157" s="562"/>
      <c r="CQ157" s="562"/>
      <c r="CR157" s="562"/>
      <c r="CS157" s="562"/>
      <c r="CT157" s="562"/>
      <c r="CU157" s="562"/>
      <c r="CV157" s="562"/>
      <c r="CW157" s="562"/>
      <c r="CX157" s="562"/>
      <c r="CY157" s="562"/>
      <c r="CZ157" s="562"/>
      <c r="DA157" s="562"/>
      <c r="DB157" s="562"/>
      <c r="DC157" s="562"/>
    </row>
    <row r="158" spans="1:107" x14ac:dyDescent="0.2">
      <c r="A158" s="562"/>
      <c r="B158" s="562"/>
      <c r="C158" s="562"/>
      <c r="D158" s="562"/>
      <c r="E158" s="562"/>
      <c r="F158" s="562"/>
      <c r="G158" s="562"/>
      <c r="H158" s="562"/>
      <c r="I158" s="562"/>
      <c r="J158" s="562"/>
      <c r="K158" s="562"/>
      <c r="L158" s="562"/>
      <c r="M158" s="562"/>
      <c r="N158" s="562"/>
      <c r="O158" s="562"/>
      <c r="P158" s="562"/>
      <c r="Q158" s="562"/>
      <c r="R158" s="562"/>
      <c r="S158" s="562"/>
      <c r="T158" s="562"/>
      <c r="U158" s="562"/>
      <c r="V158" s="562"/>
      <c r="W158" s="562"/>
      <c r="X158" s="562"/>
      <c r="Y158" s="562"/>
      <c r="Z158" s="562"/>
      <c r="AA158" s="562"/>
      <c r="AB158" s="562"/>
      <c r="AC158" s="562"/>
      <c r="AD158" s="562"/>
      <c r="AE158" s="562"/>
      <c r="AF158" s="562"/>
      <c r="AG158" s="562"/>
      <c r="AH158" s="562"/>
      <c r="AI158" s="562"/>
      <c r="AJ158" s="562"/>
      <c r="AK158" s="562"/>
      <c r="AL158" s="562"/>
      <c r="AM158" s="562"/>
      <c r="AN158" s="562"/>
      <c r="AO158" s="562"/>
      <c r="AP158" s="562"/>
      <c r="AQ158" s="562"/>
      <c r="AR158" s="562"/>
      <c r="AS158" s="562"/>
      <c r="AT158" s="562"/>
      <c r="AU158" s="562"/>
      <c r="AV158" s="562"/>
      <c r="AW158" s="562"/>
      <c r="AX158" s="562"/>
      <c r="AY158" s="562"/>
      <c r="AZ158" s="562"/>
      <c r="BA158" s="562"/>
      <c r="BB158" s="562"/>
      <c r="BC158" s="562"/>
      <c r="BD158" s="562"/>
      <c r="BE158" s="562"/>
      <c r="BF158" s="562"/>
      <c r="BG158" s="562"/>
      <c r="BH158" s="562"/>
      <c r="BI158" s="562"/>
      <c r="BJ158" s="562"/>
      <c r="BK158" s="562"/>
      <c r="BL158" s="562"/>
      <c r="BM158" s="562"/>
      <c r="BN158" s="562"/>
      <c r="BO158" s="562"/>
      <c r="BP158" s="562"/>
      <c r="BQ158" s="562"/>
      <c r="BR158" s="562"/>
      <c r="BS158" s="562"/>
      <c r="BT158" s="562"/>
      <c r="BU158" s="562"/>
      <c r="BV158" s="562"/>
      <c r="BW158" s="562"/>
      <c r="BX158" s="562"/>
      <c r="BY158" s="562"/>
      <c r="BZ158" s="562"/>
      <c r="CA158" s="562"/>
      <c r="CB158" s="562"/>
      <c r="CC158" s="562"/>
      <c r="CD158" s="562"/>
      <c r="CE158" s="562"/>
      <c r="CF158" s="562"/>
      <c r="CG158" s="562"/>
      <c r="CH158" s="562"/>
      <c r="CI158" s="562"/>
      <c r="CJ158" s="562"/>
      <c r="CK158" s="562"/>
      <c r="CL158" s="562"/>
      <c r="CM158" s="562"/>
      <c r="CN158" s="562"/>
      <c r="CO158" s="562"/>
      <c r="CP158" s="562"/>
      <c r="CQ158" s="562"/>
      <c r="CR158" s="562"/>
      <c r="CS158" s="562"/>
      <c r="CT158" s="562"/>
      <c r="CU158" s="562"/>
      <c r="CV158" s="562"/>
      <c r="CW158" s="562"/>
      <c r="CX158" s="562"/>
      <c r="CY158" s="562"/>
      <c r="CZ158" s="562"/>
      <c r="DA158" s="562"/>
      <c r="DB158" s="562"/>
      <c r="DC158" s="562"/>
    </row>
    <row r="159" spans="1:107" x14ac:dyDescent="0.2">
      <c r="A159" s="562"/>
      <c r="B159" s="562"/>
      <c r="C159" s="562"/>
      <c r="D159" s="562"/>
      <c r="E159" s="562"/>
      <c r="F159" s="562"/>
      <c r="G159" s="562"/>
      <c r="H159" s="562"/>
      <c r="I159" s="562"/>
      <c r="J159" s="562"/>
      <c r="K159" s="562"/>
      <c r="L159" s="562"/>
      <c r="M159" s="562"/>
      <c r="N159" s="562"/>
      <c r="O159" s="562"/>
      <c r="P159" s="562"/>
      <c r="Q159" s="562"/>
      <c r="R159" s="562"/>
      <c r="S159" s="562"/>
      <c r="T159" s="562"/>
      <c r="U159" s="562"/>
      <c r="V159" s="562"/>
      <c r="W159" s="562"/>
      <c r="X159" s="562"/>
      <c r="Y159" s="562"/>
      <c r="Z159" s="562"/>
      <c r="AA159" s="562"/>
      <c r="AB159" s="562"/>
      <c r="AC159" s="562"/>
      <c r="AD159" s="562"/>
      <c r="AE159" s="562"/>
      <c r="AF159" s="562"/>
      <c r="AG159" s="562"/>
      <c r="AH159" s="562"/>
      <c r="AI159" s="562"/>
      <c r="AJ159" s="562"/>
      <c r="AK159" s="562"/>
      <c r="AL159" s="562"/>
      <c r="AM159" s="562"/>
      <c r="AN159" s="562"/>
      <c r="AO159" s="562"/>
      <c r="AP159" s="562"/>
      <c r="AQ159" s="562"/>
      <c r="AR159" s="562"/>
      <c r="AS159" s="562"/>
      <c r="AT159" s="562"/>
      <c r="AU159" s="562"/>
      <c r="AV159" s="562"/>
      <c r="AW159" s="562"/>
      <c r="AX159" s="562"/>
      <c r="AY159" s="562"/>
      <c r="AZ159" s="562"/>
      <c r="BA159" s="562"/>
      <c r="BB159" s="562"/>
      <c r="BC159" s="562"/>
      <c r="BD159" s="562"/>
      <c r="BE159" s="562"/>
      <c r="BF159" s="562"/>
      <c r="BG159" s="562"/>
      <c r="BH159" s="562"/>
      <c r="BI159" s="562"/>
      <c r="BJ159" s="562"/>
      <c r="BK159" s="562"/>
      <c r="BL159" s="562"/>
      <c r="BM159" s="562"/>
      <c r="BN159" s="562"/>
      <c r="BO159" s="562"/>
      <c r="BP159" s="562"/>
      <c r="BQ159" s="562"/>
      <c r="BR159" s="562"/>
      <c r="BS159" s="562"/>
      <c r="BT159" s="562"/>
      <c r="BU159" s="562"/>
      <c r="BV159" s="562"/>
      <c r="BW159" s="562"/>
      <c r="BX159" s="562"/>
      <c r="BY159" s="562"/>
      <c r="BZ159" s="562"/>
      <c r="CA159" s="562"/>
      <c r="CB159" s="562"/>
      <c r="CC159" s="562"/>
      <c r="CD159" s="562"/>
      <c r="CE159" s="562"/>
      <c r="CF159" s="562"/>
      <c r="CG159" s="562"/>
      <c r="CH159" s="562"/>
      <c r="CI159" s="562"/>
      <c r="CJ159" s="562"/>
      <c r="CK159" s="562"/>
      <c r="CL159" s="562"/>
      <c r="CM159" s="562"/>
      <c r="CN159" s="562"/>
      <c r="CO159" s="562"/>
      <c r="CP159" s="562"/>
      <c r="CQ159" s="562"/>
      <c r="CR159" s="562"/>
      <c r="CS159" s="562"/>
      <c r="CT159" s="562"/>
      <c r="CU159" s="562"/>
      <c r="CV159" s="562"/>
      <c r="CW159" s="562"/>
      <c r="CX159" s="562"/>
      <c r="CY159" s="562"/>
      <c r="CZ159" s="562"/>
      <c r="DA159" s="562"/>
      <c r="DB159" s="562"/>
      <c r="DC159" s="562"/>
    </row>
    <row r="160" spans="1:107" x14ac:dyDescent="0.2">
      <c r="A160" s="562"/>
      <c r="B160" s="562"/>
      <c r="C160" s="562"/>
      <c r="D160" s="562"/>
      <c r="E160" s="562"/>
      <c r="F160" s="562"/>
      <c r="G160" s="562"/>
      <c r="H160" s="562"/>
      <c r="I160" s="562"/>
      <c r="J160" s="562"/>
      <c r="K160" s="562"/>
      <c r="L160" s="562"/>
      <c r="M160" s="562"/>
      <c r="N160" s="562"/>
      <c r="O160" s="562"/>
      <c r="P160" s="562"/>
      <c r="Q160" s="562"/>
      <c r="R160" s="562"/>
      <c r="S160" s="562"/>
      <c r="T160" s="562"/>
      <c r="U160" s="562"/>
      <c r="V160" s="562"/>
      <c r="W160" s="562"/>
      <c r="X160" s="562"/>
      <c r="Y160" s="562"/>
      <c r="Z160" s="562"/>
      <c r="AA160" s="562"/>
      <c r="AB160" s="562"/>
      <c r="AC160" s="562"/>
      <c r="AD160" s="562"/>
      <c r="AE160" s="562"/>
      <c r="AF160" s="562"/>
      <c r="AG160" s="562"/>
      <c r="AH160" s="562"/>
      <c r="AI160" s="562"/>
      <c r="AJ160" s="562"/>
      <c r="AK160" s="562"/>
      <c r="AL160" s="562"/>
      <c r="AM160" s="562"/>
      <c r="AN160" s="562"/>
      <c r="AO160" s="562"/>
      <c r="AP160" s="562"/>
      <c r="AQ160" s="562"/>
      <c r="AR160" s="562"/>
      <c r="AS160" s="562"/>
      <c r="AT160" s="562"/>
      <c r="AU160" s="562"/>
      <c r="AV160" s="562"/>
      <c r="AW160" s="562"/>
      <c r="AX160" s="562"/>
      <c r="AY160" s="562"/>
      <c r="AZ160" s="562"/>
      <c r="BA160" s="562"/>
      <c r="BB160" s="562"/>
      <c r="BC160" s="562"/>
      <c r="BD160" s="562"/>
      <c r="BE160" s="562"/>
      <c r="BF160" s="562"/>
      <c r="BG160" s="562"/>
      <c r="BH160" s="562"/>
      <c r="BI160" s="562"/>
      <c r="BJ160" s="562"/>
      <c r="BK160" s="562"/>
      <c r="BL160" s="562"/>
      <c r="BM160" s="562"/>
      <c r="BN160" s="562"/>
      <c r="BO160" s="562"/>
      <c r="BP160" s="562"/>
      <c r="BQ160" s="562"/>
      <c r="BR160" s="562"/>
      <c r="BS160" s="562"/>
      <c r="BT160" s="562"/>
      <c r="BU160" s="562"/>
      <c r="BV160" s="562"/>
      <c r="BW160" s="562"/>
      <c r="BX160" s="562"/>
      <c r="BY160" s="562"/>
      <c r="BZ160" s="562"/>
      <c r="CA160" s="562"/>
      <c r="CB160" s="562"/>
      <c r="CC160" s="562"/>
      <c r="CD160" s="562"/>
      <c r="CE160" s="562"/>
      <c r="CF160" s="562"/>
      <c r="CG160" s="562"/>
      <c r="CH160" s="562"/>
      <c r="CI160" s="562"/>
      <c r="CJ160" s="562"/>
      <c r="CK160" s="562"/>
      <c r="CL160" s="562"/>
      <c r="CM160" s="562"/>
      <c r="CN160" s="562"/>
      <c r="CO160" s="562"/>
      <c r="CP160" s="562"/>
      <c r="CQ160" s="562"/>
      <c r="CR160" s="562"/>
      <c r="CS160" s="562"/>
      <c r="CT160" s="562"/>
      <c r="CU160" s="562"/>
      <c r="CV160" s="562"/>
      <c r="CW160" s="562"/>
      <c r="CX160" s="562"/>
      <c r="CY160" s="562"/>
      <c r="CZ160" s="562"/>
      <c r="DA160" s="562"/>
      <c r="DB160" s="562"/>
      <c r="DC160" s="562"/>
    </row>
    <row r="161" spans="1:107" x14ac:dyDescent="0.2">
      <c r="A161" s="562"/>
      <c r="B161" s="562"/>
      <c r="C161" s="562"/>
      <c r="D161" s="562"/>
      <c r="E161" s="562"/>
      <c r="F161" s="562"/>
      <c r="G161" s="562"/>
      <c r="H161" s="562"/>
      <c r="I161" s="562"/>
      <c r="J161" s="562"/>
      <c r="K161" s="562"/>
      <c r="L161" s="562"/>
      <c r="M161" s="562"/>
      <c r="N161" s="562"/>
      <c r="O161" s="562"/>
      <c r="P161" s="562"/>
      <c r="Q161" s="562"/>
      <c r="R161" s="562"/>
      <c r="S161" s="562"/>
      <c r="T161" s="562"/>
      <c r="U161" s="562"/>
      <c r="V161" s="562"/>
      <c r="W161" s="562"/>
      <c r="X161" s="562"/>
      <c r="Y161" s="562"/>
      <c r="Z161" s="562"/>
      <c r="AA161" s="562"/>
      <c r="AB161" s="562"/>
      <c r="AC161" s="562"/>
      <c r="AD161" s="562"/>
      <c r="AE161" s="562"/>
      <c r="AF161" s="562"/>
      <c r="AG161" s="562"/>
      <c r="AH161" s="562"/>
      <c r="AI161" s="562"/>
      <c r="AJ161" s="562"/>
      <c r="AK161" s="562"/>
      <c r="AL161" s="562"/>
      <c r="AM161" s="562"/>
      <c r="AN161" s="562"/>
      <c r="AO161" s="562"/>
      <c r="AP161" s="562"/>
      <c r="AQ161" s="562"/>
      <c r="AR161" s="562"/>
      <c r="AS161" s="562"/>
      <c r="AT161" s="562"/>
      <c r="AU161" s="562"/>
      <c r="AV161" s="562"/>
      <c r="AW161" s="562"/>
      <c r="AX161" s="562"/>
      <c r="AY161" s="562"/>
      <c r="AZ161" s="562"/>
      <c r="BA161" s="562"/>
      <c r="BB161" s="562"/>
      <c r="BC161" s="562"/>
      <c r="BD161" s="562"/>
      <c r="BE161" s="562"/>
      <c r="BF161" s="562"/>
      <c r="BG161" s="562"/>
      <c r="BH161" s="562"/>
      <c r="BI161" s="562"/>
      <c r="BJ161" s="562"/>
      <c r="BK161" s="562"/>
      <c r="BL161" s="562"/>
      <c r="BM161" s="562"/>
      <c r="BN161" s="562"/>
      <c r="BO161" s="562"/>
      <c r="BP161" s="562"/>
      <c r="BQ161" s="562"/>
      <c r="BR161" s="562"/>
      <c r="BS161" s="562"/>
      <c r="BT161" s="562"/>
      <c r="BU161" s="562"/>
      <c r="BV161" s="562"/>
      <c r="BW161" s="562"/>
      <c r="BX161" s="562"/>
      <c r="BY161" s="562"/>
      <c r="BZ161" s="562"/>
      <c r="CA161" s="562"/>
      <c r="CB161" s="562"/>
      <c r="CC161" s="562"/>
      <c r="CD161" s="562"/>
      <c r="CE161" s="562"/>
      <c r="CF161" s="562"/>
      <c r="CG161" s="562"/>
      <c r="CH161" s="562"/>
      <c r="CI161" s="562"/>
      <c r="CJ161" s="562"/>
      <c r="CK161" s="562"/>
      <c r="CL161" s="562"/>
      <c r="CM161" s="562"/>
      <c r="CN161" s="562"/>
      <c r="CO161" s="562"/>
      <c r="CP161" s="562"/>
      <c r="CQ161" s="562"/>
      <c r="CR161" s="562"/>
      <c r="CS161" s="562"/>
      <c r="CT161" s="562"/>
      <c r="CU161" s="562"/>
      <c r="CV161" s="562"/>
      <c r="CW161" s="562"/>
      <c r="CX161" s="562"/>
      <c r="CY161" s="562"/>
      <c r="CZ161" s="562"/>
      <c r="DA161" s="562"/>
      <c r="DB161" s="562"/>
      <c r="DC161" s="562"/>
    </row>
    <row r="162" spans="1:107" x14ac:dyDescent="0.2">
      <c r="A162" s="562"/>
      <c r="B162" s="562"/>
      <c r="C162" s="562"/>
      <c r="D162" s="562"/>
      <c r="E162" s="562"/>
      <c r="F162" s="562"/>
      <c r="G162" s="562"/>
      <c r="H162" s="562"/>
      <c r="I162" s="562"/>
      <c r="J162" s="562"/>
      <c r="K162" s="562"/>
      <c r="L162" s="562"/>
      <c r="M162" s="562"/>
      <c r="N162" s="562"/>
      <c r="O162" s="562"/>
      <c r="P162" s="562"/>
      <c r="Q162" s="562"/>
      <c r="R162" s="562"/>
      <c r="S162" s="562"/>
      <c r="T162" s="562"/>
      <c r="U162" s="562"/>
      <c r="V162" s="562"/>
      <c r="W162" s="562"/>
      <c r="X162" s="562"/>
      <c r="Y162" s="562"/>
      <c r="Z162" s="562"/>
      <c r="AA162" s="562"/>
      <c r="AB162" s="562"/>
      <c r="AC162" s="562"/>
      <c r="AD162" s="562"/>
      <c r="AE162" s="562"/>
      <c r="AF162" s="562"/>
      <c r="AG162" s="562"/>
      <c r="AH162" s="562"/>
      <c r="AI162" s="562"/>
      <c r="AJ162" s="562"/>
      <c r="AK162" s="562"/>
      <c r="AL162" s="562"/>
      <c r="AM162" s="562"/>
      <c r="AN162" s="562"/>
      <c r="AO162" s="562"/>
      <c r="AP162" s="562"/>
      <c r="AQ162" s="562"/>
      <c r="AR162" s="562"/>
      <c r="AS162" s="562"/>
      <c r="AT162" s="562"/>
      <c r="AU162" s="562"/>
      <c r="AV162" s="562"/>
      <c r="AW162" s="562"/>
      <c r="AX162" s="562"/>
      <c r="AY162" s="562"/>
      <c r="AZ162" s="562"/>
      <c r="BA162" s="562"/>
      <c r="BB162" s="562"/>
      <c r="BC162" s="562"/>
      <c r="BD162" s="562"/>
      <c r="BE162" s="562"/>
      <c r="BF162" s="562"/>
      <c r="BG162" s="562"/>
      <c r="BH162" s="562"/>
      <c r="BI162" s="562"/>
      <c r="BJ162" s="562"/>
      <c r="BK162" s="562"/>
      <c r="BL162" s="562"/>
      <c r="BM162" s="562"/>
      <c r="BN162" s="562"/>
      <c r="BO162" s="562"/>
      <c r="BP162" s="562"/>
      <c r="BQ162" s="562"/>
      <c r="BR162" s="562"/>
      <c r="BS162" s="562"/>
      <c r="BT162" s="562"/>
      <c r="BU162" s="562"/>
      <c r="BV162" s="562"/>
      <c r="BW162" s="562"/>
      <c r="BX162" s="562"/>
      <c r="BY162" s="562"/>
      <c r="BZ162" s="562"/>
      <c r="CA162" s="562"/>
      <c r="CB162" s="562"/>
      <c r="CC162" s="562"/>
      <c r="CD162" s="562"/>
      <c r="CE162" s="562"/>
      <c r="CF162" s="562"/>
      <c r="CG162" s="562"/>
      <c r="CH162" s="562"/>
      <c r="CI162" s="562"/>
      <c r="CJ162" s="562"/>
      <c r="CK162" s="562"/>
      <c r="CL162" s="562"/>
      <c r="CM162" s="562"/>
      <c r="CN162" s="562"/>
      <c r="CO162" s="562"/>
      <c r="CP162" s="562"/>
      <c r="CQ162" s="562"/>
      <c r="CR162" s="562"/>
      <c r="CS162" s="562"/>
      <c r="CT162" s="562"/>
      <c r="CU162" s="562"/>
      <c r="CV162" s="562"/>
      <c r="CW162" s="562"/>
      <c r="CX162" s="562"/>
      <c r="CY162" s="562"/>
      <c r="CZ162" s="562"/>
      <c r="DA162" s="562"/>
      <c r="DB162" s="562"/>
      <c r="DC162" s="562"/>
    </row>
    <row r="163" spans="1:107" x14ac:dyDescent="0.2">
      <c r="A163" s="562"/>
      <c r="B163" s="562"/>
      <c r="C163" s="562"/>
      <c r="D163" s="562"/>
      <c r="E163" s="562"/>
      <c r="F163" s="562"/>
      <c r="G163" s="562"/>
      <c r="H163" s="562"/>
      <c r="I163" s="562"/>
      <c r="J163" s="562"/>
      <c r="K163" s="562"/>
      <c r="L163" s="562"/>
      <c r="M163" s="562"/>
      <c r="N163" s="562"/>
      <c r="O163" s="562"/>
      <c r="P163" s="562"/>
      <c r="Q163" s="562"/>
      <c r="R163" s="562"/>
      <c r="S163" s="562"/>
      <c r="T163" s="562"/>
      <c r="U163" s="562"/>
      <c r="V163" s="562"/>
      <c r="W163" s="562"/>
      <c r="X163" s="562"/>
      <c r="Y163" s="562"/>
      <c r="Z163" s="562"/>
      <c r="AA163" s="562"/>
      <c r="AB163" s="562"/>
      <c r="AC163" s="562"/>
      <c r="AD163" s="562"/>
      <c r="AE163" s="562"/>
      <c r="AF163" s="562"/>
      <c r="AG163" s="562"/>
      <c r="AH163" s="562"/>
      <c r="AI163" s="562"/>
      <c r="AJ163" s="562"/>
      <c r="AK163" s="562"/>
      <c r="AL163" s="562"/>
      <c r="AM163" s="562"/>
      <c r="AN163" s="562"/>
      <c r="AO163" s="562"/>
      <c r="AP163" s="562"/>
      <c r="AQ163" s="562"/>
      <c r="AR163" s="562"/>
      <c r="AS163" s="562"/>
      <c r="AT163" s="562"/>
      <c r="AU163" s="562"/>
      <c r="AV163" s="562"/>
      <c r="AW163" s="562"/>
      <c r="AX163" s="562"/>
      <c r="AY163" s="562"/>
      <c r="AZ163" s="562"/>
      <c r="BA163" s="562"/>
      <c r="BB163" s="562"/>
      <c r="BC163" s="562"/>
      <c r="BD163" s="562"/>
      <c r="BE163" s="562"/>
      <c r="BF163" s="562"/>
      <c r="BG163" s="562"/>
      <c r="BH163" s="562"/>
      <c r="BI163" s="562"/>
      <c r="BJ163" s="562"/>
      <c r="BK163" s="562"/>
      <c r="BL163" s="562"/>
      <c r="BM163" s="562"/>
      <c r="BN163" s="562"/>
      <c r="BO163" s="562"/>
      <c r="BP163" s="562"/>
      <c r="BQ163" s="562"/>
      <c r="BR163" s="562"/>
      <c r="BS163" s="562"/>
      <c r="BT163" s="562"/>
      <c r="BU163" s="562"/>
      <c r="BV163" s="562"/>
      <c r="BW163" s="562"/>
      <c r="BX163" s="562"/>
      <c r="BY163" s="562"/>
      <c r="BZ163" s="562"/>
      <c r="CA163" s="562"/>
      <c r="CB163" s="562"/>
      <c r="CC163" s="562"/>
      <c r="CD163" s="562"/>
      <c r="CE163" s="562"/>
      <c r="CF163" s="562"/>
      <c r="CG163" s="562"/>
      <c r="CH163" s="562"/>
      <c r="CI163" s="562"/>
      <c r="CJ163" s="562"/>
      <c r="CK163" s="562"/>
      <c r="CL163" s="562"/>
      <c r="CM163" s="562"/>
      <c r="CN163" s="562"/>
      <c r="CO163" s="562"/>
      <c r="CP163" s="562"/>
      <c r="CQ163" s="562"/>
      <c r="CR163" s="562"/>
      <c r="CS163" s="562"/>
      <c r="CT163" s="562"/>
      <c r="CU163" s="562"/>
      <c r="CV163" s="562"/>
      <c r="CW163" s="562"/>
      <c r="CX163" s="562"/>
      <c r="CY163" s="562"/>
      <c r="CZ163" s="562"/>
      <c r="DA163" s="562"/>
      <c r="DB163" s="562"/>
      <c r="DC163" s="562"/>
    </row>
    <row r="164" spans="1:107" x14ac:dyDescent="0.2">
      <c r="A164" s="562"/>
      <c r="B164" s="562"/>
      <c r="C164" s="562"/>
      <c r="D164" s="562"/>
      <c r="E164" s="562"/>
      <c r="F164" s="562"/>
      <c r="G164" s="562"/>
      <c r="H164" s="562"/>
      <c r="I164" s="562"/>
      <c r="J164" s="562"/>
      <c r="K164" s="562"/>
      <c r="L164" s="562"/>
      <c r="M164" s="562"/>
      <c r="N164" s="562"/>
      <c r="O164" s="562"/>
      <c r="P164" s="562"/>
      <c r="Q164" s="562"/>
      <c r="R164" s="562"/>
      <c r="S164" s="562"/>
      <c r="T164" s="562"/>
      <c r="U164" s="562"/>
      <c r="V164" s="562"/>
      <c r="W164" s="562"/>
      <c r="X164" s="562"/>
      <c r="Y164" s="562"/>
      <c r="Z164" s="562"/>
      <c r="AA164" s="562"/>
      <c r="AB164" s="562"/>
      <c r="AC164" s="562"/>
      <c r="AD164" s="562"/>
      <c r="AE164" s="562"/>
      <c r="AF164" s="562"/>
      <c r="AG164" s="562"/>
      <c r="AH164" s="562"/>
      <c r="AI164" s="562"/>
      <c r="AJ164" s="562"/>
      <c r="AK164" s="562"/>
      <c r="AL164" s="562"/>
      <c r="AM164" s="562"/>
      <c r="AN164" s="562"/>
      <c r="AO164" s="562"/>
      <c r="AP164" s="562"/>
      <c r="AQ164" s="562"/>
      <c r="AR164" s="562"/>
      <c r="AS164" s="562"/>
      <c r="AT164" s="562"/>
      <c r="AU164" s="562"/>
      <c r="AV164" s="562"/>
      <c r="AW164" s="562"/>
      <c r="AX164" s="562"/>
      <c r="AY164" s="562"/>
      <c r="AZ164" s="562"/>
      <c r="BA164" s="562"/>
      <c r="BB164" s="562"/>
      <c r="BC164" s="562"/>
      <c r="BD164" s="562"/>
      <c r="BE164" s="562"/>
      <c r="BF164" s="562"/>
      <c r="BG164" s="562"/>
      <c r="BH164" s="562"/>
      <c r="BI164" s="562"/>
      <c r="BJ164" s="562"/>
      <c r="BK164" s="562"/>
      <c r="BL164" s="562"/>
      <c r="BM164" s="562"/>
      <c r="BN164" s="562"/>
      <c r="BO164" s="562"/>
      <c r="BP164" s="562"/>
      <c r="BQ164" s="562"/>
      <c r="BR164" s="562"/>
      <c r="BS164" s="562"/>
      <c r="BT164" s="562"/>
      <c r="BU164" s="562"/>
      <c r="BV164" s="562"/>
      <c r="BW164" s="562"/>
      <c r="BX164" s="562"/>
      <c r="BY164" s="562"/>
      <c r="BZ164" s="562"/>
      <c r="CA164" s="562"/>
      <c r="CB164" s="562"/>
      <c r="CC164" s="562"/>
      <c r="CD164" s="562"/>
      <c r="CE164" s="562"/>
      <c r="CF164" s="562"/>
      <c r="CG164" s="562"/>
      <c r="CH164" s="562"/>
      <c r="CI164" s="562"/>
      <c r="CJ164" s="562"/>
      <c r="CK164" s="562"/>
      <c r="CL164" s="562"/>
      <c r="CM164" s="562"/>
      <c r="CN164" s="562"/>
      <c r="CO164" s="562"/>
      <c r="CP164" s="562"/>
      <c r="CQ164" s="562"/>
      <c r="CR164" s="562"/>
      <c r="CS164" s="562"/>
      <c r="CT164" s="562"/>
      <c r="CU164" s="562"/>
      <c r="CV164" s="562"/>
      <c r="CW164" s="562"/>
      <c r="CX164" s="562"/>
      <c r="CY164" s="562"/>
      <c r="CZ164" s="562"/>
      <c r="DA164" s="562"/>
      <c r="DB164" s="562"/>
      <c r="DC164" s="562"/>
    </row>
    <row r="165" spans="1:107" x14ac:dyDescent="0.2">
      <c r="A165" s="562"/>
      <c r="B165" s="562"/>
      <c r="C165" s="562"/>
      <c r="D165" s="562"/>
      <c r="E165" s="562"/>
      <c r="F165" s="562"/>
      <c r="G165" s="562"/>
      <c r="H165" s="562"/>
      <c r="I165" s="562"/>
      <c r="J165" s="562"/>
      <c r="K165" s="562"/>
      <c r="L165" s="562"/>
      <c r="M165" s="562"/>
      <c r="N165" s="562"/>
      <c r="O165" s="562"/>
      <c r="P165" s="562"/>
      <c r="Q165" s="562"/>
      <c r="R165" s="562"/>
      <c r="S165" s="562"/>
      <c r="T165" s="562"/>
      <c r="U165" s="562"/>
      <c r="V165" s="562"/>
      <c r="W165" s="562"/>
      <c r="X165" s="562"/>
      <c r="Y165" s="562"/>
      <c r="Z165" s="562"/>
      <c r="AA165" s="562"/>
      <c r="AB165" s="562"/>
      <c r="AC165" s="562"/>
      <c r="AD165" s="562"/>
      <c r="AE165" s="562"/>
      <c r="AF165" s="562"/>
      <c r="AG165" s="562"/>
      <c r="AH165" s="562"/>
      <c r="AI165" s="562"/>
      <c r="AJ165" s="562"/>
      <c r="AK165" s="562"/>
      <c r="AL165" s="562"/>
      <c r="AM165" s="562"/>
      <c r="AN165" s="562"/>
      <c r="AO165" s="562"/>
      <c r="AP165" s="562"/>
      <c r="AQ165" s="562"/>
      <c r="AR165" s="562"/>
      <c r="AS165" s="562"/>
      <c r="AT165" s="562"/>
      <c r="AU165" s="562"/>
      <c r="AV165" s="562"/>
      <c r="AW165" s="562"/>
      <c r="AX165" s="562"/>
      <c r="AY165" s="562"/>
      <c r="AZ165" s="562"/>
      <c r="BA165" s="562"/>
      <c r="BB165" s="562"/>
      <c r="BC165" s="562"/>
      <c r="BD165" s="562"/>
      <c r="BE165" s="562"/>
      <c r="BF165" s="562"/>
      <c r="BG165" s="562"/>
      <c r="BH165" s="562"/>
      <c r="BI165" s="562"/>
      <c r="BJ165" s="562"/>
      <c r="BK165" s="562"/>
      <c r="BL165" s="562"/>
      <c r="BM165" s="562"/>
      <c r="BN165" s="562"/>
      <c r="BO165" s="562"/>
      <c r="BP165" s="562"/>
      <c r="BQ165" s="562"/>
      <c r="BR165" s="562"/>
      <c r="BS165" s="562"/>
      <c r="BT165" s="562"/>
      <c r="BU165" s="562"/>
      <c r="BV165" s="562"/>
      <c r="BW165" s="562"/>
      <c r="BX165" s="562"/>
      <c r="BY165" s="562"/>
      <c r="BZ165" s="562"/>
      <c r="CA165" s="562"/>
      <c r="CB165" s="562"/>
      <c r="CC165" s="562"/>
      <c r="CD165" s="562"/>
      <c r="CE165" s="562"/>
      <c r="CF165" s="562"/>
      <c r="CG165" s="562"/>
      <c r="CH165" s="562"/>
      <c r="CI165" s="562"/>
      <c r="CJ165" s="562"/>
      <c r="CK165" s="562"/>
      <c r="CL165" s="562"/>
      <c r="CM165" s="562"/>
      <c r="CN165" s="562"/>
      <c r="CO165" s="562"/>
      <c r="CP165" s="562"/>
      <c r="CQ165" s="562"/>
      <c r="CR165" s="562"/>
      <c r="CS165" s="562"/>
      <c r="CT165" s="562"/>
      <c r="CU165" s="562"/>
      <c r="CV165" s="562"/>
      <c r="CW165" s="562"/>
      <c r="CX165" s="562"/>
      <c r="CY165" s="562"/>
      <c r="CZ165" s="562"/>
      <c r="DA165" s="562"/>
      <c r="DB165" s="562"/>
      <c r="DC165" s="562"/>
    </row>
    <row r="166" spans="1:107" x14ac:dyDescent="0.2">
      <c r="A166" s="562"/>
      <c r="B166" s="562"/>
      <c r="C166" s="562"/>
      <c r="D166" s="562"/>
      <c r="E166" s="562"/>
      <c r="F166" s="562"/>
      <c r="G166" s="562"/>
      <c r="H166" s="562"/>
      <c r="I166" s="562"/>
      <c r="J166" s="562"/>
      <c r="K166" s="562"/>
      <c r="L166" s="562"/>
      <c r="M166" s="562"/>
      <c r="N166" s="562"/>
      <c r="O166" s="562"/>
      <c r="P166" s="562"/>
      <c r="Q166" s="562"/>
      <c r="R166" s="562"/>
      <c r="S166" s="562"/>
      <c r="T166" s="562"/>
      <c r="U166" s="562"/>
      <c r="V166" s="562"/>
      <c r="W166" s="562"/>
      <c r="X166" s="562"/>
      <c r="Y166" s="562"/>
      <c r="Z166" s="562"/>
      <c r="AA166" s="562"/>
      <c r="AB166" s="562"/>
      <c r="AC166" s="562"/>
      <c r="AD166" s="562"/>
      <c r="AE166" s="562"/>
      <c r="AF166" s="562"/>
      <c r="AG166" s="562"/>
      <c r="AH166" s="562"/>
      <c r="AI166" s="562"/>
      <c r="AJ166" s="562"/>
      <c r="AK166" s="562"/>
      <c r="AL166" s="562"/>
      <c r="AM166" s="562"/>
      <c r="AN166" s="562"/>
      <c r="AO166" s="562"/>
      <c r="AP166" s="562"/>
      <c r="AQ166" s="562"/>
      <c r="AR166" s="562"/>
      <c r="AS166" s="562"/>
      <c r="AT166" s="562"/>
      <c r="AU166" s="562"/>
      <c r="AV166" s="562"/>
      <c r="AW166" s="562"/>
      <c r="AX166" s="562"/>
      <c r="AY166" s="562"/>
      <c r="AZ166" s="562"/>
      <c r="BA166" s="562"/>
      <c r="BB166" s="562"/>
      <c r="BC166" s="562"/>
      <c r="BD166" s="562"/>
      <c r="BE166" s="562"/>
      <c r="BF166" s="562"/>
      <c r="BG166" s="562"/>
      <c r="BH166" s="562"/>
      <c r="BI166" s="562"/>
      <c r="BJ166" s="562"/>
      <c r="BK166" s="562"/>
      <c r="BL166" s="562"/>
      <c r="BM166" s="562"/>
      <c r="BN166" s="562"/>
      <c r="BO166" s="562"/>
      <c r="BP166" s="562"/>
      <c r="BQ166" s="562"/>
      <c r="BR166" s="562"/>
      <c r="BS166" s="562"/>
      <c r="BT166" s="562"/>
      <c r="BU166" s="562"/>
      <c r="BV166" s="562"/>
      <c r="BW166" s="562"/>
      <c r="BX166" s="562"/>
      <c r="BY166" s="562"/>
      <c r="BZ166" s="562"/>
      <c r="CA166" s="562"/>
      <c r="CB166" s="562"/>
      <c r="CC166" s="562"/>
      <c r="CD166" s="562"/>
      <c r="CE166" s="562"/>
      <c r="CF166" s="562"/>
      <c r="CG166" s="562"/>
      <c r="CH166" s="562"/>
      <c r="CI166" s="562"/>
      <c r="CJ166" s="562"/>
      <c r="CK166" s="562"/>
      <c r="CL166" s="562"/>
      <c r="CM166" s="562"/>
      <c r="CN166" s="562"/>
      <c r="CO166" s="562"/>
      <c r="CP166" s="562"/>
      <c r="CQ166" s="562"/>
      <c r="CR166" s="562"/>
      <c r="CS166" s="562"/>
      <c r="CT166" s="562"/>
      <c r="CU166" s="562"/>
      <c r="CV166" s="562"/>
      <c r="CW166" s="562"/>
      <c r="CX166" s="562"/>
      <c r="CY166" s="562"/>
      <c r="CZ166" s="562"/>
      <c r="DA166" s="562"/>
      <c r="DB166" s="562"/>
      <c r="DC166" s="562"/>
    </row>
    <row r="167" spans="1:107" x14ac:dyDescent="0.2">
      <c r="A167" s="562"/>
      <c r="B167" s="562"/>
      <c r="C167" s="562"/>
      <c r="D167" s="562"/>
      <c r="E167" s="562"/>
      <c r="F167" s="562"/>
      <c r="G167" s="562"/>
      <c r="H167" s="562"/>
      <c r="I167" s="562"/>
      <c r="J167" s="562"/>
      <c r="K167" s="562"/>
      <c r="L167" s="562"/>
      <c r="M167" s="562"/>
      <c r="N167" s="562"/>
      <c r="O167" s="562"/>
      <c r="P167" s="562"/>
      <c r="Q167" s="562"/>
      <c r="R167" s="562"/>
      <c r="S167" s="562"/>
      <c r="T167" s="562"/>
      <c r="U167" s="562"/>
      <c r="V167" s="562"/>
      <c r="W167" s="562"/>
      <c r="X167" s="562"/>
      <c r="Y167" s="562"/>
      <c r="Z167" s="562"/>
      <c r="AA167" s="562"/>
      <c r="AB167" s="562"/>
      <c r="AC167" s="562"/>
      <c r="AD167" s="562"/>
      <c r="AE167" s="562"/>
      <c r="AF167" s="562"/>
      <c r="AG167" s="562"/>
      <c r="AH167" s="562"/>
      <c r="AI167" s="562"/>
      <c r="AJ167" s="562"/>
      <c r="AK167" s="562"/>
      <c r="AL167" s="562"/>
      <c r="AM167" s="562"/>
      <c r="AN167" s="562"/>
      <c r="AO167" s="562"/>
      <c r="AP167" s="562"/>
      <c r="AQ167" s="562"/>
      <c r="AR167" s="562"/>
      <c r="AS167" s="562"/>
      <c r="AT167" s="562"/>
      <c r="AU167" s="562"/>
      <c r="AV167" s="562"/>
      <c r="AW167" s="562"/>
      <c r="AX167" s="562"/>
      <c r="AY167" s="562"/>
      <c r="AZ167" s="562"/>
      <c r="BA167" s="562"/>
      <c r="BB167" s="562"/>
      <c r="BC167" s="562"/>
      <c r="BD167" s="562"/>
      <c r="BE167" s="562"/>
      <c r="BF167" s="562"/>
      <c r="BG167" s="562"/>
      <c r="BH167" s="562"/>
      <c r="BI167" s="562"/>
      <c r="BJ167" s="562"/>
      <c r="BK167" s="562"/>
      <c r="BL167" s="562"/>
      <c r="BM167" s="562"/>
      <c r="BN167" s="562"/>
      <c r="BO167" s="562"/>
      <c r="BP167" s="562"/>
      <c r="BQ167" s="562"/>
      <c r="BR167" s="562"/>
      <c r="BS167" s="562"/>
      <c r="BT167" s="562"/>
      <c r="BU167" s="562"/>
      <c r="BV167" s="562"/>
      <c r="BW167" s="562"/>
      <c r="BX167" s="562"/>
      <c r="BY167" s="562"/>
      <c r="BZ167" s="562"/>
      <c r="CA167" s="562"/>
      <c r="CB167" s="562"/>
      <c r="CC167" s="562"/>
      <c r="CD167" s="562"/>
      <c r="CE167" s="562"/>
      <c r="CF167" s="562"/>
      <c r="CG167" s="562"/>
      <c r="CH167" s="562"/>
      <c r="CI167" s="562"/>
      <c r="CJ167" s="562"/>
      <c r="CK167" s="562"/>
      <c r="CL167" s="562"/>
      <c r="CM167" s="562"/>
      <c r="CN167" s="562"/>
      <c r="CO167" s="562"/>
      <c r="CP167" s="562"/>
      <c r="CQ167" s="562"/>
      <c r="CR167" s="562"/>
      <c r="CS167" s="562"/>
      <c r="CT167" s="562"/>
      <c r="CU167" s="562"/>
      <c r="CV167" s="562"/>
      <c r="CW167" s="562"/>
      <c r="CX167" s="562"/>
      <c r="CY167" s="562"/>
      <c r="CZ167" s="562"/>
      <c r="DA167" s="562"/>
      <c r="DB167" s="562"/>
      <c r="DC167" s="562"/>
    </row>
    <row r="168" spans="1:107" x14ac:dyDescent="0.2">
      <c r="A168" s="562"/>
      <c r="B168" s="562"/>
      <c r="C168" s="562"/>
      <c r="D168" s="562"/>
      <c r="E168" s="562"/>
      <c r="F168" s="562"/>
      <c r="G168" s="562"/>
      <c r="H168" s="562"/>
      <c r="I168" s="562"/>
      <c r="J168" s="562"/>
      <c r="K168" s="562"/>
      <c r="L168" s="562"/>
      <c r="M168" s="562"/>
      <c r="N168" s="562"/>
      <c r="O168" s="562"/>
      <c r="P168" s="562"/>
      <c r="Q168" s="562"/>
      <c r="R168" s="562"/>
      <c r="S168" s="562"/>
      <c r="T168" s="562"/>
      <c r="U168" s="562"/>
      <c r="V168" s="562"/>
      <c r="W168" s="562"/>
      <c r="X168" s="562"/>
      <c r="Y168" s="562"/>
      <c r="Z168" s="562"/>
      <c r="AA168" s="562"/>
      <c r="AB168" s="562"/>
      <c r="AC168" s="562"/>
      <c r="AD168" s="562"/>
      <c r="AE168" s="562"/>
      <c r="AF168" s="562"/>
      <c r="AG168" s="562"/>
      <c r="AH168" s="562"/>
      <c r="AI168" s="562"/>
      <c r="AJ168" s="562"/>
      <c r="AK168" s="562"/>
      <c r="AL168" s="562"/>
      <c r="AM168" s="562"/>
      <c r="AN168" s="562"/>
      <c r="AO168" s="562"/>
      <c r="AP168" s="562"/>
      <c r="AQ168" s="562"/>
      <c r="AR168" s="562"/>
      <c r="AS168" s="562"/>
      <c r="AT168" s="562"/>
      <c r="AU168" s="562"/>
      <c r="AV168" s="562"/>
      <c r="AW168" s="562"/>
      <c r="AX168" s="562"/>
      <c r="AY168" s="562"/>
      <c r="AZ168" s="562"/>
      <c r="BA168" s="562"/>
      <c r="BB168" s="562"/>
      <c r="BC168" s="562"/>
      <c r="BD168" s="562"/>
      <c r="BE168" s="562"/>
      <c r="BF168" s="562"/>
      <c r="BG168" s="562"/>
      <c r="BH168" s="562"/>
      <c r="BI168" s="562"/>
      <c r="BJ168" s="562"/>
      <c r="BK168" s="562"/>
      <c r="BL168" s="562"/>
      <c r="BM168" s="562"/>
      <c r="BN168" s="562"/>
      <c r="BO168" s="562"/>
      <c r="BP168" s="562"/>
      <c r="BQ168" s="562"/>
      <c r="BR168" s="562"/>
      <c r="BS168" s="562"/>
      <c r="BT168" s="562"/>
      <c r="BU168" s="562"/>
      <c r="BV168" s="562"/>
      <c r="BW168" s="562"/>
      <c r="BX168" s="562"/>
      <c r="BY168" s="562"/>
      <c r="BZ168" s="562"/>
      <c r="CA168" s="562"/>
      <c r="CB168" s="562"/>
      <c r="CC168" s="562"/>
      <c r="CD168" s="562"/>
      <c r="CE168" s="562"/>
      <c r="CF168" s="562"/>
      <c r="CG168" s="562"/>
      <c r="CH168" s="562"/>
      <c r="CI168" s="562"/>
      <c r="CJ168" s="562"/>
      <c r="CK168" s="562"/>
      <c r="CL168" s="562"/>
      <c r="CM168" s="562"/>
      <c r="CN168" s="562"/>
      <c r="CO168" s="562"/>
      <c r="CP168" s="562"/>
      <c r="CQ168" s="562"/>
      <c r="CR168" s="562"/>
      <c r="CS168" s="562"/>
      <c r="CT168" s="562"/>
      <c r="CU168" s="562"/>
      <c r="CV168" s="562"/>
      <c r="CW168" s="562"/>
      <c r="CX168" s="562"/>
      <c r="CY168" s="562"/>
      <c r="CZ168" s="562"/>
      <c r="DA168" s="562"/>
      <c r="DB168" s="562"/>
      <c r="DC168" s="562"/>
    </row>
    <row r="169" spans="1:107" x14ac:dyDescent="0.2">
      <c r="A169" s="562"/>
      <c r="B169" s="562"/>
      <c r="C169" s="562"/>
      <c r="D169" s="562"/>
      <c r="E169" s="562"/>
      <c r="F169" s="562"/>
      <c r="G169" s="562"/>
      <c r="H169" s="562"/>
      <c r="I169" s="562"/>
      <c r="J169" s="562"/>
      <c r="K169" s="562"/>
      <c r="L169" s="562"/>
      <c r="M169" s="562"/>
      <c r="N169" s="562"/>
      <c r="O169" s="562"/>
      <c r="P169" s="562"/>
      <c r="Q169" s="562"/>
      <c r="R169" s="562"/>
      <c r="S169" s="562"/>
      <c r="T169" s="562"/>
      <c r="U169" s="562"/>
      <c r="V169" s="562"/>
      <c r="W169" s="562"/>
      <c r="X169" s="562"/>
      <c r="Y169" s="562"/>
      <c r="Z169" s="562"/>
      <c r="AA169" s="562"/>
      <c r="AB169" s="562"/>
      <c r="AC169" s="562"/>
      <c r="AD169" s="562"/>
      <c r="AE169" s="562"/>
      <c r="AF169" s="562"/>
      <c r="AG169" s="562"/>
      <c r="AH169" s="562"/>
      <c r="AI169" s="562"/>
      <c r="AJ169" s="562"/>
      <c r="AK169" s="562"/>
      <c r="AL169" s="562"/>
      <c r="AM169" s="562"/>
      <c r="AN169" s="562"/>
      <c r="AO169" s="562"/>
      <c r="AP169" s="562"/>
      <c r="AQ169" s="562"/>
      <c r="AR169" s="562"/>
      <c r="AS169" s="562"/>
      <c r="AT169" s="562"/>
      <c r="AU169" s="562"/>
      <c r="AV169" s="562"/>
      <c r="AW169" s="562"/>
      <c r="AX169" s="562"/>
      <c r="AY169" s="562"/>
      <c r="AZ169" s="562"/>
      <c r="BA169" s="562"/>
      <c r="BB169" s="562"/>
      <c r="BC169" s="562"/>
      <c r="BD169" s="562"/>
      <c r="BE169" s="562"/>
      <c r="BF169" s="562"/>
      <c r="BG169" s="562"/>
      <c r="BH169" s="562"/>
      <c r="BI169" s="562"/>
      <c r="BJ169" s="562"/>
      <c r="BK169" s="562"/>
      <c r="BL169" s="562"/>
      <c r="BM169" s="562"/>
      <c r="BN169" s="562"/>
      <c r="BO169" s="562"/>
      <c r="BP169" s="562"/>
      <c r="BQ169" s="562"/>
      <c r="BR169" s="562"/>
      <c r="BS169" s="562"/>
      <c r="BT169" s="562"/>
      <c r="BU169" s="562"/>
      <c r="BV169" s="562"/>
      <c r="BW169" s="562"/>
      <c r="BX169" s="562"/>
      <c r="BY169" s="562"/>
      <c r="BZ169" s="562"/>
      <c r="CA169" s="562"/>
      <c r="CB169" s="562"/>
      <c r="CC169" s="562"/>
      <c r="CD169" s="562"/>
      <c r="CE169" s="562"/>
      <c r="CF169" s="562"/>
      <c r="CG169" s="562"/>
      <c r="CH169" s="562"/>
      <c r="CI169" s="562"/>
      <c r="CJ169" s="562"/>
      <c r="CK169" s="562"/>
      <c r="CL169" s="562"/>
      <c r="CM169" s="562"/>
      <c r="CN169" s="562"/>
      <c r="CO169" s="562"/>
      <c r="CP169" s="562"/>
      <c r="CQ169" s="562"/>
      <c r="CR169" s="562"/>
      <c r="CS169" s="562"/>
      <c r="CT169" s="562"/>
      <c r="CU169" s="562"/>
      <c r="CV169" s="562"/>
      <c r="CW169" s="562"/>
      <c r="CX169" s="562"/>
      <c r="CY169" s="562"/>
      <c r="CZ169" s="562"/>
      <c r="DA169" s="562"/>
      <c r="DB169" s="562"/>
      <c r="DC169" s="562"/>
    </row>
    <row r="170" spans="1:107" x14ac:dyDescent="0.2">
      <c r="A170" s="562"/>
      <c r="B170" s="562"/>
      <c r="C170" s="562"/>
      <c r="D170" s="562"/>
      <c r="E170" s="562"/>
      <c r="F170" s="562"/>
      <c r="G170" s="562"/>
      <c r="H170" s="562"/>
      <c r="I170" s="562"/>
      <c r="J170" s="562"/>
      <c r="K170" s="562"/>
      <c r="L170" s="562"/>
      <c r="M170" s="562"/>
      <c r="N170" s="562"/>
      <c r="O170" s="562"/>
      <c r="P170" s="562"/>
      <c r="Q170" s="562"/>
      <c r="R170" s="562"/>
      <c r="S170" s="562"/>
      <c r="T170" s="562"/>
      <c r="U170" s="562"/>
      <c r="V170" s="562"/>
      <c r="W170" s="562"/>
      <c r="X170" s="562"/>
      <c r="Y170" s="562"/>
      <c r="Z170" s="562"/>
      <c r="AA170" s="562"/>
      <c r="AB170" s="562"/>
      <c r="AC170" s="562"/>
      <c r="AD170" s="562"/>
      <c r="AE170" s="562"/>
      <c r="AF170" s="562"/>
      <c r="AG170" s="562"/>
      <c r="AH170" s="562"/>
      <c r="AI170" s="562"/>
      <c r="AJ170" s="562"/>
      <c r="AK170" s="562"/>
      <c r="AL170" s="562"/>
      <c r="AM170" s="562"/>
      <c r="AN170" s="562"/>
      <c r="AO170" s="562"/>
      <c r="AP170" s="562"/>
      <c r="AQ170" s="562"/>
      <c r="AR170" s="562"/>
      <c r="AS170" s="562"/>
      <c r="AT170" s="562"/>
      <c r="AU170" s="562"/>
      <c r="AV170" s="562"/>
      <c r="AW170" s="562"/>
      <c r="AX170" s="562"/>
      <c r="AY170" s="562"/>
      <c r="AZ170" s="562"/>
      <c r="BA170" s="562"/>
      <c r="BB170" s="562"/>
      <c r="BC170" s="562"/>
      <c r="BD170" s="562"/>
      <c r="BE170" s="562"/>
      <c r="BF170" s="562"/>
      <c r="BG170" s="562"/>
      <c r="BH170" s="562"/>
      <c r="BI170" s="562"/>
      <c r="BJ170" s="562"/>
      <c r="BK170" s="562"/>
      <c r="BL170" s="562"/>
      <c r="BM170" s="562"/>
      <c r="BN170" s="562"/>
      <c r="BO170" s="562"/>
      <c r="BP170" s="562"/>
      <c r="BQ170" s="562"/>
      <c r="BR170" s="562"/>
      <c r="BS170" s="562"/>
      <c r="BT170" s="562"/>
      <c r="BU170" s="562"/>
      <c r="BV170" s="562"/>
      <c r="BW170" s="562"/>
      <c r="BX170" s="562"/>
      <c r="BY170" s="562"/>
      <c r="BZ170" s="562"/>
      <c r="CA170" s="562"/>
      <c r="CB170" s="562"/>
      <c r="CC170" s="562"/>
      <c r="CD170" s="562"/>
      <c r="CE170" s="562"/>
      <c r="CF170" s="562"/>
      <c r="CG170" s="562"/>
      <c r="CH170" s="562"/>
      <c r="CI170" s="562"/>
      <c r="CJ170" s="562"/>
      <c r="CK170" s="562"/>
      <c r="CL170" s="562"/>
      <c r="CM170" s="562"/>
      <c r="CN170" s="562"/>
      <c r="CO170" s="562"/>
      <c r="CP170" s="562"/>
      <c r="CQ170" s="562"/>
      <c r="CR170" s="562"/>
      <c r="CS170" s="562"/>
      <c r="CT170" s="562"/>
      <c r="CU170" s="562"/>
      <c r="CV170" s="562"/>
      <c r="CW170" s="562"/>
      <c r="CX170" s="562"/>
      <c r="CY170" s="562"/>
      <c r="CZ170" s="562"/>
      <c r="DA170" s="562"/>
      <c r="DB170" s="562"/>
      <c r="DC170" s="562"/>
    </row>
    <row r="171" spans="1:107" x14ac:dyDescent="0.2">
      <c r="A171" s="562"/>
      <c r="B171" s="562"/>
      <c r="C171" s="562"/>
      <c r="D171" s="562"/>
      <c r="E171" s="562"/>
      <c r="F171" s="562"/>
      <c r="G171" s="562"/>
      <c r="H171" s="562"/>
      <c r="I171" s="562"/>
      <c r="J171" s="562"/>
      <c r="K171" s="562"/>
      <c r="L171" s="562"/>
      <c r="M171" s="562"/>
      <c r="N171" s="562"/>
      <c r="O171" s="562"/>
      <c r="P171" s="562"/>
      <c r="Q171" s="562"/>
      <c r="R171" s="562"/>
      <c r="S171" s="562"/>
      <c r="T171" s="562"/>
      <c r="U171" s="562"/>
      <c r="V171" s="562"/>
      <c r="W171" s="562"/>
      <c r="X171" s="562"/>
      <c r="Y171" s="562"/>
      <c r="Z171" s="562"/>
      <c r="AA171" s="562"/>
      <c r="AB171" s="562"/>
      <c r="AC171" s="562"/>
      <c r="AD171" s="562"/>
      <c r="AE171" s="562"/>
      <c r="AF171" s="562"/>
      <c r="AG171" s="562"/>
      <c r="AH171" s="562"/>
      <c r="AI171" s="562"/>
      <c r="AJ171" s="562"/>
      <c r="AK171" s="562"/>
      <c r="AL171" s="562"/>
      <c r="AM171" s="562"/>
      <c r="AN171" s="562"/>
      <c r="AO171" s="562"/>
      <c r="AP171" s="562"/>
      <c r="AQ171" s="562"/>
      <c r="AR171" s="562"/>
      <c r="AS171" s="562"/>
      <c r="AT171" s="562"/>
      <c r="AU171" s="562"/>
      <c r="AV171" s="562"/>
      <c r="AW171" s="562"/>
      <c r="AX171" s="562"/>
      <c r="AY171" s="562"/>
      <c r="AZ171" s="562"/>
      <c r="BA171" s="562"/>
      <c r="BB171" s="562"/>
      <c r="BC171" s="562"/>
      <c r="BD171" s="562"/>
      <c r="BE171" s="562"/>
      <c r="BF171" s="562"/>
      <c r="BG171" s="562"/>
      <c r="BH171" s="562"/>
      <c r="BI171" s="562"/>
      <c r="BJ171" s="562"/>
      <c r="BK171" s="562"/>
      <c r="BL171" s="562"/>
      <c r="BM171" s="562"/>
      <c r="BN171" s="562"/>
      <c r="BO171" s="562"/>
      <c r="BP171" s="562"/>
      <c r="BQ171" s="562"/>
      <c r="BR171" s="562"/>
      <c r="BS171" s="562"/>
      <c r="BT171" s="562"/>
      <c r="BU171" s="562"/>
      <c r="BV171" s="562"/>
      <c r="BW171" s="562"/>
      <c r="BX171" s="562"/>
      <c r="BY171" s="562"/>
      <c r="BZ171" s="562"/>
      <c r="CA171" s="562"/>
      <c r="CB171" s="562"/>
      <c r="CC171" s="562"/>
      <c r="CD171" s="562"/>
      <c r="CE171" s="562"/>
      <c r="CF171" s="562"/>
      <c r="CG171" s="562"/>
      <c r="CH171" s="562"/>
      <c r="CI171" s="562"/>
      <c r="CJ171" s="562"/>
      <c r="CK171" s="562"/>
      <c r="CL171" s="562"/>
      <c r="CM171" s="562"/>
      <c r="CN171" s="562"/>
      <c r="CO171" s="562"/>
      <c r="CP171" s="562"/>
      <c r="CQ171" s="562"/>
      <c r="CR171" s="562"/>
      <c r="CS171" s="562"/>
      <c r="CT171" s="562"/>
      <c r="CU171" s="562"/>
      <c r="CV171" s="562"/>
      <c r="CW171" s="562"/>
      <c r="CX171" s="562"/>
      <c r="CY171" s="562"/>
      <c r="CZ171" s="562"/>
      <c r="DA171" s="562"/>
      <c r="DB171" s="562"/>
      <c r="DC171" s="562"/>
    </row>
    <row r="172" spans="1:107" x14ac:dyDescent="0.2">
      <c r="A172" s="562"/>
      <c r="B172" s="562"/>
      <c r="C172" s="562"/>
      <c r="D172" s="562"/>
      <c r="E172" s="562"/>
      <c r="F172" s="562"/>
      <c r="G172" s="562"/>
      <c r="H172" s="562"/>
      <c r="I172" s="562"/>
      <c r="J172" s="562"/>
      <c r="K172" s="562"/>
      <c r="L172" s="562"/>
      <c r="M172" s="562"/>
      <c r="N172" s="562"/>
      <c r="O172" s="562"/>
      <c r="P172" s="562"/>
      <c r="Q172" s="562"/>
      <c r="R172" s="562"/>
      <c r="S172" s="562"/>
      <c r="T172" s="562"/>
      <c r="U172" s="562"/>
      <c r="V172" s="562"/>
      <c r="W172" s="562"/>
      <c r="X172" s="562"/>
      <c r="Y172" s="562"/>
      <c r="Z172" s="562"/>
      <c r="AA172" s="562"/>
      <c r="AB172" s="562"/>
      <c r="AC172" s="562"/>
      <c r="AD172" s="562"/>
      <c r="AE172" s="562"/>
      <c r="AF172" s="562"/>
      <c r="AG172" s="562"/>
      <c r="AH172" s="562"/>
      <c r="AI172" s="562"/>
      <c r="AJ172" s="562"/>
      <c r="AK172" s="562"/>
      <c r="AL172" s="562"/>
      <c r="AM172" s="562"/>
      <c r="AN172" s="562"/>
      <c r="AO172" s="562"/>
      <c r="AP172" s="562"/>
      <c r="AQ172" s="562"/>
      <c r="AR172" s="562"/>
      <c r="AS172" s="562"/>
      <c r="AT172" s="562"/>
      <c r="AU172" s="562"/>
      <c r="AV172" s="562"/>
      <c r="AW172" s="562"/>
      <c r="AX172" s="562"/>
      <c r="AY172" s="562"/>
      <c r="AZ172" s="562"/>
      <c r="BA172" s="562"/>
      <c r="BB172" s="562"/>
      <c r="BC172" s="562"/>
      <c r="BD172" s="562"/>
      <c r="BE172" s="562"/>
      <c r="BF172" s="562"/>
      <c r="BG172" s="562"/>
      <c r="BH172" s="562"/>
      <c r="BI172" s="562"/>
      <c r="BJ172" s="562"/>
      <c r="BK172" s="562"/>
      <c r="BL172" s="562"/>
      <c r="BM172" s="562"/>
      <c r="BN172" s="562"/>
      <c r="BO172" s="562"/>
      <c r="BP172" s="562"/>
      <c r="BQ172" s="562"/>
      <c r="BR172" s="562"/>
      <c r="BS172" s="562"/>
      <c r="BT172" s="562"/>
      <c r="BU172" s="562"/>
      <c r="BV172" s="562"/>
      <c r="BW172" s="562"/>
      <c r="BX172" s="562"/>
      <c r="BY172" s="562"/>
      <c r="BZ172" s="562"/>
      <c r="CA172" s="562"/>
      <c r="CB172" s="562"/>
      <c r="CC172" s="562"/>
      <c r="CD172" s="562"/>
      <c r="CE172" s="562"/>
      <c r="CF172" s="562"/>
      <c r="CG172" s="562"/>
      <c r="CH172" s="562"/>
      <c r="CI172" s="562"/>
      <c r="CJ172" s="562"/>
      <c r="CK172" s="562"/>
      <c r="CL172" s="562"/>
      <c r="CM172" s="562"/>
      <c r="CN172" s="562"/>
      <c r="CO172" s="562"/>
      <c r="CP172" s="562"/>
      <c r="CQ172" s="562"/>
      <c r="CR172" s="562"/>
      <c r="CS172" s="562"/>
      <c r="CT172" s="562"/>
      <c r="CU172" s="562"/>
      <c r="CV172" s="562"/>
      <c r="CW172" s="562"/>
      <c r="CX172" s="562"/>
      <c r="CY172" s="562"/>
      <c r="CZ172" s="562"/>
      <c r="DA172" s="562"/>
      <c r="DB172" s="562"/>
      <c r="DC172" s="562"/>
    </row>
    <row r="173" spans="1:107" x14ac:dyDescent="0.2">
      <c r="A173" s="562"/>
      <c r="B173" s="562"/>
      <c r="C173" s="562"/>
      <c r="D173" s="562"/>
      <c r="E173" s="562"/>
      <c r="F173" s="562"/>
      <c r="G173" s="562"/>
      <c r="H173" s="562"/>
      <c r="I173" s="562"/>
      <c r="J173" s="562"/>
      <c r="K173" s="562"/>
      <c r="L173" s="562"/>
      <c r="M173" s="562"/>
      <c r="N173" s="562"/>
      <c r="O173" s="562"/>
      <c r="P173" s="562"/>
      <c r="Q173" s="562"/>
      <c r="R173" s="562"/>
      <c r="S173" s="562"/>
      <c r="T173" s="562"/>
      <c r="U173" s="562"/>
      <c r="V173" s="562"/>
      <c r="W173" s="562"/>
      <c r="X173" s="562"/>
      <c r="Y173" s="562"/>
      <c r="Z173" s="562"/>
      <c r="AA173" s="562"/>
      <c r="AB173" s="562"/>
      <c r="AC173" s="562"/>
      <c r="AD173" s="562"/>
      <c r="AE173" s="562"/>
      <c r="AF173" s="562"/>
      <c r="AG173" s="562"/>
      <c r="AH173" s="562"/>
      <c r="AI173" s="562"/>
      <c r="AJ173" s="562"/>
      <c r="AK173" s="562"/>
      <c r="AL173" s="562"/>
      <c r="AM173" s="562"/>
      <c r="AN173" s="562"/>
      <c r="AO173" s="562"/>
      <c r="AP173" s="562"/>
      <c r="AQ173" s="562"/>
      <c r="AR173" s="562"/>
      <c r="AS173" s="562"/>
      <c r="AT173" s="562"/>
      <c r="AU173" s="562"/>
      <c r="AV173" s="562"/>
      <c r="AW173" s="562"/>
      <c r="AX173" s="562"/>
      <c r="AY173" s="562"/>
      <c r="AZ173" s="562"/>
      <c r="BA173" s="562"/>
      <c r="BB173" s="562"/>
      <c r="BC173" s="562"/>
      <c r="BD173" s="562"/>
      <c r="BE173" s="562"/>
      <c r="BF173" s="562"/>
      <c r="BG173" s="562"/>
      <c r="BH173" s="562"/>
      <c r="BI173" s="562"/>
      <c r="BJ173" s="562"/>
      <c r="BK173" s="562"/>
      <c r="BL173" s="562"/>
      <c r="BM173" s="562"/>
      <c r="BN173" s="562"/>
      <c r="BO173" s="562"/>
      <c r="BP173" s="562"/>
      <c r="BQ173" s="562"/>
      <c r="BR173" s="562"/>
      <c r="BS173" s="562"/>
      <c r="BT173" s="562"/>
      <c r="BU173" s="562"/>
      <c r="BV173" s="562"/>
      <c r="BW173" s="562"/>
      <c r="BX173" s="562"/>
      <c r="BY173" s="562"/>
      <c r="BZ173" s="562"/>
      <c r="CA173" s="562"/>
      <c r="CB173" s="562"/>
      <c r="CC173" s="562"/>
      <c r="CD173" s="562"/>
      <c r="CE173" s="562"/>
      <c r="CF173" s="562"/>
      <c r="CG173" s="562"/>
      <c r="CH173" s="562"/>
      <c r="CI173" s="562"/>
      <c r="CJ173" s="562"/>
      <c r="CK173" s="562"/>
      <c r="CL173" s="562"/>
      <c r="CM173" s="562"/>
      <c r="CN173" s="562"/>
      <c r="CO173" s="562"/>
      <c r="CP173" s="562"/>
      <c r="CQ173" s="562"/>
      <c r="CR173" s="562"/>
      <c r="CS173" s="562"/>
      <c r="CT173" s="562"/>
      <c r="CU173" s="562"/>
      <c r="CV173" s="562"/>
      <c r="CW173" s="562"/>
      <c r="CX173" s="562"/>
      <c r="CY173" s="562"/>
      <c r="CZ173" s="562"/>
      <c r="DA173" s="562"/>
      <c r="DB173" s="562"/>
      <c r="DC173" s="562"/>
    </row>
    <row r="174" spans="1:107" x14ac:dyDescent="0.2">
      <c r="A174" s="562"/>
      <c r="B174" s="562"/>
      <c r="C174" s="562"/>
      <c r="D174" s="562"/>
      <c r="E174" s="562"/>
      <c r="F174" s="562"/>
      <c r="G174" s="562"/>
      <c r="H174" s="562"/>
      <c r="I174" s="562"/>
      <c r="J174" s="562"/>
      <c r="K174" s="562"/>
      <c r="L174" s="562"/>
      <c r="M174" s="562"/>
      <c r="N174" s="562"/>
      <c r="O174" s="562"/>
      <c r="P174" s="562"/>
      <c r="Q174" s="562"/>
      <c r="R174" s="562"/>
      <c r="S174" s="562"/>
      <c r="T174" s="562"/>
      <c r="U174" s="562"/>
      <c r="V174" s="562"/>
      <c r="W174" s="562"/>
      <c r="X174" s="562"/>
      <c r="Y174" s="562"/>
      <c r="Z174" s="562"/>
      <c r="AA174" s="562"/>
      <c r="AB174" s="562"/>
      <c r="AC174" s="562"/>
      <c r="AD174" s="562"/>
      <c r="AE174" s="562"/>
      <c r="AF174" s="562"/>
      <c r="AG174" s="562"/>
      <c r="AH174" s="562"/>
      <c r="AI174" s="562"/>
      <c r="AJ174" s="562"/>
      <c r="AK174" s="562"/>
      <c r="AL174" s="562"/>
      <c r="AM174" s="562"/>
      <c r="AN174" s="562"/>
      <c r="AO174" s="562"/>
      <c r="AP174" s="562"/>
      <c r="AQ174" s="562"/>
      <c r="AR174" s="562"/>
      <c r="AS174" s="562"/>
      <c r="AT174" s="562"/>
      <c r="AU174" s="562"/>
      <c r="AV174" s="562"/>
      <c r="AW174" s="562"/>
      <c r="AX174" s="562"/>
      <c r="AY174" s="562"/>
      <c r="AZ174" s="562"/>
      <c r="BA174" s="562"/>
      <c r="BB174" s="562"/>
      <c r="BC174" s="562"/>
      <c r="BD174" s="562"/>
      <c r="BE174" s="562"/>
      <c r="BF174" s="562"/>
      <c r="BG174" s="562"/>
      <c r="BH174" s="562"/>
      <c r="BI174" s="562"/>
      <c r="BJ174" s="562"/>
      <c r="BK174" s="562"/>
      <c r="BL174" s="562"/>
      <c r="BM174" s="562"/>
      <c r="BN174" s="562"/>
      <c r="BO174" s="562"/>
      <c r="BP174" s="562"/>
      <c r="BQ174" s="562"/>
      <c r="BR174" s="562"/>
      <c r="BS174" s="562"/>
      <c r="BT174" s="562"/>
      <c r="BU174" s="562"/>
      <c r="BV174" s="562"/>
      <c r="BW174" s="562"/>
      <c r="BX174" s="562"/>
      <c r="BY174" s="562"/>
      <c r="BZ174" s="562"/>
      <c r="CA174" s="562"/>
      <c r="CB174" s="562"/>
      <c r="CC174" s="562"/>
      <c r="CD174" s="562"/>
      <c r="CE174" s="562"/>
      <c r="CF174" s="562"/>
      <c r="CG174" s="562"/>
      <c r="CH174" s="562"/>
      <c r="CI174" s="562"/>
      <c r="CJ174" s="562"/>
      <c r="CK174" s="562"/>
      <c r="CL174" s="562"/>
      <c r="CM174" s="562"/>
      <c r="CN174" s="562"/>
      <c r="CO174" s="562"/>
      <c r="CP174" s="562"/>
      <c r="CQ174" s="562"/>
      <c r="CR174" s="562"/>
      <c r="CS174" s="562"/>
      <c r="CT174" s="562"/>
      <c r="CU174" s="562"/>
      <c r="CV174" s="562"/>
      <c r="CW174" s="562"/>
      <c r="CX174" s="562"/>
      <c r="CY174" s="562"/>
      <c r="CZ174" s="562"/>
      <c r="DA174" s="562"/>
      <c r="DB174" s="562"/>
      <c r="DC174" s="562"/>
    </row>
    <row r="175" spans="1:107" x14ac:dyDescent="0.2">
      <c r="A175" s="562"/>
      <c r="B175" s="562"/>
      <c r="C175" s="562"/>
      <c r="D175" s="562"/>
      <c r="E175" s="562"/>
      <c r="F175" s="562"/>
      <c r="G175" s="562"/>
      <c r="H175" s="562"/>
      <c r="I175" s="562"/>
      <c r="J175" s="562"/>
      <c r="K175" s="562"/>
      <c r="L175" s="562"/>
      <c r="M175" s="562"/>
      <c r="N175" s="562"/>
      <c r="O175" s="562"/>
      <c r="P175" s="562"/>
      <c r="Q175" s="562"/>
      <c r="R175" s="562"/>
      <c r="S175" s="562"/>
      <c r="T175" s="562"/>
      <c r="U175" s="562"/>
      <c r="V175" s="562"/>
      <c r="W175" s="562"/>
      <c r="X175" s="562"/>
      <c r="Y175" s="562"/>
      <c r="Z175" s="562"/>
      <c r="AA175" s="562"/>
      <c r="AB175" s="562"/>
      <c r="AC175" s="562"/>
      <c r="AD175" s="562"/>
      <c r="AE175" s="562"/>
      <c r="AF175" s="562"/>
      <c r="AG175" s="562"/>
      <c r="AH175" s="562"/>
      <c r="AI175" s="562"/>
      <c r="AJ175" s="562"/>
      <c r="AK175" s="562"/>
      <c r="AL175" s="562"/>
      <c r="AM175" s="562"/>
      <c r="AN175" s="562"/>
      <c r="AO175" s="562"/>
      <c r="AP175" s="562"/>
      <c r="AQ175" s="562"/>
      <c r="AR175" s="562"/>
      <c r="AS175" s="562"/>
      <c r="AT175" s="562"/>
      <c r="AU175" s="562"/>
      <c r="AV175" s="562"/>
      <c r="AW175" s="562"/>
      <c r="AX175" s="562"/>
      <c r="AY175" s="562"/>
      <c r="AZ175" s="562"/>
      <c r="BA175" s="562"/>
      <c r="BB175" s="562"/>
      <c r="BC175" s="562"/>
      <c r="BD175" s="562"/>
      <c r="BE175" s="562"/>
      <c r="BF175" s="562"/>
      <c r="BG175" s="562"/>
      <c r="BH175" s="562"/>
      <c r="BI175" s="562"/>
      <c r="BJ175" s="562"/>
      <c r="BK175" s="562"/>
      <c r="BL175" s="562"/>
      <c r="BM175" s="562"/>
      <c r="BN175" s="562"/>
      <c r="BO175" s="562"/>
      <c r="BP175" s="562"/>
      <c r="BQ175" s="562"/>
      <c r="BR175" s="562"/>
      <c r="BS175" s="562"/>
      <c r="BT175" s="562"/>
      <c r="BU175" s="562"/>
      <c r="BV175" s="562"/>
      <c r="BW175" s="562"/>
      <c r="BX175" s="562"/>
      <c r="BY175" s="562"/>
      <c r="BZ175" s="562"/>
      <c r="CA175" s="562"/>
      <c r="CB175" s="562"/>
      <c r="CC175" s="562"/>
      <c r="CD175" s="562"/>
      <c r="CE175" s="562"/>
      <c r="CF175" s="562"/>
      <c r="CG175" s="562"/>
      <c r="CH175" s="562"/>
      <c r="CI175" s="562"/>
      <c r="CJ175" s="562"/>
      <c r="CK175" s="562"/>
      <c r="CL175" s="562"/>
      <c r="CM175" s="562"/>
      <c r="CN175" s="562"/>
      <c r="CO175" s="562"/>
      <c r="CP175" s="562"/>
      <c r="CQ175" s="562"/>
      <c r="CR175" s="562"/>
      <c r="CS175" s="562"/>
      <c r="CT175" s="562"/>
      <c r="CU175" s="562"/>
      <c r="CV175" s="562"/>
      <c r="CW175" s="562"/>
      <c r="CX175" s="562"/>
      <c r="CY175" s="562"/>
      <c r="CZ175" s="562"/>
      <c r="DA175" s="562"/>
      <c r="DB175" s="562"/>
      <c r="DC175" s="562"/>
    </row>
    <row r="176" spans="1:107" x14ac:dyDescent="0.2">
      <c r="A176" s="562"/>
      <c r="B176" s="562"/>
      <c r="C176" s="562"/>
      <c r="D176" s="562"/>
      <c r="E176" s="562"/>
      <c r="F176" s="562"/>
      <c r="G176" s="562"/>
      <c r="H176" s="562"/>
      <c r="I176" s="562"/>
      <c r="J176" s="562"/>
      <c r="K176" s="562"/>
      <c r="L176" s="562"/>
      <c r="M176" s="562"/>
      <c r="N176" s="562"/>
      <c r="O176" s="562"/>
      <c r="P176" s="562"/>
      <c r="Q176" s="562"/>
      <c r="R176" s="562"/>
      <c r="S176" s="562"/>
      <c r="T176" s="562"/>
      <c r="U176" s="562"/>
      <c r="V176" s="562"/>
      <c r="W176" s="562"/>
      <c r="X176" s="562"/>
      <c r="Y176" s="562"/>
      <c r="Z176" s="562"/>
      <c r="AA176" s="562"/>
      <c r="AB176" s="562"/>
      <c r="AC176" s="562"/>
      <c r="AD176" s="562"/>
      <c r="AE176" s="562"/>
      <c r="AF176" s="562"/>
      <c r="AG176" s="562"/>
      <c r="AH176" s="562"/>
      <c r="AI176" s="562"/>
      <c r="AJ176" s="562"/>
      <c r="AK176" s="562"/>
      <c r="AL176" s="562"/>
      <c r="AM176" s="562"/>
      <c r="AN176" s="562"/>
      <c r="AO176" s="562"/>
      <c r="AP176" s="562"/>
      <c r="AQ176" s="562"/>
      <c r="AR176" s="562"/>
      <c r="AS176" s="562"/>
      <c r="AT176" s="562"/>
      <c r="AU176" s="562"/>
      <c r="AV176" s="562"/>
      <c r="AW176" s="562"/>
      <c r="AX176" s="562"/>
      <c r="AY176" s="562"/>
      <c r="AZ176" s="562"/>
      <c r="BA176" s="562"/>
      <c r="BB176" s="562"/>
      <c r="BC176" s="562"/>
      <c r="BD176" s="562"/>
      <c r="BE176" s="562"/>
      <c r="BF176" s="562"/>
      <c r="BG176" s="562"/>
      <c r="BH176" s="562"/>
      <c r="BI176" s="562"/>
      <c r="BJ176" s="562"/>
      <c r="BK176" s="562"/>
      <c r="BL176" s="562"/>
      <c r="BM176" s="562"/>
      <c r="BN176" s="562"/>
      <c r="BO176" s="562"/>
      <c r="BP176" s="562"/>
      <c r="BQ176" s="562"/>
      <c r="BR176" s="562"/>
      <c r="BS176" s="562"/>
      <c r="BT176" s="562"/>
      <c r="BU176" s="562"/>
      <c r="BV176" s="562"/>
      <c r="BW176" s="562"/>
      <c r="BX176" s="562"/>
      <c r="BY176" s="562"/>
      <c r="BZ176" s="562"/>
      <c r="CA176" s="562"/>
      <c r="CB176" s="562"/>
      <c r="CC176" s="562"/>
      <c r="CD176" s="562"/>
      <c r="CE176" s="562"/>
      <c r="CF176" s="562"/>
      <c r="CG176" s="562"/>
      <c r="CH176" s="562"/>
      <c r="CI176" s="562"/>
      <c r="CJ176" s="562"/>
      <c r="CK176" s="562"/>
      <c r="CL176" s="562"/>
      <c r="CM176" s="562"/>
      <c r="CN176" s="562"/>
      <c r="CO176" s="562"/>
      <c r="CP176" s="562"/>
      <c r="CQ176" s="562"/>
      <c r="CR176" s="562"/>
      <c r="CS176" s="562"/>
      <c r="CT176" s="562"/>
      <c r="CU176" s="562"/>
      <c r="CV176" s="562"/>
      <c r="CW176" s="562"/>
      <c r="CX176" s="562"/>
      <c r="CY176" s="562"/>
      <c r="CZ176" s="562"/>
      <c r="DA176" s="562"/>
      <c r="DB176" s="562"/>
      <c r="DC176" s="562"/>
    </row>
    <row r="177" spans="1:107" x14ac:dyDescent="0.2">
      <c r="A177" s="562"/>
      <c r="B177" s="562"/>
      <c r="C177" s="562"/>
      <c r="D177" s="562"/>
      <c r="E177" s="562"/>
      <c r="F177" s="562"/>
      <c r="G177" s="562"/>
      <c r="H177" s="562"/>
      <c r="I177" s="562"/>
      <c r="J177" s="562"/>
      <c r="K177" s="562"/>
      <c r="L177" s="562"/>
      <c r="M177" s="562"/>
      <c r="N177" s="562"/>
      <c r="O177" s="562"/>
      <c r="P177" s="562"/>
      <c r="Q177" s="562"/>
      <c r="R177" s="562"/>
      <c r="S177" s="562"/>
      <c r="T177" s="562"/>
      <c r="U177" s="562"/>
      <c r="V177" s="562"/>
      <c r="W177" s="562"/>
      <c r="X177" s="562"/>
      <c r="Y177" s="562"/>
      <c r="Z177" s="562"/>
      <c r="AA177" s="562"/>
      <c r="AB177" s="562"/>
      <c r="AC177" s="562"/>
      <c r="AD177" s="562"/>
      <c r="AE177" s="562"/>
      <c r="AF177" s="562"/>
      <c r="AG177" s="562"/>
      <c r="AH177" s="562"/>
      <c r="AI177" s="562"/>
      <c r="AJ177" s="562"/>
      <c r="AK177" s="562"/>
      <c r="AL177" s="562"/>
      <c r="AM177" s="562"/>
      <c r="AN177" s="562"/>
      <c r="AO177" s="562"/>
      <c r="AP177" s="562"/>
      <c r="AQ177" s="562"/>
      <c r="AR177" s="562"/>
      <c r="AS177" s="562"/>
      <c r="AT177" s="562"/>
      <c r="AU177" s="562"/>
      <c r="AV177" s="562"/>
      <c r="AW177" s="562"/>
      <c r="AX177" s="562"/>
      <c r="AY177" s="562"/>
      <c r="AZ177" s="562"/>
      <c r="BA177" s="562"/>
      <c r="BB177" s="562"/>
      <c r="BC177" s="562"/>
      <c r="BD177" s="562"/>
      <c r="BE177" s="562"/>
      <c r="BF177" s="562"/>
      <c r="BG177" s="562"/>
      <c r="BH177" s="562"/>
      <c r="BI177" s="562"/>
      <c r="BJ177" s="562"/>
      <c r="BK177" s="562"/>
      <c r="BL177" s="562"/>
      <c r="BM177" s="562"/>
      <c r="BN177" s="562"/>
      <c r="BO177" s="562"/>
      <c r="BP177" s="562"/>
      <c r="BQ177" s="562"/>
      <c r="BR177" s="562"/>
      <c r="BS177" s="562"/>
      <c r="BT177" s="562"/>
      <c r="BU177" s="562"/>
      <c r="BV177" s="562"/>
      <c r="BW177" s="562"/>
      <c r="BX177" s="562"/>
      <c r="BY177" s="562"/>
      <c r="BZ177" s="562"/>
      <c r="CA177" s="562"/>
      <c r="CB177" s="562"/>
      <c r="CC177" s="562"/>
      <c r="CD177" s="562"/>
      <c r="CE177" s="562"/>
      <c r="CF177" s="562"/>
      <c r="CG177" s="562"/>
      <c r="CH177" s="562"/>
      <c r="CI177" s="562"/>
      <c r="CJ177" s="562"/>
      <c r="CK177" s="562"/>
      <c r="CL177" s="562"/>
      <c r="CM177" s="562"/>
      <c r="CN177" s="562"/>
      <c r="CO177" s="562"/>
      <c r="CP177" s="562"/>
      <c r="CQ177" s="562"/>
      <c r="CR177" s="562"/>
      <c r="CS177" s="562"/>
      <c r="CT177" s="562"/>
      <c r="CU177" s="562"/>
      <c r="CV177" s="562"/>
      <c r="CW177" s="562"/>
      <c r="CX177" s="562"/>
      <c r="CY177" s="562"/>
      <c r="CZ177" s="562"/>
      <c r="DA177" s="562"/>
      <c r="DB177" s="562"/>
      <c r="DC177" s="562"/>
    </row>
    <row r="178" spans="1:107" x14ac:dyDescent="0.2">
      <c r="A178" s="562"/>
      <c r="B178" s="562"/>
      <c r="C178" s="562"/>
      <c r="D178" s="562"/>
      <c r="E178" s="562"/>
      <c r="F178" s="562"/>
      <c r="G178" s="562"/>
      <c r="H178" s="562"/>
      <c r="I178" s="562"/>
      <c r="J178" s="562"/>
      <c r="K178" s="562"/>
      <c r="L178" s="562"/>
      <c r="M178" s="562"/>
      <c r="N178" s="562"/>
      <c r="O178" s="562"/>
      <c r="P178" s="562"/>
      <c r="Q178" s="562"/>
      <c r="R178" s="562"/>
      <c r="S178" s="562"/>
      <c r="T178" s="562"/>
      <c r="U178" s="562"/>
      <c r="V178" s="562"/>
      <c r="W178" s="562"/>
      <c r="X178" s="562"/>
      <c r="Y178" s="562"/>
      <c r="Z178" s="562"/>
      <c r="AA178" s="562"/>
      <c r="AB178" s="562"/>
      <c r="AC178" s="562"/>
      <c r="AD178" s="562"/>
      <c r="AE178" s="562"/>
      <c r="AF178" s="562"/>
      <c r="AG178" s="562"/>
      <c r="AH178" s="562"/>
      <c r="AI178" s="562"/>
      <c r="AJ178" s="562"/>
      <c r="AK178" s="562"/>
      <c r="AL178" s="562"/>
      <c r="AM178" s="562"/>
      <c r="AN178" s="562"/>
      <c r="AO178" s="562"/>
      <c r="AP178" s="562"/>
      <c r="AQ178" s="562"/>
      <c r="AR178" s="562"/>
      <c r="AS178" s="562"/>
      <c r="AT178" s="562"/>
      <c r="AU178" s="562"/>
      <c r="AV178" s="562"/>
      <c r="AW178" s="562"/>
      <c r="AX178" s="562"/>
      <c r="AY178" s="562"/>
      <c r="AZ178" s="562"/>
      <c r="BA178" s="562"/>
      <c r="BB178" s="562"/>
      <c r="BC178" s="562"/>
      <c r="BD178" s="562"/>
      <c r="BE178" s="562"/>
      <c r="BF178" s="562"/>
      <c r="BG178" s="562"/>
      <c r="BH178" s="562"/>
      <c r="BI178" s="562"/>
      <c r="BJ178" s="562"/>
      <c r="BK178" s="562"/>
      <c r="BL178" s="562"/>
      <c r="BM178" s="562"/>
      <c r="BN178" s="562"/>
      <c r="BO178" s="562"/>
      <c r="BP178" s="562"/>
      <c r="BQ178" s="562"/>
      <c r="BR178" s="562"/>
      <c r="BS178" s="562"/>
      <c r="BT178" s="562"/>
      <c r="BU178" s="562"/>
      <c r="BV178" s="562"/>
      <c r="BW178" s="562"/>
      <c r="BX178" s="562"/>
      <c r="BY178" s="562"/>
      <c r="BZ178" s="562"/>
      <c r="CA178" s="562"/>
      <c r="CB178" s="562"/>
      <c r="CC178" s="562"/>
      <c r="CD178" s="562"/>
      <c r="CE178" s="562"/>
      <c r="CF178" s="562"/>
      <c r="CG178" s="562"/>
      <c r="CH178" s="562"/>
      <c r="CI178" s="562"/>
      <c r="CJ178" s="562"/>
      <c r="CK178" s="562"/>
      <c r="CL178" s="562"/>
      <c r="CM178" s="562"/>
      <c r="CN178" s="562"/>
      <c r="CO178" s="562"/>
      <c r="CP178" s="562"/>
      <c r="CQ178" s="562"/>
      <c r="CR178" s="562"/>
      <c r="CS178" s="562"/>
      <c r="CT178" s="562"/>
      <c r="CU178" s="562"/>
      <c r="CV178" s="562"/>
      <c r="CW178" s="562"/>
      <c r="CX178" s="562"/>
      <c r="CY178" s="562"/>
      <c r="CZ178" s="562"/>
      <c r="DA178" s="562"/>
      <c r="DB178" s="562"/>
      <c r="DC178" s="562"/>
    </row>
    <row r="179" spans="1:107" x14ac:dyDescent="0.2">
      <c r="A179" s="562"/>
      <c r="B179" s="562"/>
      <c r="C179" s="562"/>
      <c r="D179" s="562"/>
      <c r="E179" s="562"/>
      <c r="F179" s="562"/>
      <c r="G179" s="562"/>
      <c r="H179" s="562"/>
      <c r="I179" s="562"/>
      <c r="J179" s="562"/>
      <c r="K179" s="562"/>
      <c r="L179" s="562"/>
      <c r="M179" s="562"/>
      <c r="N179" s="562"/>
      <c r="O179" s="562"/>
      <c r="P179" s="562"/>
      <c r="Q179" s="562"/>
      <c r="R179" s="562"/>
      <c r="S179" s="562"/>
      <c r="T179" s="562"/>
      <c r="U179" s="562"/>
      <c r="V179" s="562"/>
      <c r="W179" s="562"/>
      <c r="X179" s="562"/>
      <c r="Y179" s="562"/>
      <c r="Z179" s="562"/>
      <c r="AA179" s="562"/>
      <c r="AB179" s="562"/>
      <c r="AC179" s="562"/>
      <c r="AD179" s="562"/>
      <c r="AE179" s="562"/>
      <c r="AF179" s="562"/>
      <c r="AG179" s="562"/>
      <c r="AH179" s="562"/>
      <c r="AI179" s="562"/>
      <c r="AJ179" s="562"/>
      <c r="AK179" s="562"/>
      <c r="AL179" s="562"/>
      <c r="AM179" s="562"/>
      <c r="AN179" s="562"/>
      <c r="AO179" s="562"/>
      <c r="AP179" s="562"/>
      <c r="AQ179" s="562"/>
      <c r="AR179" s="562"/>
      <c r="AS179" s="562"/>
      <c r="AT179" s="562"/>
      <c r="AU179" s="562"/>
      <c r="AV179" s="562"/>
      <c r="AW179" s="562"/>
      <c r="AX179" s="562"/>
      <c r="AY179" s="562"/>
      <c r="AZ179" s="562"/>
      <c r="BA179" s="562"/>
      <c r="BB179" s="562"/>
      <c r="BC179" s="562"/>
      <c r="BD179" s="562"/>
      <c r="BE179" s="562"/>
      <c r="BF179" s="562"/>
      <c r="BG179" s="562"/>
      <c r="BH179" s="562"/>
      <c r="BI179" s="562"/>
      <c r="BJ179" s="562"/>
      <c r="BK179" s="562"/>
      <c r="BL179" s="562"/>
      <c r="BM179" s="562"/>
      <c r="BN179" s="562"/>
      <c r="BO179" s="562"/>
      <c r="BP179" s="562"/>
      <c r="BQ179" s="562"/>
      <c r="BR179" s="562"/>
      <c r="BS179" s="562"/>
      <c r="BT179" s="562"/>
      <c r="BU179" s="562"/>
      <c r="BV179" s="562"/>
      <c r="BW179" s="562"/>
      <c r="BX179" s="562"/>
      <c r="BY179" s="562"/>
      <c r="BZ179" s="562"/>
      <c r="CA179" s="562"/>
      <c r="CB179" s="562"/>
      <c r="CC179" s="562"/>
      <c r="CD179" s="562"/>
      <c r="CE179" s="562"/>
      <c r="CF179" s="562"/>
      <c r="CG179" s="562"/>
      <c r="CH179" s="562"/>
      <c r="CI179" s="562"/>
      <c r="CJ179" s="562"/>
      <c r="CK179" s="562"/>
      <c r="CL179" s="562"/>
      <c r="CM179" s="562"/>
      <c r="CN179" s="562"/>
      <c r="CO179" s="562"/>
      <c r="CP179" s="562"/>
      <c r="CQ179" s="562"/>
      <c r="CR179" s="562"/>
      <c r="CS179" s="562"/>
      <c r="CT179" s="562"/>
      <c r="CU179" s="562"/>
      <c r="CV179" s="562"/>
      <c r="CW179" s="562"/>
      <c r="CX179" s="562"/>
      <c r="CY179" s="562"/>
      <c r="CZ179" s="562"/>
      <c r="DA179" s="562"/>
      <c r="DB179" s="562"/>
      <c r="DC179" s="562"/>
    </row>
    <row r="180" spans="1:107" x14ac:dyDescent="0.2">
      <c r="A180" s="562"/>
      <c r="B180" s="562"/>
      <c r="C180" s="562"/>
      <c r="D180" s="562"/>
      <c r="E180" s="562"/>
      <c r="F180" s="562"/>
      <c r="G180" s="562"/>
      <c r="H180" s="562"/>
      <c r="I180" s="562"/>
      <c r="J180" s="562"/>
      <c r="K180" s="562"/>
      <c r="L180" s="562"/>
      <c r="M180" s="562"/>
      <c r="N180" s="562"/>
      <c r="O180" s="562"/>
      <c r="P180" s="562"/>
      <c r="Q180" s="562"/>
      <c r="R180" s="562"/>
      <c r="S180" s="562"/>
      <c r="T180" s="562"/>
      <c r="U180" s="562"/>
      <c r="V180" s="562"/>
      <c r="W180" s="562"/>
      <c r="X180" s="562"/>
      <c r="Y180" s="562"/>
      <c r="Z180" s="562"/>
      <c r="AA180" s="562"/>
      <c r="AB180" s="562"/>
      <c r="AC180" s="562"/>
      <c r="AD180" s="562"/>
      <c r="AE180" s="562"/>
      <c r="AF180" s="562"/>
      <c r="AG180" s="562"/>
      <c r="AH180" s="562"/>
      <c r="AI180" s="562"/>
      <c r="AJ180" s="562"/>
      <c r="AK180" s="562"/>
      <c r="AL180" s="562"/>
      <c r="AM180" s="562"/>
      <c r="AN180" s="562"/>
      <c r="AO180" s="562"/>
      <c r="AP180" s="562"/>
      <c r="AQ180" s="562"/>
      <c r="AR180" s="562"/>
      <c r="AS180" s="562"/>
      <c r="AT180" s="562"/>
      <c r="AU180" s="562"/>
      <c r="AV180" s="562"/>
      <c r="AW180" s="562"/>
      <c r="AX180" s="562"/>
      <c r="AY180" s="562"/>
      <c r="AZ180" s="562"/>
      <c r="BA180" s="562"/>
      <c r="BB180" s="562"/>
      <c r="BC180" s="562"/>
      <c r="BD180" s="562"/>
      <c r="BE180" s="562"/>
      <c r="BF180" s="562"/>
      <c r="BG180" s="562"/>
      <c r="BH180" s="562"/>
      <c r="BI180" s="562"/>
      <c r="BJ180" s="562"/>
      <c r="BK180" s="562"/>
      <c r="BL180" s="562"/>
      <c r="BM180" s="562"/>
      <c r="BN180" s="562"/>
      <c r="BO180" s="562"/>
      <c r="BP180" s="562"/>
      <c r="BQ180" s="562"/>
      <c r="BR180" s="562"/>
      <c r="BS180" s="562"/>
      <c r="BT180" s="562"/>
      <c r="BU180" s="562"/>
      <c r="BV180" s="562"/>
      <c r="BW180" s="562"/>
      <c r="BX180" s="562"/>
      <c r="BY180" s="562"/>
      <c r="BZ180" s="562"/>
      <c r="CA180" s="562"/>
      <c r="CB180" s="562"/>
      <c r="CC180" s="562"/>
      <c r="CD180" s="562"/>
      <c r="CE180" s="562"/>
      <c r="CF180" s="562"/>
      <c r="CG180" s="562"/>
      <c r="CH180" s="562"/>
      <c r="CI180" s="562"/>
      <c r="CJ180" s="562"/>
      <c r="CK180" s="562"/>
      <c r="CL180" s="562"/>
      <c r="CM180" s="562"/>
      <c r="CN180" s="562"/>
      <c r="CO180" s="562"/>
      <c r="CP180" s="562"/>
      <c r="CQ180" s="562"/>
      <c r="CR180" s="562"/>
      <c r="CS180" s="562"/>
      <c r="CT180" s="562"/>
      <c r="CU180" s="562"/>
      <c r="CV180" s="562"/>
      <c r="CW180" s="562"/>
      <c r="CX180" s="562"/>
      <c r="CY180" s="562"/>
      <c r="CZ180" s="562"/>
      <c r="DA180" s="562"/>
      <c r="DB180" s="562"/>
      <c r="DC180" s="562"/>
    </row>
  </sheetData>
  <sheetProtection sheet="1" objects="1" scenarios="1"/>
  <mergeCells count="28">
    <mergeCell ref="A38:A52"/>
    <mergeCell ref="A54:A68"/>
    <mergeCell ref="A70:A84"/>
    <mergeCell ref="A86:A100"/>
    <mergeCell ref="CO2:CS2"/>
    <mergeCell ref="CT2:CX2"/>
    <mergeCell ref="CY2:DC2"/>
    <mergeCell ref="B3:B4"/>
    <mergeCell ref="A6:A20"/>
    <mergeCell ref="A22:A36"/>
    <mergeCell ref="BK2:BO2"/>
    <mergeCell ref="BP2:BT2"/>
    <mergeCell ref="BU2:BY2"/>
    <mergeCell ref="BZ2:CD2"/>
    <mergeCell ref="CE2:CI2"/>
    <mergeCell ref="CJ2:CN2"/>
    <mergeCell ref="AG2:AK2"/>
    <mergeCell ref="AL2:AP2"/>
    <mergeCell ref="AQ2:AU2"/>
    <mergeCell ref="AV2:AZ2"/>
    <mergeCell ref="BA2:BE2"/>
    <mergeCell ref="BF2:BJ2"/>
    <mergeCell ref="C2:G2"/>
    <mergeCell ref="H2:L2"/>
    <mergeCell ref="M2:Q2"/>
    <mergeCell ref="R2:V2"/>
    <mergeCell ref="W2:AA2"/>
    <mergeCell ref="AB2:AF2"/>
  </mergeCells>
  <conditionalFormatting sqref="D10:AH10 AJ10:BB10 BD10:BH10 BK10:DC10">
    <cfRule type="containsText" dxfId="289" priority="271" operator="containsText" text="BLOCKED">
      <formula>NOT(ISERROR(SEARCH("BLOCKED",D10)))</formula>
    </cfRule>
  </conditionalFormatting>
  <conditionalFormatting sqref="D10:AH10 AJ10:BB10 BD10:BH10 BK10:DC10">
    <cfRule type="containsText" dxfId="288" priority="272" operator="containsText" text="Eksamen">
      <formula>NOT(ISERROR(SEARCH("Eksamen",D10)))</formula>
    </cfRule>
    <cfRule type="containsText" dxfId="287" priority="273" operator="containsText" text="Øvelser">
      <formula>NOT(ISERROR(SEARCH("Øvelser",D10)))</formula>
    </cfRule>
    <cfRule type="containsText" dxfId="286" priority="274" operator="containsText" text="FORET_ARK">
      <formula>NOT(ISERROR(SEARCH("FORET_ARK",D10)))</formula>
    </cfRule>
    <cfRule type="containsText" dxfId="285" priority="275" operator="containsText" text="DATA_ARK">
      <formula>NOT(ISERROR(SEARCH("DATA_ARK",D10)))</formula>
    </cfRule>
    <cfRule type="containsText" dxfId="284" priority="276" operator="containsText" text="DRIFT ANALYSE">
      <formula>NOT(ISERROR(SEARCH("DRIFT ANALYSE",D10)))</formula>
    </cfRule>
    <cfRule type="containsText" dxfId="283" priority="277" operator="containsText" text="PROJ_STYR">
      <formula>NOT(ISERROR(SEARCH("PROJ_STYR",D10)))</formula>
    </cfRule>
    <cfRule type="containsText" dxfId="282" priority="278" operator="containsText" text="Coaching">
      <formula>NOT(ISERROR(SEARCH("Coaching",D10)))</formula>
    </cfRule>
    <cfRule type="containsText" dxfId="281" priority="279" operator="containsText" text="CasePræs">
      <formula>NOT(ISERROR(SEARCH("CasePræs",D10)))</formula>
    </cfRule>
    <cfRule type="containsText" dxfId="280" priority="280" operator="containsText" text="Feedback">
      <formula>NOT(ISERROR(SEARCH("Feedback",D10)))</formula>
    </cfRule>
  </conditionalFormatting>
  <conditionalFormatting sqref="D10:AH10 AJ10:BB10 BD10:BH10 BK10:DC10">
    <cfRule type="expression" dxfId="279" priority="270">
      <formula>INDIRECT("R5C" &amp; COLUMN(),FALSE)="BLOCKED"</formula>
    </cfRule>
  </conditionalFormatting>
  <conditionalFormatting sqref="C10">
    <cfRule type="containsText" dxfId="278" priority="260" operator="containsText" text="BLOCKED">
      <formula>NOT(ISERROR(SEARCH("BLOCKED",C10)))</formula>
    </cfRule>
  </conditionalFormatting>
  <conditionalFormatting sqref="C10">
    <cfRule type="containsText" dxfId="277" priority="261" operator="containsText" text="Eksamen">
      <formula>NOT(ISERROR(SEARCH("Eksamen",C10)))</formula>
    </cfRule>
    <cfRule type="containsText" dxfId="276" priority="262" operator="containsText" text="Øvelser">
      <formula>NOT(ISERROR(SEARCH("Øvelser",C10)))</formula>
    </cfRule>
    <cfRule type="containsText" dxfId="275" priority="263" operator="containsText" text="FORET_ARK">
      <formula>NOT(ISERROR(SEARCH("FORET_ARK",C10)))</formula>
    </cfRule>
    <cfRule type="containsText" dxfId="274" priority="264" operator="containsText" text="DATA_ARK">
      <formula>NOT(ISERROR(SEARCH("DATA_ARK",C10)))</formula>
    </cfRule>
    <cfRule type="containsText" dxfId="273" priority="265" operator="containsText" text="DRIFT ANALYSE">
      <formula>NOT(ISERROR(SEARCH("DRIFT ANALYSE",C10)))</formula>
    </cfRule>
    <cfRule type="containsText" dxfId="272" priority="266" operator="containsText" text="PROJ_STYR">
      <formula>NOT(ISERROR(SEARCH("PROJ_STYR",C10)))</formula>
    </cfRule>
    <cfRule type="containsText" dxfId="271" priority="267" operator="containsText" text="Coaching">
      <formula>NOT(ISERROR(SEARCH("Coaching",C10)))</formula>
    </cfRule>
    <cfRule type="containsText" dxfId="270" priority="268" operator="containsText" text="CasePræs">
      <formula>NOT(ISERROR(SEARCH("CasePræs",C10)))</formula>
    </cfRule>
    <cfRule type="containsText" dxfId="269" priority="269" operator="containsText" text="Feedback">
      <formula>NOT(ISERROR(SEARCH("Feedback",C10)))</formula>
    </cfRule>
  </conditionalFormatting>
  <conditionalFormatting sqref="C10">
    <cfRule type="expression" dxfId="268" priority="259">
      <formula>INDIRECT("R5C" &amp; COLUMN(),FALSE)="BLOCKED"</formula>
    </cfRule>
  </conditionalFormatting>
  <conditionalFormatting sqref="AI10">
    <cfRule type="containsText" dxfId="267" priority="249" operator="containsText" text="BLOCKED">
      <formula>NOT(ISERROR(SEARCH("BLOCKED",AI10)))</formula>
    </cfRule>
  </conditionalFormatting>
  <conditionalFormatting sqref="AI10">
    <cfRule type="containsText" dxfId="266" priority="250" operator="containsText" text="Eksamen">
      <formula>NOT(ISERROR(SEARCH("Eksamen",AI10)))</formula>
    </cfRule>
    <cfRule type="containsText" dxfId="265" priority="251" operator="containsText" text="Øvelser">
      <formula>NOT(ISERROR(SEARCH("Øvelser",AI10)))</formula>
    </cfRule>
    <cfRule type="containsText" dxfId="264" priority="252" operator="containsText" text="FORET_ARK">
      <formula>NOT(ISERROR(SEARCH("FORET_ARK",AI10)))</formula>
    </cfRule>
    <cfRule type="containsText" dxfId="263" priority="253" operator="containsText" text="DATA_ARK">
      <formula>NOT(ISERROR(SEARCH("DATA_ARK",AI10)))</formula>
    </cfRule>
    <cfRule type="containsText" dxfId="262" priority="254" operator="containsText" text="DRIFT ANALYSE">
      <formula>NOT(ISERROR(SEARCH("DRIFT ANALYSE",AI10)))</formula>
    </cfRule>
    <cfRule type="containsText" dxfId="261" priority="255" operator="containsText" text="PROJ_STYR">
      <formula>NOT(ISERROR(SEARCH("PROJ_STYR",AI10)))</formula>
    </cfRule>
    <cfRule type="containsText" dxfId="260" priority="256" operator="containsText" text="Coaching">
      <formula>NOT(ISERROR(SEARCH("Coaching",AI10)))</formula>
    </cfRule>
    <cfRule type="containsText" dxfId="259" priority="257" operator="containsText" text="CasePræs">
      <formula>NOT(ISERROR(SEARCH("CasePræs",AI10)))</formula>
    </cfRule>
    <cfRule type="containsText" dxfId="258" priority="258" operator="containsText" text="Feedback">
      <formula>NOT(ISERROR(SEARCH("Feedback",AI10)))</formula>
    </cfRule>
  </conditionalFormatting>
  <conditionalFormatting sqref="AI10">
    <cfRule type="expression" dxfId="257" priority="248">
      <formula>INDIRECT("R5C" &amp; COLUMN(),FALSE)="BLOCKED"</formula>
    </cfRule>
  </conditionalFormatting>
  <conditionalFormatting sqref="BC10">
    <cfRule type="containsText" dxfId="256" priority="238" operator="containsText" text="BLOCKED">
      <formula>NOT(ISERROR(SEARCH("BLOCKED",BC10)))</formula>
    </cfRule>
  </conditionalFormatting>
  <conditionalFormatting sqref="BC10">
    <cfRule type="containsText" dxfId="255" priority="239" operator="containsText" text="Eksamen">
      <formula>NOT(ISERROR(SEARCH("Eksamen",BC10)))</formula>
    </cfRule>
    <cfRule type="containsText" dxfId="254" priority="240" operator="containsText" text="Øvelser">
      <formula>NOT(ISERROR(SEARCH("Øvelser",BC10)))</formula>
    </cfRule>
    <cfRule type="containsText" dxfId="253" priority="241" operator="containsText" text="FORET_ARK">
      <formula>NOT(ISERROR(SEARCH("FORET_ARK",BC10)))</formula>
    </cfRule>
    <cfRule type="containsText" dxfId="252" priority="242" operator="containsText" text="DATA_ARK">
      <formula>NOT(ISERROR(SEARCH("DATA_ARK",BC10)))</formula>
    </cfRule>
    <cfRule type="containsText" dxfId="251" priority="243" operator="containsText" text="DRIFT ANALYSE">
      <formula>NOT(ISERROR(SEARCH("DRIFT ANALYSE",BC10)))</formula>
    </cfRule>
    <cfRule type="containsText" dxfId="250" priority="244" operator="containsText" text="PROJ_STYR">
      <formula>NOT(ISERROR(SEARCH("PROJ_STYR",BC10)))</formula>
    </cfRule>
    <cfRule type="containsText" dxfId="249" priority="245" operator="containsText" text="Coaching">
      <formula>NOT(ISERROR(SEARCH("Coaching",BC10)))</formula>
    </cfRule>
    <cfRule type="containsText" dxfId="248" priority="246" operator="containsText" text="CasePræs">
      <formula>NOT(ISERROR(SEARCH("CasePræs",BC10)))</formula>
    </cfRule>
    <cfRule type="containsText" dxfId="247" priority="247" operator="containsText" text="Feedback">
      <formula>NOT(ISERROR(SEARCH("Feedback",BC10)))</formula>
    </cfRule>
  </conditionalFormatting>
  <conditionalFormatting sqref="BC10">
    <cfRule type="expression" dxfId="246" priority="237">
      <formula>INDIRECT("R5C" &amp; COLUMN(),FALSE)="BLOCKED"</formula>
    </cfRule>
  </conditionalFormatting>
  <conditionalFormatting sqref="BI10:BJ10">
    <cfRule type="containsText" dxfId="245" priority="227" operator="containsText" text="BLOCKED">
      <formula>NOT(ISERROR(SEARCH("BLOCKED",BI10)))</formula>
    </cfRule>
  </conditionalFormatting>
  <conditionalFormatting sqref="BI10:BJ10">
    <cfRule type="containsText" dxfId="244" priority="228" operator="containsText" text="Eksamen">
      <formula>NOT(ISERROR(SEARCH("Eksamen",BI10)))</formula>
    </cfRule>
    <cfRule type="containsText" dxfId="243" priority="229" operator="containsText" text="Øvelser">
      <formula>NOT(ISERROR(SEARCH("Øvelser",BI10)))</formula>
    </cfRule>
    <cfRule type="containsText" dxfId="242" priority="230" operator="containsText" text="FORET_ARK">
      <formula>NOT(ISERROR(SEARCH("FORET_ARK",BI10)))</formula>
    </cfRule>
    <cfRule type="containsText" dxfId="241" priority="231" operator="containsText" text="DATA_ARK">
      <formula>NOT(ISERROR(SEARCH("DATA_ARK",BI10)))</formula>
    </cfRule>
    <cfRule type="containsText" dxfId="240" priority="232" operator="containsText" text="DRIFT ANALYSE">
      <formula>NOT(ISERROR(SEARCH("DRIFT ANALYSE",BI10)))</formula>
    </cfRule>
    <cfRule type="containsText" dxfId="239" priority="233" operator="containsText" text="PROJ_STYR">
      <formula>NOT(ISERROR(SEARCH("PROJ_STYR",BI10)))</formula>
    </cfRule>
    <cfRule type="containsText" dxfId="238" priority="234" operator="containsText" text="Coaching">
      <formula>NOT(ISERROR(SEARCH("Coaching",BI10)))</formula>
    </cfRule>
    <cfRule type="containsText" dxfId="237" priority="235" operator="containsText" text="CasePræs">
      <formula>NOT(ISERROR(SEARCH("CasePræs",BI10)))</formula>
    </cfRule>
    <cfRule type="containsText" dxfId="236" priority="236" operator="containsText" text="Feedback">
      <formula>NOT(ISERROR(SEARCH("Feedback",BI10)))</formula>
    </cfRule>
  </conditionalFormatting>
  <conditionalFormatting sqref="BI10:BJ10">
    <cfRule type="expression" dxfId="235" priority="226">
      <formula>INDIRECT("R5C" &amp; COLUMN(),FALSE)="BLOCKED"</formula>
    </cfRule>
  </conditionalFormatting>
  <conditionalFormatting sqref="C6:DC9 C11:DC14">
    <cfRule type="containsText" dxfId="234" priority="281" stopIfTrue="1" operator="containsText" text="ØKO">
      <formula>NOT(ISERROR(SEARCH("ØKO",C6)))</formula>
    </cfRule>
  </conditionalFormatting>
  <conditionalFormatting sqref="C6:DC9 C11:DC14">
    <cfRule type="containsText" dxfId="233" priority="282" stopIfTrue="1" operator="containsText" text="ANALYSE">
      <formula>NOT(ISERROR(SEARCH("ANALYSE",C6)))</formula>
    </cfRule>
  </conditionalFormatting>
  <conditionalFormatting sqref="C6:DC9 C11:DC14">
    <cfRule type="containsText" dxfId="232" priority="283" stopIfTrue="1" operator="containsText" text="AGILE">
      <formula>NOT(ISERROR(SEARCH("AGILE",C6)))</formula>
    </cfRule>
  </conditionalFormatting>
  <conditionalFormatting sqref="C6:DC9 C11:DC14">
    <cfRule type="containsText" dxfId="231" priority="284" stopIfTrue="1" operator="containsText" text="DATA">
      <formula>NOT(ISERROR(SEARCH("DATA",C6)))</formula>
    </cfRule>
  </conditionalFormatting>
  <conditionalFormatting sqref="C6:DC9 C11:DC14">
    <cfRule type="containsText" dxfId="230" priority="285" stopIfTrue="1" operator="containsText" text="COACH">
      <formula>NOT(ISERROR(SEARCH("COACH",C6)))</formula>
    </cfRule>
    <cfRule type="containsText" dxfId="229" priority="289" stopIfTrue="1" operator="containsText" text="EKSAM">
      <formula>NOT(ISERROR(SEARCH("EKSAM",C6)))</formula>
    </cfRule>
  </conditionalFormatting>
  <conditionalFormatting sqref="C6:DC9 C11:DC14">
    <cfRule type="containsText" dxfId="228" priority="286" stopIfTrue="1" operator="containsText" text="CASEPRÆS">
      <formula>NOT(ISERROR(SEARCH("CASEPRÆS",C6)))</formula>
    </cfRule>
  </conditionalFormatting>
  <conditionalFormatting sqref="C6:DC9 C11:DC14">
    <cfRule type="containsText" dxfId="227" priority="287" stopIfTrue="1" operator="containsText" text="FEEDBACK">
      <formula>NOT(ISERROR(SEARCH("FEEDBACK",C6)))</formula>
    </cfRule>
  </conditionalFormatting>
  <conditionalFormatting sqref="C6:DC9 C11:DC14">
    <cfRule type="containsText" dxfId="226" priority="288" stopIfTrue="1" operator="containsText" text="ØVELSER">
      <formula>NOT(ISERROR(SEARCH("ØVELSER",C6)))</formula>
    </cfRule>
    <cfRule type="containsText" dxfId="225" priority="290" stopIfTrue="1" operator="containsText" text="INTRO">
      <formula>NOT(ISERROR(SEARCH("INTRO",C6)))</formula>
    </cfRule>
  </conditionalFormatting>
  <conditionalFormatting sqref="C5:BT5">
    <cfRule type="containsText" dxfId="224" priority="224" operator="containsText" text="BLOCKED">
      <formula>NOT(ISERROR(SEARCH("BLOCKED",C5)))</formula>
    </cfRule>
  </conditionalFormatting>
  <conditionalFormatting sqref="BV5:CM5 CO5:DC5">
    <cfRule type="containsText" dxfId="223" priority="225" operator="containsText" text="BLOCKED">
      <formula>NOT(ISERROR(SEARCH("BLOCKED",BV5)))</formula>
    </cfRule>
  </conditionalFormatting>
  <conditionalFormatting sqref="D26:AH26 AJ26:BB26 BD26:BH26 BK26:DC26">
    <cfRule type="containsText" dxfId="222" priority="204" operator="containsText" text="BLOCKED">
      <formula>NOT(ISERROR(SEARCH("BLOCKED",D26)))</formula>
    </cfRule>
  </conditionalFormatting>
  <conditionalFormatting sqref="D26:AH26 AJ26:BB26 BD26:BH26 BK26:DC26">
    <cfRule type="containsText" dxfId="221" priority="205" operator="containsText" text="Eksamen">
      <formula>NOT(ISERROR(SEARCH("Eksamen",D26)))</formula>
    </cfRule>
    <cfRule type="containsText" dxfId="220" priority="206" operator="containsText" text="Øvelser">
      <formula>NOT(ISERROR(SEARCH("Øvelser",D26)))</formula>
    </cfRule>
    <cfRule type="containsText" dxfId="219" priority="207" operator="containsText" text="FORET_ARK">
      <formula>NOT(ISERROR(SEARCH("FORET_ARK",D26)))</formula>
    </cfRule>
    <cfRule type="containsText" dxfId="218" priority="208" operator="containsText" text="DATA_ARK">
      <formula>NOT(ISERROR(SEARCH("DATA_ARK",D26)))</formula>
    </cfRule>
    <cfRule type="containsText" dxfId="217" priority="209" operator="containsText" text="DRIFT ANALYSE">
      <formula>NOT(ISERROR(SEARCH("DRIFT ANALYSE",D26)))</formula>
    </cfRule>
    <cfRule type="containsText" dxfId="216" priority="210" operator="containsText" text="PROJ_STYR">
      <formula>NOT(ISERROR(SEARCH("PROJ_STYR",D26)))</formula>
    </cfRule>
    <cfRule type="containsText" dxfId="215" priority="211" operator="containsText" text="Coaching">
      <formula>NOT(ISERROR(SEARCH("Coaching",D26)))</formula>
    </cfRule>
    <cfRule type="containsText" dxfId="214" priority="212" operator="containsText" text="CasePræs">
      <formula>NOT(ISERROR(SEARCH("CasePræs",D26)))</formula>
    </cfRule>
    <cfRule type="containsText" dxfId="213" priority="213" operator="containsText" text="Feedback">
      <formula>NOT(ISERROR(SEARCH("Feedback",D26)))</formula>
    </cfRule>
  </conditionalFormatting>
  <conditionalFormatting sqref="D26:AH26 AJ26:BB26 BD26:BH26 BK26:DC26">
    <cfRule type="expression" dxfId="212" priority="203">
      <formula>INDIRECT("R5C" &amp; COLUMN(),FALSE)="BLOCKED"</formula>
    </cfRule>
  </conditionalFormatting>
  <conditionalFormatting sqref="C26">
    <cfRule type="containsText" dxfId="211" priority="193" operator="containsText" text="BLOCKED">
      <formula>NOT(ISERROR(SEARCH("BLOCKED",C26)))</formula>
    </cfRule>
  </conditionalFormatting>
  <conditionalFormatting sqref="C26">
    <cfRule type="containsText" dxfId="210" priority="194" operator="containsText" text="Eksamen">
      <formula>NOT(ISERROR(SEARCH("Eksamen",C26)))</formula>
    </cfRule>
    <cfRule type="containsText" dxfId="209" priority="195" operator="containsText" text="Øvelser">
      <formula>NOT(ISERROR(SEARCH("Øvelser",C26)))</formula>
    </cfRule>
    <cfRule type="containsText" dxfId="208" priority="196" operator="containsText" text="FORET_ARK">
      <formula>NOT(ISERROR(SEARCH("FORET_ARK",C26)))</formula>
    </cfRule>
    <cfRule type="containsText" dxfId="207" priority="197" operator="containsText" text="DATA_ARK">
      <formula>NOT(ISERROR(SEARCH("DATA_ARK",C26)))</formula>
    </cfRule>
    <cfRule type="containsText" dxfId="206" priority="198" operator="containsText" text="DRIFT ANALYSE">
      <formula>NOT(ISERROR(SEARCH("DRIFT ANALYSE",C26)))</formula>
    </cfRule>
    <cfRule type="containsText" dxfId="205" priority="199" operator="containsText" text="PROJ_STYR">
      <formula>NOT(ISERROR(SEARCH("PROJ_STYR",C26)))</formula>
    </cfRule>
    <cfRule type="containsText" dxfId="204" priority="200" operator="containsText" text="Coaching">
      <formula>NOT(ISERROR(SEARCH("Coaching",C26)))</formula>
    </cfRule>
    <cfRule type="containsText" dxfId="203" priority="201" operator="containsText" text="CasePræs">
      <formula>NOT(ISERROR(SEARCH("CasePræs",C26)))</formula>
    </cfRule>
    <cfRule type="containsText" dxfId="202" priority="202" operator="containsText" text="Feedback">
      <formula>NOT(ISERROR(SEARCH("Feedback",C26)))</formula>
    </cfRule>
  </conditionalFormatting>
  <conditionalFormatting sqref="C26">
    <cfRule type="expression" dxfId="201" priority="192">
      <formula>INDIRECT("R5C" &amp; COLUMN(),FALSE)="BLOCKED"</formula>
    </cfRule>
  </conditionalFormatting>
  <conditionalFormatting sqref="AI26">
    <cfRule type="containsText" dxfId="200" priority="182" operator="containsText" text="BLOCKED">
      <formula>NOT(ISERROR(SEARCH("BLOCKED",AI26)))</formula>
    </cfRule>
  </conditionalFormatting>
  <conditionalFormatting sqref="AI26">
    <cfRule type="containsText" dxfId="199" priority="183" operator="containsText" text="Eksamen">
      <formula>NOT(ISERROR(SEARCH("Eksamen",AI26)))</formula>
    </cfRule>
    <cfRule type="containsText" dxfId="198" priority="184" operator="containsText" text="Øvelser">
      <formula>NOT(ISERROR(SEARCH("Øvelser",AI26)))</formula>
    </cfRule>
    <cfRule type="containsText" dxfId="197" priority="185" operator="containsText" text="FORET_ARK">
      <formula>NOT(ISERROR(SEARCH("FORET_ARK",AI26)))</formula>
    </cfRule>
    <cfRule type="containsText" dxfId="196" priority="186" operator="containsText" text="DATA_ARK">
      <formula>NOT(ISERROR(SEARCH("DATA_ARK",AI26)))</formula>
    </cfRule>
    <cfRule type="containsText" dxfId="195" priority="187" operator="containsText" text="DRIFT ANALYSE">
      <formula>NOT(ISERROR(SEARCH("DRIFT ANALYSE",AI26)))</formula>
    </cfRule>
    <cfRule type="containsText" dxfId="194" priority="188" operator="containsText" text="PROJ_STYR">
      <formula>NOT(ISERROR(SEARCH("PROJ_STYR",AI26)))</formula>
    </cfRule>
    <cfRule type="containsText" dxfId="193" priority="189" operator="containsText" text="Coaching">
      <formula>NOT(ISERROR(SEARCH("Coaching",AI26)))</formula>
    </cfRule>
    <cfRule type="containsText" dxfId="192" priority="190" operator="containsText" text="CasePræs">
      <formula>NOT(ISERROR(SEARCH("CasePræs",AI26)))</formula>
    </cfRule>
    <cfRule type="containsText" dxfId="191" priority="191" operator="containsText" text="Feedback">
      <formula>NOT(ISERROR(SEARCH("Feedback",AI26)))</formula>
    </cfRule>
  </conditionalFormatting>
  <conditionalFormatting sqref="AI26">
    <cfRule type="expression" dxfId="190" priority="181">
      <formula>INDIRECT("R5C" &amp; COLUMN(),FALSE)="BLOCKED"</formula>
    </cfRule>
  </conditionalFormatting>
  <conditionalFormatting sqref="BC26">
    <cfRule type="containsText" dxfId="189" priority="171" operator="containsText" text="BLOCKED">
      <formula>NOT(ISERROR(SEARCH("BLOCKED",BC26)))</formula>
    </cfRule>
  </conditionalFormatting>
  <conditionalFormatting sqref="BC26">
    <cfRule type="containsText" dxfId="188" priority="172" operator="containsText" text="Eksamen">
      <formula>NOT(ISERROR(SEARCH("Eksamen",BC26)))</formula>
    </cfRule>
    <cfRule type="containsText" dxfId="187" priority="173" operator="containsText" text="Øvelser">
      <formula>NOT(ISERROR(SEARCH("Øvelser",BC26)))</formula>
    </cfRule>
    <cfRule type="containsText" dxfId="186" priority="174" operator="containsText" text="FORET_ARK">
      <formula>NOT(ISERROR(SEARCH("FORET_ARK",BC26)))</formula>
    </cfRule>
    <cfRule type="containsText" dxfId="185" priority="175" operator="containsText" text="DATA_ARK">
      <formula>NOT(ISERROR(SEARCH("DATA_ARK",BC26)))</formula>
    </cfRule>
    <cfRule type="containsText" dxfId="184" priority="176" operator="containsText" text="DRIFT ANALYSE">
      <formula>NOT(ISERROR(SEARCH("DRIFT ANALYSE",BC26)))</formula>
    </cfRule>
    <cfRule type="containsText" dxfId="183" priority="177" operator="containsText" text="PROJ_STYR">
      <formula>NOT(ISERROR(SEARCH("PROJ_STYR",BC26)))</formula>
    </cfRule>
    <cfRule type="containsText" dxfId="182" priority="178" operator="containsText" text="Coaching">
      <formula>NOT(ISERROR(SEARCH("Coaching",BC26)))</formula>
    </cfRule>
    <cfRule type="containsText" dxfId="181" priority="179" operator="containsText" text="CasePræs">
      <formula>NOT(ISERROR(SEARCH("CasePræs",BC26)))</formula>
    </cfRule>
    <cfRule type="containsText" dxfId="180" priority="180" operator="containsText" text="Feedback">
      <formula>NOT(ISERROR(SEARCH("Feedback",BC26)))</formula>
    </cfRule>
  </conditionalFormatting>
  <conditionalFormatting sqref="BC26">
    <cfRule type="expression" dxfId="179" priority="170">
      <formula>INDIRECT("R5C" &amp; COLUMN(),FALSE)="BLOCKED"</formula>
    </cfRule>
  </conditionalFormatting>
  <conditionalFormatting sqref="BI26:BJ26">
    <cfRule type="containsText" dxfId="178" priority="160" operator="containsText" text="BLOCKED">
      <formula>NOT(ISERROR(SEARCH("BLOCKED",BI26)))</formula>
    </cfRule>
  </conditionalFormatting>
  <conditionalFormatting sqref="BI26:BJ26">
    <cfRule type="containsText" dxfId="177" priority="161" operator="containsText" text="Eksamen">
      <formula>NOT(ISERROR(SEARCH("Eksamen",BI26)))</formula>
    </cfRule>
    <cfRule type="containsText" dxfId="176" priority="162" operator="containsText" text="Øvelser">
      <formula>NOT(ISERROR(SEARCH("Øvelser",BI26)))</formula>
    </cfRule>
    <cfRule type="containsText" dxfId="175" priority="163" operator="containsText" text="FORET_ARK">
      <formula>NOT(ISERROR(SEARCH("FORET_ARK",BI26)))</formula>
    </cfRule>
    <cfRule type="containsText" dxfId="174" priority="164" operator="containsText" text="DATA_ARK">
      <formula>NOT(ISERROR(SEARCH("DATA_ARK",BI26)))</formula>
    </cfRule>
    <cfRule type="containsText" dxfId="173" priority="165" operator="containsText" text="DRIFT ANALYSE">
      <formula>NOT(ISERROR(SEARCH("DRIFT ANALYSE",BI26)))</formula>
    </cfRule>
    <cfRule type="containsText" dxfId="172" priority="166" operator="containsText" text="PROJ_STYR">
      <formula>NOT(ISERROR(SEARCH("PROJ_STYR",BI26)))</formula>
    </cfRule>
    <cfRule type="containsText" dxfId="171" priority="167" operator="containsText" text="Coaching">
      <formula>NOT(ISERROR(SEARCH("Coaching",BI26)))</formula>
    </cfRule>
    <cfRule type="containsText" dxfId="170" priority="168" operator="containsText" text="CasePræs">
      <formula>NOT(ISERROR(SEARCH("CasePræs",BI26)))</formula>
    </cfRule>
    <cfRule type="containsText" dxfId="169" priority="169" operator="containsText" text="Feedback">
      <formula>NOT(ISERROR(SEARCH("Feedback",BI26)))</formula>
    </cfRule>
  </conditionalFormatting>
  <conditionalFormatting sqref="BI26:BJ26">
    <cfRule type="expression" dxfId="168" priority="159">
      <formula>INDIRECT("R5C" &amp; COLUMN(),FALSE)="BLOCKED"</formula>
    </cfRule>
  </conditionalFormatting>
  <conditionalFormatting sqref="C22:DC25 C27:DC30">
    <cfRule type="containsText" dxfId="167" priority="214" stopIfTrue="1" operator="containsText" text="DRIFT">
      <formula>NOT(ISERROR(SEARCH("DRIFT",C22)))</formula>
    </cfRule>
  </conditionalFormatting>
  <conditionalFormatting sqref="C22:DC25 C27:DC30">
    <cfRule type="containsText" dxfId="166" priority="215" stopIfTrue="1" operator="containsText" text="ARKIT">
      <formula>NOT(ISERROR(SEARCH("ARKIT",C22)))</formula>
    </cfRule>
    <cfRule type="containsText" dxfId="165" priority="222" stopIfTrue="1" operator="containsText" text="EKSAM">
      <formula>NOT(ISERROR(SEARCH("EKSAM",C22)))</formula>
    </cfRule>
  </conditionalFormatting>
  <conditionalFormatting sqref="C22:DC25 C27:DC30">
    <cfRule type="containsText" dxfId="164" priority="216" stopIfTrue="1" operator="containsText" text="PROJEKT">
      <formula>NOT(ISERROR(SEARCH("PROJEKT",C22)))</formula>
    </cfRule>
  </conditionalFormatting>
  <conditionalFormatting sqref="C22:DC25 C27:DC30">
    <cfRule type="containsText" dxfId="163" priority="217" stopIfTrue="1" operator="containsText" text="DATARK">
      <formula>NOT(ISERROR(SEARCH("DATARK",C22)))</formula>
    </cfRule>
  </conditionalFormatting>
  <conditionalFormatting sqref="C22:DC25 C27:DC30">
    <cfRule type="containsText" dxfId="162" priority="218" stopIfTrue="1" operator="containsText" text="COACH">
      <formula>NOT(ISERROR(SEARCH("COACH",C22)))</formula>
    </cfRule>
  </conditionalFormatting>
  <conditionalFormatting sqref="C22:DC25 C27:DC30">
    <cfRule type="containsText" dxfId="161" priority="219" stopIfTrue="1" operator="containsText" text="CASEPRÆS">
      <formula>NOT(ISERROR(SEARCH("CASEPRÆS",C22)))</formula>
    </cfRule>
  </conditionalFormatting>
  <conditionalFormatting sqref="C22:DC25 C27:DC30">
    <cfRule type="containsText" dxfId="160" priority="220" stopIfTrue="1" operator="containsText" text="FEEDBACK">
      <formula>NOT(ISERROR(SEARCH("FEEDBACK",C22)))</formula>
    </cfRule>
  </conditionalFormatting>
  <conditionalFormatting sqref="C22:DC25 C27:DC30">
    <cfRule type="containsText" dxfId="159" priority="221" stopIfTrue="1" operator="containsText" text="ØVELSER">
      <formula>NOT(ISERROR(SEARCH("ØVELSER",C22)))</formula>
    </cfRule>
    <cfRule type="containsText" dxfId="158" priority="223" stopIfTrue="1" operator="containsText" text="INTRO">
      <formula>NOT(ISERROR(SEARCH("INTRO",C22)))</formula>
    </cfRule>
  </conditionalFormatting>
  <conditionalFormatting sqref="C21:BT21">
    <cfRule type="containsText" dxfId="157" priority="157" operator="containsText" text="BLOCKED">
      <formula>NOT(ISERROR(SEARCH("BLOCKED",C21)))</formula>
    </cfRule>
  </conditionalFormatting>
  <conditionalFormatting sqref="BV21:CM21 CO21:DC21">
    <cfRule type="containsText" dxfId="156" priority="158" operator="containsText" text="BLOCKED">
      <formula>NOT(ISERROR(SEARCH("BLOCKED",BV21)))</formula>
    </cfRule>
  </conditionalFormatting>
  <conditionalFormatting sqref="C38:DC45">
    <cfRule type="containsText" dxfId="155" priority="147" stopIfTrue="1" operator="containsText" text="DRIFT">
      <formula>NOT(ISERROR(SEARCH("DRIFT",C38)))</formula>
    </cfRule>
  </conditionalFormatting>
  <conditionalFormatting sqref="C38:DC45">
    <cfRule type="containsText" dxfId="154" priority="148" stopIfTrue="1" operator="containsText" text="ARKIT">
      <formula>NOT(ISERROR(SEARCH("ARKIT",C38)))</formula>
    </cfRule>
  </conditionalFormatting>
  <conditionalFormatting sqref="C38:DC45">
    <cfRule type="containsText" dxfId="153" priority="149" stopIfTrue="1" operator="containsText" text="PROJEKT">
      <formula>NOT(ISERROR(SEARCH("PROJEKT",C38)))</formula>
    </cfRule>
  </conditionalFormatting>
  <conditionalFormatting sqref="C38:DC45">
    <cfRule type="containsText" dxfId="152" priority="150" stopIfTrue="1" operator="containsText" text="DATARK">
      <formula>NOT(ISERROR(SEARCH("DATARK",C38)))</formula>
    </cfRule>
  </conditionalFormatting>
  <conditionalFormatting sqref="C38:DC45">
    <cfRule type="containsText" dxfId="151" priority="151" stopIfTrue="1" operator="containsText" text="COACH">
      <formula>NOT(ISERROR(SEARCH("COACH",C38)))</formula>
    </cfRule>
  </conditionalFormatting>
  <conditionalFormatting sqref="C38:DC45">
    <cfRule type="containsText" dxfId="150" priority="152" stopIfTrue="1" operator="containsText" text="CASEPRÆS">
      <formula>NOT(ISERROR(SEARCH("CASEPRÆS",C38)))</formula>
    </cfRule>
  </conditionalFormatting>
  <conditionalFormatting sqref="C38:DC45">
    <cfRule type="containsText" dxfId="149" priority="153" stopIfTrue="1" operator="containsText" text="FEEDBACK">
      <formula>NOT(ISERROR(SEARCH("FEEDBACK",C38)))</formula>
    </cfRule>
  </conditionalFormatting>
  <conditionalFormatting sqref="C38:DC45">
    <cfRule type="containsText" dxfId="148" priority="154" stopIfTrue="1" operator="containsText" text="ØVELSER">
      <formula>NOT(ISERROR(SEARCH("ØVELSER",C38)))</formula>
    </cfRule>
  </conditionalFormatting>
  <conditionalFormatting sqref="C38:DC45">
    <cfRule type="containsText" dxfId="147" priority="155" stopIfTrue="1" operator="containsText" text="EKSAM">
      <formula>NOT(ISERROR(SEARCH("EKSAM",C38)))</formula>
    </cfRule>
  </conditionalFormatting>
  <conditionalFormatting sqref="C38:DC45">
    <cfRule type="containsText" dxfId="146" priority="156" stopIfTrue="1" operator="containsText" text="INTRO">
      <formula>NOT(ISERROR(SEARCH("INTRO",C38)))</formula>
    </cfRule>
  </conditionalFormatting>
  <conditionalFormatting sqref="C37:BT37">
    <cfRule type="containsText" dxfId="145" priority="145" operator="containsText" text="BLOCKED">
      <formula>NOT(ISERROR(SEARCH("BLOCKED",C37)))</formula>
    </cfRule>
  </conditionalFormatting>
  <conditionalFormatting sqref="BV37:CM37 CO37:DC37">
    <cfRule type="containsText" dxfId="144" priority="146" operator="containsText" text="BLOCKED">
      <formula>NOT(ISERROR(SEARCH("BLOCKED",BV37)))</formula>
    </cfRule>
  </conditionalFormatting>
  <conditionalFormatting sqref="D58:AH58 AJ58:BB58 BD58:BH58 BK58:DC58">
    <cfRule type="containsText" dxfId="143" priority="125" operator="containsText" text="BLOCKED">
      <formula>NOT(ISERROR(SEARCH("BLOCKED",D58)))</formula>
    </cfRule>
  </conditionalFormatting>
  <conditionalFormatting sqref="D58:AH58 AJ58:BB58 BD58:BH58 BK58:DC58">
    <cfRule type="containsText" dxfId="142" priority="126" operator="containsText" text="Eksamen">
      <formula>NOT(ISERROR(SEARCH("Eksamen",D58)))</formula>
    </cfRule>
    <cfRule type="containsText" dxfId="141" priority="127" operator="containsText" text="Øvelser">
      <formula>NOT(ISERROR(SEARCH("Øvelser",D58)))</formula>
    </cfRule>
    <cfRule type="containsText" dxfId="140" priority="128" operator="containsText" text="FORET_ARK">
      <formula>NOT(ISERROR(SEARCH("FORET_ARK",D58)))</formula>
    </cfRule>
    <cfRule type="containsText" dxfId="139" priority="129" operator="containsText" text="DATA_ARK">
      <formula>NOT(ISERROR(SEARCH("DATA_ARK",D58)))</formula>
    </cfRule>
    <cfRule type="containsText" dxfId="138" priority="130" operator="containsText" text="DRIFT ANALYSE">
      <formula>NOT(ISERROR(SEARCH("DRIFT ANALYSE",D58)))</formula>
    </cfRule>
    <cfRule type="containsText" dxfId="137" priority="131" operator="containsText" text="PROJ_STYR">
      <formula>NOT(ISERROR(SEARCH("PROJ_STYR",D58)))</formula>
    </cfRule>
    <cfRule type="containsText" dxfId="136" priority="132" operator="containsText" text="Coaching">
      <formula>NOT(ISERROR(SEARCH("Coaching",D58)))</formula>
    </cfRule>
    <cfRule type="containsText" dxfId="135" priority="133" operator="containsText" text="CasePræs">
      <formula>NOT(ISERROR(SEARCH("CasePræs",D58)))</formula>
    </cfRule>
    <cfRule type="containsText" dxfId="134" priority="134" operator="containsText" text="Feedback">
      <formula>NOT(ISERROR(SEARCH("Feedback",D58)))</formula>
    </cfRule>
  </conditionalFormatting>
  <conditionalFormatting sqref="D58:AH58 AJ58:BB58 BD58:BH58 BK58:DC58">
    <cfRule type="expression" dxfId="133" priority="124">
      <formula>INDIRECT("R5C" &amp; COLUMN(),FALSE)="BLOCKED"</formula>
    </cfRule>
  </conditionalFormatting>
  <conditionalFormatting sqref="C58">
    <cfRule type="containsText" dxfId="132" priority="114" operator="containsText" text="BLOCKED">
      <formula>NOT(ISERROR(SEARCH("BLOCKED",C58)))</formula>
    </cfRule>
  </conditionalFormatting>
  <conditionalFormatting sqref="C58">
    <cfRule type="containsText" dxfId="131" priority="115" operator="containsText" text="Eksamen">
      <formula>NOT(ISERROR(SEARCH("Eksamen",C58)))</formula>
    </cfRule>
    <cfRule type="containsText" dxfId="130" priority="116" operator="containsText" text="Øvelser">
      <formula>NOT(ISERROR(SEARCH("Øvelser",C58)))</formula>
    </cfRule>
    <cfRule type="containsText" dxfId="129" priority="117" operator="containsText" text="FORET_ARK">
      <formula>NOT(ISERROR(SEARCH("FORET_ARK",C58)))</formula>
    </cfRule>
    <cfRule type="containsText" dxfId="128" priority="118" operator="containsText" text="DATA_ARK">
      <formula>NOT(ISERROR(SEARCH("DATA_ARK",C58)))</formula>
    </cfRule>
    <cfRule type="containsText" dxfId="127" priority="119" operator="containsText" text="DRIFT ANALYSE">
      <formula>NOT(ISERROR(SEARCH("DRIFT ANALYSE",C58)))</formula>
    </cfRule>
    <cfRule type="containsText" dxfId="126" priority="120" operator="containsText" text="PROJ_STYR">
      <formula>NOT(ISERROR(SEARCH("PROJ_STYR",C58)))</formula>
    </cfRule>
    <cfRule type="containsText" dxfId="125" priority="121" operator="containsText" text="Coaching">
      <formula>NOT(ISERROR(SEARCH("Coaching",C58)))</formula>
    </cfRule>
    <cfRule type="containsText" dxfId="124" priority="122" operator="containsText" text="CasePræs">
      <formula>NOT(ISERROR(SEARCH("CasePræs",C58)))</formula>
    </cfRule>
    <cfRule type="containsText" dxfId="123" priority="123" operator="containsText" text="Feedback">
      <formula>NOT(ISERROR(SEARCH("Feedback",C58)))</formula>
    </cfRule>
  </conditionalFormatting>
  <conditionalFormatting sqref="C58">
    <cfRule type="expression" dxfId="122" priority="113">
      <formula>INDIRECT("R5C" &amp; COLUMN(),FALSE)="BLOCKED"</formula>
    </cfRule>
  </conditionalFormatting>
  <conditionalFormatting sqref="AI58">
    <cfRule type="containsText" dxfId="121" priority="103" operator="containsText" text="BLOCKED">
      <formula>NOT(ISERROR(SEARCH("BLOCKED",AI58)))</formula>
    </cfRule>
  </conditionalFormatting>
  <conditionalFormatting sqref="AI58">
    <cfRule type="containsText" dxfId="120" priority="104" operator="containsText" text="Eksamen">
      <formula>NOT(ISERROR(SEARCH("Eksamen",AI58)))</formula>
    </cfRule>
    <cfRule type="containsText" dxfId="119" priority="105" operator="containsText" text="Øvelser">
      <formula>NOT(ISERROR(SEARCH("Øvelser",AI58)))</formula>
    </cfRule>
    <cfRule type="containsText" dxfId="118" priority="106" operator="containsText" text="FORET_ARK">
      <formula>NOT(ISERROR(SEARCH("FORET_ARK",AI58)))</formula>
    </cfRule>
    <cfRule type="containsText" dxfId="117" priority="107" operator="containsText" text="DATA_ARK">
      <formula>NOT(ISERROR(SEARCH("DATA_ARK",AI58)))</formula>
    </cfRule>
    <cfRule type="containsText" dxfId="116" priority="108" operator="containsText" text="DRIFT ANALYSE">
      <formula>NOT(ISERROR(SEARCH("DRIFT ANALYSE",AI58)))</formula>
    </cfRule>
    <cfRule type="containsText" dxfId="115" priority="109" operator="containsText" text="PROJ_STYR">
      <formula>NOT(ISERROR(SEARCH("PROJ_STYR",AI58)))</formula>
    </cfRule>
    <cfRule type="containsText" dxfId="114" priority="110" operator="containsText" text="Coaching">
      <formula>NOT(ISERROR(SEARCH("Coaching",AI58)))</formula>
    </cfRule>
    <cfRule type="containsText" dxfId="113" priority="111" operator="containsText" text="CasePræs">
      <formula>NOT(ISERROR(SEARCH("CasePræs",AI58)))</formula>
    </cfRule>
    <cfRule type="containsText" dxfId="112" priority="112" operator="containsText" text="Feedback">
      <formula>NOT(ISERROR(SEARCH("Feedback",AI58)))</formula>
    </cfRule>
  </conditionalFormatting>
  <conditionalFormatting sqref="AI58">
    <cfRule type="expression" dxfId="111" priority="102">
      <formula>INDIRECT("R5C" &amp; COLUMN(),FALSE)="BLOCKED"</formula>
    </cfRule>
  </conditionalFormatting>
  <conditionalFormatting sqref="BC58">
    <cfRule type="containsText" dxfId="110" priority="92" operator="containsText" text="BLOCKED">
      <formula>NOT(ISERROR(SEARCH("BLOCKED",BC58)))</formula>
    </cfRule>
  </conditionalFormatting>
  <conditionalFormatting sqref="BC58">
    <cfRule type="containsText" dxfId="109" priority="93" operator="containsText" text="Eksamen">
      <formula>NOT(ISERROR(SEARCH("Eksamen",BC58)))</formula>
    </cfRule>
    <cfRule type="containsText" dxfId="108" priority="94" operator="containsText" text="Øvelser">
      <formula>NOT(ISERROR(SEARCH("Øvelser",BC58)))</formula>
    </cfRule>
    <cfRule type="containsText" dxfId="107" priority="95" operator="containsText" text="FORET_ARK">
      <formula>NOT(ISERROR(SEARCH("FORET_ARK",BC58)))</formula>
    </cfRule>
    <cfRule type="containsText" dxfId="106" priority="96" operator="containsText" text="DATA_ARK">
      <formula>NOT(ISERROR(SEARCH("DATA_ARK",BC58)))</formula>
    </cfRule>
    <cfRule type="containsText" dxfId="105" priority="97" operator="containsText" text="DRIFT ANALYSE">
      <formula>NOT(ISERROR(SEARCH("DRIFT ANALYSE",BC58)))</formula>
    </cfRule>
    <cfRule type="containsText" dxfId="104" priority="98" operator="containsText" text="PROJ_STYR">
      <formula>NOT(ISERROR(SEARCH("PROJ_STYR",BC58)))</formula>
    </cfRule>
    <cfRule type="containsText" dxfId="103" priority="99" operator="containsText" text="Coaching">
      <formula>NOT(ISERROR(SEARCH("Coaching",BC58)))</formula>
    </cfRule>
    <cfRule type="containsText" dxfId="102" priority="100" operator="containsText" text="CasePræs">
      <formula>NOT(ISERROR(SEARCH("CasePræs",BC58)))</formula>
    </cfRule>
    <cfRule type="containsText" dxfId="101" priority="101" operator="containsText" text="Feedback">
      <formula>NOT(ISERROR(SEARCH("Feedback",BC58)))</formula>
    </cfRule>
  </conditionalFormatting>
  <conditionalFormatting sqref="BC58">
    <cfRule type="expression" dxfId="100" priority="91">
      <formula>INDIRECT("R5C" &amp; COLUMN(),FALSE)="BLOCKED"</formula>
    </cfRule>
  </conditionalFormatting>
  <conditionalFormatting sqref="BI58:BJ58">
    <cfRule type="containsText" dxfId="99" priority="81" operator="containsText" text="BLOCKED">
      <formula>NOT(ISERROR(SEARCH("BLOCKED",BI58)))</formula>
    </cfRule>
  </conditionalFormatting>
  <conditionalFormatting sqref="BI58:BJ58">
    <cfRule type="containsText" dxfId="98" priority="82" operator="containsText" text="Eksamen">
      <formula>NOT(ISERROR(SEARCH("Eksamen",BI58)))</formula>
    </cfRule>
    <cfRule type="containsText" dxfId="97" priority="83" operator="containsText" text="Øvelser">
      <formula>NOT(ISERROR(SEARCH("Øvelser",BI58)))</formula>
    </cfRule>
    <cfRule type="containsText" dxfId="96" priority="84" operator="containsText" text="FORET_ARK">
      <formula>NOT(ISERROR(SEARCH("FORET_ARK",BI58)))</formula>
    </cfRule>
    <cfRule type="containsText" dxfId="95" priority="85" operator="containsText" text="DATA_ARK">
      <formula>NOT(ISERROR(SEARCH("DATA_ARK",BI58)))</formula>
    </cfRule>
    <cfRule type="containsText" dxfId="94" priority="86" operator="containsText" text="DRIFT ANALYSE">
      <formula>NOT(ISERROR(SEARCH("DRIFT ANALYSE",BI58)))</formula>
    </cfRule>
    <cfRule type="containsText" dxfId="93" priority="87" operator="containsText" text="PROJ_STYR">
      <formula>NOT(ISERROR(SEARCH("PROJ_STYR",BI58)))</formula>
    </cfRule>
    <cfRule type="containsText" dxfId="92" priority="88" operator="containsText" text="Coaching">
      <formula>NOT(ISERROR(SEARCH("Coaching",BI58)))</formula>
    </cfRule>
    <cfRule type="containsText" dxfId="91" priority="89" operator="containsText" text="CasePræs">
      <formula>NOT(ISERROR(SEARCH("CasePræs",BI58)))</formula>
    </cfRule>
    <cfRule type="containsText" dxfId="90" priority="90" operator="containsText" text="Feedback">
      <formula>NOT(ISERROR(SEARCH("Feedback",BI58)))</formula>
    </cfRule>
  </conditionalFormatting>
  <conditionalFormatting sqref="BI58:BJ58">
    <cfRule type="expression" dxfId="89" priority="80">
      <formula>INDIRECT("R5C" &amp; COLUMN(),FALSE)="BLOCKED"</formula>
    </cfRule>
  </conditionalFormatting>
  <conditionalFormatting sqref="C54:DC57 C59:DC62">
    <cfRule type="containsText" dxfId="88" priority="135" stopIfTrue="1" operator="containsText" text="INNOV">
      <formula>NOT(ISERROR(SEARCH("INNOV",C54)))</formula>
    </cfRule>
  </conditionalFormatting>
  <conditionalFormatting sqref="C54:DC57 C59:DC62">
    <cfRule type="containsText" dxfId="87" priority="136" stopIfTrue="1" operator="containsText" text="PROCES">
      <formula>NOT(ISERROR(SEARCH("PROCES",C54)))</formula>
    </cfRule>
  </conditionalFormatting>
  <conditionalFormatting sqref="C54:DC57 C59:DC62">
    <cfRule type="containsText" dxfId="86" priority="137" stopIfTrue="1" operator="containsText" text="DIGORG">
      <formula>NOT(ISERROR(SEARCH("DIGORG",C54)))</formula>
    </cfRule>
  </conditionalFormatting>
  <conditionalFormatting sqref="C54:DC57 C59:DC62">
    <cfRule type="containsText" dxfId="85" priority="138" stopIfTrue="1" operator="containsText" text="TEKDAT">
      <formula>NOT(ISERROR(SEARCH("TEKDAT",C54)))</formula>
    </cfRule>
  </conditionalFormatting>
  <conditionalFormatting sqref="C54:DC57 C59:DC62">
    <cfRule type="containsText" dxfId="84" priority="139" stopIfTrue="1" operator="containsText" text="COACH">
      <formula>NOT(ISERROR(SEARCH("COACH",C54)))</formula>
    </cfRule>
    <cfRule type="containsText" dxfId="83" priority="143" stopIfTrue="1" operator="containsText" text="EKSAM">
      <formula>NOT(ISERROR(SEARCH("EKSAM",C54)))</formula>
    </cfRule>
  </conditionalFormatting>
  <conditionalFormatting sqref="C54:DC57 C59:DC62">
    <cfRule type="containsText" dxfId="82" priority="140" stopIfTrue="1" operator="containsText" text="CASEPRÆS">
      <formula>NOT(ISERROR(SEARCH("CASEPRÆS",C54)))</formula>
    </cfRule>
  </conditionalFormatting>
  <conditionalFormatting sqref="C54:DC57 C59:DC62">
    <cfRule type="containsText" dxfId="81" priority="141" stopIfTrue="1" operator="containsText" text="FEEDBACK">
      <formula>NOT(ISERROR(SEARCH("FEEDBACK",C54)))</formula>
    </cfRule>
  </conditionalFormatting>
  <conditionalFormatting sqref="C54:DC57 C59:DC62">
    <cfRule type="containsText" dxfId="80" priority="142" stopIfTrue="1" operator="containsText" text="ØVELSER">
      <formula>NOT(ISERROR(SEARCH("ØVELSER",C54)))</formula>
    </cfRule>
    <cfRule type="containsText" dxfId="79" priority="144" stopIfTrue="1" operator="containsText" text="INTRO">
      <formula>NOT(ISERROR(SEARCH("INTRO",C54)))</formula>
    </cfRule>
  </conditionalFormatting>
  <conditionalFormatting sqref="C53:BT53">
    <cfRule type="containsText" dxfId="78" priority="78" operator="containsText" text="BLOCKED">
      <formula>NOT(ISERROR(SEARCH("BLOCKED",C53)))</formula>
    </cfRule>
  </conditionalFormatting>
  <conditionalFormatting sqref="BV53:CM53 CO53:DC53">
    <cfRule type="containsText" dxfId="77" priority="79" operator="containsText" text="BLOCKED">
      <formula>NOT(ISERROR(SEARCH("BLOCKED",BV53)))</formula>
    </cfRule>
  </conditionalFormatting>
  <conditionalFormatting sqref="D74:AH74 AJ74:BB74 BD74:BH74 BK74:DC74">
    <cfRule type="containsText" dxfId="76" priority="59" operator="containsText" text="BLOCKED">
      <formula>NOT(ISERROR(SEARCH("BLOCKED",D74)))</formula>
    </cfRule>
  </conditionalFormatting>
  <conditionalFormatting sqref="D74:AH74 AJ74:BB74 BD74:BH74 BK74:DC74">
    <cfRule type="containsText" dxfId="75" priority="60" operator="containsText" text="Eksamen">
      <formula>NOT(ISERROR(SEARCH("Eksamen",D74)))</formula>
    </cfRule>
    <cfRule type="containsText" dxfId="74" priority="61" operator="containsText" text="Øvelser">
      <formula>NOT(ISERROR(SEARCH("Øvelser",D74)))</formula>
    </cfRule>
    <cfRule type="containsText" dxfId="73" priority="62" operator="containsText" text="FORET_ARK">
      <formula>NOT(ISERROR(SEARCH("FORET_ARK",D74)))</formula>
    </cfRule>
    <cfRule type="containsText" dxfId="72" priority="63" operator="containsText" text="DATA_ARK">
      <formula>NOT(ISERROR(SEARCH("DATA_ARK",D74)))</formula>
    </cfRule>
    <cfRule type="containsText" dxfId="71" priority="64" operator="containsText" text="DRIFT ANALYSE">
      <formula>NOT(ISERROR(SEARCH("DRIFT ANALYSE",D74)))</formula>
    </cfRule>
    <cfRule type="containsText" dxfId="70" priority="65" operator="containsText" text="PROJ_STYR">
      <formula>NOT(ISERROR(SEARCH("PROJ_STYR",D74)))</formula>
    </cfRule>
    <cfRule type="containsText" dxfId="69" priority="66" operator="containsText" text="Coaching">
      <formula>NOT(ISERROR(SEARCH("Coaching",D74)))</formula>
    </cfRule>
    <cfRule type="containsText" dxfId="68" priority="67" operator="containsText" text="CasePræs">
      <formula>NOT(ISERROR(SEARCH("CasePræs",D74)))</formula>
    </cfRule>
    <cfRule type="containsText" dxfId="67" priority="68" operator="containsText" text="Feedback">
      <formula>NOT(ISERROR(SEARCH("Feedback",D74)))</formula>
    </cfRule>
  </conditionalFormatting>
  <conditionalFormatting sqref="D74:AH74 AJ74:BB74 BD74:BH74 BK74:DC74">
    <cfRule type="expression" dxfId="66" priority="58">
      <formula>INDIRECT("R5C" &amp; COLUMN(),FALSE)="BLOCKED"</formula>
    </cfRule>
  </conditionalFormatting>
  <conditionalFormatting sqref="C74">
    <cfRule type="containsText" dxfId="65" priority="48" operator="containsText" text="BLOCKED">
      <formula>NOT(ISERROR(SEARCH("BLOCKED",C74)))</formula>
    </cfRule>
  </conditionalFormatting>
  <conditionalFormatting sqref="C74">
    <cfRule type="containsText" dxfId="64" priority="49" operator="containsText" text="Eksamen">
      <formula>NOT(ISERROR(SEARCH("Eksamen",C74)))</formula>
    </cfRule>
    <cfRule type="containsText" dxfId="63" priority="50" operator="containsText" text="Øvelser">
      <formula>NOT(ISERROR(SEARCH("Øvelser",C74)))</formula>
    </cfRule>
    <cfRule type="containsText" dxfId="62" priority="51" operator="containsText" text="FORET_ARK">
      <formula>NOT(ISERROR(SEARCH("FORET_ARK",C74)))</formula>
    </cfRule>
    <cfRule type="containsText" dxfId="61" priority="52" operator="containsText" text="DATA_ARK">
      <formula>NOT(ISERROR(SEARCH("DATA_ARK",C74)))</formula>
    </cfRule>
    <cfRule type="containsText" dxfId="60" priority="53" operator="containsText" text="DRIFT ANALYSE">
      <formula>NOT(ISERROR(SEARCH("DRIFT ANALYSE",C74)))</formula>
    </cfRule>
    <cfRule type="containsText" dxfId="59" priority="54" operator="containsText" text="PROJ_STYR">
      <formula>NOT(ISERROR(SEARCH("PROJ_STYR",C74)))</formula>
    </cfRule>
    <cfRule type="containsText" dxfId="58" priority="55" operator="containsText" text="Coaching">
      <formula>NOT(ISERROR(SEARCH("Coaching",C74)))</formula>
    </cfRule>
    <cfRule type="containsText" dxfId="57" priority="56" operator="containsText" text="CasePræs">
      <formula>NOT(ISERROR(SEARCH("CasePræs",C74)))</formula>
    </cfRule>
    <cfRule type="containsText" dxfId="56" priority="57" operator="containsText" text="Feedback">
      <formula>NOT(ISERROR(SEARCH("Feedback",C74)))</formula>
    </cfRule>
  </conditionalFormatting>
  <conditionalFormatting sqref="C74">
    <cfRule type="expression" dxfId="55" priority="47">
      <formula>INDIRECT("R5C" &amp; COLUMN(),FALSE)="BLOCKED"</formula>
    </cfRule>
  </conditionalFormatting>
  <conditionalFormatting sqref="AI74">
    <cfRule type="containsText" dxfId="54" priority="37" operator="containsText" text="BLOCKED">
      <formula>NOT(ISERROR(SEARCH("BLOCKED",AI74)))</formula>
    </cfRule>
  </conditionalFormatting>
  <conditionalFormatting sqref="AI74">
    <cfRule type="containsText" dxfId="53" priority="38" operator="containsText" text="Eksamen">
      <formula>NOT(ISERROR(SEARCH("Eksamen",AI74)))</formula>
    </cfRule>
    <cfRule type="containsText" dxfId="52" priority="39" operator="containsText" text="Øvelser">
      <formula>NOT(ISERROR(SEARCH("Øvelser",AI74)))</formula>
    </cfRule>
    <cfRule type="containsText" dxfId="51" priority="40" operator="containsText" text="FORET_ARK">
      <formula>NOT(ISERROR(SEARCH("FORET_ARK",AI74)))</formula>
    </cfRule>
    <cfRule type="containsText" dxfId="50" priority="41" operator="containsText" text="DATA_ARK">
      <formula>NOT(ISERROR(SEARCH("DATA_ARK",AI74)))</formula>
    </cfRule>
    <cfRule type="containsText" dxfId="49" priority="42" operator="containsText" text="DRIFT ANALYSE">
      <formula>NOT(ISERROR(SEARCH("DRIFT ANALYSE",AI74)))</formula>
    </cfRule>
    <cfRule type="containsText" dxfId="48" priority="43" operator="containsText" text="PROJ_STYR">
      <formula>NOT(ISERROR(SEARCH("PROJ_STYR",AI74)))</formula>
    </cfRule>
    <cfRule type="containsText" dxfId="47" priority="44" operator="containsText" text="Coaching">
      <formula>NOT(ISERROR(SEARCH("Coaching",AI74)))</formula>
    </cfRule>
    <cfRule type="containsText" dxfId="46" priority="45" operator="containsText" text="CasePræs">
      <formula>NOT(ISERROR(SEARCH("CasePræs",AI74)))</formula>
    </cfRule>
    <cfRule type="containsText" dxfId="45" priority="46" operator="containsText" text="Feedback">
      <formula>NOT(ISERROR(SEARCH("Feedback",AI74)))</formula>
    </cfRule>
  </conditionalFormatting>
  <conditionalFormatting sqref="AI74">
    <cfRule type="expression" dxfId="44" priority="36">
      <formula>INDIRECT("R5C" &amp; COLUMN(),FALSE)="BLOCKED"</formula>
    </cfRule>
  </conditionalFormatting>
  <conditionalFormatting sqref="BC74">
    <cfRule type="containsText" dxfId="43" priority="26" operator="containsText" text="BLOCKED">
      <formula>NOT(ISERROR(SEARCH("BLOCKED",BC74)))</formula>
    </cfRule>
  </conditionalFormatting>
  <conditionalFormatting sqref="BC74">
    <cfRule type="containsText" dxfId="42" priority="27" operator="containsText" text="Eksamen">
      <formula>NOT(ISERROR(SEARCH("Eksamen",BC74)))</formula>
    </cfRule>
    <cfRule type="containsText" dxfId="41" priority="28" operator="containsText" text="Øvelser">
      <formula>NOT(ISERROR(SEARCH("Øvelser",BC74)))</formula>
    </cfRule>
    <cfRule type="containsText" dxfId="40" priority="29" operator="containsText" text="FORET_ARK">
      <formula>NOT(ISERROR(SEARCH("FORET_ARK",BC74)))</formula>
    </cfRule>
    <cfRule type="containsText" dxfId="39" priority="30" operator="containsText" text="DATA_ARK">
      <formula>NOT(ISERROR(SEARCH("DATA_ARK",BC74)))</formula>
    </cfRule>
    <cfRule type="containsText" dxfId="38" priority="31" operator="containsText" text="DRIFT ANALYSE">
      <formula>NOT(ISERROR(SEARCH("DRIFT ANALYSE",BC74)))</formula>
    </cfRule>
    <cfRule type="containsText" dxfId="37" priority="32" operator="containsText" text="PROJ_STYR">
      <formula>NOT(ISERROR(SEARCH("PROJ_STYR",BC74)))</formula>
    </cfRule>
    <cfRule type="containsText" dxfId="36" priority="33" operator="containsText" text="Coaching">
      <formula>NOT(ISERROR(SEARCH("Coaching",BC74)))</formula>
    </cfRule>
    <cfRule type="containsText" dxfId="35" priority="34" operator="containsText" text="CasePræs">
      <formula>NOT(ISERROR(SEARCH("CasePræs",BC74)))</formula>
    </cfRule>
    <cfRule type="containsText" dxfId="34" priority="35" operator="containsText" text="Feedback">
      <formula>NOT(ISERROR(SEARCH("Feedback",BC74)))</formula>
    </cfRule>
  </conditionalFormatting>
  <conditionalFormatting sqref="BC74">
    <cfRule type="expression" dxfId="33" priority="25">
      <formula>INDIRECT("R5C" &amp; COLUMN(),FALSE)="BLOCKED"</formula>
    </cfRule>
  </conditionalFormatting>
  <conditionalFormatting sqref="BI74:BJ74">
    <cfRule type="containsText" dxfId="32" priority="15" operator="containsText" text="BLOCKED">
      <formula>NOT(ISERROR(SEARCH("BLOCKED",BI74)))</formula>
    </cfRule>
  </conditionalFormatting>
  <conditionalFormatting sqref="BI74:BJ74">
    <cfRule type="containsText" dxfId="31" priority="16" operator="containsText" text="Eksamen">
      <formula>NOT(ISERROR(SEARCH("Eksamen",BI74)))</formula>
    </cfRule>
    <cfRule type="containsText" dxfId="30" priority="17" operator="containsText" text="Øvelser">
      <formula>NOT(ISERROR(SEARCH("Øvelser",BI74)))</formula>
    </cfRule>
    <cfRule type="containsText" dxfId="29" priority="18" operator="containsText" text="FORET_ARK">
      <formula>NOT(ISERROR(SEARCH("FORET_ARK",BI74)))</formula>
    </cfRule>
    <cfRule type="containsText" dxfId="28" priority="19" operator="containsText" text="DATA_ARK">
      <formula>NOT(ISERROR(SEARCH("DATA_ARK",BI74)))</formula>
    </cfRule>
    <cfRule type="containsText" dxfId="27" priority="20" operator="containsText" text="DRIFT ANALYSE">
      <formula>NOT(ISERROR(SEARCH("DRIFT ANALYSE",BI74)))</formula>
    </cfRule>
    <cfRule type="containsText" dxfId="26" priority="21" operator="containsText" text="PROJ_STYR">
      <formula>NOT(ISERROR(SEARCH("PROJ_STYR",BI74)))</formula>
    </cfRule>
    <cfRule type="containsText" dxfId="25" priority="22" operator="containsText" text="Coaching">
      <formula>NOT(ISERROR(SEARCH("Coaching",BI74)))</formula>
    </cfRule>
    <cfRule type="containsText" dxfId="24" priority="23" operator="containsText" text="CasePræs">
      <formula>NOT(ISERROR(SEARCH("CasePræs",BI74)))</formula>
    </cfRule>
    <cfRule type="containsText" dxfId="23" priority="24" operator="containsText" text="Feedback">
      <formula>NOT(ISERROR(SEARCH("Feedback",BI74)))</formula>
    </cfRule>
  </conditionalFormatting>
  <conditionalFormatting sqref="BI74:BJ74">
    <cfRule type="expression" dxfId="22" priority="14">
      <formula>INDIRECT("R5C" &amp; COLUMN(),FALSE)="BLOCKED"</formula>
    </cfRule>
  </conditionalFormatting>
  <conditionalFormatting sqref="C70:DC73 C75:DC78">
    <cfRule type="containsText" dxfId="21" priority="69" stopIfTrue="1" operator="containsText" text="RESIL">
      <formula>NOT(ISERROR(SEARCH("RESIL",C70)))</formula>
    </cfRule>
  </conditionalFormatting>
  <conditionalFormatting sqref="C70:DC73 C75:DC78">
    <cfRule type="containsText" dxfId="20" priority="70" stopIfTrue="1" operator="containsText" text="DIGTRA">
      <formula>NOT(ISERROR(SEARCH("DIGTRA",C70)))</formula>
    </cfRule>
    <cfRule type="containsText" dxfId="19" priority="77" stopIfTrue="1" operator="containsText" text="INTRO">
      <formula>NOT(ISERROR(SEARCH("INTRO",C70)))</formula>
    </cfRule>
  </conditionalFormatting>
  <conditionalFormatting sqref="C70:DC73 C75:DC78">
    <cfRule type="containsText" dxfId="18" priority="71" stopIfTrue="1" operator="containsText" text="LØSNING">
      <formula>NOT(ISERROR(SEARCH("LØSNING",C70)))</formula>
    </cfRule>
  </conditionalFormatting>
  <conditionalFormatting sqref="C70:DC73 C75:DC78">
    <cfRule type="containsText" dxfId="17" priority="72" stopIfTrue="1" operator="containsText" text="COACH">
      <formula>NOT(ISERROR(SEARCH("COACH",C70)))</formula>
    </cfRule>
  </conditionalFormatting>
  <conditionalFormatting sqref="C70:DC73 C75:DC78">
    <cfRule type="containsText" dxfId="16" priority="73" stopIfTrue="1" operator="containsText" text="CASEPRÆS">
      <formula>NOT(ISERROR(SEARCH("CASEPRÆS",C70)))</formula>
    </cfRule>
  </conditionalFormatting>
  <conditionalFormatting sqref="C70:DC73 C75:DC78">
    <cfRule type="containsText" dxfId="15" priority="74" stopIfTrue="1" operator="containsText" text="FEEDBACK">
      <formula>NOT(ISERROR(SEARCH("FEEDBACK",C70)))</formula>
    </cfRule>
  </conditionalFormatting>
  <conditionalFormatting sqref="C70:DC73 C75:DC78">
    <cfRule type="containsText" dxfId="14" priority="75" stopIfTrue="1" operator="containsText" text="ØVELSER">
      <formula>NOT(ISERROR(SEARCH("ØVELSER",C70)))</formula>
    </cfRule>
  </conditionalFormatting>
  <conditionalFormatting sqref="C70:DC73 C75:DC78">
    <cfRule type="containsText" dxfId="13" priority="76" stopIfTrue="1" operator="containsText" text="EKSAM">
      <formula>NOT(ISERROR(SEARCH("EKSAM",C70)))</formula>
    </cfRule>
  </conditionalFormatting>
  <conditionalFormatting sqref="C69:BT69">
    <cfRule type="containsText" dxfId="12" priority="12" operator="containsText" text="BLOCKED">
      <formula>NOT(ISERROR(SEARCH("BLOCKED",C69)))</formula>
    </cfRule>
  </conditionalFormatting>
  <conditionalFormatting sqref="BV69:CM69 CO69:DC69">
    <cfRule type="containsText" dxfId="11" priority="13" operator="containsText" text="BLOCKED">
      <formula>NOT(ISERROR(SEARCH("BLOCKED",BV69)))</formula>
    </cfRule>
  </conditionalFormatting>
  <conditionalFormatting sqref="C86:DC93">
    <cfRule type="containsText" dxfId="10" priority="3" stopIfTrue="1" operator="containsText" text="RESIL">
      <formula>NOT(ISERROR(SEARCH("RESIL",C86)))</formula>
    </cfRule>
  </conditionalFormatting>
  <conditionalFormatting sqref="C86:DC93">
    <cfRule type="containsText" dxfId="9" priority="4" stopIfTrue="1" operator="containsText" text="DIGTRA">
      <formula>NOT(ISERROR(SEARCH("DIGTRA",C86)))</formula>
    </cfRule>
  </conditionalFormatting>
  <conditionalFormatting sqref="C86:DC93">
    <cfRule type="containsText" dxfId="8" priority="5" stopIfTrue="1" operator="containsText" text="LØSNING">
      <formula>NOT(ISERROR(SEARCH("LØSNING",C86)))</formula>
    </cfRule>
  </conditionalFormatting>
  <conditionalFormatting sqref="C86:DC93">
    <cfRule type="containsText" dxfId="7" priority="6" stopIfTrue="1" operator="containsText" text="COACH">
      <formula>NOT(ISERROR(SEARCH("COACH",C86)))</formula>
    </cfRule>
  </conditionalFormatting>
  <conditionalFormatting sqref="C86:DC93">
    <cfRule type="containsText" dxfId="6" priority="7" stopIfTrue="1" operator="containsText" text="CASEPRÆS">
      <formula>NOT(ISERROR(SEARCH("CASEPRÆS",C86)))</formula>
    </cfRule>
  </conditionalFormatting>
  <conditionalFormatting sqref="C86:DC93">
    <cfRule type="containsText" dxfId="5" priority="8" stopIfTrue="1" operator="containsText" text="FEEDBACK">
      <formula>NOT(ISERROR(SEARCH("FEEDBACK",C86)))</formula>
    </cfRule>
  </conditionalFormatting>
  <conditionalFormatting sqref="C86:DC93">
    <cfRule type="containsText" dxfId="4" priority="9" stopIfTrue="1" operator="containsText" text="ØVELSER">
      <formula>NOT(ISERROR(SEARCH("ØVELSER",C86)))</formula>
    </cfRule>
  </conditionalFormatting>
  <conditionalFormatting sqref="C86:DC93">
    <cfRule type="containsText" dxfId="3" priority="10" stopIfTrue="1" operator="containsText" text="EKSAM">
      <formula>NOT(ISERROR(SEARCH("EKSAM",C86)))</formula>
    </cfRule>
  </conditionalFormatting>
  <conditionalFormatting sqref="C86:DC93">
    <cfRule type="containsText" dxfId="2" priority="11" stopIfTrue="1" operator="containsText" text="INTRO">
      <formula>NOT(ISERROR(SEARCH("INTRO",C86)))</formula>
    </cfRule>
  </conditionalFormatting>
  <conditionalFormatting sqref="C85:BT85">
    <cfRule type="containsText" dxfId="1" priority="1" operator="containsText" text="BLOCKED">
      <formula>NOT(ISERROR(SEARCH("BLOCKED",C85)))</formula>
    </cfRule>
  </conditionalFormatting>
  <conditionalFormatting sqref="BV85:CM85 CO85:DC85">
    <cfRule type="containsText" dxfId="0" priority="2" operator="containsText" text="BLOCKED">
      <formula>NOT(ISERROR(SEARCH("BLOCKED",BV85)))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C7C43-0A62-B442-9038-163E38A18C92}">
  <sheetPr codeName="Sheet6"/>
  <dimension ref="A1:DB40"/>
  <sheetViews>
    <sheetView zoomScaleNormal="100" workbookViewId="0">
      <pane xSplit="1" topLeftCell="B1" activePane="topRight" state="frozen"/>
      <selection pane="topRight" activeCell="I13" sqref="I13"/>
    </sheetView>
  </sheetViews>
  <sheetFormatPr baseColWidth="10" defaultRowHeight="16" x14ac:dyDescent="0.2"/>
  <cols>
    <col min="1" max="1" width="8.5" style="433" customWidth="1"/>
    <col min="2" max="106" width="8.83203125" style="433" customWidth="1"/>
    <col min="107" max="16384" width="10.83203125" style="433"/>
  </cols>
  <sheetData>
    <row r="1" spans="1:106" ht="17" thickBot="1" x14ac:dyDescent="0.25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4"/>
      <c r="V1" s="134"/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4"/>
      <c r="AP1" s="134"/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4"/>
      <c r="DB1" s="134"/>
    </row>
    <row r="2" spans="1:106" ht="17" thickBot="1" x14ac:dyDescent="0.25">
      <c r="A2" s="287"/>
      <c r="B2" s="464" t="str">
        <f>_xlfn.CONCAT("Uge ",WEEKNUM(B4))</f>
        <v>Uge 6</v>
      </c>
      <c r="C2" s="465"/>
      <c r="D2" s="465"/>
      <c r="E2" s="465"/>
      <c r="F2" s="466"/>
      <c r="G2" s="464" t="str">
        <f>_xlfn.CONCAT("Uge ",WEEKNUM(G4))</f>
        <v>Uge 7</v>
      </c>
      <c r="H2" s="465"/>
      <c r="I2" s="465"/>
      <c r="J2" s="465"/>
      <c r="K2" s="466"/>
      <c r="L2" s="464" t="str">
        <f>_xlfn.CONCAT("Uge ",WEEKNUM(L4))</f>
        <v>Uge 8</v>
      </c>
      <c r="M2" s="465"/>
      <c r="N2" s="465"/>
      <c r="O2" s="465"/>
      <c r="P2" s="466"/>
      <c r="Q2" s="464" t="str">
        <f>_xlfn.CONCAT("Uge ",WEEKNUM(Q4))</f>
        <v>Uge 9</v>
      </c>
      <c r="R2" s="465"/>
      <c r="S2" s="465"/>
      <c r="T2" s="465"/>
      <c r="U2" s="466"/>
      <c r="V2" s="464" t="str">
        <f>_xlfn.CONCAT("Uge ",WEEKNUM(V4))</f>
        <v>Uge 10</v>
      </c>
      <c r="W2" s="465"/>
      <c r="X2" s="465"/>
      <c r="Y2" s="465"/>
      <c r="Z2" s="466"/>
      <c r="AA2" s="464" t="str">
        <f>_xlfn.CONCAT("Uge ",WEEKNUM(AA4))</f>
        <v>Uge 11</v>
      </c>
      <c r="AB2" s="465"/>
      <c r="AC2" s="465"/>
      <c r="AD2" s="465"/>
      <c r="AE2" s="466"/>
      <c r="AF2" s="464" t="str">
        <f>_xlfn.CONCAT("Uge ",WEEKNUM(AF4))</f>
        <v>Uge 12</v>
      </c>
      <c r="AG2" s="465"/>
      <c r="AH2" s="465"/>
      <c r="AI2" s="465"/>
      <c r="AJ2" s="466"/>
      <c r="AK2" s="464" t="str">
        <f>_xlfn.CONCAT("Uge ",WEEKNUM(AK4))</f>
        <v>Uge 13</v>
      </c>
      <c r="AL2" s="465"/>
      <c r="AM2" s="465"/>
      <c r="AN2" s="465"/>
      <c r="AO2" s="466"/>
      <c r="AP2" s="464" t="str">
        <f>_xlfn.CONCAT("Uge ",WEEKNUM(AP4))</f>
        <v>Uge 14</v>
      </c>
      <c r="AQ2" s="465"/>
      <c r="AR2" s="465"/>
      <c r="AS2" s="465"/>
      <c r="AT2" s="466"/>
      <c r="AU2" s="464" t="str">
        <f>_xlfn.CONCAT("Uge ",WEEKNUM(AU4))</f>
        <v>Uge 15</v>
      </c>
      <c r="AV2" s="465"/>
      <c r="AW2" s="465"/>
      <c r="AX2" s="465"/>
      <c r="AY2" s="466"/>
      <c r="AZ2" s="464" t="str">
        <f>_xlfn.CONCAT("Uge ",WEEKNUM(AZ4))</f>
        <v>Uge 16</v>
      </c>
      <c r="BA2" s="465"/>
      <c r="BB2" s="465"/>
      <c r="BC2" s="465"/>
      <c r="BD2" s="466"/>
      <c r="BE2" s="464" t="str">
        <f>_xlfn.CONCAT("Uge ",WEEKNUM(BE4))</f>
        <v>Uge 17</v>
      </c>
      <c r="BF2" s="465"/>
      <c r="BG2" s="465"/>
      <c r="BH2" s="465"/>
      <c r="BI2" s="466"/>
      <c r="BJ2" s="464" t="str">
        <f>_xlfn.CONCAT("Uge ",WEEKNUM(BJ4))</f>
        <v>Uge 18</v>
      </c>
      <c r="BK2" s="465"/>
      <c r="BL2" s="465"/>
      <c r="BM2" s="465"/>
      <c r="BN2" s="466"/>
      <c r="BO2" s="464" t="str">
        <f>_xlfn.CONCAT("Uge ",WEEKNUM(BO4))</f>
        <v>Uge 19</v>
      </c>
      <c r="BP2" s="465"/>
      <c r="BQ2" s="465"/>
      <c r="BR2" s="465"/>
      <c r="BS2" s="466"/>
      <c r="BT2" s="464" t="str">
        <f>_xlfn.CONCAT("Uge ",WEEKNUM(BT4))</f>
        <v>Uge 20</v>
      </c>
      <c r="BU2" s="465"/>
      <c r="BV2" s="465"/>
      <c r="BW2" s="465"/>
      <c r="BX2" s="466"/>
      <c r="BY2" s="464" t="str">
        <f>_xlfn.CONCAT("Uge ",WEEKNUM(BY4))</f>
        <v>Uge 21</v>
      </c>
      <c r="BZ2" s="465"/>
      <c r="CA2" s="465"/>
      <c r="CB2" s="465"/>
      <c r="CC2" s="466"/>
      <c r="CD2" s="464" t="str">
        <f>_xlfn.CONCAT("Uge ",WEEKNUM(CD4))</f>
        <v>Uge 22</v>
      </c>
      <c r="CE2" s="465"/>
      <c r="CF2" s="465"/>
      <c r="CG2" s="465"/>
      <c r="CH2" s="466"/>
      <c r="CI2" s="464" t="str">
        <f>_xlfn.CONCAT("Uge ",WEEKNUM(CI4))</f>
        <v>Uge 23</v>
      </c>
      <c r="CJ2" s="465"/>
      <c r="CK2" s="465"/>
      <c r="CL2" s="465"/>
      <c r="CM2" s="466"/>
      <c r="CN2" s="464" t="str">
        <f>_xlfn.CONCAT("Uge ",WEEKNUM(CN4))</f>
        <v>Uge 24</v>
      </c>
      <c r="CO2" s="465"/>
      <c r="CP2" s="465"/>
      <c r="CQ2" s="465"/>
      <c r="CR2" s="466"/>
      <c r="CS2" s="464" t="str">
        <f>_xlfn.CONCAT("Uge ",WEEKNUM(CS4))</f>
        <v>Uge 25</v>
      </c>
      <c r="CT2" s="465"/>
      <c r="CU2" s="465"/>
      <c r="CV2" s="465"/>
      <c r="CW2" s="466"/>
      <c r="CX2" s="464" t="str">
        <f>_xlfn.CONCAT("Uge ",WEEKNUM(CX4))</f>
        <v>Uge 26</v>
      </c>
      <c r="CY2" s="465"/>
      <c r="CZ2" s="465"/>
      <c r="DA2" s="465"/>
      <c r="DB2" s="466"/>
    </row>
    <row r="3" spans="1:106" x14ac:dyDescent="0.2">
      <c r="A3" s="530"/>
      <c r="B3" s="316">
        <f t="shared" ref="B3:AG3" si="0">B4</f>
        <v>46419</v>
      </c>
      <c r="C3" s="317">
        <f t="shared" si="0"/>
        <v>46420</v>
      </c>
      <c r="D3" s="318">
        <f t="shared" si="0"/>
        <v>46421</v>
      </c>
      <c r="E3" s="318">
        <f t="shared" si="0"/>
        <v>46422</v>
      </c>
      <c r="F3" s="319">
        <f t="shared" si="0"/>
        <v>46423</v>
      </c>
      <c r="G3" s="320">
        <f t="shared" si="0"/>
        <v>46426</v>
      </c>
      <c r="H3" s="321">
        <f t="shared" si="0"/>
        <v>46427</v>
      </c>
      <c r="I3" s="322">
        <f t="shared" si="0"/>
        <v>46428</v>
      </c>
      <c r="J3" s="322">
        <f t="shared" si="0"/>
        <v>46429</v>
      </c>
      <c r="K3" s="323">
        <f t="shared" si="0"/>
        <v>46430</v>
      </c>
      <c r="L3" s="316">
        <f t="shared" si="0"/>
        <v>46433</v>
      </c>
      <c r="M3" s="317">
        <f t="shared" si="0"/>
        <v>46434</v>
      </c>
      <c r="N3" s="318">
        <f t="shared" si="0"/>
        <v>46435</v>
      </c>
      <c r="O3" s="318">
        <f t="shared" si="0"/>
        <v>46436</v>
      </c>
      <c r="P3" s="319">
        <f t="shared" si="0"/>
        <v>46437</v>
      </c>
      <c r="Q3" s="320">
        <f t="shared" si="0"/>
        <v>46440</v>
      </c>
      <c r="R3" s="322">
        <f t="shared" si="0"/>
        <v>46441</v>
      </c>
      <c r="S3" s="322">
        <f t="shared" si="0"/>
        <v>46442</v>
      </c>
      <c r="T3" s="322">
        <f t="shared" si="0"/>
        <v>46443</v>
      </c>
      <c r="U3" s="323">
        <f t="shared" si="0"/>
        <v>46444</v>
      </c>
      <c r="V3" s="316">
        <f t="shared" si="0"/>
        <v>46447</v>
      </c>
      <c r="W3" s="318">
        <f t="shared" si="0"/>
        <v>46448</v>
      </c>
      <c r="X3" s="318">
        <f t="shared" si="0"/>
        <v>46449</v>
      </c>
      <c r="Y3" s="318">
        <f t="shared" si="0"/>
        <v>46450</v>
      </c>
      <c r="Z3" s="319">
        <f t="shared" si="0"/>
        <v>46451</v>
      </c>
      <c r="AA3" s="320">
        <f t="shared" si="0"/>
        <v>46454</v>
      </c>
      <c r="AB3" s="322">
        <f t="shared" si="0"/>
        <v>46455</v>
      </c>
      <c r="AC3" s="322">
        <f t="shared" si="0"/>
        <v>46456</v>
      </c>
      <c r="AD3" s="322">
        <f t="shared" si="0"/>
        <v>46457</v>
      </c>
      <c r="AE3" s="323">
        <f t="shared" si="0"/>
        <v>46458</v>
      </c>
      <c r="AF3" s="316">
        <f t="shared" si="0"/>
        <v>46461</v>
      </c>
      <c r="AG3" s="318">
        <f t="shared" si="0"/>
        <v>46462</v>
      </c>
      <c r="AH3" s="318">
        <f t="shared" ref="AH3:BM3" si="1">AH4</f>
        <v>46463</v>
      </c>
      <c r="AI3" s="318">
        <f t="shared" si="1"/>
        <v>46464</v>
      </c>
      <c r="AJ3" s="319">
        <f t="shared" si="1"/>
        <v>46465</v>
      </c>
      <c r="AK3" s="320">
        <f t="shared" si="1"/>
        <v>46468</v>
      </c>
      <c r="AL3" s="322">
        <f t="shared" si="1"/>
        <v>46469</v>
      </c>
      <c r="AM3" s="322">
        <f t="shared" si="1"/>
        <v>46470</v>
      </c>
      <c r="AN3" s="322">
        <f t="shared" si="1"/>
        <v>46471</v>
      </c>
      <c r="AO3" s="323">
        <f t="shared" si="1"/>
        <v>46472</v>
      </c>
      <c r="AP3" s="316">
        <f t="shared" si="1"/>
        <v>46475</v>
      </c>
      <c r="AQ3" s="318">
        <f t="shared" si="1"/>
        <v>46476</v>
      </c>
      <c r="AR3" s="318">
        <f t="shared" si="1"/>
        <v>46477</v>
      </c>
      <c r="AS3" s="318">
        <f t="shared" si="1"/>
        <v>46478</v>
      </c>
      <c r="AT3" s="324">
        <f t="shared" si="1"/>
        <v>46479</v>
      </c>
      <c r="AU3" s="320">
        <f t="shared" si="1"/>
        <v>46482</v>
      </c>
      <c r="AV3" s="322">
        <f t="shared" si="1"/>
        <v>46483</v>
      </c>
      <c r="AW3" s="322">
        <f t="shared" si="1"/>
        <v>46484</v>
      </c>
      <c r="AX3" s="322">
        <f t="shared" si="1"/>
        <v>46485</v>
      </c>
      <c r="AY3" s="325">
        <f t="shared" si="1"/>
        <v>46486</v>
      </c>
      <c r="AZ3" s="316">
        <f t="shared" si="1"/>
        <v>46489</v>
      </c>
      <c r="BA3" s="318">
        <f t="shared" si="1"/>
        <v>46490</v>
      </c>
      <c r="BB3" s="318">
        <f t="shared" si="1"/>
        <v>46491</v>
      </c>
      <c r="BC3" s="318">
        <f t="shared" si="1"/>
        <v>46492</v>
      </c>
      <c r="BD3" s="324">
        <f t="shared" si="1"/>
        <v>46493</v>
      </c>
      <c r="BE3" s="320">
        <f t="shared" si="1"/>
        <v>46496</v>
      </c>
      <c r="BF3" s="322">
        <f t="shared" si="1"/>
        <v>46497</v>
      </c>
      <c r="BG3" s="322">
        <f t="shared" si="1"/>
        <v>46498</v>
      </c>
      <c r="BH3" s="322">
        <f t="shared" si="1"/>
        <v>46499</v>
      </c>
      <c r="BI3" s="325">
        <f t="shared" si="1"/>
        <v>46500</v>
      </c>
      <c r="BJ3" s="316">
        <f t="shared" si="1"/>
        <v>46503</v>
      </c>
      <c r="BK3" s="318">
        <f t="shared" si="1"/>
        <v>46504</v>
      </c>
      <c r="BL3" s="318">
        <f t="shared" si="1"/>
        <v>46505</v>
      </c>
      <c r="BM3" s="318">
        <f t="shared" si="1"/>
        <v>46506</v>
      </c>
      <c r="BN3" s="324">
        <f t="shared" ref="BN3:CS3" si="2">BN4</f>
        <v>46507</v>
      </c>
      <c r="BO3" s="320">
        <f t="shared" si="2"/>
        <v>46510</v>
      </c>
      <c r="BP3" s="322">
        <f t="shared" si="2"/>
        <v>46511</v>
      </c>
      <c r="BQ3" s="322">
        <f t="shared" si="2"/>
        <v>46512</v>
      </c>
      <c r="BR3" s="322">
        <f t="shared" si="2"/>
        <v>46513</v>
      </c>
      <c r="BS3" s="325">
        <f t="shared" si="2"/>
        <v>46514</v>
      </c>
      <c r="BT3" s="316">
        <f t="shared" si="2"/>
        <v>46517</v>
      </c>
      <c r="BU3" s="318">
        <f t="shared" si="2"/>
        <v>46518</v>
      </c>
      <c r="BV3" s="318">
        <f t="shared" si="2"/>
        <v>46519</v>
      </c>
      <c r="BW3" s="318">
        <f t="shared" si="2"/>
        <v>46520</v>
      </c>
      <c r="BX3" s="324">
        <f t="shared" si="2"/>
        <v>46521</v>
      </c>
      <c r="BY3" s="320">
        <f t="shared" si="2"/>
        <v>46524</v>
      </c>
      <c r="BZ3" s="322">
        <f t="shared" si="2"/>
        <v>46525</v>
      </c>
      <c r="CA3" s="322">
        <f t="shared" si="2"/>
        <v>46526</v>
      </c>
      <c r="CB3" s="322">
        <f t="shared" si="2"/>
        <v>46527</v>
      </c>
      <c r="CC3" s="325">
        <f t="shared" si="2"/>
        <v>46528</v>
      </c>
      <c r="CD3" s="316">
        <f t="shared" si="2"/>
        <v>46531</v>
      </c>
      <c r="CE3" s="318">
        <f t="shared" si="2"/>
        <v>46532</v>
      </c>
      <c r="CF3" s="318">
        <f t="shared" si="2"/>
        <v>46533</v>
      </c>
      <c r="CG3" s="318">
        <f t="shared" si="2"/>
        <v>46534</v>
      </c>
      <c r="CH3" s="324">
        <f t="shared" si="2"/>
        <v>46535</v>
      </c>
      <c r="CI3" s="320">
        <f t="shared" si="2"/>
        <v>46538</v>
      </c>
      <c r="CJ3" s="322">
        <f t="shared" si="2"/>
        <v>46539</v>
      </c>
      <c r="CK3" s="322">
        <f t="shared" si="2"/>
        <v>46540</v>
      </c>
      <c r="CL3" s="322">
        <f t="shared" si="2"/>
        <v>46541</v>
      </c>
      <c r="CM3" s="325">
        <f t="shared" si="2"/>
        <v>46542</v>
      </c>
      <c r="CN3" s="316">
        <f t="shared" si="2"/>
        <v>46545</v>
      </c>
      <c r="CO3" s="318">
        <f t="shared" si="2"/>
        <v>46546</v>
      </c>
      <c r="CP3" s="318">
        <f t="shared" si="2"/>
        <v>46547</v>
      </c>
      <c r="CQ3" s="318">
        <f t="shared" si="2"/>
        <v>46548</v>
      </c>
      <c r="CR3" s="319">
        <f t="shared" si="2"/>
        <v>46549</v>
      </c>
      <c r="CS3" s="320">
        <f t="shared" si="2"/>
        <v>46552</v>
      </c>
      <c r="CT3" s="322">
        <f t="shared" ref="CT3:DB3" si="3">CT4</f>
        <v>46553</v>
      </c>
      <c r="CU3" s="322">
        <f t="shared" si="3"/>
        <v>46554</v>
      </c>
      <c r="CV3" s="322">
        <f t="shared" si="3"/>
        <v>46555</v>
      </c>
      <c r="CW3" s="323">
        <f t="shared" si="3"/>
        <v>46556</v>
      </c>
      <c r="CX3" s="316">
        <f t="shared" si="3"/>
        <v>46559</v>
      </c>
      <c r="CY3" s="318">
        <f t="shared" si="3"/>
        <v>46560</v>
      </c>
      <c r="CZ3" s="318">
        <f t="shared" si="3"/>
        <v>46561</v>
      </c>
      <c r="DA3" s="318">
        <f t="shared" si="3"/>
        <v>46562</v>
      </c>
      <c r="DB3" s="319">
        <f t="shared" si="3"/>
        <v>46563</v>
      </c>
    </row>
    <row r="4" spans="1:106" ht="17" thickBot="1" x14ac:dyDescent="0.25">
      <c r="A4" s="530"/>
      <c r="B4" s="31">
        <f>Data!M2</f>
        <v>46419</v>
      </c>
      <c r="C4" s="32">
        <f>B4+1</f>
        <v>46420</v>
      </c>
      <c r="D4" s="33">
        <f>C4+1</f>
        <v>46421</v>
      </c>
      <c r="E4" s="33">
        <f>D4+1</f>
        <v>46422</v>
      </c>
      <c r="F4" s="34">
        <f>E4+1</f>
        <v>46423</v>
      </c>
      <c r="G4" s="35">
        <f>F4+3</f>
        <v>46426</v>
      </c>
      <c r="H4" s="36">
        <f>G4+1</f>
        <v>46427</v>
      </c>
      <c r="I4" s="37">
        <f>H4+1</f>
        <v>46428</v>
      </c>
      <c r="J4" s="37">
        <f>I4+1</f>
        <v>46429</v>
      </c>
      <c r="K4" s="38">
        <f>J4+1</f>
        <v>46430</v>
      </c>
      <c r="L4" s="31">
        <f>K4+3</f>
        <v>46433</v>
      </c>
      <c r="M4" s="32">
        <f>L4+1</f>
        <v>46434</v>
      </c>
      <c r="N4" s="33">
        <f>M4+1</f>
        <v>46435</v>
      </c>
      <c r="O4" s="33">
        <f>N4+1</f>
        <v>46436</v>
      </c>
      <c r="P4" s="34">
        <f>O4+1</f>
        <v>46437</v>
      </c>
      <c r="Q4" s="35">
        <f>P4+3</f>
        <v>46440</v>
      </c>
      <c r="R4" s="37">
        <f>Q4+1</f>
        <v>46441</v>
      </c>
      <c r="S4" s="37">
        <f>R4+1</f>
        <v>46442</v>
      </c>
      <c r="T4" s="37">
        <f>S4+1</f>
        <v>46443</v>
      </c>
      <c r="U4" s="38">
        <f>T4+1</f>
        <v>46444</v>
      </c>
      <c r="V4" s="31">
        <f>U4+3</f>
        <v>46447</v>
      </c>
      <c r="W4" s="33">
        <f>V4+1</f>
        <v>46448</v>
      </c>
      <c r="X4" s="33">
        <f>W4+1</f>
        <v>46449</v>
      </c>
      <c r="Y4" s="33">
        <f>X4+1</f>
        <v>46450</v>
      </c>
      <c r="Z4" s="34">
        <f>Y4+1</f>
        <v>46451</v>
      </c>
      <c r="AA4" s="35">
        <f>Z4+3</f>
        <v>46454</v>
      </c>
      <c r="AB4" s="37">
        <f>AA4+1</f>
        <v>46455</v>
      </c>
      <c r="AC4" s="37">
        <f>AB4+1</f>
        <v>46456</v>
      </c>
      <c r="AD4" s="37">
        <f>AC4+1</f>
        <v>46457</v>
      </c>
      <c r="AE4" s="38">
        <f>AD4+1</f>
        <v>46458</v>
      </c>
      <c r="AF4" s="31">
        <f>AE4+3</f>
        <v>46461</v>
      </c>
      <c r="AG4" s="33">
        <f>AF4+1</f>
        <v>46462</v>
      </c>
      <c r="AH4" s="33">
        <f>AG4+1</f>
        <v>46463</v>
      </c>
      <c r="AI4" s="33">
        <f>AH4+1</f>
        <v>46464</v>
      </c>
      <c r="AJ4" s="34">
        <f>AI4+1</f>
        <v>46465</v>
      </c>
      <c r="AK4" s="35">
        <f>AJ4+3</f>
        <v>46468</v>
      </c>
      <c r="AL4" s="37">
        <f>AK4+1</f>
        <v>46469</v>
      </c>
      <c r="AM4" s="37">
        <f>AL4+1</f>
        <v>46470</v>
      </c>
      <c r="AN4" s="37">
        <f>AM4+1</f>
        <v>46471</v>
      </c>
      <c r="AO4" s="38">
        <f>AN4+1</f>
        <v>46472</v>
      </c>
      <c r="AP4" s="31">
        <f>AO4+3</f>
        <v>46475</v>
      </c>
      <c r="AQ4" s="33">
        <f>AP4+1</f>
        <v>46476</v>
      </c>
      <c r="AR4" s="33">
        <f>AQ4+1</f>
        <v>46477</v>
      </c>
      <c r="AS4" s="33">
        <f>AR4+1</f>
        <v>46478</v>
      </c>
      <c r="AT4" s="39">
        <f>AS4+1</f>
        <v>46479</v>
      </c>
      <c r="AU4" s="35">
        <f>AT4+3</f>
        <v>46482</v>
      </c>
      <c r="AV4" s="37">
        <f>AU4+1</f>
        <v>46483</v>
      </c>
      <c r="AW4" s="37">
        <f>AV4+1</f>
        <v>46484</v>
      </c>
      <c r="AX4" s="37">
        <f>AW4+1</f>
        <v>46485</v>
      </c>
      <c r="AY4" s="40">
        <f>AX4+1</f>
        <v>46486</v>
      </c>
      <c r="AZ4" s="31">
        <f>AY4+3</f>
        <v>46489</v>
      </c>
      <c r="BA4" s="33">
        <f>AZ4+1</f>
        <v>46490</v>
      </c>
      <c r="BB4" s="33">
        <f>BA4+1</f>
        <v>46491</v>
      </c>
      <c r="BC4" s="33">
        <f>BB4+1</f>
        <v>46492</v>
      </c>
      <c r="BD4" s="39">
        <f>BC4+1</f>
        <v>46493</v>
      </c>
      <c r="BE4" s="35">
        <f>BD4+3</f>
        <v>46496</v>
      </c>
      <c r="BF4" s="37">
        <f>BE4+1</f>
        <v>46497</v>
      </c>
      <c r="BG4" s="37">
        <f>BF4+1</f>
        <v>46498</v>
      </c>
      <c r="BH4" s="37">
        <f>BG4+1</f>
        <v>46499</v>
      </c>
      <c r="BI4" s="40">
        <f>BH4+1</f>
        <v>46500</v>
      </c>
      <c r="BJ4" s="31">
        <f>BI4+3</f>
        <v>46503</v>
      </c>
      <c r="BK4" s="33">
        <f>BJ4+1</f>
        <v>46504</v>
      </c>
      <c r="BL4" s="33">
        <f>BK4+1</f>
        <v>46505</v>
      </c>
      <c r="BM4" s="33">
        <f>BL4+1</f>
        <v>46506</v>
      </c>
      <c r="BN4" s="39">
        <f>BM4+1</f>
        <v>46507</v>
      </c>
      <c r="BO4" s="35">
        <f>BN4+3</f>
        <v>46510</v>
      </c>
      <c r="BP4" s="37">
        <f>BO4+1</f>
        <v>46511</v>
      </c>
      <c r="BQ4" s="37">
        <f>BP4+1</f>
        <v>46512</v>
      </c>
      <c r="BR4" s="37">
        <f>BQ4+1</f>
        <v>46513</v>
      </c>
      <c r="BS4" s="40">
        <f>BR4+1</f>
        <v>46514</v>
      </c>
      <c r="BT4" s="31">
        <f>BS4+3</f>
        <v>46517</v>
      </c>
      <c r="BU4" s="33">
        <f>BT4+1</f>
        <v>46518</v>
      </c>
      <c r="BV4" s="33">
        <f>BU4+1</f>
        <v>46519</v>
      </c>
      <c r="BW4" s="33">
        <f>BV4+1</f>
        <v>46520</v>
      </c>
      <c r="BX4" s="39">
        <f>BW4+1</f>
        <v>46521</v>
      </c>
      <c r="BY4" s="35">
        <f>BX4+3</f>
        <v>46524</v>
      </c>
      <c r="BZ4" s="37">
        <f>BY4+1</f>
        <v>46525</v>
      </c>
      <c r="CA4" s="37">
        <f>BZ4+1</f>
        <v>46526</v>
      </c>
      <c r="CB4" s="37">
        <f>CA4+1</f>
        <v>46527</v>
      </c>
      <c r="CC4" s="40">
        <f>CB4+1</f>
        <v>46528</v>
      </c>
      <c r="CD4" s="31">
        <f>CC4+3</f>
        <v>46531</v>
      </c>
      <c r="CE4" s="33">
        <f>CD4+1</f>
        <v>46532</v>
      </c>
      <c r="CF4" s="33">
        <f>CE4+1</f>
        <v>46533</v>
      </c>
      <c r="CG4" s="33">
        <f>CF4+1</f>
        <v>46534</v>
      </c>
      <c r="CH4" s="39">
        <f>CG4+1</f>
        <v>46535</v>
      </c>
      <c r="CI4" s="35">
        <f>CH4+3</f>
        <v>46538</v>
      </c>
      <c r="CJ4" s="37">
        <f>CI4+1</f>
        <v>46539</v>
      </c>
      <c r="CK4" s="37">
        <f>CJ4+1</f>
        <v>46540</v>
      </c>
      <c r="CL4" s="37">
        <f>CK4+1</f>
        <v>46541</v>
      </c>
      <c r="CM4" s="40">
        <f>CL4+1</f>
        <v>46542</v>
      </c>
      <c r="CN4" s="31">
        <f>CM4+3</f>
        <v>46545</v>
      </c>
      <c r="CO4" s="33">
        <f>CN4+1</f>
        <v>46546</v>
      </c>
      <c r="CP4" s="33">
        <f>CO4+1</f>
        <v>46547</v>
      </c>
      <c r="CQ4" s="33">
        <f>CP4+1</f>
        <v>46548</v>
      </c>
      <c r="CR4" s="34">
        <f>CQ4+1</f>
        <v>46549</v>
      </c>
      <c r="CS4" s="35">
        <f>CR4+3</f>
        <v>46552</v>
      </c>
      <c r="CT4" s="37">
        <f>CS4+1</f>
        <v>46553</v>
      </c>
      <c r="CU4" s="37">
        <f>CT4+1</f>
        <v>46554</v>
      </c>
      <c r="CV4" s="37">
        <f>CU4+1</f>
        <v>46555</v>
      </c>
      <c r="CW4" s="38">
        <f>CV4+1</f>
        <v>46556</v>
      </c>
      <c r="CX4" s="31">
        <f>CW4+3</f>
        <v>46559</v>
      </c>
      <c r="CY4" s="33">
        <f>CX4+1</f>
        <v>46560</v>
      </c>
      <c r="CZ4" s="33">
        <f>CY4+1</f>
        <v>46561</v>
      </c>
      <c r="DA4" s="33">
        <f>CZ4+1</f>
        <v>46562</v>
      </c>
      <c r="DB4" s="34">
        <f>DA4+1</f>
        <v>46563</v>
      </c>
    </row>
    <row r="5" spans="1:106" ht="17" thickBot="1" x14ac:dyDescent="0.25"/>
    <row r="6" spans="1:106" s="437" customFormat="1" ht="25" customHeight="1" x14ac:dyDescent="0.2">
      <c r="A6" s="327" t="str">
        <f>Ressourcer!B1</f>
        <v>ACWF</v>
      </c>
      <c r="B6" s="434" t="str">
        <f t="shared" ref="B6:K15" ca="1" si="4">IFERROR(_xlfn.LET(_xlpm.t,$A6,_xlpm.d,B$4,_xlpm.k,MATCH(_xlpm.d,INDIRECT("'Overblik'!$C$4:$DC$4"),0),_xlpm.hits,COUNTIF(INDEX(INDIRECT("'Overblik'!$C$6:$DC$1000"),0,_xlpm.k),_xlpm.t),IF(_xlpm.hits&gt;1,"X","")),"")</f>
        <v/>
      </c>
      <c r="C6" s="435" t="str">
        <f t="shared" ca="1" si="4"/>
        <v/>
      </c>
      <c r="D6" s="435" t="str">
        <f t="shared" ca="1" si="4"/>
        <v/>
      </c>
      <c r="E6" s="435" t="str">
        <f t="shared" ca="1" si="4"/>
        <v/>
      </c>
      <c r="F6" s="436" t="str">
        <f t="shared" ca="1" si="4"/>
        <v/>
      </c>
      <c r="G6" s="434" t="str">
        <f t="shared" ca="1" si="4"/>
        <v/>
      </c>
      <c r="H6" s="435" t="str">
        <f t="shared" ca="1" si="4"/>
        <v/>
      </c>
      <c r="I6" s="435" t="str">
        <f t="shared" ca="1" si="4"/>
        <v/>
      </c>
      <c r="J6" s="435" t="str">
        <f t="shared" ca="1" si="4"/>
        <v/>
      </c>
      <c r="K6" s="436" t="str">
        <f t="shared" ca="1" si="4"/>
        <v/>
      </c>
      <c r="L6" s="434" t="str">
        <f t="shared" ref="L6:U15" ca="1" si="5">IFERROR(_xlfn.LET(_xlpm.t,$A6,_xlpm.d,L$4,_xlpm.k,MATCH(_xlpm.d,INDIRECT("'Overblik'!$C$4:$DC$4"),0),_xlpm.hits,COUNTIF(INDEX(INDIRECT("'Overblik'!$C$6:$DC$1000"),0,_xlpm.k),_xlpm.t),IF(_xlpm.hits&gt;1,"X","")),"")</f>
        <v/>
      </c>
      <c r="M6" s="435" t="str">
        <f t="shared" ca="1" si="5"/>
        <v/>
      </c>
      <c r="N6" s="435" t="str">
        <f t="shared" ca="1" si="5"/>
        <v/>
      </c>
      <c r="O6" s="435" t="str">
        <f t="shared" ca="1" si="5"/>
        <v/>
      </c>
      <c r="P6" s="436" t="str">
        <f t="shared" ca="1" si="5"/>
        <v/>
      </c>
      <c r="Q6" s="434" t="str">
        <f t="shared" ca="1" si="5"/>
        <v/>
      </c>
      <c r="R6" s="435" t="str">
        <f t="shared" ca="1" si="5"/>
        <v/>
      </c>
      <c r="S6" s="435" t="str">
        <f t="shared" ca="1" si="5"/>
        <v/>
      </c>
      <c r="T6" s="435" t="str">
        <f t="shared" ca="1" si="5"/>
        <v/>
      </c>
      <c r="U6" s="436" t="str">
        <f t="shared" ca="1" si="5"/>
        <v/>
      </c>
      <c r="V6" s="434" t="str">
        <f t="shared" ref="V6:AE15" ca="1" si="6">IFERROR(_xlfn.LET(_xlpm.t,$A6,_xlpm.d,V$4,_xlpm.k,MATCH(_xlpm.d,INDIRECT("'Overblik'!$C$4:$DC$4"),0),_xlpm.hits,COUNTIF(INDEX(INDIRECT("'Overblik'!$C$6:$DC$1000"),0,_xlpm.k),_xlpm.t),IF(_xlpm.hits&gt;1,"X","")),"")</f>
        <v/>
      </c>
      <c r="W6" s="435" t="str">
        <f t="shared" ca="1" si="6"/>
        <v/>
      </c>
      <c r="X6" s="435" t="str">
        <f t="shared" ca="1" si="6"/>
        <v/>
      </c>
      <c r="Y6" s="435" t="str">
        <f t="shared" ca="1" si="6"/>
        <v/>
      </c>
      <c r="Z6" s="436" t="str">
        <f t="shared" ca="1" si="6"/>
        <v/>
      </c>
      <c r="AA6" s="434" t="str">
        <f t="shared" ca="1" si="6"/>
        <v/>
      </c>
      <c r="AB6" s="435" t="str">
        <f t="shared" ca="1" si="6"/>
        <v/>
      </c>
      <c r="AC6" s="435" t="str">
        <f t="shared" ca="1" si="6"/>
        <v/>
      </c>
      <c r="AD6" s="435" t="str">
        <f t="shared" ca="1" si="6"/>
        <v/>
      </c>
      <c r="AE6" s="436" t="str">
        <f t="shared" ca="1" si="6"/>
        <v/>
      </c>
      <c r="AF6" s="434" t="str">
        <f t="shared" ref="AF6:AO15" ca="1" si="7">IFERROR(_xlfn.LET(_xlpm.t,$A6,_xlpm.d,AF$4,_xlpm.k,MATCH(_xlpm.d,INDIRECT("'Overblik'!$C$4:$DC$4"),0),_xlpm.hits,COUNTIF(INDEX(INDIRECT("'Overblik'!$C$6:$DC$1000"),0,_xlpm.k),_xlpm.t),IF(_xlpm.hits&gt;1,"X","")),"")</f>
        <v/>
      </c>
      <c r="AG6" s="435" t="str">
        <f t="shared" ca="1" si="7"/>
        <v/>
      </c>
      <c r="AH6" s="435" t="str">
        <f t="shared" ca="1" si="7"/>
        <v/>
      </c>
      <c r="AI6" s="435" t="str">
        <f t="shared" ca="1" si="7"/>
        <v/>
      </c>
      <c r="AJ6" s="436" t="str">
        <f t="shared" ca="1" si="7"/>
        <v/>
      </c>
      <c r="AK6" s="434" t="str">
        <f t="shared" ca="1" si="7"/>
        <v/>
      </c>
      <c r="AL6" s="435" t="str">
        <f t="shared" ca="1" si="7"/>
        <v/>
      </c>
      <c r="AM6" s="435" t="str">
        <f t="shared" ca="1" si="7"/>
        <v/>
      </c>
      <c r="AN6" s="435" t="str">
        <f t="shared" ca="1" si="7"/>
        <v/>
      </c>
      <c r="AO6" s="436" t="str">
        <f t="shared" ca="1" si="7"/>
        <v/>
      </c>
      <c r="AP6" s="434" t="str">
        <f t="shared" ref="AP6:AY15" ca="1" si="8">IFERROR(_xlfn.LET(_xlpm.t,$A6,_xlpm.d,AP$4,_xlpm.k,MATCH(_xlpm.d,INDIRECT("'Overblik'!$C$4:$DC$4"),0),_xlpm.hits,COUNTIF(INDEX(INDIRECT("'Overblik'!$C$6:$DC$1000"),0,_xlpm.k),_xlpm.t),IF(_xlpm.hits&gt;1,"X","")),"")</f>
        <v/>
      </c>
      <c r="AQ6" s="435" t="str">
        <f t="shared" ca="1" si="8"/>
        <v/>
      </c>
      <c r="AR6" s="435" t="str">
        <f t="shared" ca="1" si="8"/>
        <v/>
      </c>
      <c r="AS6" s="435" t="str">
        <f t="shared" ca="1" si="8"/>
        <v/>
      </c>
      <c r="AT6" s="436" t="str">
        <f t="shared" ca="1" si="8"/>
        <v/>
      </c>
      <c r="AU6" s="434" t="str">
        <f t="shared" ca="1" si="8"/>
        <v/>
      </c>
      <c r="AV6" s="435" t="str">
        <f t="shared" ca="1" si="8"/>
        <v/>
      </c>
      <c r="AW6" s="435" t="str">
        <f t="shared" ca="1" si="8"/>
        <v/>
      </c>
      <c r="AX6" s="435" t="str">
        <f t="shared" ca="1" si="8"/>
        <v/>
      </c>
      <c r="AY6" s="436" t="str">
        <f t="shared" ca="1" si="8"/>
        <v/>
      </c>
      <c r="AZ6" s="434" t="str">
        <f t="shared" ref="AZ6:BI15" ca="1" si="9">IFERROR(_xlfn.LET(_xlpm.t,$A6,_xlpm.d,AZ$4,_xlpm.k,MATCH(_xlpm.d,INDIRECT("'Overblik'!$C$4:$DC$4"),0),_xlpm.hits,COUNTIF(INDEX(INDIRECT("'Overblik'!$C$6:$DC$1000"),0,_xlpm.k),_xlpm.t),IF(_xlpm.hits&gt;1,"X","")),"")</f>
        <v/>
      </c>
      <c r="BA6" s="435" t="str">
        <f t="shared" ca="1" si="9"/>
        <v/>
      </c>
      <c r="BB6" s="435" t="str">
        <f t="shared" ca="1" si="9"/>
        <v/>
      </c>
      <c r="BC6" s="435" t="str">
        <f t="shared" ca="1" si="9"/>
        <v/>
      </c>
      <c r="BD6" s="436" t="str">
        <f t="shared" ca="1" si="9"/>
        <v/>
      </c>
      <c r="BE6" s="434" t="str">
        <f t="shared" ca="1" si="9"/>
        <v/>
      </c>
      <c r="BF6" s="435" t="str">
        <f t="shared" ca="1" si="9"/>
        <v/>
      </c>
      <c r="BG6" s="435" t="str">
        <f t="shared" ca="1" si="9"/>
        <v/>
      </c>
      <c r="BH6" s="435" t="str">
        <f t="shared" ca="1" si="9"/>
        <v/>
      </c>
      <c r="BI6" s="436" t="str">
        <f t="shared" ca="1" si="9"/>
        <v/>
      </c>
      <c r="BJ6" s="434" t="str">
        <f t="shared" ref="BJ6:BS15" ca="1" si="10">IFERROR(_xlfn.LET(_xlpm.t,$A6,_xlpm.d,BJ$4,_xlpm.k,MATCH(_xlpm.d,INDIRECT("'Overblik'!$C$4:$DC$4"),0),_xlpm.hits,COUNTIF(INDEX(INDIRECT("'Overblik'!$C$6:$DC$1000"),0,_xlpm.k),_xlpm.t),IF(_xlpm.hits&gt;1,"X","")),"")</f>
        <v/>
      </c>
      <c r="BK6" s="435" t="str">
        <f t="shared" ca="1" si="10"/>
        <v/>
      </c>
      <c r="BL6" s="435" t="str">
        <f t="shared" ca="1" si="10"/>
        <v/>
      </c>
      <c r="BM6" s="435" t="str">
        <f t="shared" ca="1" si="10"/>
        <v/>
      </c>
      <c r="BN6" s="436" t="str">
        <f t="shared" ca="1" si="10"/>
        <v/>
      </c>
      <c r="BO6" s="434" t="str">
        <f t="shared" ca="1" si="10"/>
        <v/>
      </c>
      <c r="BP6" s="435" t="str">
        <f t="shared" ca="1" si="10"/>
        <v/>
      </c>
      <c r="BQ6" s="435" t="str">
        <f t="shared" ca="1" si="10"/>
        <v/>
      </c>
      <c r="BR6" s="435" t="str">
        <f t="shared" ca="1" si="10"/>
        <v/>
      </c>
      <c r="BS6" s="436" t="str">
        <f t="shared" ca="1" si="10"/>
        <v/>
      </c>
      <c r="BT6" s="434" t="str">
        <f t="shared" ref="BT6:CC15" ca="1" si="11">IFERROR(_xlfn.LET(_xlpm.t,$A6,_xlpm.d,BT$4,_xlpm.k,MATCH(_xlpm.d,INDIRECT("'Overblik'!$C$4:$DC$4"),0),_xlpm.hits,COUNTIF(INDEX(INDIRECT("'Overblik'!$C$6:$DC$1000"),0,_xlpm.k),_xlpm.t),IF(_xlpm.hits&gt;1,"X","")),"")</f>
        <v/>
      </c>
      <c r="BU6" s="435" t="str">
        <f t="shared" ca="1" si="11"/>
        <v/>
      </c>
      <c r="BV6" s="435" t="str">
        <f t="shared" ca="1" si="11"/>
        <v/>
      </c>
      <c r="BW6" s="435" t="str">
        <f t="shared" ca="1" si="11"/>
        <v/>
      </c>
      <c r="BX6" s="436" t="str">
        <f t="shared" ca="1" si="11"/>
        <v/>
      </c>
      <c r="BY6" s="434" t="str">
        <f t="shared" ca="1" si="11"/>
        <v/>
      </c>
      <c r="BZ6" s="435" t="str">
        <f t="shared" ca="1" si="11"/>
        <v/>
      </c>
      <c r="CA6" s="435" t="str">
        <f t="shared" ca="1" si="11"/>
        <v/>
      </c>
      <c r="CB6" s="435" t="str">
        <f t="shared" ca="1" si="11"/>
        <v/>
      </c>
      <c r="CC6" s="436" t="str">
        <f t="shared" ca="1" si="11"/>
        <v/>
      </c>
      <c r="CD6" s="434" t="str">
        <f t="shared" ref="CD6:CM15" ca="1" si="12">IFERROR(_xlfn.LET(_xlpm.t,$A6,_xlpm.d,CD$4,_xlpm.k,MATCH(_xlpm.d,INDIRECT("'Overblik'!$C$4:$DC$4"),0),_xlpm.hits,COUNTIF(INDEX(INDIRECT("'Overblik'!$C$6:$DC$1000"),0,_xlpm.k),_xlpm.t),IF(_xlpm.hits&gt;1,"X","")),"")</f>
        <v/>
      </c>
      <c r="CE6" s="435" t="str">
        <f t="shared" ca="1" si="12"/>
        <v/>
      </c>
      <c r="CF6" s="435" t="str">
        <f t="shared" ca="1" si="12"/>
        <v/>
      </c>
      <c r="CG6" s="435" t="str">
        <f t="shared" ca="1" si="12"/>
        <v/>
      </c>
      <c r="CH6" s="436" t="str">
        <f t="shared" ca="1" si="12"/>
        <v/>
      </c>
      <c r="CI6" s="434" t="str">
        <f t="shared" ca="1" si="12"/>
        <v/>
      </c>
      <c r="CJ6" s="435" t="str">
        <f t="shared" ca="1" si="12"/>
        <v/>
      </c>
      <c r="CK6" s="435" t="str">
        <f t="shared" ca="1" si="12"/>
        <v/>
      </c>
      <c r="CL6" s="435" t="str">
        <f t="shared" ca="1" si="12"/>
        <v/>
      </c>
      <c r="CM6" s="436" t="str">
        <f t="shared" ca="1" si="12"/>
        <v/>
      </c>
      <c r="CN6" s="434" t="str">
        <f t="shared" ref="CN6:DB15" ca="1" si="13">IFERROR(_xlfn.LET(_xlpm.t,$A6,_xlpm.d,CN$4,_xlpm.k,MATCH(_xlpm.d,INDIRECT("'Overblik'!$C$4:$DC$4"),0),_xlpm.hits,COUNTIF(INDEX(INDIRECT("'Overblik'!$C$6:$DC$1000"),0,_xlpm.k),_xlpm.t),IF(_xlpm.hits&gt;1,"X","")),"")</f>
        <v/>
      </c>
      <c r="CO6" s="435" t="str">
        <f t="shared" ca="1" si="13"/>
        <v/>
      </c>
      <c r="CP6" s="435" t="str">
        <f t="shared" ca="1" si="13"/>
        <v/>
      </c>
      <c r="CQ6" s="435" t="str">
        <f t="shared" ca="1" si="13"/>
        <v/>
      </c>
      <c r="CR6" s="436" t="str">
        <f t="shared" ca="1" si="13"/>
        <v/>
      </c>
      <c r="CS6" s="434" t="str">
        <f t="shared" ca="1" si="13"/>
        <v/>
      </c>
      <c r="CT6" s="435" t="str">
        <f t="shared" ca="1" si="13"/>
        <v/>
      </c>
      <c r="CU6" s="435" t="str">
        <f t="shared" ca="1" si="13"/>
        <v/>
      </c>
      <c r="CV6" s="435" t="str">
        <f t="shared" ca="1" si="13"/>
        <v/>
      </c>
      <c r="CW6" s="436" t="str">
        <f t="shared" ca="1" si="13"/>
        <v/>
      </c>
      <c r="CX6" s="434" t="str">
        <f t="shared" ca="1" si="13"/>
        <v/>
      </c>
      <c r="CY6" s="435" t="str">
        <f t="shared" ca="1" si="13"/>
        <v/>
      </c>
      <c r="CZ6" s="435" t="str">
        <f t="shared" ca="1" si="13"/>
        <v/>
      </c>
      <c r="DA6" s="435" t="str">
        <f t="shared" ca="1" si="13"/>
        <v/>
      </c>
      <c r="DB6" s="436" t="str">
        <f t="shared" ca="1" si="13"/>
        <v/>
      </c>
    </row>
    <row r="7" spans="1:106" s="437" customFormat="1" ht="25" customHeight="1" x14ac:dyDescent="0.2">
      <c r="A7" s="328" t="str">
        <f>Ressourcer!C1</f>
        <v>AJKS</v>
      </c>
      <c r="B7" s="438" t="str">
        <f t="shared" ca="1" si="4"/>
        <v/>
      </c>
      <c r="C7" s="439" t="str">
        <f t="shared" ca="1" si="4"/>
        <v/>
      </c>
      <c r="D7" s="439" t="str">
        <f t="shared" ca="1" si="4"/>
        <v/>
      </c>
      <c r="E7" s="439" t="str">
        <f t="shared" ca="1" si="4"/>
        <v/>
      </c>
      <c r="F7" s="440" t="str">
        <f t="shared" ca="1" si="4"/>
        <v/>
      </c>
      <c r="G7" s="438" t="str">
        <f t="shared" ca="1" si="4"/>
        <v/>
      </c>
      <c r="H7" s="439" t="str">
        <f t="shared" ca="1" si="4"/>
        <v/>
      </c>
      <c r="I7" s="439" t="str">
        <f t="shared" ca="1" si="4"/>
        <v/>
      </c>
      <c r="J7" s="439" t="str">
        <f t="shared" ca="1" si="4"/>
        <v/>
      </c>
      <c r="K7" s="440" t="str">
        <f t="shared" ca="1" si="4"/>
        <v/>
      </c>
      <c r="L7" s="438" t="str">
        <f t="shared" ca="1" si="5"/>
        <v/>
      </c>
      <c r="M7" s="439" t="str">
        <f t="shared" ca="1" si="5"/>
        <v/>
      </c>
      <c r="N7" s="439" t="str">
        <f t="shared" ca="1" si="5"/>
        <v/>
      </c>
      <c r="O7" s="439" t="str">
        <f t="shared" ca="1" si="5"/>
        <v/>
      </c>
      <c r="P7" s="440" t="str">
        <f t="shared" ca="1" si="5"/>
        <v/>
      </c>
      <c r="Q7" s="438" t="str">
        <f t="shared" ca="1" si="5"/>
        <v/>
      </c>
      <c r="R7" s="439" t="str">
        <f t="shared" ca="1" si="5"/>
        <v/>
      </c>
      <c r="S7" s="439" t="str">
        <f t="shared" ca="1" si="5"/>
        <v/>
      </c>
      <c r="T7" s="439" t="str">
        <f t="shared" ca="1" si="5"/>
        <v/>
      </c>
      <c r="U7" s="440" t="str">
        <f t="shared" ca="1" si="5"/>
        <v/>
      </c>
      <c r="V7" s="438" t="str">
        <f t="shared" ca="1" si="6"/>
        <v/>
      </c>
      <c r="W7" s="439" t="str">
        <f t="shared" ca="1" si="6"/>
        <v/>
      </c>
      <c r="X7" s="439" t="str">
        <f t="shared" ca="1" si="6"/>
        <v/>
      </c>
      <c r="Y7" s="439" t="str">
        <f t="shared" ca="1" si="6"/>
        <v/>
      </c>
      <c r="Z7" s="440" t="str">
        <f t="shared" ca="1" si="6"/>
        <v/>
      </c>
      <c r="AA7" s="438" t="str">
        <f t="shared" ca="1" si="6"/>
        <v/>
      </c>
      <c r="AB7" s="439" t="str">
        <f t="shared" ca="1" si="6"/>
        <v/>
      </c>
      <c r="AC7" s="439" t="str">
        <f t="shared" ca="1" si="6"/>
        <v/>
      </c>
      <c r="AD7" s="439" t="str">
        <f t="shared" ca="1" si="6"/>
        <v/>
      </c>
      <c r="AE7" s="440" t="str">
        <f t="shared" ca="1" si="6"/>
        <v/>
      </c>
      <c r="AF7" s="438" t="str">
        <f t="shared" ca="1" si="7"/>
        <v/>
      </c>
      <c r="AG7" s="439" t="str">
        <f t="shared" ca="1" si="7"/>
        <v/>
      </c>
      <c r="AH7" s="439" t="str">
        <f t="shared" ca="1" si="7"/>
        <v/>
      </c>
      <c r="AI7" s="439" t="str">
        <f t="shared" ca="1" si="7"/>
        <v/>
      </c>
      <c r="AJ7" s="440" t="str">
        <f t="shared" ca="1" si="7"/>
        <v/>
      </c>
      <c r="AK7" s="438" t="str">
        <f t="shared" ca="1" si="7"/>
        <v/>
      </c>
      <c r="AL7" s="439" t="str">
        <f t="shared" ca="1" si="7"/>
        <v/>
      </c>
      <c r="AM7" s="439" t="str">
        <f t="shared" ca="1" si="7"/>
        <v/>
      </c>
      <c r="AN7" s="439" t="str">
        <f t="shared" ca="1" si="7"/>
        <v/>
      </c>
      <c r="AO7" s="440" t="str">
        <f t="shared" ca="1" si="7"/>
        <v/>
      </c>
      <c r="AP7" s="438" t="str">
        <f t="shared" ca="1" si="8"/>
        <v/>
      </c>
      <c r="AQ7" s="439" t="str">
        <f t="shared" ca="1" si="8"/>
        <v/>
      </c>
      <c r="AR7" s="439" t="str">
        <f t="shared" ca="1" si="8"/>
        <v/>
      </c>
      <c r="AS7" s="439" t="str">
        <f t="shared" ca="1" si="8"/>
        <v/>
      </c>
      <c r="AT7" s="440" t="str">
        <f t="shared" ca="1" si="8"/>
        <v/>
      </c>
      <c r="AU7" s="438" t="str">
        <f t="shared" ca="1" si="8"/>
        <v/>
      </c>
      <c r="AV7" s="439" t="str">
        <f t="shared" ca="1" si="8"/>
        <v/>
      </c>
      <c r="AW7" s="439" t="str">
        <f t="shared" ca="1" si="8"/>
        <v/>
      </c>
      <c r="AX7" s="439" t="str">
        <f t="shared" ca="1" si="8"/>
        <v/>
      </c>
      <c r="AY7" s="440" t="str">
        <f t="shared" ca="1" si="8"/>
        <v/>
      </c>
      <c r="AZ7" s="438" t="str">
        <f t="shared" ca="1" si="9"/>
        <v/>
      </c>
      <c r="BA7" s="439" t="str">
        <f t="shared" ca="1" si="9"/>
        <v/>
      </c>
      <c r="BB7" s="439" t="str">
        <f t="shared" ca="1" si="9"/>
        <v/>
      </c>
      <c r="BC7" s="439" t="str">
        <f t="shared" ca="1" si="9"/>
        <v/>
      </c>
      <c r="BD7" s="440" t="str">
        <f t="shared" ca="1" si="9"/>
        <v/>
      </c>
      <c r="BE7" s="438" t="str">
        <f t="shared" ca="1" si="9"/>
        <v/>
      </c>
      <c r="BF7" s="439" t="str">
        <f t="shared" ca="1" si="9"/>
        <v/>
      </c>
      <c r="BG7" s="439" t="str">
        <f t="shared" ca="1" si="9"/>
        <v/>
      </c>
      <c r="BH7" s="439" t="str">
        <f t="shared" ca="1" si="9"/>
        <v/>
      </c>
      <c r="BI7" s="440" t="str">
        <f t="shared" ca="1" si="9"/>
        <v/>
      </c>
      <c r="BJ7" s="438" t="str">
        <f t="shared" ca="1" si="10"/>
        <v/>
      </c>
      <c r="BK7" s="439" t="str">
        <f t="shared" ca="1" si="10"/>
        <v/>
      </c>
      <c r="BL7" s="439" t="str">
        <f t="shared" ca="1" si="10"/>
        <v/>
      </c>
      <c r="BM7" s="439" t="str">
        <f t="shared" ca="1" si="10"/>
        <v/>
      </c>
      <c r="BN7" s="440" t="str">
        <f t="shared" ca="1" si="10"/>
        <v/>
      </c>
      <c r="BO7" s="438" t="str">
        <f t="shared" ca="1" si="10"/>
        <v/>
      </c>
      <c r="BP7" s="439" t="str">
        <f t="shared" ca="1" si="10"/>
        <v/>
      </c>
      <c r="BQ7" s="439" t="str">
        <f t="shared" ca="1" si="10"/>
        <v/>
      </c>
      <c r="BR7" s="439" t="str">
        <f t="shared" ca="1" si="10"/>
        <v/>
      </c>
      <c r="BS7" s="440" t="str">
        <f t="shared" ca="1" si="10"/>
        <v/>
      </c>
      <c r="BT7" s="438" t="str">
        <f t="shared" ca="1" si="11"/>
        <v/>
      </c>
      <c r="BU7" s="439" t="str">
        <f t="shared" ca="1" si="11"/>
        <v/>
      </c>
      <c r="BV7" s="439" t="str">
        <f t="shared" ca="1" si="11"/>
        <v/>
      </c>
      <c r="BW7" s="439" t="str">
        <f t="shared" ca="1" si="11"/>
        <v/>
      </c>
      <c r="BX7" s="440" t="str">
        <f t="shared" ca="1" si="11"/>
        <v/>
      </c>
      <c r="BY7" s="438" t="str">
        <f t="shared" ca="1" si="11"/>
        <v/>
      </c>
      <c r="BZ7" s="439" t="str">
        <f t="shared" ca="1" si="11"/>
        <v/>
      </c>
      <c r="CA7" s="439" t="str">
        <f t="shared" ca="1" si="11"/>
        <v/>
      </c>
      <c r="CB7" s="439" t="str">
        <f t="shared" ca="1" si="11"/>
        <v/>
      </c>
      <c r="CC7" s="440" t="str">
        <f t="shared" ca="1" si="11"/>
        <v/>
      </c>
      <c r="CD7" s="438" t="str">
        <f t="shared" ca="1" si="12"/>
        <v/>
      </c>
      <c r="CE7" s="439" t="str">
        <f t="shared" ca="1" si="12"/>
        <v/>
      </c>
      <c r="CF7" s="439" t="str">
        <f t="shared" ca="1" si="12"/>
        <v/>
      </c>
      <c r="CG7" s="439" t="str">
        <f t="shared" ca="1" si="12"/>
        <v/>
      </c>
      <c r="CH7" s="440" t="str">
        <f t="shared" ca="1" si="12"/>
        <v/>
      </c>
      <c r="CI7" s="438" t="str">
        <f t="shared" ca="1" si="12"/>
        <v/>
      </c>
      <c r="CJ7" s="439" t="str">
        <f t="shared" ca="1" si="12"/>
        <v/>
      </c>
      <c r="CK7" s="439" t="str">
        <f t="shared" ca="1" si="12"/>
        <v/>
      </c>
      <c r="CL7" s="439" t="str">
        <f t="shared" ca="1" si="12"/>
        <v/>
      </c>
      <c r="CM7" s="440" t="str">
        <f t="shared" ca="1" si="12"/>
        <v/>
      </c>
      <c r="CN7" s="438" t="str">
        <f t="shared" ca="1" si="13"/>
        <v/>
      </c>
      <c r="CO7" s="439" t="str">
        <f t="shared" ca="1" si="13"/>
        <v/>
      </c>
      <c r="CP7" s="439" t="str">
        <f t="shared" ca="1" si="13"/>
        <v/>
      </c>
      <c r="CQ7" s="439" t="str">
        <f t="shared" ca="1" si="13"/>
        <v/>
      </c>
      <c r="CR7" s="440" t="str">
        <f t="shared" ca="1" si="13"/>
        <v/>
      </c>
      <c r="CS7" s="438" t="str">
        <f t="shared" ca="1" si="13"/>
        <v/>
      </c>
      <c r="CT7" s="439" t="str">
        <f t="shared" ca="1" si="13"/>
        <v/>
      </c>
      <c r="CU7" s="439" t="str">
        <f t="shared" ca="1" si="13"/>
        <v/>
      </c>
      <c r="CV7" s="439" t="str">
        <f t="shared" ca="1" si="13"/>
        <v/>
      </c>
      <c r="CW7" s="440" t="str">
        <f t="shared" ca="1" si="13"/>
        <v/>
      </c>
      <c r="CX7" s="438" t="str">
        <f t="shared" ca="1" si="13"/>
        <v/>
      </c>
      <c r="CY7" s="439" t="str">
        <f t="shared" ca="1" si="13"/>
        <v/>
      </c>
      <c r="CZ7" s="439" t="str">
        <f t="shared" ca="1" si="13"/>
        <v/>
      </c>
      <c r="DA7" s="439" t="str">
        <f t="shared" ca="1" si="13"/>
        <v/>
      </c>
      <c r="DB7" s="440" t="str">
        <f t="shared" ca="1" si="13"/>
        <v/>
      </c>
    </row>
    <row r="8" spans="1:106" s="437" customFormat="1" ht="25" customHeight="1" x14ac:dyDescent="0.2">
      <c r="A8" s="329" t="str">
        <f>Ressourcer!D1</f>
        <v>BENI</v>
      </c>
      <c r="B8" s="441" t="str">
        <f t="shared" ca="1" si="4"/>
        <v/>
      </c>
      <c r="C8" s="442" t="str">
        <f t="shared" ca="1" si="4"/>
        <v/>
      </c>
      <c r="D8" s="442" t="str">
        <f t="shared" ca="1" si="4"/>
        <v/>
      </c>
      <c r="E8" s="442" t="str">
        <f t="shared" ca="1" si="4"/>
        <v/>
      </c>
      <c r="F8" s="443" t="str">
        <f t="shared" ca="1" si="4"/>
        <v/>
      </c>
      <c r="G8" s="441" t="str">
        <f t="shared" ca="1" si="4"/>
        <v/>
      </c>
      <c r="H8" s="442" t="str">
        <f t="shared" ca="1" si="4"/>
        <v/>
      </c>
      <c r="I8" s="442" t="str">
        <f t="shared" ca="1" si="4"/>
        <v/>
      </c>
      <c r="J8" s="442" t="str">
        <f t="shared" ca="1" si="4"/>
        <v/>
      </c>
      <c r="K8" s="443" t="str">
        <f t="shared" ca="1" si="4"/>
        <v/>
      </c>
      <c r="L8" s="441" t="str">
        <f t="shared" ca="1" si="5"/>
        <v/>
      </c>
      <c r="M8" s="442" t="str">
        <f t="shared" ca="1" si="5"/>
        <v/>
      </c>
      <c r="N8" s="442" t="str">
        <f t="shared" ca="1" si="5"/>
        <v/>
      </c>
      <c r="O8" s="442" t="str">
        <f t="shared" ca="1" si="5"/>
        <v/>
      </c>
      <c r="P8" s="443" t="str">
        <f t="shared" ca="1" si="5"/>
        <v/>
      </c>
      <c r="Q8" s="441" t="str">
        <f t="shared" ca="1" si="5"/>
        <v/>
      </c>
      <c r="R8" s="442" t="str">
        <f t="shared" ca="1" si="5"/>
        <v/>
      </c>
      <c r="S8" s="442" t="str">
        <f t="shared" ca="1" si="5"/>
        <v/>
      </c>
      <c r="T8" s="442" t="str">
        <f t="shared" ca="1" si="5"/>
        <v/>
      </c>
      <c r="U8" s="443" t="str">
        <f t="shared" ca="1" si="5"/>
        <v/>
      </c>
      <c r="V8" s="441" t="str">
        <f t="shared" ca="1" si="6"/>
        <v/>
      </c>
      <c r="W8" s="442" t="str">
        <f t="shared" ca="1" si="6"/>
        <v/>
      </c>
      <c r="X8" s="442" t="str">
        <f t="shared" ca="1" si="6"/>
        <v/>
      </c>
      <c r="Y8" s="442" t="str">
        <f t="shared" ca="1" si="6"/>
        <v/>
      </c>
      <c r="Z8" s="443" t="str">
        <f t="shared" ca="1" si="6"/>
        <v/>
      </c>
      <c r="AA8" s="441" t="str">
        <f t="shared" ca="1" si="6"/>
        <v/>
      </c>
      <c r="AB8" s="442" t="str">
        <f t="shared" ca="1" si="6"/>
        <v/>
      </c>
      <c r="AC8" s="442" t="str">
        <f t="shared" ca="1" si="6"/>
        <v/>
      </c>
      <c r="AD8" s="442" t="str">
        <f t="shared" ca="1" si="6"/>
        <v/>
      </c>
      <c r="AE8" s="443" t="str">
        <f t="shared" ca="1" si="6"/>
        <v/>
      </c>
      <c r="AF8" s="441" t="str">
        <f t="shared" ca="1" si="7"/>
        <v/>
      </c>
      <c r="AG8" s="442" t="str">
        <f t="shared" ca="1" si="7"/>
        <v/>
      </c>
      <c r="AH8" s="442" t="str">
        <f t="shared" ca="1" si="7"/>
        <v/>
      </c>
      <c r="AI8" s="442" t="str">
        <f t="shared" ca="1" si="7"/>
        <v/>
      </c>
      <c r="AJ8" s="443" t="str">
        <f t="shared" ca="1" si="7"/>
        <v/>
      </c>
      <c r="AK8" s="441" t="str">
        <f t="shared" ca="1" si="7"/>
        <v/>
      </c>
      <c r="AL8" s="442" t="str">
        <f t="shared" ca="1" si="7"/>
        <v/>
      </c>
      <c r="AM8" s="442" t="str">
        <f t="shared" ca="1" si="7"/>
        <v/>
      </c>
      <c r="AN8" s="442" t="str">
        <f t="shared" ca="1" si="7"/>
        <v/>
      </c>
      <c r="AO8" s="443" t="str">
        <f t="shared" ca="1" si="7"/>
        <v/>
      </c>
      <c r="AP8" s="441" t="str">
        <f t="shared" ca="1" si="8"/>
        <v/>
      </c>
      <c r="AQ8" s="442" t="str">
        <f t="shared" ca="1" si="8"/>
        <v/>
      </c>
      <c r="AR8" s="442" t="str">
        <f t="shared" ca="1" si="8"/>
        <v/>
      </c>
      <c r="AS8" s="442" t="str">
        <f t="shared" ca="1" si="8"/>
        <v/>
      </c>
      <c r="AT8" s="443" t="str">
        <f t="shared" ca="1" si="8"/>
        <v/>
      </c>
      <c r="AU8" s="441" t="str">
        <f t="shared" ca="1" si="8"/>
        <v/>
      </c>
      <c r="AV8" s="442" t="str">
        <f t="shared" ca="1" si="8"/>
        <v/>
      </c>
      <c r="AW8" s="442" t="str">
        <f t="shared" ca="1" si="8"/>
        <v/>
      </c>
      <c r="AX8" s="442" t="str">
        <f t="shared" ca="1" si="8"/>
        <v/>
      </c>
      <c r="AY8" s="443" t="str">
        <f t="shared" ca="1" si="8"/>
        <v/>
      </c>
      <c r="AZ8" s="441" t="str">
        <f t="shared" ca="1" si="9"/>
        <v/>
      </c>
      <c r="BA8" s="442" t="str">
        <f t="shared" ca="1" si="9"/>
        <v/>
      </c>
      <c r="BB8" s="442" t="str">
        <f t="shared" ca="1" si="9"/>
        <v/>
      </c>
      <c r="BC8" s="442" t="str">
        <f t="shared" ca="1" si="9"/>
        <v/>
      </c>
      <c r="BD8" s="443" t="str">
        <f t="shared" ca="1" si="9"/>
        <v/>
      </c>
      <c r="BE8" s="441" t="str">
        <f t="shared" ca="1" si="9"/>
        <v/>
      </c>
      <c r="BF8" s="442" t="str">
        <f t="shared" ca="1" si="9"/>
        <v/>
      </c>
      <c r="BG8" s="442" t="str">
        <f t="shared" ca="1" si="9"/>
        <v/>
      </c>
      <c r="BH8" s="442" t="str">
        <f t="shared" ca="1" si="9"/>
        <v/>
      </c>
      <c r="BI8" s="443" t="str">
        <f t="shared" ca="1" si="9"/>
        <v/>
      </c>
      <c r="BJ8" s="441" t="str">
        <f t="shared" ca="1" si="10"/>
        <v/>
      </c>
      <c r="BK8" s="442" t="str">
        <f t="shared" ca="1" si="10"/>
        <v/>
      </c>
      <c r="BL8" s="442" t="str">
        <f t="shared" ca="1" si="10"/>
        <v/>
      </c>
      <c r="BM8" s="442" t="str">
        <f t="shared" ca="1" si="10"/>
        <v/>
      </c>
      <c r="BN8" s="443" t="str">
        <f t="shared" ca="1" si="10"/>
        <v/>
      </c>
      <c r="BO8" s="441" t="str">
        <f t="shared" ca="1" si="10"/>
        <v/>
      </c>
      <c r="BP8" s="442" t="str">
        <f t="shared" ca="1" si="10"/>
        <v/>
      </c>
      <c r="BQ8" s="442" t="str">
        <f t="shared" ca="1" si="10"/>
        <v/>
      </c>
      <c r="BR8" s="442" t="str">
        <f t="shared" ca="1" si="10"/>
        <v/>
      </c>
      <c r="BS8" s="443" t="str">
        <f t="shared" ca="1" si="10"/>
        <v/>
      </c>
      <c r="BT8" s="441" t="str">
        <f t="shared" ca="1" si="11"/>
        <v/>
      </c>
      <c r="BU8" s="442" t="str">
        <f t="shared" ca="1" si="11"/>
        <v/>
      </c>
      <c r="BV8" s="442" t="str">
        <f t="shared" ca="1" si="11"/>
        <v/>
      </c>
      <c r="BW8" s="442" t="str">
        <f t="shared" ca="1" si="11"/>
        <v/>
      </c>
      <c r="BX8" s="443" t="str">
        <f t="shared" ca="1" si="11"/>
        <v/>
      </c>
      <c r="BY8" s="441" t="str">
        <f t="shared" ca="1" si="11"/>
        <v/>
      </c>
      <c r="BZ8" s="442" t="str">
        <f t="shared" ca="1" si="11"/>
        <v/>
      </c>
      <c r="CA8" s="442" t="str">
        <f t="shared" ca="1" si="11"/>
        <v/>
      </c>
      <c r="CB8" s="442" t="str">
        <f t="shared" ca="1" si="11"/>
        <v/>
      </c>
      <c r="CC8" s="443" t="str">
        <f t="shared" ca="1" si="11"/>
        <v/>
      </c>
      <c r="CD8" s="441" t="str">
        <f t="shared" ca="1" si="12"/>
        <v/>
      </c>
      <c r="CE8" s="442" t="str">
        <f t="shared" ca="1" si="12"/>
        <v/>
      </c>
      <c r="CF8" s="442" t="str">
        <f t="shared" ca="1" si="12"/>
        <v/>
      </c>
      <c r="CG8" s="442" t="str">
        <f t="shared" ca="1" si="12"/>
        <v/>
      </c>
      <c r="CH8" s="443" t="str">
        <f t="shared" ca="1" si="12"/>
        <v/>
      </c>
      <c r="CI8" s="441" t="str">
        <f t="shared" ca="1" si="12"/>
        <v/>
      </c>
      <c r="CJ8" s="442" t="str">
        <f t="shared" ca="1" si="12"/>
        <v/>
      </c>
      <c r="CK8" s="442" t="str">
        <f t="shared" ca="1" si="12"/>
        <v/>
      </c>
      <c r="CL8" s="442" t="str">
        <f t="shared" ca="1" si="12"/>
        <v/>
      </c>
      <c r="CM8" s="443" t="str">
        <f t="shared" ca="1" si="12"/>
        <v/>
      </c>
      <c r="CN8" s="441" t="str">
        <f t="shared" ca="1" si="13"/>
        <v/>
      </c>
      <c r="CO8" s="442" t="str">
        <f t="shared" ca="1" si="13"/>
        <v/>
      </c>
      <c r="CP8" s="442" t="str">
        <f t="shared" ca="1" si="13"/>
        <v/>
      </c>
      <c r="CQ8" s="442" t="str">
        <f t="shared" ca="1" si="13"/>
        <v/>
      </c>
      <c r="CR8" s="443" t="str">
        <f t="shared" ca="1" si="13"/>
        <v/>
      </c>
      <c r="CS8" s="441" t="str">
        <f t="shared" ca="1" si="13"/>
        <v/>
      </c>
      <c r="CT8" s="442" t="str">
        <f t="shared" ca="1" si="13"/>
        <v/>
      </c>
      <c r="CU8" s="442" t="str">
        <f t="shared" ca="1" si="13"/>
        <v/>
      </c>
      <c r="CV8" s="442" t="str">
        <f t="shared" ca="1" si="13"/>
        <v/>
      </c>
      <c r="CW8" s="443" t="str">
        <f t="shared" ca="1" si="13"/>
        <v/>
      </c>
      <c r="CX8" s="441" t="str">
        <f t="shared" ca="1" si="13"/>
        <v/>
      </c>
      <c r="CY8" s="442" t="str">
        <f t="shared" ca="1" si="13"/>
        <v/>
      </c>
      <c r="CZ8" s="442" t="str">
        <f t="shared" ca="1" si="13"/>
        <v/>
      </c>
      <c r="DA8" s="442" t="str">
        <f t="shared" ca="1" si="13"/>
        <v/>
      </c>
      <c r="DB8" s="443" t="str">
        <f t="shared" ca="1" si="13"/>
        <v/>
      </c>
    </row>
    <row r="9" spans="1:106" s="437" customFormat="1" ht="25" customHeight="1" x14ac:dyDescent="0.2">
      <c r="A9" s="328" t="str">
        <f>Ressourcer!E1</f>
        <v>CLLJ</v>
      </c>
      <c r="B9" s="438" t="str">
        <f t="shared" ca="1" si="4"/>
        <v/>
      </c>
      <c r="C9" s="439" t="str">
        <f t="shared" ca="1" si="4"/>
        <v/>
      </c>
      <c r="D9" s="439" t="str">
        <f t="shared" ca="1" si="4"/>
        <v/>
      </c>
      <c r="E9" s="439" t="str">
        <f t="shared" ca="1" si="4"/>
        <v/>
      </c>
      <c r="F9" s="440" t="str">
        <f t="shared" ca="1" si="4"/>
        <v/>
      </c>
      <c r="G9" s="438" t="str">
        <f t="shared" ca="1" si="4"/>
        <v/>
      </c>
      <c r="H9" s="439" t="str">
        <f t="shared" ca="1" si="4"/>
        <v/>
      </c>
      <c r="I9" s="439" t="str">
        <f t="shared" ca="1" si="4"/>
        <v/>
      </c>
      <c r="J9" s="439" t="str">
        <f t="shared" ca="1" si="4"/>
        <v/>
      </c>
      <c r="K9" s="440" t="str">
        <f t="shared" ca="1" si="4"/>
        <v/>
      </c>
      <c r="L9" s="438" t="str">
        <f t="shared" ca="1" si="5"/>
        <v/>
      </c>
      <c r="M9" s="439" t="str">
        <f t="shared" ca="1" si="5"/>
        <v/>
      </c>
      <c r="N9" s="439" t="str">
        <f t="shared" ca="1" si="5"/>
        <v/>
      </c>
      <c r="O9" s="439" t="str">
        <f t="shared" ca="1" si="5"/>
        <v/>
      </c>
      <c r="P9" s="440" t="str">
        <f t="shared" ca="1" si="5"/>
        <v/>
      </c>
      <c r="Q9" s="438" t="str">
        <f t="shared" ca="1" si="5"/>
        <v/>
      </c>
      <c r="R9" s="439" t="str">
        <f t="shared" ca="1" si="5"/>
        <v/>
      </c>
      <c r="S9" s="439" t="str">
        <f t="shared" ca="1" si="5"/>
        <v/>
      </c>
      <c r="T9" s="439" t="str">
        <f t="shared" ca="1" si="5"/>
        <v/>
      </c>
      <c r="U9" s="440" t="str">
        <f t="shared" ca="1" si="5"/>
        <v/>
      </c>
      <c r="V9" s="438" t="str">
        <f t="shared" ca="1" si="6"/>
        <v/>
      </c>
      <c r="W9" s="439" t="str">
        <f t="shared" ca="1" si="6"/>
        <v/>
      </c>
      <c r="X9" s="439" t="str">
        <f t="shared" ca="1" si="6"/>
        <v/>
      </c>
      <c r="Y9" s="439" t="str">
        <f t="shared" ca="1" si="6"/>
        <v/>
      </c>
      <c r="Z9" s="440" t="str">
        <f t="shared" ca="1" si="6"/>
        <v/>
      </c>
      <c r="AA9" s="438" t="str">
        <f t="shared" ca="1" si="6"/>
        <v/>
      </c>
      <c r="AB9" s="439" t="str">
        <f t="shared" ca="1" si="6"/>
        <v/>
      </c>
      <c r="AC9" s="439" t="str">
        <f t="shared" ca="1" si="6"/>
        <v/>
      </c>
      <c r="AD9" s="439" t="str">
        <f t="shared" ca="1" si="6"/>
        <v/>
      </c>
      <c r="AE9" s="440" t="str">
        <f t="shared" ca="1" si="6"/>
        <v/>
      </c>
      <c r="AF9" s="438" t="str">
        <f t="shared" ca="1" si="7"/>
        <v/>
      </c>
      <c r="AG9" s="439" t="str">
        <f t="shared" ca="1" si="7"/>
        <v/>
      </c>
      <c r="AH9" s="439" t="str">
        <f t="shared" ca="1" si="7"/>
        <v/>
      </c>
      <c r="AI9" s="439" t="str">
        <f t="shared" ca="1" si="7"/>
        <v/>
      </c>
      <c r="AJ9" s="440" t="str">
        <f t="shared" ca="1" si="7"/>
        <v/>
      </c>
      <c r="AK9" s="438" t="str">
        <f t="shared" ca="1" si="7"/>
        <v/>
      </c>
      <c r="AL9" s="439" t="str">
        <f t="shared" ca="1" si="7"/>
        <v/>
      </c>
      <c r="AM9" s="439" t="str">
        <f t="shared" ca="1" si="7"/>
        <v/>
      </c>
      <c r="AN9" s="439" t="str">
        <f t="shared" ca="1" si="7"/>
        <v/>
      </c>
      <c r="AO9" s="440" t="str">
        <f t="shared" ca="1" si="7"/>
        <v/>
      </c>
      <c r="AP9" s="438" t="str">
        <f t="shared" ca="1" si="8"/>
        <v/>
      </c>
      <c r="AQ9" s="439" t="str">
        <f t="shared" ca="1" si="8"/>
        <v/>
      </c>
      <c r="AR9" s="439" t="str">
        <f t="shared" ca="1" si="8"/>
        <v/>
      </c>
      <c r="AS9" s="439" t="str">
        <f t="shared" ca="1" si="8"/>
        <v/>
      </c>
      <c r="AT9" s="440" t="str">
        <f t="shared" ca="1" si="8"/>
        <v/>
      </c>
      <c r="AU9" s="438" t="str">
        <f t="shared" ca="1" si="8"/>
        <v/>
      </c>
      <c r="AV9" s="439" t="str">
        <f t="shared" ca="1" si="8"/>
        <v/>
      </c>
      <c r="AW9" s="439" t="str">
        <f t="shared" ca="1" si="8"/>
        <v/>
      </c>
      <c r="AX9" s="439" t="str">
        <f t="shared" ca="1" si="8"/>
        <v/>
      </c>
      <c r="AY9" s="440" t="str">
        <f t="shared" ca="1" si="8"/>
        <v/>
      </c>
      <c r="AZ9" s="438" t="str">
        <f t="shared" ca="1" si="9"/>
        <v/>
      </c>
      <c r="BA9" s="439" t="str">
        <f t="shared" ca="1" si="9"/>
        <v/>
      </c>
      <c r="BB9" s="439" t="str">
        <f t="shared" ca="1" si="9"/>
        <v/>
      </c>
      <c r="BC9" s="439" t="str">
        <f t="shared" ca="1" si="9"/>
        <v/>
      </c>
      <c r="BD9" s="440" t="str">
        <f t="shared" ca="1" si="9"/>
        <v/>
      </c>
      <c r="BE9" s="438" t="str">
        <f t="shared" ca="1" si="9"/>
        <v/>
      </c>
      <c r="BF9" s="439" t="str">
        <f t="shared" ca="1" si="9"/>
        <v/>
      </c>
      <c r="BG9" s="439" t="str">
        <f t="shared" ca="1" si="9"/>
        <v/>
      </c>
      <c r="BH9" s="439" t="str">
        <f t="shared" ca="1" si="9"/>
        <v/>
      </c>
      <c r="BI9" s="440" t="str">
        <f t="shared" ca="1" si="9"/>
        <v/>
      </c>
      <c r="BJ9" s="438" t="str">
        <f t="shared" ca="1" si="10"/>
        <v/>
      </c>
      <c r="BK9" s="439" t="str">
        <f t="shared" ca="1" si="10"/>
        <v/>
      </c>
      <c r="BL9" s="439" t="str">
        <f t="shared" ca="1" si="10"/>
        <v/>
      </c>
      <c r="BM9" s="439" t="str">
        <f t="shared" ca="1" si="10"/>
        <v/>
      </c>
      <c r="BN9" s="440" t="str">
        <f t="shared" ca="1" si="10"/>
        <v/>
      </c>
      <c r="BO9" s="438" t="str">
        <f t="shared" ca="1" si="10"/>
        <v/>
      </c>
      <c r="BP9" s="439" t="str">
        <f t="shared" ca="1" si="10"/>
        <v/>
      </c>
      <c r="BQ9" s="439" t="str">
        <f t="shared" ca="1" si="10"/>
        <v/>
      </c>
      <c r="BR9" s="439" t="str">
        <f t="shared" ca="1" si="10"/>
        <v/>
      </c>
      <c r="BS9" s="440" t="str">
        <f t="shared" ca="1" si="10"/>
        <v/>
      </c>
      <c r="BT9" s="438" t="str">
        <f t="shared" ca="1" si="11"/>
        <v/>
      </c>
      <c r="BU9" s="439" t="str">
        <f t="shared" ca="1" si="11"/>
        <v/>
      </c>
      <c r="BV9" s="439" t="str">
        <f t="shared" ca="1" si="11"/>
        <v/>
      </c>
      <c r="BW9" s="439" t="str">
        <f t="shared" ca="1" si="11"/>
        <v/>
      </c>
      <c r="BX9" s="440" t="str">
        <f t="shared" ca="1" si="11"/>
        <v/>
      </c>
      <c r="BY9" s="438" t="str">
        <f t="shared" ca="1" si="11"/>
        <v/>
      </c>
      <c r="BZ9" s="439" t="str">
        <f t="shared" ca="1" si="11"/>
        <v/>
      </c>
      <c r="CA9" s="439" t="str">
        <f t="shared" ca="1" si="11"/>
        <v/>
      </c>
      <c r="CB9" s="439" t="str">
        <f t="shared" ca="1" si="11"/>
        <v/>
      </c>
      <c r="CC9" s="440" t="str">
        <f t="shared" ca="1" si="11"/>
        <v/>
      </c>
      <c r="CD9" s="438" t="str">
        <f t="shared" ca="1" si="12"/>
        <v/>
      </c>
      <c r="CE9" s="439" t="str">
        <f t="shared" ca="1" si="12"/>
        <v/>
      </c>
      <c r="CF9" s="439" t="str">
        <f t="shared" ca="1" si="12"/>
        <v/>
      </c>
      <c r="CG9" s="439" t="str">
        <f t="shared" ca="1" si="12"/>
        <v/>
      </c>
      <c r="CH9" s="440" t="str">
        <f t="shared" ca="1" si="12"/>
        <v/>
      </c>
      <c r="CI9" s="438" t="str">
        <f t="shared" ca="1" si="12"/>
        <v/>
      </c>
      <c r="CJ9" s="439" t="str">
        <f t="shared" ca="1" si="12"/>
        <v/>
      </c>
      <c r="CK9" s="439" t="str">
        <f t="shared" ca="1" si="12"/>
        <v/>
      </c>
      <c r="CL9" s="439" t="str">
        <f t="shared" ca="1" si="12"/>
        <v/>
      </c>
      <c r="CM9" s="440" t="str">
        <f t="shared" ca="1" si="12"/>
        <v/>
      </c>
      <c r="CN9" s="438" t="str">
        <f t="shared" ca="1" si="13"/>
        <v/>
      </c>
      <c r="CO9" s="439" t="str">
        <f t="shared" ca="1" si="13"/>
        <v/>
      </c>
      <c r="CP9" s="439" t="str">
        <f t="shared" ca="1" si="13"/>
        <v/>
      </c>
      <c r="CQ9" s="439" t="str">
        <f t="shared" ca="1" si="13"/>
        <v/>
      </c>
      <c r="CR9" s="440" t="str">
        <f t="shared" ca="1" si="13"/>
        <v/>
      </c>
      <c r="CS9" s="438" t="str">
        <f t="shared" ca="1" si="13"/>
        <v/>
      </c>
      <c r="CT9" s="439" t="str">
        <f t="shared" ca="1" si="13"/>
        <v/>
      </c>
      <c r="CU9" s="439" t="str">
        <f t="shared" ca="1" si="13"/>
        <v/>
      </c>
      <c r="CV9" s="439" t="str">
        <f t="shared" ca="1" si="13"/>
        <v/>
      </c>
      <c r="CW9" s="440" t="str">
        <f t="shared" ca="1" si="13"/>
        <v/>
      </c>
      <c r="CX9" s="438" t="str">
        <f t="shared" ca="1" si="13"/>
        <v/>
      </c>
      <c r="CY9" s="439" t="str">
        <f t="shared" ca="1" si="13"/>
        <v/>
      </c>
      <c r="CZ9" s="439" t="str">
        <f t="shared" ca="1" si="13"/>
        <v/>
      </c>
      <c r="DA9" s="439" t="str">
        <f t="shared" ca="1" si="13"/>
        <v/>
      </c>
      <c r="DB9" s="440" t="str">
        <f t="shared" ca="1" si="13"/>
        <v/>
      </c>
    </row>
    <row r="10" spans="1:106" s="437" customFormat="1" ht="25" customHeight="1" x14ac:dyDescent="0.2">
      <c r="A10" s="329" t="str">
        <f>Ressourcer!F1</f>
        <v>GUIN</v>
      </c>
      <c r="B10" s="441" t="str">
        <f t="shared" ca="1" si="4"/>
        <v/>
      </c>
      <c r="C10" s="442" t="str">
        <f t="shared" ca="1" si="4"/>
        <v/>
      </c>
      <c r="D10" s="442" t="str">
        <f t="shared" ca="1" si="4"/>
        <v/>
      </c>
      <c r="E10" s="442" t="str">
        <f t="shared" ca="1" si="4"/>
        <v/>
      </c>
      <c r="F10" s="443" t="str">
        <f t="shared" ca="1" si="4"/>
        <v/>
      </c>
      <c r="G10" s="441" t="str">
        <f t="shared" ca="1" si="4"/>
        <v/>
      </c>
      <c r="H10" s="442" t="str">
        <f t="shared" ca="1" si="4"/>
        <v/>
      </c>
      <c r="I10" s="442" t="str">
        <f t="shared" ca="1" si="4"/>
        <v/>
      </c>
      <c r="J10" s="442" t="str">
        <f t="shared" ca="1" si="4"/>
        <v/>
      </c>
      <c r="K10" s="443" t="str">
        <f t="shared" ca="1" si="4"/>
        <v/>
      </c>
      <c r="L10" s="441" t="str">
        <f t="shared" ca="1" si="5"/>
        <v/>
      </c>
      <c r="M10" s="442" t="str">
        <f t="shared" ca="1" si="5"/>
        <v/>
      </c>
      <c r="N10" s="442" t="str">
        <f t="shared" ca="1" si="5"/>
        <v/>
      </c>
      <c r="O10" s="442" t="str">
        <f t="shared" ca="1" si="5"/>
        <v/>
      </c>
      <c r="P10" s="443" t="str">
        <f t="shared" ca="1" si="5"/>
        <v/>
      </c>
      <c r="Q10" s="441" t="str">
        <f t="shared" ca="1" si="5"/>
        <v/>
      </c>
      <c r="R10" s="442" t="str">
        <f t="shared" ca="1" si="5"/>
        <v/>
      </c>
      <c r="S10" s="442" t="str">
        <f t="shared" ca="1" si="5"/>
        <v/>
      </c>
      <c r="T10" s="442" t="str">
        <f t="shared" ca="1" si="5"/>
        <v/>
      </c>
      <c r="U10" s="443" t="str">
        <f t="shared" ca="1" si="5"/>
        <v/>
      </c>
      <c r="V10" s="441" t="str">
        <f t="shared" ca="1" si="6"/>
        <v/>
      </c>
      <c r="W10" s="442" t="str">
        <f t="shared" ca="1" si="6"/>
        <v/>
      </c>
      <c r="X10" s="442" t="str">
        <f t="shared" ca="1" si="6"/>
        <v/>
      </c>
      <c r="Y10" s="442" t="str">
        <f t="shared" ca="1" si="6"/>
        <v/>
      </c>
      <c r="Z10" s="443" t="str">
        <f t="shared" ca="1" si="6"/>
        <v/>
      </c>
      <c r="AA10" s="441" t="str">
        <f t="shared" ca="1" si="6"/>
        <v/>
      </c>
      <c r="AB10" s="442" t="str">
        <f t="shared" ca="1" si="6"/>
        <v/>
      </c>
      <c r="AC10" s="442" t="str">
        <f t="shared" ca="1" si="6"/>
        <v/>
      </c>
      <c r="AD10" s="442" t="str">
        <f t="shared" ca="1" si="6"/>
        <v/>
      </c>
      <c r="AE10" s="443" t="str">
        <f t="shared" ca="1" si="6"/>
        <v/>
      </c>
      <c r="AF10" s="441" t="str">
        <f t="shared" ca="1" si="7"/>
        <v/>
      </c>
      <c r="AG10" s="442" t="str">
        <f t="shared" ca="1" si="7"/>
        <v/>
      </c>
      <c r="AH10" s="442" t="str">
        <f t="shared" ca="1" si="7"/>
        <v/>
      </c>
      <c r="AI10" s="442" t="str">
        <f t="shared" ca="1" si="7"/>
        <v/>
      </c>
      <c r="AJ10" s="443" t="str">
        <f t="shared" ca="1" si="7"/>
        <v/>
      </c>
      <c r="AK10" s="441" t="str">
        <f t="shared" ca="1" si="7"/>
        <v/>
      </c>
      <c r="AL10" s="442" t="str">
        <f t="shared" ca="1" si="7"/>
        <v/>
      </c>
      <c r="AM10" s="442" t="str">
        <f t="shared" ca="1" si="7"/>
        <v/>
      </c>
      <c r="AN10" s="442" t="str">
        <f t="shared" ca="1" si="7"/>
        <v/>
      </c>
      <c r="AO10" s="443" t="str">
        <f t="shared" ca="1" si="7"/>
        <v/>
      </c>
      <c r="AP10" s="441" t="str">
        <f t="shared" ca="1" si="8"/>
        <v/>
      </c>
      <c r="AQ10" s="442" t="str">
        <f t="shared" ca="1" si="8"/>
        <v/>
      </c>
      <c r="AR10" s="442" t="str">
        <f t="shared" ca="1" si="8"/>
        <v/>
      </c>
      <c r="AS10" s="442" t="str">
        <f t="shared" ca="1" si="8"/>
        <v/>
      </c>
      <c r="AT10" s="443" t="str">
        <f t="shared" ca="1" si="8"/>
        <v/>
      </c>
      <c r="AU10" s="441" t="str">
        <f t="shared" ca="1" si="8"/>
        <v/>
      </c>
      <c r="AV10" s="442" t="str">
        <f t="shared" ca="1" si="8"/>
        <v/>
      </c>
      <c r="AW10" s="442" t="str">
        <f t="shared" ca="1" si="8"/>
        <v/>
      </c>
      <c r="AX10" s="442" t="str">
        <f t="shared" ca="1" si="8"/>
        <v/>
      </c>
      <c r="AY10" s="443" t="str">
        <f t="shared" ca="1" si="8"/>
        <v/>
      </c>
      <c r="AZ10" s="441" t="str">
        <f t="shared" ca="1" si="9"/>
        <v/>
      </c>
      <c r="BA10" s="442" t="str">
        <f t="shared" ca="1" si="9"/>
        <v/>
      </c>
      <c r="BB10" s="442" t="str">
        <f t="shared" ca="1" si="9"/>
        <v/>
      </c>
      <c r="BC10" s="442" t="str">
        <f t="shared" ca="1" si="9"/>
        <v/>
      </c>
      <c r="BD10" s="443" t="str">
        <f t="shared" ca="1" si="9"/>
        <v/>
      </c>
      <c r="BE10" s="441" t="str">
        <f t="shared" ca="1" si="9"/>
        <v/>
      </c>
      <c r="BF10" s="442" t="str">
        <f t="shared" ca="1" si="9"/>
        <v/>
      </c>
      <c r="BG10" s="442" t="str">
        <f t="shared" ca="1" si="9"/>
        <v/>
      </c>
      <c r="BH10" s="442" t="str">
        <f t="shared" ca="1" si="9"/>
        <v/>
      </c>
      <c r="BI10" s="443" t="str">
        <f t="shared" ca="1" si="9"/>
        <v/>
      </c>
      <c r="BJ10" s="441" t="str">
        <f t="shared" ca="1" si="10"/>
        <v/>
      </c>
      <c r="BK10" s="442" t="str">
        <f t="shared" ca="1" si="10"/>
        <v/>
      </c>
      <c r="BL10" s="442" t="str">
        <f t="shared" ca="1" si="10"/>
        <v/>
      </c>
      <c r="BM10" s="442" t="str">
        <f t="shared" ca="1" si="10"/>
        <v/>
      </c>
      <c r="BN10" s="443" t="str">
        <f t="shared" ca="1" si="10"/>
        <v/>
      </c>
      <c r="BO10" s="441" t="str">
        <f t="shared" ca="1" si="10"/>
        <v/>
      </c>
      <c r="BP10" s="442" t="str">
        <f t="shared" ca="1" si="10"/>
        <v/>
      </c>
      <c r="BQ10" s="442" t="str">
        <f t="shared" ca="1" si="10"/>
        <v/>
      </c>
      <c r="BR10" s="442" t="str">
        <f t="shared" ca="1" si="10"/>
        <v/>
      </c>
      <c r="BS10" s="443" t="str">
        <f t="shared" ca="1" si="10"/>
        <v/>
      </c>
      <c r="BT10" s="441" t="str">
        <f t="shared" ca="1" si="11"/>
        <v/>
      </c>
      <c r="BU10" s="442" t="str">
        <f t="shared" ca="1" si="11"/>
        <v/>
      </c>
      <c r="BV10" s="442" t="str">
        <f t="shared" ca="1" si="11"/>
        <v/>
      </c>
      <c r="BW10" s="442" t="str">
        <f t="shared" ca="1" si="11"/>
        <v/>
      </c>
      <c r="BX10" s="443" t="str">
        <f t="shared" ca="1" si="11"/>
        <v/>
      </c>
      <c r="BY10" s="441" t="str">
        <f t="shared" ca="1" si="11"/>
        <v/>
      </c>
      <c r="BZ10" s="442" t="str">
        <f t="shared" ca="1" si="11"/>
        <v/>
      </c>
      <c r="CA10" s="442" t="str">
        <f t="shared" ca="1" si="11"/>
        <v/>
      </c>
      <c r="CB10" s="442" t="str">
        <f t="shared" ca="1" si="11"/>
        <v/>
      </c>
      <c r="CC10" s="443" t="str">
        <f t="shared" ca="1" si="11"/>
        <v/>
      </c>
      <c r="CD10" s="441" t="str">
        <f t="shared" ca="1" si="12"/>
        <v/>
      </c>
      <c r="CE10" s="442" t="str">
        <f t="shared" ca="1" si="12"/>
        <v/>
      </c>
      <c r="CF10" s="442" t="str">
        <f t="shared" ca="1" si="12"/>
        <v/>
      </c>
      <c r="CG10" s="442" t="str">
        <f t="shared" ca="1" si="12"/>
        <v/>
      </c>
      <c r="CH10" s="443" t="str">
        <f t="shared" ca="1" si="12"/>
        <v/>
      </c>
      <c r="CI10" s="441" t="str">
        <f t="shared" ca="1" si="12"/>
        <v/>
      </c>
      <c r="CJ10" s="442" t="str">
        <f t="shared" ca="1" si="12"/>
        <v/>
      </c>
      <c r="CK10" s="442" t="str">
        <f t="shared" ca="1" si="12"/>
        <v/>
      </c>
      <c r="CL10" s="442" t="str">
        <f t="shared" ca="1" si="12"/>
        <v/>
      </c>
      <c r="CM10" s="443" t="str">
        <f t="shared" ca="1" si="12"/>
        <v/>
      </c>
      <c r="CN10" s="441" t="str">
        <f t="shared" ca="1" si="13"/>
        <v/>
      </c>
      <c r="CO10" s="442" t="str">
        <f t="shared" ca="1" si="13"/>
        <v/>
      </c>
      <c r="CP10" s="442" t="str">
        <f t="shared" ca="1" si="13"/>
        <v/>
      </c>
      <c r="CQ10" s="442" t="str">
        <f t="shared" ca="1" si="13"/>
        <v/>
      </c>
      <c r="CR10" s="443" t="str">
        <f t="shared" ca="1" si="13"/>
        <v/>
      </c>
      <c r="CS10" s="441" t="str">
        <f t="shared" ca="1" si="13"/>
        <v/>
      </c>
      <c r="CT10" s="442" t="str">
        <f t="shared" ca="1" si="13"/>
        <v/>
      </c>
      <c r="CU10" s="442" t="str">
        <f t="shared" ca="1" si="13"/>
        <v/>
      </c>
      <c r="CV10" s="442" t="str">
        <f t="shared" ca="1" si="13"/>
        <v/>
      </c>
      <c r="CW10" s="443" t="str">
        <f t="shared" ca="1" si="13"/>
        <v/>
      </c>
      <c r="CX10" s="441" t="str">
        <f t="shared" ca="1" si="13"/>
        <v/>
      </c>
      <c r="CY10" s="442" t="str">
        <f t="shared" ca="1" si="13"/>
        <v/>
      </c>
      <c r="CZ10" s="442" t="str">
        <f t="shared" ca="1" si="13"/>
        <v/>
      </c>
      <c r="DA10" s="442" t="str">
        <f t="shared" ca="1" si="13"/>
        <v/>
      </c>
      <c r="DB10" s="443" t="str">
        <f t="shared" ca="1" si="13"/>
        <v/>
      </c>
    </row>
    <row r="11" spans="1:106" s="437" customFormat="1" ht="25" customHeight="1" x14ac:dyDescent="0.2">
      <c r="A11" s="328" t="str">
        <f>Ressourcer!G1</f>
        <v>HESS</v>
      </c>
      <c r="B11" s="438" t="str">
        <f t="shared" ca="1" si="4"/>
        <v/>
      </c>
      <c r="C11" s="439" t="str">
        <f t="shared" ca="1" si="4"/>
        <v/>
      </c>
      <c r="D11" s="439" t="str">
        <f t="shared" ca="1" si="4"/>
        <v/>
      </c>
      <c r="E11" s="439" t="str">
        <f t="shared" ca="1" si="4"/>
        <v/>
      </c>
      <c r="F11" s="440" t="str">
        <f t="shared" ca="1" si="4"/>
        <v/>
      </c>
      <c r="G11" s="438" t="str">
        <f t="shared" ca="1" si="4"/>
        <v/>
      </c>
      <c r="H11" s="439" t="str">
        <f t="shared" ca="1" si="4"/>
        <v/>
      </c>
      <c r="I11" s="439" t="str">
        <f t="shared" ca="1" si="4"/>
        <v/>
      </c>
      <c r="J11" s="439" t="str">
        <f t="shared" ca="1" si="4"/>
        <v/>
      </c>
      <c r="K11" s="440" t="str">
        <f t="shared" ca="1" si="4"/>
        <v/>
      </c>
      <c r="L11" s="438" t="str">
        <f t="shared" ca="1" si="5"/>
        <v/>
      </c>
      <c r="M11" s="439" t="str">
        <f t="shared" ca="1" si="5"/>
        <v/>
      </c>
      <c r="N11" s="439" t="str">
        <f t="shared" ca="1" si="5"/>
        <v/>
      </c>
      <c r="O11" s="439" t="str">
        <f t="shared" ca="1" si="5"/>
        <v/>
      </c>
      <c r="P11" s="440" t="str">
        <f t="shared" ca="1" si="5"/>
        <v/>
      </c>
      <c r="Q11" s="438" t="str">
        <f t="shared" ca="1" si="5"/>
        <v/>
      </c>
      <c r="R11" s="439" t="str">
        <f t="shared" ca="1" si="5"/>
        <v/>
      </c>
      <c r="S11" s="439" t="str">
        <f t="shared" ca="1" si="5"/>
        <v/>
      </c>
      <c r="T11" s="439" t="str">
        <f t="shared" ca="1" si="5"/>
        <v/>
      </c>
      <c r="U11" s="440" t="str">
        <f t="shared" ca="1" si="5"/>
        <v/>
      </c>
      <c r="V11" s="438" t="str">
        <f t="shared" ca="1" si="6"/>
        <v/>
      </c>
      <c r="W11" s="439" t="str">
        <f t="shared" ca="1" si="6"/>
        <v/>
      </c>
      <c r="X11" s="439" t="str">
        <f t="shared" ca="1" si="6"/>
        <v/>
      </c>
      <c r="Y11" s="439" t="str">
        <f t="shared" ca="1" si="6"/>
        <v/>
      </c>
      <c r="Z11" s="440" t="str">
        <f t="shared" ca="1" si="6"/>
        <v/>
      </c>
      <c r="AA11" s="438" t="str">
        <f t="shared" ca="1" si="6"/>
        <v/>
      </c>
      <c r="AB11" s="439" t="str">
        <f t="shared" ca="1" si="6"/>
        <v/>
      </c>
      <c r="AC11" s="439" t="str">
        <f t="shared" ca="1" si="6"/>
        <v/>
      </c>
      <c r="AD11" s="439" t="str">
        <f t="shared" ca="1" si="6"/>
        <v/>
      </c>
      <c r="AE11" s="440" t="str">
        <f t="shared" ca="1" si="6"/>
        <v/>
      </c>
      <c r="AF11" s="438" t="str">
        <f t="shared" ca="1" si="7"/>
        <v/>
      </c>
      <c r="AG11" s="439" t="str">
        <f t="shared" ca="1" si="7"/>
        <v/>
      </c>
      <c r="AH11" s="439" t="str">
        <f t="shared" ca="1" si="7"/>
        <v/>
      </c>
      <c r="AI11" s="439" t="str">
        <f t="shared" ca="1" si="7"/>
        <v/>
      </c>
      <c r="AJ11" s="440" t="str">
        <f t="shared" ca="1" si="7"/>
        <v/>
      </c>
      <c r="AK11" s="438" t="str">
        <f t="shared" ca="1" si="7"/>
        <v/>
      </c>
      <c r="AL11" s="439" t="str">
        <f t="shared" ca="1" si="7"/>
        <v/>
      </c>
      <c r="AM11" s="439" t="str">
        <f t="shared" ca="1" si="7"/>
        <v/>
      </c>
      <c r="AN11" s="439" t="str">
        <f t="shared" ca="1" si="7"/>
        <v/>
      </c>
      <c r="AO11" s="440" t="str">
        <f t="shared" ca="1" si="7"/>
        <v/>
      </c>
      <c r="AP11" s="438" t="str">
        <f t="shared" ca="1" si="8"/>
        <v/>
      </c>
      <c r="AQ11" s="439" t="str">
        <f t="shared" ca="1" si="8"/>
        <v/>
      </c>
      <c r="AR11" s="439" t="str">
        <f t="shared" ca="1" si="8"/>
        <v/>
      </c>
      <c r="AS11" s="439" t="str">
        <f t="shared" ca="1" si="8"/>
        <v/>
      </c>
      <c r="AT11" s="440" t="str">
        <f t="shared" ca="1" si="8"/>
        <v/>
      </c>
      <c r="AU11" s="438" t="str">
        <f t="shared" ca="1" si="8"/>
        <v/>
      </c>
      <c r="AV11" s="439" t="str">
        <f t="shared" ca="1" si="8"/>
        <v/>
      </c>
      <c r="AW11" s="439" t="str">
        <f t="shared" ca="1" si="8"/>
        <v/>
      </c>
      <c r="AX11" s="439" t="str">
        <f t="shared" ca="1" si="8"/>
        <v/>
      </c>
      <c r="AY11" s="440" t="str">
        <f t="shared" ca="1" si="8"/>
        <v/>
      </c>
      <c r="AZ11" s="438" t="str">
        <f t="shared" ca="1" si="9"/>
        <v/>
      </c>
      <c r="BA11" s="439" t="str">
        <f t="shared" ca="1" si="9"/>
        <v/>
      </c>
      <c r="BB11" s="439" t="str">
        <f t="shared" ca="1" si="9"/>
        <v/>
      </c>
      <c r="BC11" s="439" t="str">
        <f t="shared" ca="1" si="9"/>
        <v/>
      </c>
      <c r="BD11" s="440" t="str">
        <f t="shared" ca="1" si="9"/>
        <v/>
      </c>
      <c r="BE11" s="438" t="str">
        <f t="shared" ca="1" si="9"/>
        <v/>
      </c>
      <c r="BF11" s="439" t="str">
        <f t="shared" ca="1" si="9"/>
        <v/>
      </c>
      <c r="BG11" s="439" t="str">
        <f t="shared" ca="1" si="9"/>
        <v/>
      </c>
      <c r="BH11" s="439" t="str">
        <f t="shared" ca="1" si="9"/>
        <v/>
      </c>
      <c r="BI11" s="440" t="str">
        <f t="shared" ca="1" si="9"/>
        <v/>
      </c>
      <c r="BJ11" s="438" t="str">
        <f t="shared" ca="1" si="10"/>
        <v/>
      </c>
      <c r="BK11" s="439" t="str">
        <f t="shared" ca="1" si="10"/>
        <v/>
      </c>
      <c r="BL11" s="439" t="str">
        <f t="shared" ca="1" si="10"/>
        <v/>
      </c>
      <c r="BM11" s="439" t="str">
        <f t="shared" ca="1" si="10"/>
        <v/>
      </c>
      <c r="BN11" s="440" t="str">
        <f t="shared" ca="1" si="10"/>
        <v/>
      </c>
      <c r="BO11" s="438" t="str">
        <f t="shared" ca="1" si="10"/>
        <v/>
      </c>
      <c r="BP11" s="439" t="str">
        <f t="shared" ca="1" si="10"/>
        <v/>
      </c>
      <c r="BQ11" s="439" t="str">
        <f t="shared" ca="1" si="10"/>
        <v/>
      </c>
      <c r="BR11" s="439" t="str">
        <f t="shared" ca="1" si="10"/>
        <v/>
      </c>
      <c r="BS11" s="440" t="str">
        <f t="shared" ca="1" si="10"/>
        <v/>
      </c>
      <c r="BT11" s="438" t="str">
        <f t="shared" ca="1" si="11"/>
        <v/>
      </c>
      <c r="BU11" s="439" t="str">
        <f t="shared" ca="1" si="11"/>
        <v/>
      </c>
      <c r="BV11" s="439" t="str">
        <f t="shared" ca="1" si="11"/>
        <v/>
      </c>
      <c r="BW11" s="439" t="str">
        <f t="shared" ca="1" si="11"/>
        <v/>
      </c>
      <c r="BX11" s="440" t="str">
        <f t="shared" ca="1" si="11"/>
        <v/>
      </c>
      <c r="BY11" s="438" t="str">
        <f t="shared" ca="1" si="11"/>
        <v/>
      </c>
      <c r="BZ11" s="439" t="str">
        <f t="shared" ca="1" si="11"/>
        <v/>
      </c>
      <c r="CA11" s="439" t="str">
        <f t="shared" ca="1" si="11"/>
        <v/>
      </c>
      <c r="CB11" s="439" t="str">
        <f t="shared" ca="1" si="11"/>
        <v/>
      </c>
      <c r="CC11" s="440" t="str">
        <f t="shared" ca="1" si="11"/>
        <v/>
      </c>
      <c r="CD11" s="438" t="str">
        <f t="shared" ca="1" si="12"/>
        <v/>
      </c>
      <c r="CE11" s="439" t="str">
        <f t="shared" ca="1" si="12"/>
        <v/>
      </c>
      <c r="CF11" s="439" t="str">
        <f t="shared" ca="1" si="12"/>
        <v/>
      </c>
      <c r="CG11" s="439" t="str">
        <f t="shared" ca="1" si="12"/>
        <v/>
      </c>
      <c r="CH11" s="440" t="str">
        <f t="shared" ca="1" si="12"/>
        <v/>
      </c>
      <c r="CI11" s="438" t="str">
        <f t="shared" ca="1" si="12"/>
        <v/>
      </c>
      <c r="CJ11" s="439" t="str">
        <f t="shared" ca="1" si="12"/>
        <v/>
      </c>
      <c r="CK11" s="439" t="str">
        <f t="shared" ca="1" si="12"/>
        <v/>
      </c>
      <c r="CL11" s="439" t="str">
        <f t="shared" ca="1" si="12"/>
        <v/>
      </c>
      <c r="CM11" s="440" t="str">
        <f t="shared" ca="1" si="12"/>
        <v/>
      </c>
      <c r="CN11" s="438" t="str">
        <f t="shared" ca="1" si="13"/>
        <v/>
      </c>
      <c r="CO11" s="439" t="str">
        <f t="shared" ca="1" si="13"/>
        <v/>
      </c>
      <c r="CP11" s="439" t="str">
        <f t="shared" ca="1" si="13"/>
        <v/>
      </c>
      <c r="CQ11" s="439" t="str">
        <f t="shared" ca="1" si="13"/>
        <v/>
      </c>
      <c r="CR11" s="440" t="str">
        <f t="shared" ca="1" si="13"/>
        <v/>
      </c>
      <c r="CS11" s="438" t="str">
        <f t="shared" ca="1" si="13"/>
        <v/>
      </c>
      <c r="CT11" s="439" t="str">
        <f t="shared" ca="1" si="13"/>
        <v/>
      </c>
      <c r="CU11" s="439" t="str">
        <f t="shared" ca="1" si="13"/>
        <v/>
      </c>
      <c r="CV11" s="439" t="str">
        <f t="shared" ca="1" si="13"/>
        <v/>
      </c>
      <c r="CW11" s="440" t="str">
        <f t="shared" ca="1" si="13"/>
        <v/>
      </c>
      <c r="CX11" s="438" t="str">
        <f t="shared" ca="1" si="13"/>
        <v/>
      </c>
      <c r="CY11" s="439" t="str">
        <f t="shared" ca="1" si="13"/>
        <v/>
      </c>
      <c r="CZ11" s="439" t="str">
        <f t="shared" ca="1" si="13"/>
        <v/>
      </c>
      <c r="DA11" s="439" t="str">
        <f t="shared" ca="1" si="13"/>
        <v/>
      </c>
      <c r="DB11" s="440" t="str">
        <f t="shared" ca="1" si="13"/>
        <v/>
      </c>
    </row>
    <row r="12" spans="1:106" s="437" customFormat="1" ht="25" customHeight="1" x14ac:dyDescent="0.2">
      <c r="A12" s="329" t="str">
        <f>Ressourcer!H1</f>
        <v>HLLA</v>
      </c>
      <c r="B12" s="441" t="str">
        <f t="shared" ca="1" si="4"/>
        <v/>
      </c>
      <c r="C12" s="442" t="str">
        <f t="shared" ca="1" si="4"/>
        <v/>
      </c>
      <c r="D12" s="442" t="str">
        <f t="shared" ca="1" si="4"/>
        <v/>
      </c>
      <c r="E12" s="442" t="str">
        <f t="shared" ca="1" si="4"/>
        <v/>
      </c>
      <c r="F12" s="443" t="str">
        <f t="shared" ca="1" si="4"/>
        <v/>
      </c>
      <c r="G12" s="441" t="str">
        <f t="shared" ca="1" si="4"/>
        <v/>
      </c>
      <c r="H12" s="442" t="str">
        <f t="shared" ca="1" si="4"/>
        <v/>
      </c>
      <c r="I12" s="442" t="str">
        <f t="shared" ca="1" si="4"/>
        <v/>
      </c>
      <c r="J12" s="442" t="str">
        <f t="shared" ca="1" si="4"/>
        <v/>
      </c>
      <c r="K12" s="443" t="str">
        <f t="shared" ca="1" si="4"/>
        <v/>
      </c>
      <c r="L12" s="441" t="str">
        <f t="shared" ca="1" si="5"/>
        <v/>
      </c>
      <c r="M12" s="442" t="str">
        <f t="shared" ca="1" si="5"/>
        <v/>
      </c>
      <c r="N12" s="442" t="str">
        <f t="shared" ca="1" si="5"/>
        <v/>
      </c>
      <c r="O12" s="442" t="str">
        <f t="shared" ca="1" si="5"/>
        <v/>
      </c>
      <c r="P12" s="443" t="str">
        <f t="shared" ca="1" si="5"/>
        <v/>
      </c>
      <c r="Q12" s="441" t="str">
        <f t="shared" ca="1" si="5"/>
        <v/>
      </c>
      <c r="R12" s="442" t="str">
        <f t="shared" ca="1" si="5"/>
        <v/>
      </c>
      <c r="S12" s="442" t="str">
        <f t="shared" ca="1" si="5"/>
        <v/>
      </c>
      <c r="T12" s="442" t="str">
        <f t="shared" ca="1" si="5"/>
        <v/>
      </c>
      <c r="U12" s="443" t="str">
        <f t="shared" ca="1" si="5"/>
        <v/>
      </c>
      <c r="V12" s="441" t="str">
        <f t="shared" ca="1" si="6"/>
        <v/>
      </c>
      <c r="W12" s="442" t="str">
        <f t="shared" ca="1" si="6"/>
        <v/>
      </c>
      <c r="X12" s="442" t="str">
        <f t="shared" ca="1" si="6"/>
        <v/>
      </c>
      <c r="Y12" s="442" t="str">
        <f t="shared" ca="1" si="6"/>
        <v/>
      </c>
      <c r="Z12" s="443" t="str">
        <f t="shared" ca="1" si="6"/>
        <v/>
      </c>
      <c r="AA12" s="441" t="str">
        <f t="shared" ca="1" si="6"/>
        <v/>
      </c>
      <c r="AB12" s="442" t="str">
        <f t="shared" ca="1" si="6"/>
        <v/>
      </c>
      <c r="AC12" s="442" t="str">
        <f t="shared" ca="1" si="6"/>
        <v/>
      </c>
      <c r="AD12" s="442" t="str">
        <f t="shared" ca="1" si="6"/>
        <v/>
      </c>
      <c r="AE12" s="443" t="str">
        <f t="shared" ca="1" si="6"/>
        <v/>
      </c>
      <c r="AF12" s="441" t="str">
        <f t="shared" ca="1" si="7"/>
        <v/>
      </c>
      <c r="AG12" s="442" t="str">
        <f t="shared" ca="1" si="7"/>
        <v/>
      </c>
      <c r="AH12" s="442" t="str">
        <f t="shared" ca="1" si="7"/>
        <v/>
      </c>
      <c r="AI12" s="442" t="str">
        <f t="shared" ca="1" si="7"/>
        <v/>
      </c>
      <c r="AJ12" s="443" t="str">
        <f t="shared" ca="1" si="7"/>
        <v/>
      </c>
      <c r="AK12" s="441" t="str">
        <f t="shared" ca="1" si="7"/>
        <v/>
      </c>
      <c r="AL12" s="442" t="str">
        <f t="shared" ca="1" si="7"/>
        <v/>
      </c>
      <c r="AM12" s="442" t="str">
        <f t="shared" ca="1" si="7"/>
        <v/>
      </c>
      <c r="AN12" s="442" t="str">
        <f t="shared" ca="1" si="7"/>
        <v/>
      </c>
      <c r="AO12" s="443" t="str">
        <f t="shared" ca="1" si="7"/>
        <v/>
      </c>
      <c r="AP12" s="441" t="str">
        <f t="shared" ca="1" si="8"/>
        <v/>
      </c>
      <c r="AQ12" s="442" t="str">
        <f t="shared" ca="1" si="8"/>
        <v/>
      </c>
      <c r="AR12" s="442" t="str">
        <f t="shared" ca="1" si="8"/>
        <v/>
      </c>
      <c r="AS12" s="442" t="str">
        <f t="shared" ca="1" si="8"/>
        <v/>
      </c>
      <c r="AT12" s="443" t="str">
        <f t="shared" ca="1" si="8"/>
        <v/>
      </c>
      <c r="AU12" s="441" t="str">
        <f t="shared" ca="1" si="8"/>
        <v/>
      </c>
      <c r="AV12" s="442" t="str">
        <f t="shared" ca="1" si="8"/>
        <v/>
      </c>
      <c r="AW12" s="442" t="str">
        <f t="shared" ca="1" si="8"/>
        <v/>
      </c>
      <c r="AX12" s="442" t="str">
        <f t="shared" ca="1" si="8"/>
        <v/>
      </c>
      <c r="AY12" s="443" t="str">
        <f t="shared" ca="1" si="8"/>
        <v/>
      </c>
      <c r="AZ12" s="441" t="str">
        <f t="shared" ca="1" si="9"/>
        <v/>
      </c>
      <c r="BA12" s="442" t="str">
        <f t="shared" ca="1" si="9"/>
        <v/>
      </c>
      <c r="BB12" s="442" t="str">
        <f t="shared" ca="1" si="9"/>
        <v/>
      </c>
      <c r="BC12" s="442" t="str">
        <f t="shared" ca="1" si="9"/>
        <v/>
      </c>
      <c r="BD12" s="443" t="str">
        <f t="shared" ca="1" si="9"/>
        <v/>
      </c>
      <c r="BE12" s="441" t="str">
        <f t="shared" ca="1" si="9"/>
        <v/>
      </c>
      <c r="BF12" s="442" t="str">
        <f t="shared" ca="1" si="9"/>
        <v/>
      </c>
      <c r="BG12" s="442" t="str">
        <f t="shared" ca="1" si="9"/>
        <v/>
      </c>
      <c r="BH12" s="442" t="str">
        <f t="shared" ca="1" si="9"/>
        <v/>
      </c>
      <c r="BI12" s="443" t="str">
        <f t="shared" ca="1" si="9"/>
        <v/>
      </c>
      <c r="BJ12" s="441" t="str">
        <f t="shared" ca="1" si="10"/>
        <v/>
      </c>
      <c r="BK12" s="442" t="str">
        <f t="shared" ca="1" si="10"/>
        <v/>
      </c>
      <c r="BL12" s="442" t="str">
        <f t="shared" ca="1" si="10"/>
        <v/>
      </c>
      <c r="BM12" s="442" t="str">
        <f t="shared" ca="1" si="10"/>
        <v/>
      </c>
      <c r="BN12" s="443" t="str">
        <f t="shared" ca="1" si="10"/>
        <v/>
      </c>
      <c r="BO12" s="441" t="str">
        <f t="shared" ca="1" si="10"/>
        <v/>
      </c>
      <c r="BP12" s="442" t="str">
        <f t="shared" ca="1" si="10"/>
        <v/>
      </c>
      <c r="BQ12" s="442" t="str">
        <f t="shared" ca="1" si="10"/>
        <v/>
      </c>
      <c r="BR12" s="442" t="str">
        <f t="shared" ca="1" si="10"/>
        <v/>
      </c>
      <c r="BS12" s="443" t="str">
        <f t="shared" ca="1" si="10"/>
        <v/>
      </c>
      <c r="BT12" s="441" t="str">
        <f t="shared" ca="1" si="11"/>
        <v/>
      </c>
      <c r="BU12" s="442" t="str">
        <f t="shared" ca="1" si="11"/>
        <v/>
      </c>
      <c r="BV12" s="442" t="str">
        <f t="shared" ca="1" si="11"/>
        <v/>
      </c>
      <c r="BW12" s="442" t="str">
        <f t="shared" ca="1" si="11"/>
        <v/>
      </c>
      <c r="BX12" s="443" t="str">
        <f t="shared" ca="1" si="11"/>
        <v/>
      </c>
      <c r="BY12" s="441" t="str">
        <f t="shared" ca="1" si="11"/>
        <v/>
      </c>
      <c r="BZ12" s="442" t="str">
        <f t="shared" ca="1" si="11"/>
        <v/>
      </c>
      <c r="CA12" s="442" t="str">
        <f t="shared" ca="1" si="11"/>
        <v/>
      </c>
      <c r="CB12" s="442" t="str">
        <f t="shared" ca="1" si="11"/>
        <v/>
      </c>
      <c r="CC12" s="443" t="str">
        <f t="shared" ca="1" si="11"/>
        <v/>
      </c>
      <c r="CD12" s="441" t="str">
        <f t="shared" ca="1" si="12"/>
        <v/>
      </c>
      <c r="CE12" s="442" t="str">
        <f t="shared" ca="1" si="12"/>
        <v/>
      </c>
      <c r="CF12" s="442" t="str">
        <f t="shared" ca="1" si="12"/>
        <v/>
      </c>
      <c r="CG12" s="442" t="str">
        <f t="shared" ca="1" si="12"/>
        <v/>
      </c>
      <c r="CH12" s="443" t="str">
        <f t="shared" ca="1" si="12"/>
        <v/>
      </c>
      <c r="CI12" s="441" t="str">
        <f t="shared" ca="1" si="12"/>
        <v/>
      </c>
      <c r="CJ12" s="442" t="str">
        <f t="shared" ca="1" si="12"/>
        <v/>
      </c>
      <c r="CK12" s="442" t="str">
        <f t="shared" ca="1" si="12"/>
        <v/>
      </c>
      <c r="CL12" s="442" t="str">
        <f t="shared" ca="1" si="12"/>
        <v/>
      </c>
      <c r="CM12" s="443" t="str">
        <f t="shared" ca="1" si="12"/>
        <v/>
      </c>
      <c r="CN12" s="441" t="str">
        <f t="shared" ca="1" si="13"/>
        <v/>
      </c>
      <c r="CO12" s="442" t="str">
        <f t="shared" ca="1" si="13"/>
        <v/>
      </c>
      <c r="CP12" s="442" t="str">
        <f t="shared" ca="1" si="13"/>
        <v/>
      </c>
      <c r="CQ12" s="442" t="str">
        <f t="shared" ca="1" si="13"/>
        <v/>
      </c>
      <c r="CR12" s="443" t="str">
        <f t="shared" ca="1" si="13"/>
        <v/>
      </c>
      <c r="CS12" s="441" t="str">
        <f t="shared" ca="1" si="13"/>
        <v/>
      </c>
      <c r="CT12" s="442" t="str">
        <f t="shared" ca="1" si="13"/>
        <v/>
      </c>
      <c r="CU12" s="442" t="str">
        <f t="shared" ca="1" si="13"/>
        <v/>
      </c>
      <c r="CV12" s="442" t="str">
        <f t="shared" ca="1" si="13"/>
        <v/>
      </c>
      <c r="CW12" s="443" t="str">
        <f t="shared" ca="1" si="13"/>
        <v/>
      </c>
      <c r="CX12" s="441" t="str">
        <f t="shared" ca="1" si="13"/>
        <v/>
      </c>
      <c r="CY12" s="442" t="str">
        <f t="shared" ca="1" si="13"/>
        <v/>
      </c>
      <c r="CZ12" s="442" t="str">
        <f t="shared" ca="1" si="13"/>
        <v/>
      </c>
      <c r="DA12" s="442" t="str">
        <f t="shared" ca="1" si="13"/>
        <v/>
      </c>
      <c r="DB12" s="443" t="str">
        <f t="shared" ca="1" si="13"/>
        <v/>
      </c>
    </row>
    <row r="13" spans="1:106" s="437" customFormat="1" ht="25" customHeight="1" x14ac:dyDescent="0.2">
      <c r="A13" s="328" t="str">
        <f>Ressourcer!I1</f>
        <v>JAME</v>
      </c>
      <c r="B13" s="438" t="str">
        <f t="shared" ca="1" si="4"/>
        <v/>
      </c>
      <c r="C13" s="439" t="str">
        <f t="shared" ca="1" si="4"/>
        <v/>
      </c>
      <c r="D13" s="439" t="str">
        <f t="shared" ca="1" si="4"/>
        <v/>
      </c>
      <c r="E13" s="439" t="str">
        <f t="shared" ca="1" si="4"/>
        <v/>
      </c>
      <c r="F13" s="440" t="str">
        <f t="shared" ca="1" si="4"/>
        <v/>
      </c>
      <c r="G13" s="438" t="str">
        <f t="shared" ca="1" si="4"/>
        <v/>
      </c>
      <c r="H13" s="439" t="str">
        <f t="shared" ca="1" si="4"/>
        <v/>
      </c>
      <c r="I13" s="439" t="str">
        <f t="shared" ca="1" si="4"/>
        <v/>
      </c>
      <c r="J13" s="439" t="str">
        <f t="shared" ca="1" si="4"/>
        <v/>
      </c>
      <c r="K13" s="440" t="str">
        <f t="shared" ca="1" si="4"/>
        <v/>
      </c>
      <c r="L13" s="438" t="str">
        <f t="shared" ca="1" si="5"/>
        <v/>
      </c>
      <c r="M13" s="439" t="str">
        <f t="shared" ca="1" si="5"/>
        <v/>
      </c>
      <c r="N13" s="439" t="str">
        <f t="shared" ca="1" si="5"/>
        <v/>
      </c>
      <c r="O13" s="439" t="str">
        <f t="shared" ca="1" si="5"/>
        <v/>
      </c>
      <c r="P13" s="440" t="str">
        <f t="shared" ca="1" si="5"/>
        <v/>
      </c>
      <c r="Q13" s="438" t="str">
        <f t="shared" ca="1" si="5"/>
        <v/>
      </c>
      <c r="R13" s="439" t="str">
        <f t="shared" ca="1" si="5"/>
        <v/>
      </c>
      <c r="S13" s="439" t="str">
        <f t="shared" ca="1" si="5"/>
        <v/>
      </c>
      <c r="T13" s="439" t="str">
        <f t="shared" ca="1" si="5"/>
        <v/>
      </c>
      <c r="U13" s="440" t="str">
        <f t="shared" ca="1" si="5"/>
        <v/>
      </c>
      <c r="V13" s="438" t="str">
        <f t="shared" ca="1" si="6"/>
        <v/>
      </c>
      <c r="W13" s="439" t="str">
        <f t="shared" ca="1" si="6"/>
        <v/>
      </c>
      <c r="X13" s="439" t="str">
        <f t="shared" ca="1" si="6"/>
        <v/>
      </c>
      <c r="Y13" s="439" t="str">
        <f t="shared" ca="1" si="6"/>
        <v/>
      </c>
      <c r="Z13" s="440" t="str">
        <f t="shared" ca="1" si="6"/>
        <v/>
      </c>
      <c r="AA13" s="438" t="str">
        <f t="shared" ca="1" si="6"/>
        <v/>
      </c>
      <c r="AB13" s="439" t="str">
        <f t="shared" ca="1" si="6"/>
        <v/>
      </c>
      <c r="AC13" s="439" t="str">
        <f t="shared" ca="1" si="6"/>
        <v/>
      </c>
      <c r="AD13" s="439" t="str">
        <f t="shared" ca="1" si="6"/>
        <v/>
      </c>
      <c r="AE13" s="440" t="str">
        <f t="shared" ca="1" si="6"/>
        <v/>
      </c>
      <c r="AF13" s="438" t="str">
        <f t="shared" ca="1" si="7"/>
        <v/>
      </c>
      <c r="AG13" s="439" t="str">
        <f t="shared" ca="1" si="7"/>
        <v/>
      </c>
      <c r="AH13" s="439" t="str">
        <f t="shared" ca="1" si="7"/>
        <v/>
      </c>
      <c r="AI13" s="439" t="str">
        <f t="shared" ca="1" si="7"/>
        <v/>
      </c>
      <c r="AJ13" s="440" t="str">
        <f t="shared" ca="1" si="7"/>
        <v/>
      </c>
      <c r="AK13" s="438" t="str">
        <f t="shared" ca="1" si="7"/>
        <v/>
      </c>
      <c r="AL13" s="439" t="str">
        <f t="shared" ca="1" si="7"/>
        <v/>
      </c>
      <c r="AM13" s="439" t="str">
        <f t="shared" ca="1" si="7"/>
        <v/>
      </c>
      <c r="AN13" s="439" t="str">
        <f t="shared" ca="1" si="7"/>
        <v/>
      </c>
      <c r="AO13" s="440" t="str">
        <f t="shared" ca="1" si="7"/>
        <v/>
      </c>
      <c r="AP13" s="438" t="str">
        <f t="shared" ca="1" si="8"/>
        <v/>
      </c>
      <c r="AQ13" s="439" t="str">
        <f t="shared" ca="1" si="8"/>
        <v/>
      </c>
      <c r="AR13" s="439" t="str">
        <f t="shared" ca="1" si="8"/>
        <v/>
      </c>
      <c r="AS13" s="439" t="str">
        <f t="shared" ca="1" si="8"/>
        <v/>
      </c>
      <c r="AT13" s="440" t="str">
        <f t="shared" ca="1" si="8"/>
        <v/>
      </c>
      <c r="AU13" s="438" t="str">
        <f t="shared" ca="1" si="8"/>
        <v/>
      </c>
      <c r="AV13" s="439" t="str">
        <f t="shared" ca="1" si="8"/>
        <v/>
      </c>
      <c r="AW13" s="439" t="str">
        <f t="shared" ca="1" si="8"/>
        <v/>
      </c>
      <c r="AX13" s="439" t="str">
        <f t="shared" ca="1" si="8"/>
        <v/>
      </c>
      <c r="AY13" s="440" t="str">
        <f t="shared" ca="1" si="8"/>
        <v/>
      </c>
      <c r="AZ13" s="438" t="str">
        <f t="shared" ca="1" si="9"/>
        <v/>
      </c>
      <c r="BA13" s="439" t="str">
        <f t="shared" ca="1" si="9"/>
        <v/>
      </c>
      <c r="BB13" s="439" t="str">
        <f t="shared" ca="1" si="9"/>
        <v/>
      </c>
      <c r="BC13" s="439" t="str">
        <f t="shared" ca="1" si="9"/>
        <v/>
      </c>
      <c r="BD13" s="440" t="str">
        <f t="shared" ca="1" si="9"/>
        <v/>
      </c>
      <c r="BE13" s="438" t="str">
        <f t="shared" ca="1" si="9"/>
        <v/>
      </c>
      <c r="BF13" s="439" t="str">
        <f t="shared" ca="1" si="9"/>
        <v/>
      </c>
      <c r="BG13" s="439" t="str">
        <f t="shared" ca="1" si="9"/>
        <v/>
      </c>
      <c r="BH13" s="439" t="str">
        <f t="shared" ca="1" si="9"/>
        <v/>
      </c>
      <c r="BI13" s="440" t="str">
        <f t="shared" ca="1" si="9"/>
        <v/>
      </c>
      <c r="BJ13" s="438" t="str">
        <f t="shared" ca="1" si="10"/>
        <v/>
      </c>
      <c r="BK13" s="439" t="str">
        <f t="shared" ca="1" si="10"/>
        <v/>
      </c>
      <c r="BL13" s="439" t="str">
        <f t="shared" ca="1" si="10"/>
        <v/>
      </c>
      <c r="BM13" s="439" t="str">
        <f t="shared" ca="1" si="10"/>
        <v/>
      </c>
      <c r="BN13" s="440" t="str">
        <f t="shared" ca="1" si="10"/>
        <v/>
      </c>
      <c r="BO13" s="438" t="str">
        <f t="shared" ca="1" si="10"/>
        <v/>
      </c>
      <c r="BP13" s="439" t="str">
        <f t="shared" ca="1" si="10"/>
        <v/>
      </c>
      <c r="BQ13" s="439" t="str">
        <f t="shared" ca="1" si="10"/>
        <v/>
      </c>
      <c r="BR13" s="439" t="str">
        <f t="shared" ca="1" si="10"/>
        <v/>
      </c>
      <c r="BS13" s="440" t="str">
        <f t="shared" ca="1" si="10"/>
        <v/>
      </c>
      <c r="BT13" s="438" t="str">
        <f t="shared" ca="1" si="11"/>
        <v/>
      </c>
      <c r="BU13" s="439" t="str">
        <f t="shared" ca="1" si="11"/>
        <v/>
      </c>
      <c r="BV13" s="439" t="str">
        <f t="shared" ca="1" si="11"/>
        <v/>
      </c>
      <c r="BW13" s="439" t="str">
        <f t="shared" ca="1" si="11"/>
        <v/>
      </c>
      <c r="BX13" s="440" t="str">
        <f t="shared" ca="1" si="11"/>
        <v/>
      </c>
      <c r="BY13" s="438" t="str">
        <f t="shared" ca="1" si="11"/>
        <v/>
      </c>
      <c r="BZ13" s="439" t="str">
        <f t="shared" ca="1" si="11"/>
        <v/>
      </c>
      <c r="CA13" s="439" t="str">
        <f t="shared" ca="1" si="11"/>
        <v/>
      </c>
      <c r="CB13" s="439" t="str">
        <f t="shared" ca="1" si="11"/>
        <v/>
      </c>
      <c r="CC13" s="440" t="str">
        <f t="shared" ca="1" si="11"/>
        <v/>
      </c>
      <c r="CD13" s="438" t="str">
        <f t="shared" ca="1" si="12"/>
        <v/>
      </c>
      <c r="CE13" s="439" t="str">
        <f t="shared" ca="1" si="12"/>
        <v/>
      </c>
      <c r="CF13" s="439" t="str">
        <f t="shared" ca="1" si="12"/>
        <v/>
      </c>
      <c r="CG13" s="439" t="str">
        <f t="shared" ca="1" si="12"/>
        <v/>
      </c>
      <c r="CH13" s="440" t="str">
        <f t="shared" ca="1" si="12"/>
        <v/>
      </c>
      <c r="CI13" s="438" t="str">
        <f t="shared" ca="1" si="12"/>
        <v/>
      </c>
      <c r="CJ13" s="439" t="str">
        <f t="shared" ca="1" si="12"/>
        <v/>
      </c>
      <c r="CK13" s="439" t="str">
        <f t="shared" ca="1" si="12"/>
        <v/>
      </c>
      <c r="CL13" s="439" t="str">
        <f t="shared" ca="1" si="12"/>
        <v/>
      </c>
      <c r="CM13" s="440" t="str">
        <f t="shared" ca="1" si="12"/>
        <v/>
      </c>
      <c r="CN13" s="438" t="str">
        <f t="shared" ca="1" si="13"/>
        <v/>
      </c>
      <c r="CO13" s="439" t="str">
        <f t="shared" ca="1" si="13"/>
        <v/>
      </c>
      <c r="CP13" s="439" t="str">
        <f t="shared" ca="1" si="13"/>
        <v/>
      </c>
      <c r="CQ13" s="439" t="str">
        <f t="shared" ca="1" si="13"/>
        <v/>
      </c>
      <c r="CR13" s="440" t="str">
        <f t="shared" ca="1" si="13"/>
        <v/>
      </c>
      <c r="CS13" s="438" t="str">
        <f t="shared" ca="1" si="13"/>
        <v/>
      </c>
      <c r="CT13" s="439" t="str">
        <f t="shared" ca="1" si="13"/>
        <v/>
      </c>
      <c r="CU13" s="439" t="str">
        <f t="shared" ca="1" si="13"/>
        <v/>
      </c>
      <c r="CV13" s="439" t="str">
        <f t="shared" ca="1" si="13"/>
        <v/>
      </c>
      <c r="CW13" s="440" t="str">
        <f t="shared" ca="1" si="13"/>
        <v/>
      </c>
      <c r="CX13" s="438" t="str">
        <f t="shared" ca="1" si="13"/>
        <v/>
      </c>
      <c r="CY13" s="439" t="str">
        <f t="shared" ca="1" si="13"/>
        <v/>
      </c>
      <c r="CZ13" s="439" t="str">
        <f t="shared" ca="1" si="13"/>
        <v/>
      </c>
      <c r="DA13" s="439" t="str">
        <f t="shared" ca="1" si="13"/>
        <v/>
      </c>
      <c r="DB13" s="440" t="str">
        <f t="shared" ca="1" si="13"/>
        <v/>
      </c>
    </row>
    <row r="14" spans="1:106" s="437" customFormat="1" ht="25" customHeight="1" x14ac:dyDescent="0.2">
      <c r="A14" s="329" t="str">
        <f>Ressourcer!J1</f>
        <v>JEAN</v>
      </c>
      <c r="B14" s="441" t="str">
        <f t="shared" ca="1" si="4"/>
        <v/>
      </c>
      <c r="C14" s="442" t="str">
        <f t="shared" ca="1" si="4"/>
        <v/>
      </c>
      <c r="D14" s="442" t="str">
        <f t="shared" ca="1" si="4"/>
        <v/>
      </c>
      <c r="E14" s="442" t="str">
        <f t="shared" ca="1" si="4"/>
        <v/>
      </c>
      <c r="F14" s="443" t="str">
        <f t="shared" ca="1" si="4"/>
        <v/>
      </c>
      <c r="G14" s="441" t="str">
        <f t="shared" ca="1" si="4"/>
        <v/>
      </c>
      <c r="H14" s="442" t="str">
        <f t="shared" ca="1" si="4"/>
        <v/>
      </c>
      <c r="I14" s="442" t="str">
        <f t="shared" ca="1" si="4"/>
        <v/>
      </c>
      <c r="J14" s="442" t="str">
        <f t="shared" ca="1" si="4"/>
        <v/>
      </c>
      <c r="K14" s="443" t="str">
        <f t="shared" ca="1" si="4"/>
        <v/>
      </c>
      <c r="L14" s="441" t="str">
        <f t="shared" ca="1" si="5"/>
        <v/>
      </c>
      <c r="M14" s="442" t="str">
        <f t="shared" ca="1" si="5"/>
        <v/>
      </c>
      <c r="N14" s="442" t="str">
        <f t="shared" ca="1" si="5"/>
        <v/>
      </c>
      <c r="O14" s="442" t="str">
        <f t="shared" ca="1" si="5"/>
        <v/>
      </c>
      <c r="P14" s="443" t="str">
        <f t="shared" ca="1" si="5"/>
        <v/>
      </c>
      <c r="Q14" s="441" t="str">
        <f t="shared" ca="1" si="5"/>
        <v/>
      </c>
      <c r="R14" s="442" t="str">
        <f t="shared" ca="1" si="5"/>
        <v/>
      </c>
      <c r="S14" s="442" t="str">
        <f t="shared" ca="1" si="5"/>
        <v/>
      </c>
      <c r="T14" s="442" t="str">
        <f t="shared" ca="1" si="5"/>
        <v/>
      </c>
      <c r="U14" s="443" t="str">
        <f t="shared" ca="1" si="5"/>
        <v/>
      </c>
      <c r="V14" s="441" t="str">
        <f t="shared" ca="1" si="6"/>
        <v/>
      </c>
      <c r="W14" s="442" t="str">
        <f t="shared" ca="1" si="6"/>
        <v/>
      </c>
      <c r="X14" s="442" t="str">
        <f t="shared" ca="1" si="6"/>
        <v/>
      </c>
      <c r="Y14" s="442" t="str">
        <f t="shared" ca="1" si="6"/>
        <v/>
      </c>
      <c r="Z14" s="443" t="str">
        <f t="shared" ca="1" si="6"/>
        <v/>
      </c>
      <c r="AA14" s="441" t="str">
        <f t="shared" ca="1" si="6"/>
        <v/>
      </c>
      <c r="AB14" s="442" t="str">
        <f t="shared" ca="1" si="6"/>
        <v/>
      </c>
      <c r="AC14" s="442" t="str">
        <f t="shared" ca="1" si="6"/>
        <v/>
      </c>
      <c r="AD14" s="442" t="str">
        <f t="shared" ca="1" si="6"/>
        <v/>
      </c>
      <c r="AE14" s="443" t="str">
        <f t="shared" ca="1" si="6"/>
        <v/>
      </c>
      <c r="AF14" s="441" t="str">
        <f t="shared" ca="1" si="7"/>
        <v/>
      </c>
      <c r="AG14" s="442" t="str">
        <f t="shared" ca="1" si="7"/>
        <v/>
      </c>
      <c r="AH14" s="442" t="str">
        <f t="shared" ca="1" si="7"/>
        <v/>
      </c>
      <c r="AI14" s="442" t="str">
        <f t="shared" ca="1" si="7"/>
        <v/>
      </c>
      <c r="AJ14" s="443" t="str">
        <f t="shared" ca="1" si="7"/>
        <v/>
      </c>
      <c r="AK14" s="441" t="str">
        <f t="shared" ca="1" si="7"/>
        <v/>
      </c>
      <c r="AL14" s="442" t="str">
        <f t="shared" ca="1" si="7"/>
        <v/>
      </c>
      <c r="AM14" s="442" t="str">
        <f t="shared" ca="1" si="7"/>
        <v/>
      </c>
      <c r="AN14" s="442" t="str">
        <f t="shared" ca="1" si="7"/>
        <v/>
      </c>
      <c r="AO14" s="443" t="str">
        <f t="shared" ca="1" si="7"/>
        <v/>
      </c>
      <c r="AP14" s="441" t="str">
        <f t="shared" ca="1" si="8"/>
        <v/>
      </c>
      <c r="AQ14" s="442" t="str">
        <f t="shared" ca="1" si="8"/>
        <v/>
      </c>
      <c r="AR14" s="442" t="str">
        <f t="shared" ca="1" si="8"/>
        <v/>
      </c>
      <c r="AS14" s="442" t="str">
        <f t="shared" ca="1" si="8"/>
        <v/>
      </c>
      <c r="AT14" s="443" t="str">
        <f t="shared" ca="1" si="8"/>
        <v/>
      </c>
      <c r="AU14" s="441" t="str">
        <f t="shared" ca="1" si="8"/>
        <v/>
      </c>
      <c r="AV14" s="442" t="str">
        <f t="shared" ca="1" si="8"/>
        <v/>
      </c>
      <c r="AW14" s="442" t="str">
        <f t="shared" ca="1" si="8"/>
        <v/>
      </c>
      <c r="AX14" s="442" t="str">
        <f t="shared" ca="1" si="8"/>
        <v/>
      </c>
      <c r="AY14" s="443" t="str">
        <f t="shared" ca="1" si="8"/>
        <v/>
      </c>
      <c r="AZ14" s="441" t="str">
        <f t="shared" ca="1" si="9"/>
        <v/>
      </c>
      <c r="BA14" s="442" t="str">
        <f t="shared" ca="1" si="9"/>
        <v/>
      </c>
      <c r="BB14" s="442" t="str">
        <f t="shared" ca="1" si="9"/>
        <v/>
      </c>
      <c r="BC14" s="442" t="str">
        <f t="shared" ca="1" si="9"/>
        <v/>
      </c>
      <c r="BD14" s="443" t="str">
        <f t="shared" ca="1" si="9"/>
        <v/>
      </c>
      <c r="BE14" s="441" t="str">
        <f t="shared" ca="1" si="9"/>
        <v/>
      </c>
      <c r="BF14" s="442" t="str">
        <f t="shared" ca="1" si="9"/>
        <v/>
      </c>
      <c r="BG14" s="442" t="str">
        <f t="shared" ca="1" si="9"/>
        <v/>
      </c>
      <c r="BH14" s="442" t="str">
        <f t="shared" ca="1" si="9"/>
        <v/>
      </c>
      <c r="BI14" s="443" t="str">
        <f t="shared" ca="1" si="9"/>
        <v/>
      </c>
      <c r="BJ14" s="441" t="str">
        <f t="shared" ca="1" si="10"/>
        <v/>
      </c>
      <c r="BK14" s="442" t="str">
        <f t="shared" ca="1" si="10"/>
        <v/>
      </c>
      <c r="BL14" s="442" t="str">
        <f t="shared" ca="1" si="10"/>
        <v/>
      </c>
      <c r="BM14" s="442" t="str">
        <f t="shared" ca="1" si="10"/>
        <v/>
      </c>
      <c r="BN14" s="443" t="str">
        <f t="shared" ca="1" si="10"/>
        <v/>
      </c>
      <c r="BO14" s="441" t="str">
        <f t="shared" ca="1" si="10"/>
        <v/>
      </c>
      <c r="BP14" s="442" t="str">
        <f t="shared" ca="1" si="10"/>
        <v/>
      </c>
      <c r="BQ14" s="442" t="str">
        <f t="shared" ca="1" si="10"/>
        <v/>
      </c>
      <c r="BR14" s="442" t="str">
        <f t="shared" ca="1" si="10"/>
        <v/>
      </c>
      <c r="BS14" s="443" t="str">
        <f t="shared" ca="1" si="10"/>
        <v/>
      </c>
      <c r="BT14" s="441" t="str">
        <f t="shared" ca="1" si="11"/>
        <v/>
      </c>
      <c r="BU14" s="442" t="str">
        <f t="shared" ca="1" si="11"/>
        <v/>
      </c>
      <c r="BV14" s="442" t="str">
        <f t="shared" ca="1" si="11"/>
        <v/>
      </c>
      <c r="BW14" s="442" t="str">
        <f t="shared" ca="1" si="11"/>
        <v/>
      </c>
      <c r="BX14" s="443" t="str">
        <f t="shared" ca="1" si="11"/>
        <v/>
      </c>
      <c r="BY14" s="441" t="str">
        <f t="shared" ca="1" si="11"/>
        <v/>
      </c>
      <c r="BZ14" s="442" t="str">
        <f t="shared" ca="1" si="11"/>
        <v/>
      </c>
      <c r="CA14" s="442" t="str">
        <f t="shared" ca="1" si="11"/>
        <v/>
      </c>
      <c r="CB14" s="442" t="str">
        <f t="shared" ca="1" si="11"/>
        <v/>
      </c>
      <c r="CC14" s="443" t="str">
        <f t="shared" ca="1" si="11"/>
        <v/>
      </c>
      <c r="CD14" s="441" t="str">
        <f t="shared" ca="1" si="12"/>
        <v/>
      </c>
      <c r="CE14" s="442" t="str">
        <f t="shared" ca="1" si="12"/>
        <v/>
      </c>
      <c r="CF14" s="442" t="str">
        <f t="shared" ca="1" si="12"/>
        <v/>
      </c>
      <c r="CG14" s="442" t="str">
        <f t="shared" ca="1" si="12"/>
        <v/>
      </c>
      <c r="CH14" s="443" t="str">
        <f t="shared" ca="1" si="12"/>
        <v/>
      </c>
      <c r="CI14" s="441" t="str">
        <f t="shared" ca="1" si="12"/>
        <v/>
      </c>
      <c r="CJ14" s="442" t="str">
        <f t="shared" ca="1" si="12"/>
        <v/>
      </c>
      <c r="CK14" s="442" t="str">
        <f t="shared" ca="1" si="12"/>
        <v/>
      </c>
      <c r="CL14" s="442" t="str">
        <f t="shared" ca="1" si="12"/>
        <v/>
      </c>
      <c r="CM14" s="443" t="str">
        <f t="shared" ca="1" si="12"/>
        <v/>
      </c>
      <c r="CN14" s="441" t="str">
        <f t="shared" ca="1" si="13"/>
        <v/>
      </c>
      <c r="CO14" s="442" t="str">
        <f t="shared" ca="1" si="13"/>
        <v/>
      </c>
      <c r="CP14" s="442" t="str">
        <f t="shared" ca="1" si="13"/>
        <v/>
      </c>
      <c r="CQ14" s="442" t="str">
        <f t="shared" ca="1" si="13"/>
        <v/>
      </c>
      <c r="CR14" s="443" t="str">
        <f t="shared" ca="1" si="13"/>
        <v/>
      </c>
      <c r="CS14" s="441" t="str">
        <f t="shared" ca="1" si="13"/>
        <v/>
      </c>
      <c r="CT14" s="442" t="str">
        <f t="shared" ca="1" si="13"/>
        <v/>
      </c>
      <c r="CU14" s="442" t="str">
        <f t="shared" ca="1" si="13"/>
        <v/>
      </c>
      <c r="CV14" s="442" t="str">
        <f t="shared" ca="1" si="13"/>
        <v/>
      </c>
      <c r="CW14" s="443" t="str">
        <f t="shared" ca="1" si="13"/>
        <v/>
      </c>
      <c r="CX14" s="441" t="str">
        <f t="shared" ca="1" si="13"/>
        <v/>
      </c>
      <c r="CY14" s="442" t="str">
        <f t="shared" ca="1" si="13"/>
        <v/>
      </c>
      <c r="CZ14" s="442" t="str">
        <f t="shared" ca="1" si="13"/>
        <v/>
      </c>
      <c r="DA14" s="442" t="str">
        <f t="shared" ca="1" si="13"/>
        <v/>
      </c>
      <c r="DB14" s="443" t="str">
        <f t="shared" ca="1" si="13"/>
        <v/>
      </c>
    </row>
    <row r="15" spans="1:106" s="437" customFormat="1" ht="25" customHeight="1" x14ac:dyDescent="0.2">
      <c r="A15" s="328" t="str">
        <f>Ressourcer!K1</f>
        <v>JENR</v>
      </c>
      <c r="B15" s="438" t="str">
        <f t="shared" ca="1" si="4"/>
        <v/>
      </c>
      <c r="C15" s="439" t="str">
        <f t="shared" ca="1" si="4"/>
        <v/>
      </c>
      <c r="D15" s="439" t="str">
        <f t="shared" ca="1" si="4"/>
        <v/>
      </c>
      <c r="E15" s="439" t="str">
        <f t="shared" ca="1" si="4"/>
        <v/>
      </c>
      <c r="F15" s="440" t="str">
        <f t="shared" ca="1" si="4"/>
        <v/>
      </c>
      <c r="G15" s="438" t="str">
        <f t="shared" ca="1" si="4"/>
        <v/>
      </c>
      <c r="H15" s="439" t="str">
        <f t="shared" ca="1" si="4"/>
        <v/>
      </c>
      <c r="I15" s="439" t="str">
        <f t="shared" ca="1" si="4"/>
        <v/>
      </c>
      <c r="J15" s="439" t="str">
        <f t="shared" ca="1" si="4"/>
        <v/>
      </c>
      <c r="K15" s="440" t="str">
        <f t="shared" ca="1" si="4"/>
        <v/>
      </c>
      <c r="L15" s="438" t="str">
        <f t="shared" ca="1" si="5"/>
        <v/>
      </c>
      <c r="M15" s="439" t="str">
        <f t="shared" ca="1" si="5"/>
        <v/>
      </c>
      <c r="N15" s="439" t="str">
        <f t="shared" ca="1" si="5"/>
        <v/>
      </c>
      <c r="O15" s="439" t="str">
        <f t="shared" ca="1" si="5"/>
        <v/>
      </c>
      <c r="P15" s="440" t="str">
        <f t="shared" ca="1" si="5"/>
        <v/>
      </c>
      <c r="Q15" s="438" t="str">
        <f t="shared" ca="1" si="5"/>
        <v/>
      </c>
      <c r="R15" s="439" t="str">
        <f t="shared" ca="1" si="5"/>
        <v/>
      </c>
      <c r="S15" s="439" t="str">
        <f t="shared" ca="1" si="5"/>
        <v/>
      </c>
      <c r="T15" s="439" t="str">
        <f t="shared" ca="1" si="5"/>
        <v/>
      </c>
      <c r="U15" s="440" t="str">
        <f t="shared" ca="1" si="5"/>
        <v/>
      </c>
      <c r="V15" s="438" t="str">
        <f t="shared" ca="1" si="6"/>
        <v/>
      </c>
      <c r="W15" s="439" t="str">
        <f t="shared" ca="1" si="6"/>
        <v/>
      </c>
      <c r="X15" s="439" t="str">
        <f t="shared" ca="1" si="6"/>
        <v/>
      </c>
      <c r="Y15" s="439" t="str">
        <f t="shared" ca="1" si="6"/>
        <v/>
      </c>
      <c r="Z15" s="440" t="str">
        <f t="shared" ca="1" si="6"/>
        <v/>
      </c>
      <c r="AA15" s="438" t="str">
        <f t="shared" ca="1" si="6"/>
        <v/>
      </c>
      <c r="AB15" s="439" t="str">
        <f t="shared" ca="1" si="6"/>
        <v/>
      </c>
      <c r="AC15" s="439" t="str">
        <f t="shared" ca="1" si="6"/>
        <v/>
      </c>
      <c r="AD15" s="439" t="str">
        <f t="shared" ca="1" si="6"/>
        <v/>
      </c>
      <c r="AE15" s="440" t="str">
        <f t="shared" ca="1" si="6"/>
        <v/>
      </c>
      <c r="AF15" s="438" t="str">
        <f t="shared" ca="1" si="7"/>
        <v/>
      </c>
      <c r="AG15" s="439" t="str">
        <f t="shared" ca="1" si="7"/>
        <v/>
      </c>
      <c r="AH15" s="439" t="str">
        <f t="shared" ca="1" si="7"/>
        <v/>
      </c>
      <c r="AI15" s="439" t="str">
        <f t="shared" ca="1" si="7"/>
        <v/>
      </c>
      <c r="AJ15" s="440" t="str">
        <f t="shared" ca="1" si="7"/>
        <v/>
      </c>
      <c r="AK15" s="438" t="str">
        <f t="shared" ca="1" si="7"/>
        <v/>
      </c>
      <c r="AL15" s="439" t="str">
        <f t="shared" ca="1" si="7"/>
        <v/>
      </c>
      <c r="AM15" s="439" t="str">
        <f t="shared" ca="1" si="7"/>
        <v/>
      </c>
      <c r="AN15" s="439" t="str">
        <f t="shared" ca="1" si="7"/>
        <v/>
      </c>
      <c r="AO15" s="440" t="str">
        <f t="shared" ca="1" si="7"/>
        <v/>
      </c>
      <c r="AP15" s="438" t="str">
        <f t="shared" ca="1" si="8"/>
        <v/>
      </c>
      <c r="AQ15" s="439" t="str">
        <f t="shared" ca="1" si="8"/>
        <v/>
      </c>
      <c r="AR15" s="439" t="str">
        <f t="shared" ca="1" si="8"/>
        <v/>
      </c>
      <c r="AS15" s="439" t="str">
        <f t="shared" ca="1" si="8"/>
        <v/>
      </c>
      <c r="AT15" s="440" t="str">
        <f t="shared" ca="1" si="8"/>
        <v/>
      </c>
      <c r="AU15" s="438" t="str">
        <f t="shared" ca="1" si="8"/>
        <v/>
      </c>
      <c r="AV15" s="439" t="str">
        <f t="shared" ca="1" si="8"/>
        <v/>
      </c>
      <c r="AW15" s="439" t="str">
        <f t="shared" ca="1" si="8"/>
        <v/>
      </c>
      <c r="AX15" s="439" t="str">
        <f t="shared" ca="1" si="8"/>
        <v/>
      </c>
      <c r="AY15" s="440" t="str">
        <f t="shared" ca="1" si="8"/>
        <v/>
      </c>
      <c r="AZ15" s="438" t="str">
        <f t="shared" ca="1" si="9"/>
        <v/>
      </c>
      <c r="BA15" s="439" t="str">
        <f t="shared" ca="1" si="9"/>
        <v/>
      </c>
      <c r="BB15" s="439" t="str">
        <f t="shared" ca="1" si="9"/>
        <v/>
      </c>
      <c r="BC15" s="439" t="str">
        <f t="shared" ca="1" si="9"/>
        <v/>
      </c>
      <c r="BD15" s="440" t="str">
        <f t="shared" ca="1" si="9"/>
        <v/>
      </c>
      <c r="BE15" s="438" t="str">
        <f t="shared" ca="1" si="9"/>
        <v/>
      </c>
      <c r="BF15" s="439" t="str">
        <f t="shared" ca="1" si="9"/>
        <v/>
      </c>
      <c r="BG15" s="439" t="str">
        <f t="shared" ca="1" si="9"/>
        <v/>
      </c>
      <c r="BH15" s="439" t="str">
        <f t="shared" ca="1" si="9"/>
        <v/>
      </c>
      <c r="BI15" s="440" t="str">
        <f t="shared" ca="1" si="9"/>
        <v/>
      </c>
      <c r="BJ15" s="438" t="str">
        <f t="shared" ca="1" si="10"/>
        <v/>
      </c>
      <c r="BK15" s="439" t="str">
        <f t="shared" ca="1" si="10"/>
        <v/>
      </c>
      <c r="BL15" s="439" t="str">
        <f t="shared" ca="1" si="10"/>
        <v/>
      </c>
      <c r="BM15" s="439" t="str">
        <f t="shared" ca="1" si="10"/>
        <v/>
      </c>
      <c r="BN15" s="440" t="str">
        <f t="shared" ca="1" si="10"/>
        <v/>
      </c>
      <c r="BO15" s="438" t="str">
        <f t="shared" ca="1" si="10"/>
        <v/>
      </c>
      <c r="BP15" s="439" t="str">
        <f t="shared" ca="1" si="10"/>
        <v/>
      </c>
      <c r="BQ15" s="439" t="str">
        <f t="shared" ca="1" si="10"/>
        <v/>
      </c>
      <c r="BR15" s="439" t="str">
        <f t="shared" ca="1" si="10"/>
        <v/>
      </c>
      <c r="BS15" s="440" t="str">
        <f t="shared" ca="1" si="10"/>
        <v/>
      </c>
      <c r="BT15" s="438" t="str">
        <f t="shared" ca="1" si="11"/>
        <v/>
      </c>
      <c r="BU15" s="439" t="str">
        <f t="shared" ca="1" si="11"/>
        <v/>
      </c>
      <c r="BV15" s="439" t="str">
        <f t="shared" ca="1" si="11"/>
        <v/>
      </c>
      <c r="BW15" s="439" t="str">
        <f t="shared" ca="1" si="11"/>
        <v/>
      </c>
      <c r="BX15" s="440" t="str">
        <f t="shared" ca="1" si="11"/>
        <v/>
      </c>
      <c r="BY15" s="438" t="str">
        <f t="shared" ca="1" si="11"/>
        <v/>
      </c>
      <c r="BZ15" s="439" t="str">
        <f t="shared" ca="1" si="11"/>
        <v/>
      </c>
      <c r="CA15" s="439" t="str">
        <f t="shared" ca="1" si="11"/>
        <v/>
      </c>
      <c r="CB15" s="439" t="str">
        <f t="shared" ca="1" si="11"/>
        <v/>
      </c>
      <c r="CC15" s="440" t="str">
        <f t="shared" ca="1" si="11"/>
        <v/>
      </c>
      <c r="CD15" s="438" t="str">
        <f t="shared" ca="1" si="12"/>
        <v/>
      </c>
      <c r="CE15" s="439" t="str">
        <f t="shared" ca="1" si="12"/>
        <v/>
      </c>
      <c r="CF15" s="439" t="str">
        <f t="shared" ca="1" si="12"/>
        <v/>
      </c>
      <c r="CG15" s="439" t="str">
        <f t="shared" ca="1" si="12"/>
        <v/>
      </c>
      <c r="CH15" s="440" t="str">
        <f t="shared" ca="1" si="12"/>
        <v/>
      </c>
      <c r="CI15" s="438" t="str">
        <f t="shared" ca="1" si="12"/>
        <v/>
      </c>
      <c r="CJ15" s="439" t="str">
        <f t="shared" ca="1" si="12"/>
        <v/>
      </c>
      <c r="CK15" s="439" t="str">
        <f t="shared" ca="1" si="12"/>
        <v/>
      </c>
      <c r="CL15" s="439" t="str">
        <f t="shared" ca="1" si="12"/>
        <v/>
      </c>
      <c r="CM15" s="440" t="str">
        <f t="shared" ca="1" si="12"/>
        <v/>
      </c>
      <c r="CN15" s="438" t="str">
        <f t="shared" ca="1" si="13"/>
        <v/>
      </c>
      <c r="CO15" s="439" t="str">
        <f t="shared" ca="1" si="13"/>
        <v/>
      </c>
      <c r="CP15" s="439" t="str">
        <f t="shared" ca="1" si="13"/>
        <v/>
      </c>
      <c r="CQ15" s="439" t="str">
        <f t="shared" ca="1" si="13"/>
        <v/>
      </c>
      <c r="CR15" s="440" t="str">
        <f t="shared" ca="1" si="13"/>
        <v/>
      </c>
      <c r="CS15" s="438" t="str">
        <f t="shared" ca="1" si="13"/>
        <v/>
      </c>
      <c r="CT15" s="439" t="str">
        <f t="shared" ca="1" si="13"/>
        <v/>
      </c>
      <c r="CU15" s="439" t="str">
        <f t="shared" ca="1" si="13"/>
        <v/>
      </c>
      <c r="CV15" s="439" t="str">
        <f t="shared" ca="1" si="13"/>
        <v/>
      </c>
      <c r="CW15" s="440" t="str">
        <f t="shared" ca="1" si="13"/>
        <v/>
      </c>
      <c r="CX15" s="438" t="str">
        <f t="shared" ca="1" si="13"/>
        <v/>
      </c>
      <c r="CY15" s="439" t="str">
        <f t="shared" ca="1" si="13"/>
        <v/>
      </c>
      <c r="CZ15" s="439" t="str">
        <f t="shared" ca="1" si="13"/>
        <v/>
      </c>
      <c r="DA15" s="439" t="str">
        <f t="shared" ca="1" si="13"/>
        <v/>
      </c>
      <c r="DB15" s="440" t="str">
        <f t="shared" ca="1" si="13"/>
        <v/>
      </c>
    </row>
    <row r="16" spans="1:106" s="437" customFormat="1" ht="25" customHeight="1" x14ac:dyDescent="0.2">
      <c r="A16" s="329" t="str">
        <f>Ressourcer!L1</f>
        <v>KAFH</v>
      </c>
      <c r="B16" s="441" t="str">
        <f t="shared" ref="B16:K27" ca="1" si="14">IFERROR(_xlfn.LET(_xlpm.t,$A16,_xlpm.d,B$4,_xlpm.k,MATCH(_xlpm.d,INDIRECT("'Overblik'!$C$4:$DC$4"),0),_xlpm.hits,COUNTIF(INDEX(INDIRECT("'Overblik'!$C$6:$DC$1000"),0,_xlpm.k),_xlpm.t),IF(_xlpm.hits&gt;1,"X","")),"")</f>
        <v/>
      </c>
      <c r="C16" s="442" t="str">
        <f t="shared" ca="1" si="14"/>
        <v/>
      </c>
      <c r="D16" s="442" t="str">
        <f t="shared" ca="1" si="14"/>
        <v/>
      </c>
      <c r="E16" s="442" t="str">
        <f t="shared" ca="1" si="14"/>
        <v/>
      </c>
      <c r="F16" s="443" t="str">
        <f t="shared" ca="1" si="14"/>
        <v/>
      </c>
      <c r="G16" s="441" t="str">
        <f t="shared" ca="1" si="14"/>
        <v/>
      </c>
      <c r="H16" s="442" t="str">
        <f t="shared" ca="1" si="14"/>
        <v/>
      </c>
      <c r="I16" s="442" t="str">
        <f t="shared" ca="1" si="14"/>
        <v/>
      </c>
      <c r="J16" s="442" t="str">
        <f t="shared" ca="1" si="14"/>
        <v/>
      </c>
      <c r="K16" s="443" t="str">
        <f t="shared" ca="1" si="14"/>
        <v/>
      </c>
      <c r="L16" s="441" t="str">
        <f t="shared" ref="L16:U27" ca="1" si="15">IFERROR(_xlfn.LET(_xlpm.t,$A16,_xlpm.d,L$4,_xlpm.k,MATCH(_xlpm.d,INDIRECT("'Overblik'!$C$4:$DC$4"),0),_xlpm.hits,COUNTIF(INDEX(INDIRECT("'Overblik'!$C$6:$DC$1000"),0,_xlpm.k),_xlpm.t),IF(_xlpm.hits&gt;1,"X","")),"")</f>
        <v/>
      </c>
      <c r="M16" s="442" t="str">
        <f t="shared" ca="1" si="15"/>
        <v/>
      </c>
      <c r="N16" s="442" t="str">
        <f t="shared" ca="1" si="15"/>
        <v/>
      </c>
      <c r="O16" s="442" t="str">
        <f t="shared" ca="1" si="15"/>
        <v/>
      </c>
      <c r="P16" s="443" t="str">
        <f t="shared" ca="1" si="15"/>
        <v/>
      </c>
      <c r="Q16" s="441" t="str">
        <f t="shared" ca="1" si="15"/>
        <v/>
      </c>
      <c r="R16" s="442" t="str">
        <f t="shared" ca="1" si="15"/>
        <v/>
      </c>
      <c r="S16" s="442" t="str">
        <f t="shared" ca="1" si="15"/>
        <v/>
      </c>
      <c r="T16" s="442" t="str">
        <f t="shared" ca="1" si="15"/>
        <v/>
      </c>
      <c r="U16" s="443" t="str">
        <f t="shared" ca="1" si="15"/>
        <v/>
      </c>
      <c r="V16" s="441" t="str">
        <f t="shared" ref="V16:AE27" ca="1" si="16">IFERROR(_xlfn.LET(_xlpm.t,$A16,_xlpm.d,V$4,_xlpm.k,MATCH(_xlpm.d,INDIRECT("'Overblik'!$C$4:$DC$4"),0),_xlpm.hits,COUNTIF(INDEX(INDIRECT("'Overblik'!$C$6:$DC$1000"),0,_xlpm.k),_xlpm.t),IF(_xlpm.hits&gt;1,"X","")),"")</f>
        <v/>
      </c>
      <c r="W16" s="442" t="str">
        <f t="shared" ca="1" si="16"/>
        <v/>
      </c>
      <c r="X16" s="442" t="str">
        <f t="shared" ca="1" si="16"/>
        <v/>
      </c>
      <c r="Y16" s="442" t="str">
        <f t="shared" ca="1" si="16"/>
        <v/>
      </c>
      <c r="Z16" s="443" t="str">
        <f t="shared" ca="1" si="16"/>
        <v/>
      </c>
      <c r="AA16" s="441" t="str">
        <f t="shared" ca="1" si="16"/>
        <v/>
      </c>
      <c r="AB16" s="442" t="str">
        <f t="shared" ca="1" si="16"/>
        <v/>
      </c>
      <c r="AC16" s="442" t="str">
        <f t="shared" ca="1" si="16"/>
        <v/>
      </c>
      <c r="AD16" s="442" t="str">
        <f t="shared" ca="1" si="16"/>
        <v/>
      </c>
      <c r="AE16" s="443" t="str">
        <f t="shared" ca="1" si="16"/>
        <v/>
      </c>
      <c r="AF16" s="441" t="str">
        <f t="shared" ref="AF16:AO27" ca="1" si="17">IFERROR(_xlfn.LET(_xlpm.t,$A16,_xlpm.d,AF$4,_xlpm.k,MATCH(_xlpm.d,INDIRECT("'Overblik'!$C$4:$DC$4"),0),_xlpm.hits,COUNTIF(INDEX(INDIRECT("'Overblik'!$C$6:$DC$1000"),0,_xlpm.k),_xlpm.t),IF(_xlpm.hits&gt;1,"X","")),"")</f>
        <v/>
      </c>
      <c r="AG16" s="442" t="str">
        <f t="shared" ca="1" si="17"/>
        <v/>
      </c>
      <c r="AH16" s="442" t="str">
        <f t="shared" ca="1" si="17"/>
        <v/>
      </c>
      <c r="AI16" s="442" t="str">
        <f t="shared" ca="1" si="17"/>
        <v/>
      </c>
      <c r="AJ16" s="443" t="str">
        <f t="shared" ca="1" si="17"/>
        <v/>
      </c>
      <c r="AK16" s="441" t="str">
        <f t="shared" ca="1" si="17"/>
        <v/>
      </c>
      <c r="AL16" s="442" t="str">
        <f t="shared" ca="1" si="17"/>
        <v/>
      </c>
      <c r="AM16" s="442" t="str">
        <f t="shared" ca="1" si="17"/>
        <v/>
      </c>
      <c r="AN16" s="442" t="str">
        <f t="shared" ca="1" si="17"/>
        <v/>
      </c>
      <c r="AO16" s="443" t="str">
        <f t="shared" ca="1" si="17"/>
        <v/>
      </c>
      <c r="AP16" s="441" t="str">
        <f t="shared" ref="AP16:AY27" ca="1" si="18">IFERROR(_xlfn.LET(_xlpm.t,$A16,_xlpm.d,AP$4,_xlpm.k,MATCH(_xlpm.d,INDIRECT("'Overblik'!$C$4:$DC$4"),0),_xlpm.hits,COUNTIF(INDEX(INDIRECT("'Overblik'!$C$6:$DC$1000"),0,_xlpm.k),_xlpm.t),IF(_xlpm.hits&gt;1,"X","")),"")</f>
        <v/>
      </c>
      <c r="AQ16" s="442" t="str">
        <f t="shared" ca="1" si="18"/>
        <v/>
      </c>
      <c r="AR16" s="442" t="str">
        <f t="shared" ca="1" si="18"/>
        <v/>
      </c>
      <c r="AS16" s="442" t="str">
        <f t="shared" ca="1" si="18"/>
        <v/>
      </c>
      <c r="AT16" s="443" t="str">
        <f t="shared" ca="1" si="18"/>
        <v/>
      </c>
      <c r="AU16" s="441" t="str">
        <f t="shared" ca="1" si="18"/>
        <v/>
      </c>
      <c r="AV16" s="442" t="str">
        <f t="shared" ca="1" si="18"/>
        <v/>
      </c>
      <c r="AW16" s="442" t="str">
        <f t="shared" ca="1" si="18"/>
        <v/>
      </c>
      <c r="AX16" s="442" t="str">
        <f t="shared" ca="1" si="18"/>
        <v/>
      </c>
      <c r="AY16" s="443" t="str">
        <f t="shared" ca="1" si="18"/>
        <v/>
      </c>
      <c r="AZ16" s="441" t="str">
        <f t="shared" ref="AZ16:BI27" ca="1" si="19">IFERROR(_xlfn.LET(_xlpm.t,$A16,_xlpm.d,AZ$4,_xlpm.k,MATCH(_xlpm.d,INDIRECT("'Overblik'!$C$4:$DC$4"),0),_xlpm.hits,COUNTIF(INDEX(INDIRECT("'Overblik'!$C$6:$DC$1000"),0,_xlpm.k),_xlpm.t),IF(_xlpm.hits&gt;1,"X","")),"")</f>
        <v/>
      </c>
      <c r="BA16" s="442" t="str">
        <f t="shared" ca="1" si="19"/>
        <v/>
      </c>
      <c r="BB16" s="442" t="str">
        <f t="shared" ca="1" si="19"/>
        <v/>
      </c>
      <c r="BC16" s="442" t="str">
        <f t="shared" ca="1" si="19"/>
        <v/>
      </c>
      <c r="BD16" s="443" t="str">
        <f t="shared" ca="1" si="19"/>
        <v/>
      </c>
      <c r="BE16" s="441" t="str">
        <f t="shared" ca="1" si="19"/>
        <v/>
      </c>
      <c r="BF16" s="442" t="str">
        <f t="shared" ca="1" si="19"/>
        <v/>
      </c>
      <c r="BG16" s="442" t="str">
        <f t="shared" ca="1" si="19"/>
        <v/>
      </c>
      <c r="BH16" s="442" t="str">
        <f t="shared" ca="1" si="19"/>
        <v/>
      </c>
      <c r="BI16" s="443" t="str">
        <f t="shared" ca="1" si="19"/>
        <v/>
      </c>
      <c r="BJ16" s="441" t="str">
        <f t="shared" ref="BJ16:BS27" ca="1" si="20">IFERROR(_xlfn.LET(_xlpm.t,$A16,_xlpm.d,BJ$4,_xlpm.k,MATCH(_xlpm.d,INDIRECT("'Overblik'!$C$4:$DC$4"),0),_xlpm.hits,COUNTIF(INDEX(INDIRECT("'Overblik'!$C$6:$DC$1000"),0,_xlpm.k),_xlpm.t),IF(_xlpm.hits&gt;1,"X","")),"")</f>
        <v/>
      </c>
      <c r="BK16" s="442" t="str">
        <f t="shared" ca="1" si="20"/>
        <v/>
      </c>
      <c r="BL16" s="442" t="str">
        <f t="shared" ca="1" si="20"/>
        <v/>
      </c>
      <c r="BM16" s="442" t="str">
        <f t="shared" ca="1" si="20"/>
        <v/>
      </c>
      <c r="BN16" s="443" t="str">
        <f t="shared" ca="1" si="20"/>
        <v/>
      </c>
      <c r="BO16" s="441" t="str">
        <f t="shared" ca="1" si="20"/>
        <v/>
      </c>
      <c r="BP16" s="442" t="str">
        <f t="shared" ca="1" si="20"/>
        <v/>
      </c>
      <c r="BQ16" s="442" t="str">
        <f t="shared" ca="1" si="20"/>
        <v/>
      </c>
      <c r="BR16" s="442" t="str">
        <f t="shared" ca="1" si="20"/>
        <v/>
      </c>
      <c r="BS16" s="443" t="str">
        <f t="shared" ca="1" si="20"/>
        <v/>
      </c>
      <c r="BT16" s="441" t="str">
        <f t="shared" ref="BT16:CC27" ca="1" si="21">IFERROR(_xlfn.LET(_xlpm.t,$A16,_xlpm.d,BT$4,_xlpm.k,MATCH(_xlpm.d,INDIRECT("'Overblik'!$C$4:$DC$4"),0),_xlpm.hits,COUNTIF(INDEX(INDIRECT("'Overblik'!$C$6:$DC$1000"),0,_xlpm.k),_xlpm.t),IF(_xlpm.hits&gt;1,"X","")),"")</f>
        <v/>
      </c>
      <c r="BU16" s="442" t="str">
        <f t="shared" ca="1" si="21"/>
        <v/>
      </c>
      <c r="BV16" s="442" t="str">
        <f t="shared" ca="1" si="21"/>
        <v/>
      </c>
      <c r="BW16" s="442" t="str">
        <f t="shared" ca="1" si="21"/>
        <v/>
      </c>
      <c r="BX16" s="443" t="str">
        <f t="shared" ca="1" si="21"/>
        <v/>
      </c>
      <c r="BY16" s="441" t="str">
        <f t="shared" ca="1" si="21"/>
        <v/>
      </c>
      <c r="BZ16" s="442" t="str">
        <f t="shared" ca="1" si="21"/>
        <v/>
      </c>
      <c r="CA16" s="442" t="str">
        <f t="shared" ca="1" si="21"/>
        <v/>
      </c>
      <c r="CB16" s="442" t="str">
        <f t="shared" ca="1" si="21"/>
        <v/>
      </c>
      <c r="CC16" s="443" t="str">
        <f t="shared" ca="1" si="21"/>
        <v/>
      </c>
      <c r="CD16" s="441" t="str">
        <f t="shared" ref="CD16:CM27" ca="1" si="22">IFERROR(_xlfn.LET(_xlpm.t,$A16,_xlpm.d,CD$4,_xlpm.k,MATCH(_xlpm.d,INDIRECT("'Overblik'!$C$4:$DC$4"),0),_xlpm.hits,COUNTIF(INDEX(INDIRECT("'Overblik'!$C$6:$DC$1000"),0,_xlpm.k),_xlpm.t),IF(_xlpm.hits&gt;1,"X","")),"")</f>
        <v/>
      </c>
      <c r="CE16" s="442" t="str">
        <f t="shared" ca="1" si="22"/>
        <v/>
      </c>
      <c r="CF16" s="442" t="str">
        <f t="shared" ca="1" si="22"/>
        <v/>
      </c>
      <c r="CG16" s="442" t="str">
        <f t="shared" ca="1" si="22"/>
        <v/>
      </c>
      <c r="CH16" s="443" t="str">
        <f t="shared" ca="1" si="22"/>
        <v/>
      </c>
      <c r="CI16" s="441" t="str">
        <f t="shared" ca="1" si="22"/>
        <v/>
      </c>
      <c r="CJ16" s="442" t="str">
        <f t="shared" ca="1" si="22"/>
        <v/>
      </c>
      <c r="CK16" s="442" t="str">
        <f t="shared" ca="1" si="22"/>
        <v/>
      </c>
      <c r="CL16" s="442" t="str">
        <f t="shared" ca="1" si="22"/>
        <v/>
      </c>
      <c r="CM16" s="443" t="str">
        <f t="shared" ca="1" si="22"/>
        <v/>
      </c>
      <c r="CN16" s="441" t="str">
        <f t="shared" ref="CN16:DB27" ca="1" si="23">IFERROR(_xlfn.LET(_xlpm.t,$A16,_xlpm.d,CN$4,_xlpm.k,MATCH(_xlpm.d,INDIRECT("'Overblik'!$C$4:$DC$4"),0),_xlpm.hits,COUNTIF(INDEX(INDIRECT("'Overblik'!$C$6:$DC$1000"),0,_xlpm.k),_xlpm.t),IF(_xlpm.hits&gt;1,"X","")),"")</f>
        <v/>
      </c>
      <c r="CO16" s="442" t="str">
        <f t="shared" ca="1" si="23"/>
        <v/>
      </c>
      <c r="CP16" s="442" t="str">
        <f t="shared" ca="1" si="23"/>
        <v/>
      </c>
      <c r="CQ16" s="442" t="str">
        <f t="shared" ca="1" si="23"/>
        <v/>
      </c>
      <c r="CR16" s="443" t="str">
        <f t="shared" ca="1" si="23"/>
        <v/>
      </c>
      <c r="CS16" s="441" t="str">
        <f t="shared" ca="1" si="23"/>
        <v/>
      </c>
      <c r="CT16" s="442" t="str">
        <f t="shared" ca="1" si="23"/>
        <v/>
      </c>
      <c r="CU16" s="442" t="str">
        <f t="shared" ca="1" si="23"/>
        <v/>
      </c>
      <c r="CV16" s="442" t="str">
        <f t="shared" ca="1" si="23"/>
        <v/>
      </c>
      <c r="CW16" s="443" t="str">
        <f t="shared" ca="1" si="23"/>
        <v/>
      </c>
      <c r="CX16" s="441" t="str">
        <f t="shared" ca="1" si="23"/>
        <v/>
      </c>
      <c r="CY16" s="442" t="str">
        <f t="shared" ca="1" si="23"/>
        <v/>
      </c>
      <c r="CZ16" s="442" t="str">
        <f t="shared" ca="1" si="23"/>
        <v/>
      </c>
      <c r="DA16" s="442" t="str">
        <f t="shared" ca="1" si="23"/>
        <v/>
      </c>
      <c r="DB16" s="443" t="str">
        <f t="shared" ca="1" si="23"/>
        <v/>
      </c>
    </row>
    <row r="17" spans="1:106" s="437" customFormat="1" ht="25" customHeight="1" x14ac:dyDescent="0.2">
      <c r="A17" s="328" t="str">
        <f>Ressourcer!M1</f>
        <v>LOEH</v>
      </c>
      <c r="B17" s="438" t="str">
        <f t="shared" ca="1" si="14"/>
        <v/>
      </c>
      <c r="C17" s="439" t="str">
        <f t="shared" ca="1" si="14"/>
        <v/>
      </c>
      <c r="D17" s="439" t="str">
        <f t="shared" ca="1" si="14"/>
        <v/>
      </c>
      <c r="E17" s="439" t="str">
        <f t="shared" ca="1" si="14"/>
        <v/>
      </c>
      <c r="F17" s="440" t="str">
        <f t="shared" ca="1" si="14"/>
        <v/>
      </c>
      <c r="G17" s="438" t="str">
        <f t="shared" ca="1" si="14"/>
        <v/>
      </c>
      <c r="H17" s="439" t="str">
        <f t="shared" ca="1" si="14"/>
        <v/>
      </c>
      <c r="I17" s="439" t="str">
        <f t="shared" ca="1" si="14"/>
        <v/>
      </c>
      <c r="J17" s="439" t="str">
        <f t="shared" ca="1" si="14"/>
        <v/>
      </c>
      <c r="K17" s="440" t="str">
        <f t="shared" ca="1" si="14"/>
        <v/>
      </c>
      <c r="L17" s="438" t="str">
        <f t="shared" ca="1" si="15"/>
        <v/>
      </c>
      <c r="M17" s="439" t="str">
        <f t="shared" ca="1" si="15"/>
        <v/>
      </c>
      <c r="N17" s="439" t="str">
        <f t="shared" ca="1" si="15"/>
        <v/>
      </c>
      <c r="O17" s="439" t="str">
        <f t="shared" ca="1" si="15"/>
        <v/>
      </c>
      <c r="P17" s="440" t="str">
        <f t="shared" ca="1" si="15"/>
        <v/>
      </c>
      <c r="Q17" s="438" t="str">
        <f t="shared" ca="1" si="15"/>
        <v/>
      </c>
      <c r="R17" s="439" t="str">
        <f t="shared" ca="1" si="15"/>
        <v/>
      </c>
      <c r="S17" s="439" t="str">
        <f t="shared" ca="1" si="15"/>
        <v/>
      </c>
      <c r="T17" s="439" t="str">
        <f t="shared" ca="1" si="15"/>
        <v/>
      </c>
      <c r="U17" s="440" t="str">
        <f t="shared" ca="1" si="15"/>
        <v/>
      </c>
      <c r="V17" s="438" t="str">
        <f t="shared" ca="1" si="16"/>
        <v/>
      </c>
      <c r="W17" s="439" t="str">
        <f t="shared" ca="1" si="16"/>
        <v/>
      </c>
      <c r="X17" s="439" t="str">
        <f t="shared" ca="1" si="16"/>
        <v/>
      </c>
      <c r="Y17" s="439" t="str">
        <f t="shared" ca="1" si="16"/>
        <v/>
      </c>
      <c r="Z17" s="440" t="str">
        <f t="shared" ca="1" si="16"/>
        <v/>
      </c>
      <c r="AA17" s="438" t="str">
        <f t="shared" ca="1" si="16"/>
        <v/>
      </c>
      <c r="AB17" s="439" t="str">
        <f t="shared" ca="1" si="16"/>
        <v/>
      </c>
      <c r="AC17" s="439" t="str">
        <f t="shared" ca="1" si="16"/>
        <v/>
      </c>
      <c r="AD17" s="439" t="str">
        <f t="shared" ca="1" si="16"/>
        <v/>
      </c>
      <c r="AE17" s="440" t="str">
        <f t="shared" ca="1" si="16"/>
        <v/>
      </c>
      <c r="AF17" s="438" t="str">
        <f t="shared" ca="1" si="17"/>
        <v/>
      </c>
      <c r="AG17" s="439" t="str">
        <f t="shared" ca="1" si="17"/>
        <v/>
      </c>
      <c r="AH17" s="439" t="str">
        <f t="shared" ca="1" si="17"/>
        <v/>
      </c>
      <c r="AI17" s="439" t="str">
        <f t="shared" ca="1" si="17"/>
        <v/>
      </c>
      <c r="AJ17" s="440" t="str">
        <f t="shared" ca="1" si="17"/>
        <v/>
      </c>
      <c r="AK17" s="438" t="str">
        <f t="shared" ca="1" si="17"/>
        <v/>
      </c>
      <c r="AL17" s="439" t="str">
        <f t="shared" ca="1" si="17"/>
        <v/>
      </c>
      <c r="AM17" s="439" t="str">
        <f t="shared" ca="1" si="17"/>
        <v/>
      </c>
      <c r="AN17" s="439" t="str">
        <f t="shared" ca="1" si="17"/>
        <v/>
      </c>
      <c r="AO17" s="440" t="str">
        <f t="shared" ca="1" si="17"/>
        <v/>
      </c>
      <c r="AP17" s="438" t="str">
        <f t="shared" ca="1" si="18"/>
        <v/>
      </c>
      <c r="AQ17" s="439" t="str">
        <f t="shared" ca="1" si="18"/>
        <v/>
      </c>
      <c r="AR17" s="439" t="str">
        <f t="shared" ca="1" si="18"/>
        <v/>
      </c>
      <c r="AS17" s="439" t="str">
        <f t="shared" ca="1" si="18"/>
        <v/>
      </c>
      <c r="AT17" s="440" t="str">
        <f t="shared" ca="1" si="18"/>
        <v/>
      </c>
      <c r="AU17" s="438" t="str">
        <f t="shared" ca="1" si="18"/>
        <v/>
      </c>
      <c r="AV17" s="439" t="str">
        <f t="shared" ca="1" si="18"/>
        <v/>
      </c>
      <c r="AW17" s="439" t="str">
        <f t="shared" ca="1" si="18"/>
        <v/>
      </c>
      <c r="AX17" s="439" t="str">
        <f t="shared" ca="1" si="18"/>
        <v/>
      </c>
      <c r="AY17" s="440" t="str">
        <f t="shared" ca="1" si="18"/>
        <v/>
      </c>
      <c r="AZ17" s="438" t="str">
        <f t="shared" ca="1" si="19"/>
        <v/>
      </c>
      <c r="BA17" s="439" t="str">
        <f t="shared" ca="1" si="19"/>
        <v/>
      </c>
      <c r="BB17" s="439" t="str">
        <f t="shared" ca="1" si="19"/>
        <v/>
      </c>
      <c r="BC17" s="439" t="str">
        <f t="shared" ca="1" si="19"/>
        <v/>
      </c>
      <c r="BD17" s="440" t="str">
        <f t="shared" ca="1" si="19"/>
        <v/>
      </c>
      <c r="BE17" s="438" t="str">
        <f t="shared" ca="1" si="19"/>
        <v/>
      </c>
      <c r="BF17" s="439" t="str">
        <f t="shared" ca="1" si="19"/>
        <v/>
      </c>
      <c r="BG17" s="439" t="str">
        <f t="shared" ca="1" si="19"/>
        <v/>
      </c>
      <c r="BH17" s="439" t="str">
        <f t="shared" ca="1" si="19"/>
        <v/>
      </c>
      <c r="BI17" s="440" t="str">
        <f t="shared" ca="1" si="19"/>
        <v/>
      </c>
      <c r="BJ17" s="438" t="str">
        <f t="shared" ca="1" si="20"/>
        <v/>
      </c>
      <c r="BK17" s="439" t="str">
        <f t="shared" ca="1" si="20"/>
        <v/>
      </c>
      <c r="BL17" s="439" t="str">
        <f t="shared" ca="1" si="20"/>
        <v/>
      </c>
      <c r="BM17" s="439" t="str">
        <f t="shared" ca="1" si="20"/>
        <v/>
      </c>
      <c r="BN17" s="440" t="str">
        <f t="shared" ca="1" si="20"/>
        <v/>
      </c>
      <c r="BO17" s="438" t="str">
        <f t="shared" ca="1" si="20"/>
        <v/>
      </c>
      <c r="BP17" s="439" t="str">
        <f t="shared" ca="1" si="20"/>
        <v/>
      </c>
      <c r="BQ17" s="439" t="str">
        <f t="shared" ca="1" si="20"/>
        <v/>
      </c>
      <c r="BR17" s="439" t="str">
        <f t="shared" ca="1" si="20"/>
        <v/>
      </c>
      <c r="BS17" s="440" t="str">
        <f t="shared" ca="1" si="20"/>
        <v/>
      </c>
      <c r="BT17" s="438" t="str">
        <f t="shared" ca="1" si="21"/>
        <v/>
      </c>
      <c r="BU17" s="439" t="str">
        <f t="shared" ca="1" si="21"/>
        <v/>
      </c>
      <c r="BV17" s="439" t="str">
        <f t="shared" ca="1" si="21"/>
        <v/>
      </c>
      <c r="BW17" s="439" t="str">
        <f t="shared" ca="1" si="21"/>
        <v/>
      </c>
      <c r="BX17" s="440" t="str">
        <f t="shared" ca="1" si="21"/>
        <v/>
      </c>
      <c r="BY17" s="438" t="str">
        <f t="shared" ca="1" si="21"/>
        <v/>
      </c>
      <c r="BZ17" s="439" t="str">
        <f t="shared" ca="1" si="21"/>
        <v/>
      </c>
      <c r="CA17" s="439" t="str">
        <f t="shared" ca="1" si="21"/>
        <v/>
      </c>
      <c r="CB17" s="439" t="str">
        <f t="shared" ca="1" si="21"/>
        <v/>
      </c>
      <c r="CC17" s="440" t="str">
        <f t="shared" ca="1" si="21"/>
        <v/>
      </c>
      <c r="CD17" s="438" t="str">
        <f t="shared" ca="1" si="22"/>
        <v/>
      </c>
      <c r="CE17" s="439" t="str">
        <f t="shared" ca="1" si="22"/>
        <v/>
      </c>
      <c r="CF17" s="439" t="str">
        <f t="shared" ca="1" si="22"/>
        <v/>
      </c>
      <c r="CG17" s="439" t="str">
        <f t="shared" ca="1" si="22"/>
        <v/>
      </c>
      <c r="CH17" s="440" t="str">
        <f t="shared" ca="1" si="22"/>
        <v/>
      </c>
      <c r="CI17" s="438" t="str">
        <f t="shared" ca="1" si="22"/>
        <v/>
      </c>
      <c r="CJ17" s="439" t="str">
        <f t="shared" ca="1" si="22"/>
        <v/>
      </c>
      <c r="CK17" s="439" t="str">
        <f t="shared" ca="1" si="22"/>
        <v/>
      </c>
      <c r="CL17" s="439" t="str">
        <f t="shared" ca="1" si="22"/>
        <v/>
      </c>
      <c r="CM17" s="440" t="str">
        <f t="shared" ca="1" si="22"/>
        <v/>
      </c>
      <c r="CN17" s="438" t="str">
        <f t="shared" ca="1" si="23"/>
        <v/>
      </c>
      <c r="CO17" s="439" t="str">
        <f t="shared" ca="1" si="23"/>
        <v/>
      </c>
      <c r="CP17" s="439" t="str">
        <f t="shared" ca="1" si="23"/>
        <v/>
      </c>
      <c r="CQ17" s="439" t="str">
        <f t="shared" ca="1" si="23"/>
        <v/>
      </c>
      <c r="CR17" s="440" t="str">
        <f t="shared" ca="1" si="23"/>
        <v/>
      </c>
      <c r="CS17" s="438" t="str">
        <f t="shared" ca="1" si="23"/>
        <v/>
      </c>
      <c r="CT17" s="439" t="str">
        <f t="shared" ca="1" si="23"/>
        <v/>
      </c>
      <c r="CU17" s="439" t="str">
        <f t="shared" ca="1" si="23"/>
        <v/>
      </c>
      <c r="CV17" s="439" t="str">
        <f t="shared" ca="1" si="23"/>
        <v/>
      </c>
      <c r="CW17" s="440" t="str">
        <f t="shared" ca="1" si="23"/>
        <v/>
      </c>
      <c r="CX17" s="438" t="str">
        <f t="shared" ca="1" si="23"/>
        <v/>
      </c>
      <c r="CY17" s="439" t="str">
        <f t="shared" ca="1" si="23"/>
        <v/>
      </c>
      <c r="CZ17" s="439" t="str">
        <f t="shared" ca="1" si="23"/>
        <v/>
      </c>
      <c r="DA17" s="439" t="str">
        <f t="shared" ca="1" si="23"/>
        <v/>
      </c>
      <c r="DB17" s="440" t="str">
        <f t="shared" ca="1" si="23"/>
        <v/>
      </c>
    </row>
    <row r="18" spans="1:106" s="437" customFormat="1" ht="25" customHeight="1" x14ac:dyDescent="0.2">
      <c r="A18" s="329" t="str">
        <f>Ressourcer!N1</f>
        <v>MDEI</v>
      </c>
      <c r="B18" s="441" t="str">
        <f t="shared" ca="1" si="14"/>
        <v/>
      </c>
      <c r="C18" s="442" t="str">
        <f t="shared" ca="1" si="14"/>
        <v/>
      </c>
      <c r="D18" s="442" t="str">
        <f t="shared" ca="1" si="14"/>
        <v/>
      </c>
      <c r="E18" s="442" t="str">
        <f t="shared" ca="1" si="14"/>
        <v/>
      </c>
      <c r="F18" s="443" t="str">
        <f t="shared" ca="1" si="14"/>
        <v/>
      </c>
      <c r="G18" s="441" t="str">
        <f t="shared" ca="1" si="14"/>
        <v/>
      </c>
      <c r="H18" s="442" t="str">
        <f t="shared" ca="1" si="14"/>
        <v/>
      </c>
      <c r="I18" s="442" t="str">
        <f t="shared" ca="1" si="14"/>
        <v/>
      </c>
      <c r="J18" s="442" t="str">
        <f t="shared" ca="1" si="14"/>
        <v/>
      </c>
      <c r="K18" s="443" t="str">
        <f t="shared" ca="1" si="14"/>
        <v/>
      </c>
      <c r="L18" s="441" t="str">
        <f t="shared" ca="1" si="15"/>
        <v/>
      </c>
      <c r="M18" s="442" t="str">
        <f t="shared" ca="1" si="15"/>
        <v/>
      </c>
      <c r="N18" s="442" t="str">
        <f t="shared" ca="1" si="15"/>
        <v/>
      </c>
      <c r="O18" s="442" t="str">
        <f t="shared" ca="1" si="15"/>
        <v/>
      </c>
      <c r="P18" s="443" t="str">
        <f t="shared" ca="1" si="15"/>
        <v/>
      </c>
      <c r="Q18" s="441" t="str">
        <f t="shared" ca="1" si="15"/>
        <v/>
      </c>
      <c r="R18" s="442" t="str">
        <f t="shared" ca="1" si="15"/>
        <v/>
      </c>
      <c r="S18" s="442" t="str">
        <f t="shared" ca="1" si="15"/>
        <v/>
      </c>
      <c r="T18" s="442" t="str">
        <f t="shared" ca="1" si="15"/>
        <v/>
      </c>
      <c r="U18" s="443" t="str">
        <f t="shared" ca="1" si="15"/>
        <v/>
      </c>
      <c r="V18" s="441" t="str">
        <f t="shared" ca="1" si="16"/>
        <v/>
      </c>
      <c r="W18" s="442" t="str">
        <f t="shared" ca="1" si="16"/>
        <v/>
      </c>
      <c r="X18" s="442" t="str">
        <f t="shared" ca="1" si="16"/>
        <v/>
      </c>
      <c r="Y18" s="442" t="str">
        <f t="shared" ca="1" si="16"/>
        <v/>
      </c>
      <c r="Z18" s="443" t="str">
        <f t="shared" ca="1" si="16"/>
        <v/>
      </c>
      <c r="AA18" s="441" t="str">
        <f t="shared" ca="1" si="16"/>
        <v/>
      </c>
      <c r="AB18" s="442" t="str">
        <f t="shared" ca="1" si="16"/>
        <v/>
      </c>
      <c r="AC18" s="442" t="str">
        <f t="shared" ca="1" si="16"/>
        <v/>
      </c>
      <c r="AD18" s="442" t="str">
        <f t="shared" ca="1" si="16"/>
        <v/>
      </c>
      <c r="AE18" s="443" t="str">
        <f t="shared" ca="1" si="16"/>
        <v/>
      </c>
      <c r="AF18" s="441" t="str">
        <f t="shared" ca="1" si="17"/>
        <v/>
      </c>
      <c r="AG18" s="442" t="str">
        <f t="shared" ca="1" si="17"/>
        <v/>
      </c>
      <c r="AH18" s="442" t="str">
        <f t="shared" ca="1" si="17"/>
        <v/>
      </c>
      <c r="AI18" s="442" t="str">
        <f t="shared" ca="1" si="17"/>
        <v/>
      </c>
      <c r="AJ18" s="443" t="str">
        <f t="shared" ca="1" si="17"/>
        <v/>
      </c>
      <c r="AK18" s="441" t="str">
        <f t="shared" ca="1" si="17"/>
        <v/>
      </c>
      <c r="AL18" s="442" t="str">
        <f t="shared" ca="1" si="17"/>
        <v/>
      </c>
      <c r="AM18" s="442" t="str">
        <f t="shared" ca="1" si="17"/>
        <v/>
      </c>
      <c r="AN18" s="442" t="str">
        <f t="shared" ca="1" si="17"/>
        <v/>
      </c>
      <c r="AO18" s="443" t="str">
        <f t="shared" ca="1" si="17"/>
        <v/>
      </c>
      <c r="AP18" s="441" t="str">
        <f t="shared" ca="1" si="18"/>
        <v/>
      </c>
      <c r="AQ18" s="442" t="str">
        <f t="shared" ca="1" si="18"/>
        <v/>
      </c>
      <c r="AR18" s="442" t="str">
        <f t="shared" ca="1" si="18"/>
        <v/>
      </c>
      <c r="AS18" s="442" t="str">
        <f t="shared" ca="1" si="18"/>
        <v/>
      </c>
      <c r="AT18" s="443" t="str">
        <f t="shared" ca="1" si="18"/>
        <v/>
      </c>
      <c r="AU18" s="441" t="str">
        <f t="shared" ca="1" si="18"/>
        <v/>
      </c>
      <c r="AV18" s="442" t="str">
        <f t="shared" ca="1" si="18"/>
        <v/>
      </c>
      <c r="AW18" s="442" t="str">
        <f t="shared" ca="1" si="18"/>
        <v/>
      </c>
      <c r="AX18" s="442" t="str">
        <f t="shared" ca="1" si="18"/>
        <v/>
      </c>
      <c r="AY18" s="443" t="str">
        <f t="shared" ca="1" si="18"/>
        <v/>
      </c>
      <c r="AZ18" s="441" t="str">
        <f t="shared" ca="1" si="19"/>
        <v/>
      </c>
      <c r="BA18" s="442" t="str">
        <f t="shared" ca="1" si="19"/>
        <v/>
      </c>
      <c r="BB18" s="442" t="str">
        <f t="shared" ca="1" si="19"/>
        <v/>
      </c>
      <c r="BC18" s="442" t="str">
        <f t="shared" ca="1" si="19"/>
        <v/>
      </c>
      <c r="BD18" s="443" t="str">
        <f t="shared" ca="1" si="19"/>
        <v/>
      </c>
      <c r="BE18" s="441" t="str">
        <f t="shared" ca="1" si="19"/>
        <v/>
      </c>
      <c r="BF18" s="442" t="str">
        <f t="shared" ca="1" si="19"/>
        <v/>
      </c>
      <c r="BG18" s="442" t="str">
        <f t="shared" ca="1" si="19"/>
        <v/>
      </c>
      <c r="BH18" s="442" t="str">
        <f t="shared" ca="1" si="19"/>
        <v/>
      </c>
      <c r="BI18" s="443" t="str">
        <f t="shared" ca="1" si="19"/>
        <v/>
      </c>
      <c r="BJ18" s="441" t="str">
        <f t="shared" ca="1" si="20"/>
        <v/>
      </c>
      <c r="BK18" s="442" t="str">
        <f t="shared" ca="1" si="20"/>
        <v/>
      </c>
      <c r="BL18" s="442" t="str">
        <f t="shared" ca="1" si="20"/>
        <v/>
      </c>
      <c r="BM18" s="442" t="str">
        <f t="shared" ca="1" si="20"/>
        <v/>
      </c>
      <c r="BN18" s="443" t="str">
        <f t="shared" ca="1" si="20"/>
        <v/>
      </c>
      <c r="BO18" s="441" t="str">
        <f t="shared" ca="1" si="20"/>
        <v/>
      </c>
      <c r="BP18" s="442" t="str">
        <f t="shared" ca="1" si="20"/>
        <v/>
      </c>
      <c r="BQ18" s="442" t="str">
        <f t="shared" ca="1" si="20"/>
        <v/>
      </c>
      <c r="BR18" s="442" t="str">
        <f t="shared" ca="1" si="20"/>
        <v/>
      </c>
      <c r="BS18" s="443" t="str">
        <f t="shared" ca="1" si="20"/>
        <v/>
      </c>
      <c r="BT18" s="441" t="str">
        <f t="shared" ca="1" si="21"/>
        <v/>
      </c>
      <c r="BU18" s="442" t="str">
        <f t="shared" ca="1" si="21"/>
        <v/>
      </c>
      <c r="BV18" s="442" t="str">
        <f t="shared" ca="1" si="21"/>
        <v/>
      </c>
      <c r="BW18" s="442" t="str">
        <f t="shared" ca="1" si="21"/>
        <v/>
      </c>
      <c r="BX18" s="443" t="str">
        <f t="shared" ca="1" si="21"/>
        <v/>
      </c>
      <c r="BY18" s="441" t="str">
        <f t="shared" ca="1" si="21"/>
        <v/>
      </c>
      <c r="BZ18" s="442" t="str">
        <f t="shared" ca="1" si="21"/>
        <v/>
      </c>
      <c r="CA18" s="442" t="str">
        <f t="shared" ca="1" si="21"/>
        <v/>
      </c>
      <c r="CB18" s="442" t="str">
        <f t="shared" ca="1" si="21"/>
        <v/>
      </c>
      <c r="CC18" s="443" t="str">
        <f t="shared" ca="1" si="21"/>
        <v/>
      </c>
      <c r="CD18" s="441" t="str">
        <f t="shared" ca="1" si="22"/>
        <v/>
      </c>
      <c r="CE18" s="442" t="str">
        <f t="shared" ca="1" si="22"/>
        <v/>
      </c>
      <c r="CF18" s="442" t="str">
        <f t="shared" ca="1" si="22"/>
        <v/>
      </c>
      <c r="CG18" s="442" t="str">
        <f t="shared" ca="1" si="22"/>
        <v/>
      </c>
      <c r="CH18" s="443" t="str">
        <f t="shared" ca="1" si="22"/>
        <v/>
      </c>
      <c r="CI18" s="441" t="str">
        <f t="shared" ca="1" si="22"/>
        <v/>
      </c>
      <c r="CJ18" s="442" t="str">
        <f t="shared" ca="1" si="22"/>
        <v/>
      </c>
      <c r="CK18" s="442" t="str">
        <f t="shared" ca="1" si="22"/>
        <v/>
      </c>
      <c r="CL18" s="442" t="str">
        <f t="shared" ca="1" si="22"/>
        <v/>
      </c>
      <c r="CM18" s="443" t="str">
        <f t="shared" ca="1" si="22"/>
        <v/>
      </c>
      <c r="CN18" s="441" t="str">
        <f t="shared" ca="1" si="23"/>
        <v/>
      </c>
      <c r="CO18" s="442" t="str">
        <f t="shared" ca="1" si="23"/>
        <v/>
      </c>
      <c r="CP18" s="442" t="str">
        <f t="shared" ca="1" si="23"/>
        <v/>
      </c>
      <c r="CQ18" s="442" t="str">
        <f t="shared" ca="1" si="23"/>
        <v/>
      </c>
      <c r="CR18" s="443" t="str">
        <f t="shared" ca="1" si="23"/>
        <v/>
      </c>
      <c r="CS18" s="441" t="str">
        <f t="shared" ca="1" si="23"/>
        <v/>
      </c>
      <c r="CT18" s="442" t="str">
        <f t="shared" ca="1" si="23"/>
        <v/>
      </c>
      <c r="CU18" s="442" t="str">
        <f t="shared" ca="1" si="23"/>
        <v/>
      </c>
      <c r="CV18" s="442" t="str">
        <f t="shared" ca="1" si="23"/>
        <v/>
      </c>
      <c r="CW18" s="443" t="str">
        <f t="shared" ca="1" si="23"/>
        <v/>
      </c>
      <c r="CX18" s="441" t="str">
        <f t="shared" ca="1" si="23"/>
        <v/>
      </c>
      <c r="CY18" s="442" t="str">
        <f t="shared" ca="1" si="23"/>
        <v/>
      </c>
      <c r="CZ18" s="442" t="str">
        <f t="shared" ca="1" si="23"/>
        <v/>
      </c>
      <c r="DA18" s="442" t="str">
        <f t="shared" ca="1" si="23"/>
        <v/>
      </c>
      <c r="DB18" s="443" t="str">
        <f t="shared" ca="1" si="23"/>
        <v/>
      </c>
    </row>
    <row r="19" spans="1:106" s="437" customFormat="1" ht="25" customHeight="1" x14ac:dyDescent="0.2">
      <c r="A19" s="328" t="str">
        <f>Ressourcer!O1</f>
        <v>MIWN</v>
      </c>
      <c r="B19" s="438" t="str">
        <f t="shared" ca="1" si="14"/>
        <v/>
      </c>
      <c r="C19" s="439" t="str">
        <f t="shared" ca="1" si="14"/>
        <v/>
      </c>
      <c r="D19" s="439" t="str">
        <f t="shared" ca="1" si="14"/>
        <v/>
      </c>
      <c r="E19" s="439" t="str">
        <f t="shared" ca="1" si="14"/>
        <v/>
      </c>
      <c r="F19" s="440" t="str">
        <f t="shared" ca="1" si="14"/>
        <v/>
      </c>
      <c r="G19" s="438" t="str">
        <f t="shared" ca="1" si="14"/>
        <v/>
      </c>
      <c r="H19" s="439" t="str">
        <f t="shared" ca="1" si="14"/>
        <v/>
      </c>
      <c r="I19" s="439" t="str">
        <f t="shared" ca="1" si="14"/>
        <v/>
      </c>
      <c r="J19" s="439" t="str">
        <f t="shared" ca="1" si="14"/>
        <v/>
      </c>
      <c r="K19" s="440" t="str">
        <f t="shared" ca="1" si="14"/>
        <v/>
      </c>
      <c r="L19" s="438" t="str">
        <f t="shared" ca="1" si="15"/>
        <v/>
      </c>
      <c r="M19" s="439" t="str">
        <f t="shared" ca="1" si="15"/>
        <v/>
      </c>
      <c r="N19" s="439" t="str">
        <f t="shared" ca="1" si="15"/>
        <v/>
      </c>
      <c r="O19" s="439" t="str">
        <f t="shared" ca="1" si="15"/>
        <v/>
      </c>
      <c r="P19" s="440" t="str">
        <f t="shared" ca="1" si="15"/>
        <v/>
      </c>
      <c r="Q19" s="438" t="str">
        <f t="shared" ca="1" si="15"/>
        <v/>
      </c>
      <c r="R19" s="439" t="str">
        <f t="shared" ca="1" si="15"/>
        <v/>
      </c>
      <c r="S19" s="439" t="str">
        <f t="shared" ca="1" si="15"/>
        <v/>
      </c>
      <c r="T19" s="439" t="str">
        <f t="shared" ca="1" si="15"/>
        <v/>
      </c>
      <c r="U19" s="440" t="str">
        <f t="shared" ca="1" si="15"/>
        <v/>
      </c>
      <c r="V19" s="438" t="str">
        <f t="shared" ca="1" si="16"/>
        <v/>
      </c>
      <c r="W19" s="439" t="str">
        <f t="shared" ca="1" si="16"/>
        <v/>
      </c>
      <c r="X19" s="439" t="str">
        <f t="shared" ca="1" si="16"/>
        <v/>
      </c>
      <c r="Y19" s="439" t="str">
        <f t="shared" ca="1" si="16"/>
        <v/>
      </c>
      <c r="Z19" s="440" t="str">
        <f t="shared" ca="1" si="16"/>
        <v/>
      </c>
      <c r="AA19" s="438" t="str">
        <f t="shared" ca="1" si="16"/>
        <v/>
      </c>
      <c r="AB19" s="439" t="str">
        <f t="shared" ca="1" si="16"/>
        <v/>
      </c>
      <c r="AC19" s="439" t="str">
        <f t="shared" ca="1" si="16"/>
        <v/>
      </c>
      <c r="AD19" s="439" t="str">
        <f t="shared" ca="1" si="16"/>
        <v/>
      </c>
      <c r="AE19" s="440" t="str">
        <f t="shared" ca="1" si="16"/>
        <v/>
      </c>
      <c r="AF19" s="438" t="str">
        <f t="shared" ca="1" si="17"/>
        <v/>
      </c>
      <c r="AG19" s="439" t="str">
        <f t="shared" ca="1" si="17"/>
        <v/>
      </c>
      <c r="AH19" s="439" t="str">
        <f t="shared" ca="1" si="17"/>
        <v/>
      </c>
      <c r="AI19" s="439" t="str">
        <f t="shared" ca="1" si="17"/>
        <v/>
      </c>
      <c r="AJ19" s="440" t="str">
        <f t="shared" ca="1" si="17"/>
        <v/>
      </c>
      <c r="AK19" s="438" t="str">
        <f t="shared" ca="1" si="17"/>
        <v/>
      </c>
      <c r="AL19" s="439" t="str">
        <f t="shared" ca="1" si="17"/>
        <v/>
      </c>
      <c r="AM19" s="439" t="str">
        <f t="shared" ca="1" si="17"/>
        <v/>
      </c>
      <c r="AN19" s="439" t="str">
        <f t="shared" ca="1" si="17"/>
        <v/>
      </c>
      <c r="AO19" s="440" t="str">
        <f t="shared" ca="1" si="17"/>
        <v/>
      </c>
      <c r="AP19" s="438" t="str">
        <f t="shared" ca="1" si="18"/>
        <v/>
      </c>
      <c r="AQ19" s="439" t="str">
        <f t="shared" ca="1" si="18"/>
        <v/>
      </c>
      <c r="AR19" s="439" t="str">
        <f t="shared" ca="1" si="18"/>
        <v/>
      </c>
      <c r="AS19" s="439" t="str">
        <f t="shared" ca="1" si="18"/>
        <v/>
      </c>
      <c r="AT19" s="440" t="str">
        <f t="shared" ca="1" si="18"/>
        <v/>
      </c>
      <c r="AU19" s="438" t="str">
        <f t="shared" ca="1" si="18"/>
        <v/>
      </c>
      <c r="AV19" s="439" t="str">
        <f t="shared" ca="1" si="18"/>
        <v/>
      </c>
      <c r="AW19" s="439" t="str">
        <f t="shared" ca="1" si="18"/>
        <v/>
      </c>
      <c r="AX19" s="439" t="str">
        <f t="shared" ca="1" si="18"/>
        <v/>
      </c>
      <c r="AY19" s="440" t="str">
        <f t="shared" ca="1" si="18"/>
        <v/>
      </c>
      <c r="AZ19" s="438" t="str">
        <f t="shared" ca="1" si="19"/>
        <v/>
      </c>
      <c r="BA19" s="439" t="str">
        <f t="shared" ca="1" si="19"/>
        <v/>
      </c>
      <c r="BB19" s="439" t="str">
        <f t="shared" ca="1" si="19"/>
        <v/>
      </c>
      <c r="BC19" s="439" t="str">
        <f t="shared" ca="1" si="19"/>
        <v/>
      </c>
      <c r="BD19" s="440" t="str">
        <f t="shared" ca="1" si="19"/>
        <v/>
      </c>
      <c r="BE19" s="438" t="str">
        <f t="shared" ca="1" si="19"/>
        <v/>
      </c>
      <c r="BF19" s="439" t="str">
        <f t="shared" ca="1" si="19"/>
        <v/>
      </c>
      <c r="BG19" s="439" t="str">
        <f t="shared" ca="1" si="19"/>
        <v/>
      </c>
      <c r="BH19" s="439" t="str">
        <f t="shared" ca="1" si="19"/>
        <v/>
      </c>
      <c r="BI19" s="440" t="str">
        <f t="shared" ca="1" si="19"/>
        <v/>
      </c>
      <c r="BJ19" s="438" t="str">
        <f t="shared" ca="1" si="20"/>
        <v/>
      </c>
      <c r="BK19" s="439" t="str">
        <f t="shared" ca="1" si="20"/>
        <v/>
      </c>
      <c r="BL19" s="439" t="str">
        <f t="shared" ca="1" si="20"/>
        <v/>
      </c>
      <c r="BM19" s="439" t="str">
        <f t="shared" ca="1" si="20"/>
        <v/>
      </c>
      <c r="BN19" s="440" t="str">
        <f t="shared" ca="1" si="20"/>
        <v/>
      </c>
      <c r="BO19" s="438" t="str">
        <f t="shared" ca="1" si="20"/>
        <v/>
      </c>
      <c r="BP19" s="439" t="str">
        <f t="shared" ca="1" si="20"/>
        <v/>
      </c>
      <c r="BQ19" s="439" t="str">
        <f t="shared" ca="1" si="20"/>
        <v/>
      </c>
      <c r="BR19" s="439" t="str">
        <f t="shared" ca="1" si="20"/>
        <v/>
      </c>
      <c r="BS19" s="440" t="str">
        <f t="shared" ca="1" si="20"/>
        <v/>
      </c>
      <c r="BT19" s="438" t="str">
        <f t="shared" ca="1" si="21"/>
        <v/>
      </c>
      <c r="BU19" s="439" t="str">
        <f t="shared" ca="1" si="21"/>
        <v/>
      </c>
      <c r="BV19" s="439" t="str">
        <f t="shared" ca="1" si="21"/>
        <v/>
      </c>
      <c r="BW19" s="439" t="str">
        <f t="shared" ca="1" si="21"/>
        <v/>
      </c>
      <c r="BX19" s="440" t="str">
        <f t="shared" ca="1" si="21"/>
        <v/>
      </c>
      <c r="BY19" s="438" t="str">
        <f t="shared" ca="1" si="21"/>
        <v/>
      </c>
      <c r="BZ19" s="439" t="str">
        <f t="shared" ca="1" si="21"/>
        <v/>
      </c>
      <c r="CA19" s="439" t="str">
        <f t="shared" ca="1" si="21"/>
        <v/>
      </c>
      <c r="CB19" s="439" t="str">
        <f t="shared" ca="1" si="21"/>
        <v/>
      </c>
      <c r="CC19" s="440" t="str">
        <f t="shared" ca="1" si="21"/>
        <v/>
      </c>
      <c r="CD19" s="438" t="str">
        <f t="shared" ca="1" si="22"/>
        <v/>
      </c>
      <c r="CE19" s="439" t="str">
        <f t="shared" ca="1" si="22"/>
        <v/>
      </c>
      <c r="CF19" s="439" t="str">
        <f t="shared" ca="1" si="22"/>
        <v/>
      </c>
      <c r="CG19" s="439" t="str">
        <f t="shared" ca="1" si="22"/>
        <v/>
      </c>
      <c r="CH19" s="440" t="str">
        <f t="shared" ca="1" si="22"/>
        <v/>
      </c>
      <c r="CI19" s="438" t="str">
        <f t="shared" ca="1" si="22"/>
        <v/>
      </c>
      <c r="CJ19" s="439" t="str">
        <f t="shared" ca="1" si="22"/>
        <v/>
      </c>
      <c r="CK19" s="439" t="str">
        <f t="shared" ca="1" si="22"/>
        <v/>
      </c>
      <c r="CL19" s="439" t="str">
        <f t="shared" ca="1" si="22"/>
        <v/>
      </c>
      <c r="CM19" s="440" t="str">
        <f t="shared" ca="1" si="22"/>
        <v/>
      </c>
      <c r="CN19" s="438" t="str">
        <f t="shared" ca="1" si="23"/>
        <v/>
      </c>
      <c r="CO19" s="439" t="str">
        <f t="shared" ca="1" si="23"/>
        <v/>
      </c>
      <c r="CP19" s="439" t="str">
        <f t="shared" ca="1" si="23"/>
        <v/>
      </c>
      <c r="CQ19" s="439" t="str">
        <f t="shared" ca="1" si="23"/>
        <v/>
      </c>
      <c r="CR19" s="440" t="str">
        <f t="shared" ca="1" si="23"/>
        <v/>
      </c>
      <c r="CS19" s="438" t="str">
        <f t="shared" ca="1" si="23"/>
        <v/>
      </c>
      <c r="CT19" s="439" t="str">
        <f t="shared" ca="1" si="23"/>
        <v/>
      </c>
      <c r="CU19" s="439" t="str">
        <f t="shared" ca="1" si="23"/>
        <v/>
      </c>
      <c r="CV19" s="439" t="str">
        <f t="shared" ca="1" si="23"/>
        <v/>
      </c>
      <c r="CW19" s="440" t="str">
        <f t="shared" ca="1" si="23"/>
        <v/>
      </c>
      <c r="CX19" s="438" t="str">
        <f t="shared" ca="1" si="23"/>
        <v/>
      </c>
      <c r="CY19" s="439" t="str">
        <f t="shared" ca="1" si="23"/>
        <v/>
      </c>
      <c r="CZ19" s="439" t="str">
        <f t="shared" ca="1" si="23"/>
        <v/>
      </c>
      <c r="DA19" s="439" t="str">
        <f t="shared" ca="1" si="23"/>
        <v/>
      </c>
      <c r="DB19" s="440" t="str">
        <f t="shared" ca="1" si="23"/>
        <v/>
      </c>
    </row>
    <row r="20" spans="1:106" s="437" customFormat="1" ht="25" customHeight="1" x14ac:dyDescent="0.2">
      <c r="A20" s="329" t="str">
        <f>Ressourcer!P1</f>
        <v>MLBR</v>
      </c>
      <c r="B20" s="441" t="str">
        <f t="shared" ca="1" si="14"/>
        <v/>
      </c>
      <c r="C20" s="442" t="str">
        <f t="shared" ca="1" si="14"/>
        <v/>
      </c>
      <c r="D20" s="442" t="str">
        <f t="shared" ca="1" si="14"/>
        <v/>
      </c>
      <c r="E20" s="442" t="str">
        <f t="shared" ca="1" si="14"/>
        <v/>
      </c>
      <c r="F20" s="443" t="str">
        <f t="shared" ca="1" si="14"/>
        <v/>
      </c>
      <c r="G20" s="441" t="str">
        <f t="shared" ca="1" si="14"/>
        <v/>
      </c>
      <c r="H20" s="442" t="str">
        <f t="shared" ca="1" si="14"/>
        <v/>
      </c>
      <c r="I20" s="442" t="str">
        <f t="shared" ca="1" si="14"/>
        <v/>
      </c>
      <c r="J20" s="442" t="str">
        <f t="shared" ca="1" si="14"/>
        <v/>
      </c>
      <c r="K20" s="443" t="str">
        <f t="shared" ca="1" si="14"/>
        <v/>
      </c>
      <c r="L20" s="441" t="str">
        <f t="shared" ca="1" si="15"/>
        <v/>
      </c>
      <c r="M20" s="442" t="str">
        <f t="shared" ca="1" si="15"/>
        <v/>
      </c>
      <c r="N20" s="442" t="str">
        <f t="shared" ca="1" si="15"/>
        <v/>
      </c>
      <c r="O20" s="442" t="str">
        <f t="shared" ca="1" si="15"/>
        <v/>
      </c>
      <c r="P20" s="443" t="str">
        <f t="shared" ca="1" si="15"/>
        <v/>
      </c>
      <c r="Q20" s="441" t="str">
        <f t="shared" ca="1" si="15"/>
        <v/>
      </c>
      <c r="R20" s="442" t="str">
        <f t="shared" ca="1" si="15"/>
        <v/>
      </c>
      <c r="S20" s="442" t="str">
        <f t="shared" ca="1" si="15"/>
        <v/>
      </c>
      <c r="T20" s="442" t="str">
        <f t="shared" ca="1" si="15"/>
        <v/>
      </c>
      <c r="U20" s="443" t="str">
        <f t="shared" ca="1" si="15"/>
        <v/>
      </c>
      <c r="V20" s="441" t="str">
        <f t="shared" ca="1" si="16"/>
        <v/>
      </c>
      <c r="W20" s="442" t="str">
        <f t="shared" ca="1" si="16"/>
        <v/>
      </c>
      <c r="X20" s="442" t="str">
        <f t="shared" ca="1" si="16"/>
        <v/>
      </c>
      <c r="Y20" s="442" t="str">
        <f t="shared" ca="1" si="16"/>
        <v/>
      </c>
      <c r="Z20" s="443" t="str">
        <f t="shared" ca="1" si="16"/>
        <v/>
      </c>
      <c r="AA20" s="441" t="str">
        <f t="shared" ca="1" si="16"/>
        <v/>
      </c>
      <c r="AB20" s="442" t="str">
        <f t="shared" ca="1" si="16"/>
        <v/>
      </c>
      <c r="AC20" s="442" t="str">
        <f t="shared" ca="1" si="16"/>
        <v/>
      </c>
      <c r="AD20" s="442" t="str">
        <f t="shared" ca="1" si="16"/>
        <v/>
      </c>
      <c r="AE20" s="443" t="str">
        <f t="shared" ca="1" si="16"/>
        <v/>
      </c>
      <c r="AF20" s="441" t="str">
        <f t="shared" ca="1" si="17"/>
        <v/>
      </c>
      <c r="AG20" s="442" t="str">
        <f t="shared" ca="1" si="17"/>
        <v/>
      </c>
      <c r="AH20" s="442" t="str">
        <f t="shared" ca="1" si="17"/>
        <v/>
      </c>
      <c r="AI20" s="442" t="str">
        <f t="shared" ca="1" si="17"/>
        <v/>
      </c>
      <c r="AJ20" s="443" t="str">
        <f t="shared" ca="1" si="17"/>
        <v/>
      </c>
      <c r="AK20" s="441" t="str">
        <f t="shared" ca="1" si="17"/>
        <v/>
      </c>
      <c r="AL20" s="442" t="str">
        <f t="shared" ca="1" si="17"/>
        <v/>
      </c>
      <c r="AM20" s="442" t="str">
        <f t="shared" ca="1" si="17"/>
        <v/>
      </c>
      <c r="AN20" s="442" t="str">
        <f t="shared" ca="1" si="17"/>
        <v/>
      </c>
      <c r="AO20" s="443" t="str">
        <f t="shared" ca="1" si="17"/>
        <v/>
      </c>
      <c r="AP20" s="441" t="str">
        <f t="shared" ca="1" si="18"/>
        <v/>
      </c>
      <c r="AQ20" s="442" t="str">
        <f t="shared" ca="1" si="18"/>
        <v/>
      </c>
      <c r="AR20" s="442" t="str">
        <f t="shared" ca="1" si="18"/>
        <v/>
      </c>
      <c r="AS20" s="442" t="str">
        <f t="shared" ca="1" si="18"/>
        <v/>
      </c>
      <c r="AT20" s="443" t="str">
        <f t="shared" ca="1" si="18"/>
        <v/>
      </c>
      <c r="AU20" s="441" t="str">
        <f t="shared" ca="1" si="18"/>
        <v/>
      </c>
      <c r="AV20" s="442" t="str">
        <f t="shared" ca="1" si="18"/>
        <v/>
      </c>
      <c r="AW20" s="442" t="str">
        <f t="shared" ca="1" si="18"/>
        <v/>
      </c>
      <c r="AX20" s="442" t="str">
        <f t="shared" ca="1" si="18"/>
        <v/>
      </c>
      <c r="AY20" s="443" t="str">
        <f t="shared" ca="1" si="18"/>
        <v/>
      </c>
      <c r="AZ20" s="441" t="str">
        <f t="shared" ca="1" si="19"/>
        <v/>
      </c>
      <c r="BA20" s="442" t="str">
        <f t="shared" ca="1" si="19"/>
        <v/>
      </c>
      <c r="BB20" s="442" t="str">
        <f t="shared" ca="1" si="19"/>
        <v/>
      </c>
      <c r="BC20" s="442" t="str">
        <f t="shared" ca="1" si="19"/>
        <v/>
      </c>
      <c r="BD20" s="443" t="str">
        <f t="shared" ca="1" si="19"/>
        <v/>
      </c>
      <c r="BE20" s="441" t="str">
        <f t="shared" ca="1" si="19"/>
        <v/>
      </c>
      <c r="BF20" s="442" t="str">
        <f t="shared" ca="1" si="19"/>
        <v/>
      </c>
      <c r="BG20" s="442" t="str">
        <f t="shared" ca="1" si="19"/>
        <v/>
      </c>
      <c r="BH20" s="442" t="str">
        <f t="shared" ca="1" si="19"/>
        <v/>
      </c>
      <c r="BI20" s="443" t="str">
        <f t="shared" ca="1" si="19"/>
        <v/>
      </c>
      <c r="BJ20" s="441" t="str">
        <f t="shared" ca="1" si="20"/>
        <v/>
      </c>
      <c r="BK20" s="442" t="str">
        <f t="shared" ca="1" si="20"/>
        <v/>
      </c>
      <c r="BL20" s="442" t="str">
        <f t="shared" ca="1" si="20"/>
        <v/>
      </c>
      <c r="BM20" s="442" t="str">
        <f t="shared" ca="1" si="20"/>
        <v/>
      </c>
      <c r="BN20" s="443" t="str">
        <f t="shared" ca="1" si="20"/>
        <v/>
      </c>
      <c r="BO20" s="441" t="str">
        <f t="shared" ca="1" si="20"/>
        <v/>
      </c>
      <c r="BP20" s="442" t="str">
        <f t="shared" ca="1" si="20"/>
        <v/>
      </c>
      <c r="BQ20" s="442" t="str">
        <f t="shared" ca="1" si="20"/>
        <v/>
      </c>
      <c r="BR20" s="442" t="str">
        <f t="shared" ca="1" si="20"/>
        <v/>
      </c>
      <c r="BS20" s="443" t="str">
        <f t="shared" ca="1" si="20"/>
        <v/>
      </c>
      <c r="BT20" s="441" t="str">
        <f t="shared" ca="1" si="21"/>
        <v/>
      </c>
      <c r="BU20" s="442" t="str">
        <f t="shared" ca="1" si="21"/>
        <v/>
      </c>
      <c r="BV20" s="442" t="str">
        <f t="shared" ca="1" si="21"/>
        <v/>
      </c>
      <c r="BW20" s="442" t="str">
        <f t="shared" ca="1" si="21"/>
        <v/>
      </c>
      <c r="BX20" s="443" t="str">
        <f t="shared" ca="1" si="21"/>
        <v/>
      </c>
      <c r="BY20" s="441" t="str">
        <f t="shared" ca="1" si="21"/>
        <v/>
      </c>
      <c r="BZ20" s="442" t="str">
        <f t="shared" ca="1" si="21"/>
        <v/>
      </c>
      <c r="CA20" s="442" t="str">
        <f t="shared" ca="1" si="21"/>
        <v/>
      </c>
      <c r="CB20" s="442" t="str">
        <f t="shared" ca="1" si="21"/>
        <v/>
      </c>
      <c r="CC20" s="443" t="str">
        <f t="shared" ca="1" si="21"/>
        <v/>
      </c>
      <c r="CD20" s="441" t="str">
        <f t="shared" ca="1" si="22"/>
        <v/>
      </c>
      <c r="CE20" s="442" t="str">
        <f t="shared" ca="1" si="22"/>
        <v/>
      </c>
      <c r="CF20" s="442" t="str">
        <f t="shared" ca="1" si="22"/>
        <v/>
      </c>
      <c r="CG20" s="442" t="str">
        <f t="shared" ca="1" si="22"/>
        <v/>
      </c>
      <c r="CH20" s="443" t="str">
        <f t="shared" ca="1" si="22"/>
        <v/>
      </c>
      <c r="CI20" s="441" t="str">
        <f t="shared" ca="1" si="22"/>
        <v/>
      </c>
      <c r="CJ20" s="442" t="str">
        <f t="shared" ca="1" si="22"/>
        <v/>
      </c>
      <c r="CK20" s="442" t="str">
        <f t="shared" ca="1" si="22"/>
        <v/>
      </c>
      <c r="CL20" s="442" t="str">
        <f t="shared" ca="1" si="22"/>
        <v/>
      </c>
      <c r="CM20" s="443" t="str">
        <f t="shared" ca="1" si="22"/>
        <v/>
      </c>
      <c r="CN20" s="441" t="str">
        <f t="shared" ca="1" si="23"/>
        <v/>
      </c>
      <c r="CO20" s="442" t="str">
        <f t="shared" ca="1" si="23"/>
        <v/>
      </c>
      <c r="CP20" s="442" t="str">
        <f t="shared" ca="1" si="23"/>
        <v/>
      </c>
      <c r="CQ20" s="442" t="str">
        <f t="shared" ca="1" si="23"/>
        <v/>
      </c>
      <c r="CR20" s="443" t="str">
        <f t="shared" ca="1" si="23"/>
        <v/>
      </c>
      <c r="CS20" s="441" t="str">
        <f t="shared" ca="1" si="23"/>
        <v/>
      </c>
      <c r="CT20" s="442" t="str">
        <f t="shared" ca="1" si="23"/>
        <v/>
      </c>
      <c r="CU20" s="442" t="str">
        <f t="shared" ca="1" si="23"/>
        <v/>
      </c>
      <c r="CV20" s="442" t="str">
        <f t="shared" ca="1" si="23"/>
        <v/>
      </c>
      <c r="CW20" s="443" t="str">
        <f t="shared" ca="1" si="23"/>
        <v/>
      </c>
      <c r="CX20" s="441" t="str">
        <f t="shared" ca="1" si="23"/>
        <v/>
      </c>
      <c r="CY20" s="442" t="str">
        <f t="shared" ca="1" si="23"/>
        <v/>
      </c>
      <c r="CZ20" s="442" t="str">
        <f t="shared" ca="1" si="23"/>
        <v/>
      </c>
      <c r="DA20" s="442" t="str">
        <f t="shared" ca="1" si="23"/>
        <v/>
      </c>
      <c r="DB20" s="443" t="str">
        <f t="shared" ca="1" si="23"/>
        <v/>
      </c>
    </row>
    <row r="21" spans="1:106" s="437" customFormat="1" ht="25" customHeight="1" x14ac:dyDescent="0.2">
      <c r="A21" s="328" t="str">
        <f>Ressourcer!Q1</f>
        <v>MOKJ</v>
      </c>
      <c r="B21" s="438" t="str">
        <f t="shared" ca="1" si="14"/>
        <v/>
      </c>
      <c r="C21" s="439" t="str">
        <f t="shared" ca="1" si="14"/>
        <v/>
      </c>
      <c r="D21" s="439" t="str">
        <f t="shared" ca="1" si="14"/>
        <v/>
      </c>
      <c r="E21" s="439" t="str">
        <f t="shared" ca="1" si="14"/>
        <v/>
      </c>
      <c r="F21" s="440" t="str">
        <f t="shared" ca="1" si="14"/>
        <v/>
      </c>
      <c r="G21" s="438" t="str">
        <f t="shared" ca="1" si="14"/>
        <v/>
      </c>
      <c r="H21" s="439" t="str">
        <f t="shared" ca="1" si="14"/>
        <v/>
      </c>
      <c r="I21" s="439" t="str">
        <f t="shared" ca="1" si="14"/>
        <v/>
      </c>
      <c r="J21" s="439" t="str">
        <f t="shared" ca="1" si="14"/>
        <v/>
      </c>
      <c r="K21" s="440" t="str">
        <f t="shared" ca="1" si="14"/>
        <v/>
      </c>
      <c r="L21" s="438" t="str">
        <f t="shared" ca="1" si="15"/>
        <v/>
      </c>
      <c r="M21" s="439" t="str">
        <f t="shared" ca="1" si="15"/>
        <v/>
      </c>
      <c r="N21" s="439" t="str">
        <f t="shared" ca="1" si="15"/>
        <v/>
      </c>
      <c r="O21" s="439" t="str">
        <f t="shared" ca="1" si="15"/>
        <v/>
      </c>
      <c r="P21" s="440" t="str">
        <f t="shared" ca="1" si="15"/>
        <v/>
      </c>
      <c r="Q21" s="438" t="str">
        <f t="shared" ca="1" si="15"/>
        <v/>
      </c>
      <c r="R21" s="439" t="str">
        <f t="shared" ca="1" si="15"/>
        <v/>
      </c>
      <c r="S21" s="439" t="str">
        <f t="shared" ca="1" si="15"/>
        <v/>
      </c>
      <c r="T21" s="439" t="str">
        <f t="shared" ca="1" si="15"/>
        <v/>
      </c>
      <c r="U21" s="440" t="str">
        <f t="shared" ca="1" si="15"/>
        <v/>
      </c>
      <c r="V21" s="438" t="str">
        <f t="shared" ca="1" si="16"/>
        <v/>
      </c>
      <c r="W21" s="439" t="str">
        <f t="shared" ca="1" si="16"/>
        <v/>
      </c>
      <c r="X21" s="439" t="str">
        <f t="shared" ca="1" si="16"/>
        <v/>
      </c>
      <c r="Y21" s="439" t="str">
        <f t="shared" ca="1" si="16"/>
        <v/>
      </c>
      <c r="Z21" s="440" t="str">
        <f t="shared" ca="1" si="16"/>
        <v/>
      </c>
      <c r="AA21" s="438" t="str">
        <f t="shared" ca="1" si="16"/>
        <v/>
      </c>
      <c r="AB21" s="439" t="str">
        <f t="shared" ca="1" si="16"/>
        <v/>
      </c>
      <c r="AC21" s="439" t="str">
        <f t="shared" ca="1" si="16"/>
        <v/>
      </c>
      <c r="AD21" s="439" t="str">
        <f t="shared" ca="1" si="16"/>
        <v/>
      </c>
      <c r="AE21" s="440" t="str">
        <f t="shared" ca="1" si="16"/>
        <v/>
      </c>
      <c r="AF21" s="438" t="str">
        <f t="shared" ca="1" si="17"/>
        <v/>
      </c>
      <c r="AG21" s="439" t="str">
        <f t="shared" ca="1" si="17"/>
        <v/>
      </c>
      <c r="AH21" s="439" t="str">
        <f t="shared" ca="1" si="17"/>
        <v/>
      </c>
      <c r="AI21" s="439" t="str">
        <f t="shared" ca="1" si="17"/>
        <v/>
      </c>
      <c r="AJ21" s="440" t="str">
        <f t="shared" ca="1" si="17"/>
        <v/>
      </c>
      <c r="AK21" s="438" t="str">
        <f t="shared" ca="1" si="17"/>
        <v/>
      </c>
      <c r="AL21" s="439" t="str">
        <f t="shared" ca="1" si="17"/>
        <v/>
      </c>
      <c r="AM21" s="439" t="str">
        <f t="shared" ca="1" si="17"/>
        <v/>
      </c>
      <c r="AN21" s="439" t="str">
        <f t="shared" ca="1" si="17"/>
        <v/>
      </c>
      <c r="AO21" s="440" t="str">
        <f t="shared" ca="1" si="17"/>
        <v/>
      </c>
      <c r="AP21" s="438" t="str">
        <f t="shared" ca="1" si="18"/>
        <v/>
      </c>
      <c r="AQ21" s="439" t="str">
        <f t="shared" ca="1" si="18"/>
        <v/>
      </c>
      <c r="AR21" s="439" t="str">
        <f t="shared" ca="1" si="18"/>
        <v/>
      </c>
      <c r="AS21" s="439" t="str">
        <f t="shared" ca="1" si="18"/>
        <v/>
      </c>
      <c r="AT21" s="440" t="str">
        <f t="shared" ca="1" si="18"/>
        <v/>
      </c>
      <c r="AU21" s="438" t="str">
        <f t="shared" ca="1" si="18"/>
        <v/>
      </c>
      <c r="AV21" s="439" t="str">
        <f t="shared" ca="1" si="18"/>
        <v/>
      </c>
      <c r="AW21" s="439" t="str">
        <f t="shared" ca="1" si="18"/>
        <v/>
      </c>
      <c r="AX21" s="439" t="str">
        <f t="shared" ca="1" si="18"/>
        <v/>
      </c>
      <c r="AY21" s="440" t="str">
        <f t="shared" ca="1" si="18"/>
        <v/>
      </c>
      <c r="AZ21" s="438" t="str">
        <f t="shared" ca="1" si="19"/>
        <v/>
      </c>
      <c r="BA21" s="439" t="str">
        <f t="shared" ca="1" si="19"/>
        <v/>
      </c>
      <c r="BB21" s="439" t="str">
        <f t="shared" ca="1" si="19"/>
        <v/>
      </c>
      <c r="BC21" s="439" t="str">
        <f t="shared" ca="1" si="19"/>
        <v/>
      </c>
      <c r="BD21" s="440" t="str">
        <f t="shared" ca="1" si="19"/>
        <v/>
      </c>
      <c r="BE21" s="438" t="str">
        <f t="shared" ca="1" si="19"/>
        <v/>
      </c>
      <c r="BF21" s="439" t="str">
        <f t="shared" ca="1" si="19"/>
        <v/>
      </c>
      <c r="BG21" s="439" t="str">
        <f t="shared" ca="1" si="19"/>
        <v/>
      </c>
      <c r="BH21" s="439" t="str">
        <f t="shared" ca="1" si="19"/>
        <v/>
      </c>
      <c r="BI21" s="440" t="str">
        <f t="shared" ca="1" si="19"/>
        <v/>
      </c>
      <c r="BJ21" s="438" t="str">
        <f t="shared" ca="1" si="20"/>
        <v/>
      </c>
      <c r="BK21" s="439" t="str">
        <f t="shared" ca="1" si="20"/>
        <v/>
      </c>
      <c r="BL21" s="439" t="str">
        <f t="shared" ca="1" si="20"/>
        <v/>
      </c>
      <c r="BM21" s="439" t="str">
        <f t="shared" ca="1" si="20"/>
        <v/>
      </c>
      <c r="BN21" s="440" t="str">
        <f t="shared" ca="1" si="20"/>
        <v/>
      </c>
      <c r="BO21" s="438" t="str">
        <f t="shared" ca="1" si="20"/>
        <v/>
      </c>
      <c r="BP21" s="439" t="str">
        <f t="shared" ca="1" si="20"/>
        <v/>
      </c>
      <c r="BQ21" s="439" t="str">
        <f t="shared" ca="1" si="20"/>
        <v/>
      </c>
      <c r="BR21" s="439" t="str">
        <f t="shared" ca="1" si="20"/>
        <v/>
      </c>
      <c r="BS21" s="440" t="str">
        <f t="shared" ca="1" si="20"/>
        <v/>
      </c>
      <c r="BT21" s="438" t="str">
        <f t="shared" ca="1" si="21"/>
        <v/>
      </c>
      <c r="BU21" s="439" t="str">
        <f t="shared" ca="1" si="21"/>
        <v/>
      </c>
      <c r="BV21" s="439" t="str">
        <f t="shared" ca="1" si="21"/>
        <v/>
      </c>
      <c r="BW21" s="439" t="str">
        <f t="shared" ca="1" si="21"/>
        <v/>
      </c>
      <c r="BX21" s="440" t="str">
        <f t="shared" ca="1" si="21"/>
        <v/>
      </c>
      <c r="BY21" s="438" t="str">
        <f t="shared" ca="1" si="21"/>
        <v/>
      </c>
      <c r="BZ21" s="439" t="str">
        <f t="shared" ca="1" si="21"/>
        <v/>
      </c>
      <c r="CA21" s="439" t="str">
        <f t="shared" ca="1" si="21"/>
        <v/>
      </c>
      <c r="CB21" s="439" t="str">
        <f t="shared" ca="1" si="21"/>
        <v/>
      </c>
      <c r="CC21" s="440" t="str">
        <f t="shared" ca="1" si="21"/>
        <v/>
      </c>
      <c r="CD21" s="438" t="str">
        <f t="shared" ca="1" si="22"/>
        <v/>
      </c>
      <c r="CE21" s="439" t="str">
        <f t="shared" ca="1" si="22"/>
        <v/>
      </c>
      <c r="CF21" s="439" t="str">
        <f t="shared" ca="1" si="22"/>
        <v/>
      </c>
      <c r="CG21" s="439" t="str">
        <f t="shared" ca="1" si="22"/>
        <v/>
      </c>
      <c r="CH21" s="440" t="str">
        <f t="shared" ca="1" si="22"/>
        <v/>
      </c>
      <c r="CI21" s="438" t="str">
        <f t="shared" ca="1" si="22"/>
        <v/>
      </c>
      <c r="CJ21" s="439" t="str">
        <f t="shared" ca="1" si="22"/>
        <v/>
      </c>
      <c r="CK21" s="439" t="str">
        <f t="shared" ca="1" si="22"/>
        <v/>
      </c>
      <c r="CL21" s="439" t="str">
        <f t="shared" ca="1" si="22"/>
        <v/>
      </c>
      <c r="CM21" s="440" t="str">
        <f t="shared" ca="1" si="22"/>
        <v/>
      </c>
      <c r="CN21" s="438" t="str">
        <f t="shared" ca="1" si="23"/>
        <v/>
      </c>
      <c r="CO21" s="439" t="str">
        <f t="shared" ca="1" si="23"/>
        <v/>
      </c>
      <c r="CP21" s="439" t="str">
        <f t="shared" ca="1" si="23"/>
        <v/>
      </c>
      <c r="CQ21" s="439" t="str">
        <f t="shared" ca="1" si="23"/>
        <v/>
      </c>
      <c r="CR21" s="440" t="str">
        <f t="shared" ca="1" si="23"/>
        <v/>
      </c>
      <c r="CS21" s="438" t="str">
        <f t="shared" ca="1" si="23"/>
        <v/>
      </c>
      <c r="CT21" s="439" t="str">
        <f t="shared" ca="1" si="23"/>
        <v/>
      </c>
      <c r="CU21" s="439" t="str">
        <f t="shared" ca="1" si="23"/>
        <v/>
      </c>
      <c r="CV21" s="439" t="str">
        <f t="shared" ca="1" si="23"/>
        <v/>
      </c>
      <c r="CW21" s="440" t="str">
        <f t="shared" ca="1" si="23"/>
        <v/>
      </c>
      <c r="CX21" s="438" t="str">
        <f t="shared" ca="1" si="23"/>
        <v/>
      </c>
      <c r="CY21" s="439" t="str">
        <f t="shared" ca="1" si="23"/>
        <v/>
      </c>
      <c r="CZ21" s="439" t="str">
        <f t="shared" ca="1" si="23"/>
        <v/>
      </c>
      <c r="DA21" s="439" t="str">
        <f t="shared" ca="1" si="23"/>
        <v/>
      </c>
      <c r="DB21" s="440" t="str">
        <f t="shared" ca="1" si="23"/>
        <v/>
      </c>
    </row>
    <row r="22" spans="1:106" s="437" customFormat="1" ht="25" customHeight="1" x14ac:dyDescent="0.2">
      <c r="A22" s="329" t="str">
        <f>Ressourcer!R1</f>
        <v>MTAL</v>
      </c>
      <c r="B22" s="441" t="str">
        <f t="shared" ca="1" si="14"/>
        <v/>
      </c>
      <c r="C22" s="442" t="str">
        <f t="shared" ca="1" si="14"/>
        <v/>
      </c>
      <c r="D22" s="442" t="str">
        <f t="shared" ca="1" si="14"/>
        <v/>
      </c>
      <c r="E22" s="442" t="str">
        <f t="shared" ca="1" si="14"/>
        <v/>
      </c>
      <c r="F22" s="443" t="str">
        <f t="shared" ca="1" si="14"/>
        <v/>
      </c>
      <c r="G22" s="441" t="str">
        <f t="shared" ca="1" si="14"/>
        <v/>
      </c>
      <c r="H22" s="442" t="str">
        <f t="shared" ca="1" si="14"/>
        <v/>
      </c>
      <c r="I22" s="442" t="str">
        <f t="shared" ca="1" si="14"/>
        <v/>
      </c>
      <c r="J22" s="442" t="str">
        <f t="shared" ca="1" si="14"/>
        <v/>
      </c>
      <c r="K22" s="443" t="str">
        <f t="shared" ca="1" si="14"/>
        <v/>
      </c>
      <c r="L22" s="441" t="str">
        <f t="shared" ca="1" si="15"/>
        <v/>
      </c>
      <c r="M22" s="442" t="str">
        <f t="shared" ca="1" si="15"/>
        <v/>
      </c>
      <c r="N22" s="442" t="str">
        <f t="shared" ca="1" si="15"/>
        <v/>
      </c>
      <c r="O22" s="442" t="str">
        <f t="shared" ca="1" si="15"/>
        <v/>
      </c>
      <c r="P22" s="443" t="str">
        <f t="shared" ca="1" si="15"/>
        <v/>
      </c>
      <c r="Q22" s="441" t="str">
        <f t="shared" ca="1" si="15"/>
        <v/>
      </c>
      <c r="R22" s="442" t="str">
        <f t="shared" ca="1" si="15"/>
        <v/>
      </c>
      <c r="S22" s="442" t="str">
        <f t="shared" ca="1" si="15"/>
        <v/>
      </c>
      <c r="T22" s="442" t="str">
        <f t="shared" ca="1" si="15"/>
        <v/>
      </c>
      <c r="U22" s="443" t="str">
        <f t="shared" ca="1" si="15"/>
        <v/>
      </c>
      <c r="V22" s="441" t="str">
        <f t="shared" ca="1" si="16"/>
        <v/>
      </c>
      <c r="W22" s="442" t="str">
        <f t="shared" ca="1" si="16"/>
        <v/>
      </c>
      <c r="X22" s="442" t="str">
        <f t="shared" ca="1" si="16"/>
        <v/>
      </c>
      <c r="Y22" s="442" t="str">
        <f t="shared" ca="1" si="16"/>
        <v/>
      </c>
      <c r="Z22" s="443" t="str">
        <f t="shared" ca="1" si="16"/>
        <v/>
      </c>
      <c r="AA22" s="441" t="str">
        <f t="shared" ca="1" si="16"/>
        <v/>
      </c>
      <c r="AB22" s="442" t="str">
        <f t="shared" ca="1" si="16"/>
        <v/>
      </c>
      <c r="AC22" s="442" t="str">
        <f t="shared" ca="1" si="16"/>
        <v/>
      </c>
      <c r="AD22" s="442" t="str">
        <f t="shared" ca="1" si="16"/>
        <v/>
      </c>
      <c r="AE22" s="443" t="str">
        <f t="shared" ca="1" si="16"/>
        <v/>
      </c>
      <c r="AF22" s="441" t="str">
        <f t="shared" ca="1" si="17"/>
        <v/>
      </c>
      <c r="AG22" s="442" t="str">
        <f t="shared" ca="1" si="17"/>
        <v/>
      </c>
      <c r="AH22" s="442" t="str">
        <f t="shared" ca="1" si="17"/>
        <v/>
      </c>
      <c r="AI22" s="442" t="str">
        <f t="shared" ca="1" si="17"/>
        <v/>
      </c>
      <c r="AJ22" s="443" t="str">
        <f t="shared" ca="1" si="17"/>
        <v/>
      </c>
      <c r="AK22" s="441" t="str">
        <f t="shared" ca="1" si="17"/>
        <v/>
      </c>
      <c r="AL22" s="442" t="str">
        <f t="shared" ca="1" si="17"/>
        <v/>
      </c>
      <c r="AM22" s="442" t="str">
        <f t="shared" ca="1" si="17"/>
        <v/>
      </c>
      <c r="AN22" s="442" t="str">
        <f t="shared" ca="1" si="17"/>
        <v/>
      </c>
      <c r="AO22" s="443" t="str">
        <f t="shared" ca="1" si="17"/>
        <v/>
      </c>
      <c r="AP22" s="441" t="str">
        <f t="shared" ca="1" si="18"/>
        <v/>
      </c>
      <c r="AQ22" s="442" t="str">
        <f t="shared" ca="1" si="18"/>
        <v/>
      </c>
      <c r="AR22" s="442" t="str">
        <f t="shared" ca="1" si="18"/>
        <v/>
      </c>
      <c r="AS22" s="442" t="str">
        <f t="shared" ca="1" si="18"/>
        <v/>
      </c>
      <c r="AT22" s="443" t="str">
        <f t="shared" ca="1" si="18"/>
        <v/>
      </c>
      <c r="AU22" s="441" t="str">
        <f t="shared" ca="1" si="18"/>
        <v/>
      </c>
      <c r="AV22" s="442" t="str">
        <f t="shared" ca="1" si="18"/>
        <v/>
      </c>
      <c r="AW22" s="442" t="str">
        <f t="shared" ca="1" si="18"/>
        <v/>
      </c>
      <c r="AX22" s="442" t="str">
        <f t="shared" ca="1" si="18"/>
        <v/>
      </c>
      <c r="AY22" s="443" t="str">
        <f t="shared" ca="1" si="18"/>
        <v/>
      </c>
      <c r="AZ22" s="441" t="str">
        <f t="shared" ca="1" si="19"/>
        <v/>
      </c>
      <c r="BA22" s="442" t="str">
        <f t="shared" ca="1" si="19"/>
        <v/>
      </c>
      <c r="BB22" s="442" t="str">
        <f t="shared" ca="1" si="19"/>
        <v/>
      </c>
      <c r="BC22" s="442" t="str">
        <f t="shared" ca="1" si="19"/>
        <v/>
      </c>
      <c r="BD22" s="443" t="str">
        <f t="shared" ca="1" si="19"/>
        <v/>
      </c>
      <c r="BE22" s="441" t="str">
        <f t="shared" ca="1" si="19"/>
        <v/>
      </c>
      <c r="BF22" s="442" t="str">
        <f t="shared" ca="1" si="19"/>
        <v/>
      </c>
      <c r="BG22" s="442" t="str">
        <f t="shared" ca="1" si="19"/>
        <v/>
      </c>
      <c r="BH22" s="442" t="str">
        <f t="shared" ca="1" si="19"/>
        <v/>
      </c>
      <c r="BI22" s="443" t="str">
        <f t="shared" ca="1" si="19"/>
        <v/>
      </c>
      <c r="BJ22" s="441" t="str">
        <f t="shared" ca="1" si="20"/>
        <v/>
      </c>
      <c r="BK22" s="442" t="str">
        <f t="shared" ca="1" si="20"/>
        <v/>
      </c>
      <c r="BL22" s="442" t="str">
        <f t="shared" ca="1" si="20"/>
        <v/>
      </c>
      <c r="BM22" s="442" t="str">
        <f t="shared" ca="1" si="20"/>
        <v/>
      </c>
      <c r="BN22" s="443" t="str">
        <f t="shared" ca="1" si="20"/>
        <v/>
      </c>
      <c r="BO22" s="441" t="str">
        <f t="shared" ca="1" si="20"/>
        <v/>
      </c>
      <c r="BP22" s="442" t="str">
        <f t="shared" ca="1" si="20"/>
        <v/>
      </c>
      <c r="BQ22" s="442" t="str">
        <f t="shared" ca="1" si="20"/>
        <v/>
      </c>
      <c r="BR22" s="442" t="str">
        <f t="shared" ca="1" si="20"/>
        <v/>
      </c>
      <c r="BS22" s="443" t="str">
        <f t="shared" ca="1" si="20"/>
        <v/>
      </c>
      <c r="BT22" s="441" t="str">
        <f t="shared" ca="1" si="21"/>
        <v/>
      </c>
      <c r="BU22" s="442" t="str">
        <f t="shared" ca="1" si="21"/>
        <v/>
      </c>
      <c r="BV22" s="442" t="str">
        <f t="shared" ca="1" si="21"/>
        <v/>
      </c>
      <c r="BW22" s="442" t="str">
        <f t="shared" ca="1" si="21"/>
        <v/>
      </c>
      <c r="BX22" s="443" t="str">
        <f t="shared" ca="1" si="21"/>
        <v/>
      </c>
      <c r="BY22" s="441" t="str">
        <f t="shared" ca="1" si="21"/>
        <v/>
      </c>
      <c r="BZ22" s="442" t="str">
        <f t="shared" ca="1" si="21"/>
        <v/>
      </c>
      <c r="CA22" s="442" t="str">
        <f t="shared" ca="1" si="21"/>
        <v/>
      </c>
      <c r="CB22" s="442" t="str">
        <f t="shared" ca="1" si="21"/>
        <v/>
      </c>
      <c r="CC22" s="443" t="str">
        <f t="shared" ca="1" si="21"/>
        <v/>
      </c>
      <c r="CD22" s="441" t="str">
        <f t="shared" ca="1" si="22"/>
        <v/>
      </c>
      <c r="CE22" s="442" t="str">
        <f t="shared" ca="1" si="22"/>
        <v/>
      </c>
      <c r="CF22" s="442" t="str">
        <f t="shared" ca="1" si="22"/>
        <v/>
      </c>
      <c r="CG22" s="442" t="str">
        <f t="shared" ca="1" si="22"/>
        <v/>
      </c>
      <c r="CH22" s="443" t="str">
        <f t="shared" ca="1" si="22"/>
        <v/>
      </c>
      <c r="CI22" s="441" t="str">
        <f t="shared" ca="1" si="22"/>
        <v/>
      </c>
      <c r="CJ22" s="442" t="str">
        <f t="shared" ca="1" si="22"/>
        <v/>
      </c>
      <c r="CK22" s="442" t="str">
        <f t="shared" ca="1" si="22"/>
        <v/>
      </c>
      <c r="CL22" s="442" t="str">
        <f t="shared" ca="1" si="22"/>
        <v/>
      </c>
      <c r="CM22" s="443" t="str">
        <f t="shared" ca="1" si="22"/>
        <v/>
      </c>
      <c r="CN22" s="441" t="str">
        <f t="shared" ca="1" si="23"/>
        <v/>
      </c>
      <c r="CO22" s="442" t="str">
        <f t="shared" ca="1" si="23"/>
        <v/>
      </c>
      <c r="CP22" s="442" t="str">
        <f t="shared" ca="1" si="23"/>
        <v/>
      </c>
      <c r="CQ22" s="442" t="str">
        <f t="shared" ca="1" si="23"/>
        <v/>
      </c>
      <c r="CR22" s="443" t="str">
        <f t="shared" ca="1" si="23"/>
        <v/>
      </c>
      <c r="CS22" s="441" t="str">
        <f t="shared" ca="1" si="23"/>
        <v/>
      </c>
      <c r="CT22" s="442" t="str">
        <f t="shared" ca="1" si="23"/>
        <v/>
      </c>
      <c r="CU22" s="442" t="str">
        <f t="shared" ca="1" si="23"/>
        <v/>
      </c>
      <c r="CV22" s="442" t="str">
        <f t="shared" ca="1" si="23"/>
        <v/>
      </c>
      <c r="CW22" s="443" t="str">
        <f t="shared" ca="1" si="23"/>
        <v/>
      </c>
      <c r="CX22" s="441" t="str">
        <f t="shared" ca="1" si="23"/>
        <v/>
      </c>
      <c r="CY22" s="442" t="str">
        <f t="shared" ca="1" si="23"/>
        <v/>
      </c>
      <c r="CZ22" s="442" t="str">
        <f t="shared" ca="1" si="23"/>
        <v/>
      </c>
      <c r="DA22" s="442" t="str">
        <f t="shared" ca="1" si="23"/>
        <v/>
      </c>
      <c r="DB22" s="443" t="str">
        <f t="shared" ca="1" si="23"/>
        <v/>
      </c>
    </row>
    <row r="23" spans="1:106" s="437" customFormat="1" ht="25" customHeight="1" x14ac:dyDescent="0.2">
      <c r="A23" s="328" t="str">
        <f>Ressourcer!S1</f>
        <v>SEIJ</v>
      </c>
      <c r="B23" s="438" t="str">
        <f t="shared" ca="1" si="14"/>
        <v/>
      </c>
      <c r="C23" s="439" t="str">
        <f t="shared" ca="1" si="14"/>
        <v/>
      </c>
      <c r="D23" s="439" t="str">
        <f t="shared" ca="1" si="14"/>
        <v/>
      </c>
      <c r="E23" s="439" t="str">
        <f t="shared" ca="1" si="14"/>
        <v/>
      </c>
      <c r="F23" s="440" t="str">
        <f t="shared" ca="1" si="14"/>
        <v/>
      </c>
      <c r="G23" s="438" t="str">
        <f t="shared" ca="1" si="14"/>
        <v/>
      </c>
      <c r="H23" s="439" t="str">
        <f t="shared" ca="1" si="14"/>
        <v/>
      </c>
      <c r="I23" s="439" t="str">
        <f t="shared" ca="1" si="14"/>
        <v/>
      </c>
      <c r="J23" s="439" t="str">
        <f t="shared" ca="1" si="14"/>
        <v/>
      </c>
      <c r="K23" s="440" t="str">
        <f t="shared" ca="1" si="14"/>
        <v/>
      </c>
      <c r="L23" s="438" t="str">
        <f t="shared" ca="1" si="15"/>
        <v/>
      </c>
      <c r="M23" s="439" t="str">
        <f t="shared" ca="1" si="15"/>
        <v/>
      </c>
      <c r="N23" s="439" t="str">
        <f t="shared" ca="1" si="15"/>
        <v/>
      </c>
      <c r="O23" s="439" t="str">
        <f t="shared" ca="1" si="15"/>
        <v/>
      </c>
      <c r="P23" s="440" t="str">
        <f t="shared" ca="1" si="15"/>
        <v/>
      </c>
      <c r="Q23" s="438" t="str">
        <f t="shared" ca="1" si="15"/>
        <v/>
      </c>
      <c r="R23" s="439" t="str">
        <f t="shared" ca="1" si="15"/>
        <v/>
      </c>
      <c r="S23" s="439" t="str">
        <f t="shared" ca="1" si="15"/>
        <v/>
      </c>
      <c r="T23" s="439" t="str">
        <f t="shared" ca="1" si="15"/>
        <v/>
      </c>
      <c r="U23" s="440" t="str">
        <f t="shared" ca="1" si="15"/>
        <v/>
      </c>
      <c r="V23" s="438" t="str">
        <f t="shared" ca="1" si="16"/>
        <v/>
      </c>
      <c r="W23" s="439" t="str">
        <f t="shared" ca="1" si="16"/>
        <v/>
      </c>
      <c r="X23" s="439" t="str">
        <f t="shared" ca="1" si="16"/>
        <v/>
      </c>
      <c r="Y23" s="439" t="str">
        <f t="shared" ca="1" si="16"/>
        <v/>
      </c>
      <c r="Z23" s="440" t="str">
        <f t="shared" ca="1" si="16"/>
        <v/>
      </c>
      <c r="AA23" s="438" t="str">
        <f t="shared" ca="1" si="16"/>
        <v/>
      </c>
      <c r="AB23" s="439" t="str">
        <f t="shared" ca="1" si="16"/>
        <v/>
      </c>
      <c r="AC23" s="439" t="str">
        <f t="shared" ca="1" si="16"/>
        <v/>
      </c>
      <c r="AD23" s="439" t="str">
        <f t="shared" ca="1" si="16"/>
        <v/>
      </c>
      <c r="AE23" s="440" t="str">
        <f t="shared" ca="1" si="16"/>
        <v/>
      </c>
      <c r="AF23" s="438" t="str">
        <f t="shared" ca="1" si="17"/>
        <v/>
      </c>
      <c r="AG23" s="439" t="str">
        <f t="shared" ca="1" si="17"/>
        <v/>
      </c>
      <c r="AH23" s="439" t="str">
        <f t="shared" ca="1" si="17"/>
        <v/>
      </c>
      <c r="AI23" s="439" t="str">
        <f t="shared" ca="1" si="17"/>
        <v/>
      </c>
      <c r="AJ23" s="440" t="str">
        <f t="shared" ca="1" si="17"/>
        <v/>
      </c>
      <c r="AK23" s="438" t="str">
        <f t="shared" ca="1" si="17"/>
        <v/>
      </c>
      <c r="AL23" s="439" t="str">
        <f t="shared" ca="1" si="17"/>
        <v/>
      </c>
      <c r="AM23" s="439" t="str">
        <f t="shared" ca="1" si="17"/>
        <v/>
      </c>
      <c r="AN23" s="439" t="str">
        <f t="shared" ca="1" si="17"/>
        <v/>
      </c>
      <c r="AO23" s="440" t="str">
        <f t="shared" ca="1" si="17"/>
        <v/>
      </c>
      <c r="AP23" s="438" t="str">
        <f t="shared" ca="1" si="18"/>
        <v/>
      </c>
      <c r="AQ23" s="439" t="str">
        <f t="shared" ca="1" si="18"/>
        <v/>
      </c>
      <c r="AR23" s="439" t="str">
        <f t="shared" ca="1" si="18"/>
        <v/>
      </c>
      <c r="AS23" s="439" t="str">
        <f t="shared" ca="1" si="18"/>
        <v/>
      </c>
      <c r="AT23" s="440" t="str">
        <f t="shared" ca="1" si="18"/>
        <v/>
      </c>
      <c r="AU23" s="438" t="str">
        <f t="shared" ca="1" si="18"/>
        <v/>
      </c>
      <c r="AV23" s="439" t="str">
        <f t="shared" ca="1" si="18"/>
        <v/>
      </c>
      <c r="AW23" s="439" t="str">
        <f t="shared" ca="1" si="18"/>
        <v/>
      </c>
      <c r="AX23" s="439" t="str">
        <f t="shared" ca="1" si="18"/>
        <v/>
      </c>
      <c r="AY23" s="440" t="str">
        <f t="shared" ca="1" si="18"/>
        <v/>
      </c>
      <c r="AZ23" s="438" t="str">
        <f t="shared" ca="1" si="19"/>
        <v/>
      </c>
      <c r="BA23" s="439" t="str">
        <f t="shared" ca="1" si="19"/>
        <v/>
      </c>
      <c r="BB23" s="439" t="str">
        <f t="shared" ca="1" si="19"/>
        <v/>
      </c>
      <c r="BC23" s="439" t="str">
        <f t="shared" ca="1" si="19"/>
        <v/>
      </c>
      <c r="BD23" s="440" t="str">
        <f t="shared" ca="1" si="19"/>
        <v/>
      </c>
      <c r="BE23" s="438" t="str">
        <f t="shared" ca="1" si="19"/>
        <v/>
      </c>
      <c r="BF23" s="439" t="str">
        <f t="shared" ca="1" si="19"/>
        <v/>
      </c>
      <c r="BG23" s="439" t="str">
        <f t="shared" ca="1" si="19"/>
        <v/>
      </c>
      <c r="BH23" s="439" t="str">
        <f t="shared" ca="1" si="19"/>
        <v/>
      </c>
      <c r="BI23" s="440" t="str">
        <f t="shared" ca="1" si="19"/>
        <v/>
      </c>
      <c r="BJ23" s="438" t="str">
        <f t="shared" ca="1" si="20"/>
        <v/>
      </c>
      <c r="BK23" s="439" t="str">
        <f t="shared" ca="1" si="20"/>
        <v/>
      </c>
      <c r="BL23" s="439" t="str">
        <f t="shared" ca="1" si="20"/>
        <v/>
      </c>
      <c r="BM23" s="439" t="str">
        <f t="shared" ca="1" si="20"/>
        <v/>
      </c>
      <c r="BN23" s="440" t="str">
        <f t="shared" ca="1" si="20"/>
        <v/>
      </c>
      <c r="BO23" s="438" t="str">
        <f t="shared" ca="1" si="20"/>
        <v/>
      </c>
      <c r="BP23" s="439" t="str">
        <f t="shared" ca="1" si="20"/>
        <v/>
      </c>
      <c r="BQ23" s="439" t="str">
        <f t="shared" ca="1" si="20"/>
        <v/>
      </c>
      <c r="BR23" s="439" t="str">
        <f t="shared" ca="1" si="20"/>
        <v/>
      </c>
      <c r="BS23" s="440" t="str">
        <f t="shared" ca="1" si="20"/>
        <v/>
      </c>
      <c r="BT23" s="438" t="str">
        <f t="shared" ca="1" si="21"/>
        <v/>
      </c>
      <c r="BU23" s="439" t="str">
        <f t="shared" ca="1" si="21"/>
        <v/>
      </c>
      <c r="BV23" s="439" t="str">
        <f t="shared" ca="1" si="21"/>
        <v/>
      </c>
      <c r="BW23" s="439" t="str">
        <f t="shared" ca="1" si="21"/>
        <v/>
      </c>
      <c r="BX23" s="440" t="str">
        <f t="shared" ca="1" si="21"/>
        <v/>
      </c>
      <c r="BY23" s="438" t="str">
        <f t="shared" ca="1" si="21"/>
        <v/>
      </c>
      <c r="BZ23" s="439" t="str">
        <f t="shared" ca="1" si="21"/>
        <v/>
      </c>
      <c r="CA23" s="439" t="str">
        <f t="shared" ca="1" si="21"/>
        <v/>
      </c>
      <c r="CB23" s="439" t="str">
        <f t="shared" ca="1" si="21"/>
        <v/>
      </c>
      <c r="CC23" s="440" t="str">
        <f t="shared" ca="1" si="21"/>
        <v/>
      </c>
      <c r="CD23" s="438" t="str">
        <f t="shared" ca="1" si="22"/>
        <v/>
      </c>
      <c r="CE23" s="439" t="str">
        <f t="shared" ca="1" si="22"/>
        <v/>
      </c>
      <c r="CF23" s="439" t="str">
        <f t="shared" ca="1" si="22"/>
        <v/>
      </c>
      <c r="CG23" s="439" t="str">
        <f t="shared" ca="1" si="22"/>
        <v/>
      </c>
      <c r="CH23" s="440" t="str">
        <f t="shared" ca="1" si="22"/>
        <v/>
      </c>
      <c r="CI23" s="438" t="str">
        <f t="shared" ca="1" si="22"/>
        <v/>
      </c>
      <c r="CJ23" s="439" t="str">
        <f t="shared" ca="1" si="22"/>
        <v/>
      </c>
      <c r="CK23" s="439" t="str">
        <f t="shared" ca="1" si="22"/>
        <v/>
      </c>
      <c r="CL23" s="439" t="str">
        <f t="shared" ca="1" si="22"/>
        <v/>
      </c>
      <c r="CM23" s="440" t="str">
        <f t="shared" ca="1" si="22"/>
        <v/>
      </c>
      <c r="CN23" s="438" t="str">
        <f t="shared" ca="1" si="23"/>
        <v/>
      </c>
      <c r="CO23" s="439" t="str">
        <f t="shared" ca="1" si="23"/>
        <v/>
      </c>
      <c r="CP23" s="439" t="str">
        <f t="shared" ca="1" si="23"/>
        <v/>
      </c>
      <c r="CQ23" s="439" t="str">
        <f t="shared" ca="1" si="23"/>
        <v/>
      </c>
      <c r="CR23" s="440" t="str">
        <f t="shared" ca="1" si="23"/>
        <v/>
      </c>
      <c r="CS23" s="438" t="str">
        <f t="shared" ca="1" si="23"/>
        <v/>
      </c>
      <c r="CT23" s="439" t="str">
        <f t="shared" ca="1" si="23"/>
        <v/>
      </c>
      <c r="CU23" s="439" t="str">
        <f t="shared" ca="1" si="23"/>
        <v/>
      </c>
      <c r="CV23" s="439" t="str">
        <f t="shared" ca="1" si="23"/>
        <v/>
      </c>
      <c r="CW23" s="440" t="str">
        <f t="shared" ca="1" si="23"/>
        <v/>
      </c>
      <c r="CX23" s="438" t="str">
        <f t="shared" ca="1" si="23"/>
        <v/>
      </c>
      <c r="CY23" s="439" t="str">
        <f t="shared" ca="1" si="23"/>
        <v/>
      </c>
      <c r="CZ23" s="439" t="str">
        <f t="shared" ca="1" si="23"/>
        <v/>
      </c>
      <c r="DA23" s="439" t="str">
        <f t="shared" ca="1" si="23"/>
        <v/>
      </c>
      <c r="DB23" s="440" t="str">
        <f t="shared" ca="1" si="23"/>
        <v/>
      </c>
    </row>
    <row r="24" spans="1:106" s="437" customFormat="1" ht="25" customHeight="1" x14ac:dyDescent="0.2">
      <c r="A24" s="329" t="str">
        <f>Ressourcer!T1</f>
        <v>SERY</v>
      </c>
      <c r="B24" s="441" t="str">
        <f t="shared" ca="1" si="14"/>
        <v/>
      </c>
      <c r="C24" s="442" t="str">
        <f t="shared" ca="1" si="14"/>
        <v/>
      </c>
      <c r="D24" s="442" t="str">
        <f t="shared" ca="1" si="14"/>
        <v/>
      </c>
      <c r="E24" s="442" t="str">
        <f t="shared" ca="1" si="14"/>
        <v/>
      </c>
      <c r="F24" s="443" t="str">
        <f t="shared" ca="1" si="14"/>
        <v/>
      </c>
      <c r="G24" s="441" t="str">
        <f t="shared" ca="1" si="14"/>
        <v/>
      </c>
      <c r="H24" s="442" t="str">
        <f t="shared" ca="1" si="14"/>
        <v/>
      </c>
      <c r="I24" s="442" t="str">
        <f t="shared" ca="1" si="14"/>
        <v/>
      </c>
      <c r="J24" s="442" t="str">
        <f t="shared" ca="1" si="14"/>
        <v/>
      </c>
      <c r="K24" s="443" t="str">
        <f t="shared" ca="1" si="14"/>
        <v/>
      </c>
      <c r="L24" s="441" t="str">
        <f t="shared" ca="1" si="15"/>
        <v/>
      </c>
      <c r="M24" s="442" t="str">
        <f t="shared" ca="1" si="15"/>
        <v/>
      </c>
      <c r="N24" s="442" t="str">
        <f t="shared" ca="1" si="15"/>
        <v/>
      </c>
      <c r="O24" s="442" t="str">
        <f t="shared" ca="1" si="15"/>
        <v/>
      </c>
      <c r="P24" s="443" t="str">
        <f t="shared" ca="1" si="15"/>
        <v/>
      </c>
      <c r="Q24" s="441" t="str">
        <f t="shared" ca="1" si="15"/>
        <v/>
      </c>
      <c r="R24" s="442" t="str">
        <f t="shared" ca="1" si="15"/>
        <v/>
      </c>
      <c r="S24" s="442" t="str">
        <f t="shared" ca="1" si="15"/>
        <v/>
      </c>
      <c r="T24" s="442" t="str">
        <f t="shared" ca="1" si="15"/>
        <v/>
      </c>
      <c r="U24" s="443" t="str">
        <f t="shared" ca="1" si="15"/>
        <v/>
      </c>
      <c r="V24" s="441" t="str">
        <f t="shared" ca="1" si="16"/>
        <v/>
      </c>
      <c r="W24" s="442" t="str">
        <f t="shared" ca="1" si="16"/>
        <v/>
      </c>
      <c r="X24" s="442" t="str">
        <f t="shared" ca="1" si="16"/>
        <v/>
      </c>
      <c r="Y24" s="442" t="str">
        <f t="shared" ca="1" si="16"/>
        <v/>
      </c>
      <c r="Z24" s="443" t="str">
        <f t="shared" ca="1" si="16"/>
        <v/>
      </c>
      <c r="AA24" s="441" t="str">
        <f t="shared" ca="1" si="16"/>
        <v/>
      </c>
      <c r="AB24" s="442" t="str">
        <f t="shared" ca="1" si="16"/>
        <v/>
      </c>
      <c r="AC24" s="442" t="str">
        <f t="shared" ca="1" si="16"/>
        <v/>
      </c>
      <c r="AD24" s="442" t="str">
        <f t="shared" ca="1" si="16"/>
        <v/>
      </c>
      <c r="AE24" s="443" t="str">
        <f t="shared" ca="1" si="16"/>
        <v/>
      </c>
      <c r="AF24" s="441" t="str">
        <f t="shared" ca="1" si="17"/>
        <v/>
      </c>
      <c r="AG24" s="442" t="str">
        <f t="shared" ca="1" si="17"/>
        <v/>
      </c>
      <c r="AH24" s="442" t="str">
        <f t="shared" ca="1" si="17"/>
        <v/>
      </c>
      <c r="AI24" s="442" t="str">
        <f t="shared" ca="1" si="17"/>
        <v/>
      </c>
      <c r="AJ24" s="443" t="str">
        <f t="shared" ca="1" si="17"/>
        <v/>
      </c>
      <c r="AK24" s="441" t="str">
        <f t="shared" ca="1" si="17"/>
        <v/>
      </c>
      <c r="AL24" s="442" t="str">
        <f t="shared" ca="1" si="17"/>
        <v/>
      </c>
      <c r="AM24" s="442" t="str">
        <f t="shared" ca="1" si="17"/>
        <v/>
      </c>
      <c r="AN24" s="442" t="str">
        <f t="shared" ca="1" si="17"/>
        <v/>
      </c>
      <c r="AO24" s="443" t="str">
        <f t="shared" ca="1" si="17"/>
        <v/>
      </c>
      <c r="AP24" s="441" t="str">
        <f t="shared" ca="1" si="18"/>
        <v/>
      </c>
      <c r="AQ24" s="442" t="str">
        <f t="shared" ca="1" si="18"/>
        <v/>
      </c>
      <c r="AR24" s="442" t="str">
        <f t="shared" ca="1" si="18"/>
        <v/>
      </c>
      <c r="AS24" s="442" t="str">
        <f t="shared" ca="1" si="18"/>
        <v/>
      </c>
      <c r="AT24" s="443" t="str">
        <f t="shared" ca="1" si="18"/>
        <v/>
      </c>
      <c r="AU24" s="441" t="str">
        <f t="shared" ca="1" si="18"/>
        <v/>
      </c>
      <c r="AV24" s="442" t="str">
        <f t="shared" ca="1" si="18"/>
        <v/>
      </c>
      <c r="AW24" s="442" t="str">
        <f t="shared" ca="1" si="18"/>
        <v/>
      </c>
      <c r="AX24" s="442" t="str">
        <f t="shared" ca="1" si="18"/>
        <v/>
      </c>
      <c r="AY24" s="443" t="str">
        <f t="shared" ca="1" si="18"/>
        <v/>
      </c>
      <c r="AZ24" s="441" t="str">
        <f t="shared" ca="1" si="19"/>
        <v/>
      </c>
      <c r="BA24" s="442" t="str">
        <f t="shared" ca="1" si="19"/>
        <v/>
      </c>
      <c r="BB24" s="442" t="str">
        <f t="shared" ca="1" si="19"/>
        <v/>
      </c>
      <c r="BC24" s="442" t="str">
        <f t="shared" ca="1" si="19"/>
        <v/>
      </c>
      <c r="BD24" s="443" t="str">
        <f t="shared" ca="1" si="19"/>
        <v/>
      </c>
      <c r="BE24" s="441" t="str">
        <f t="shared" ca="1" si="19"/>
        <v/>
      </c>
      <c r="BF24" s="442" t="str">
        <f t="shared" ca="1" si="19"/>
        <v/>
      </c>
      <c r="BG24" s="442" t="str">
        <f t="shared" ca="1" si="19"/>
        <v/>
      </c>
      <c r="BH24" s="442" t="str">
        <f t="shared" ca="1" si="19"/>
        <v/>
      </c>
      <c r="BI24" s="443" t="str">
        <f t="shared" ca="1" si="19"/>
        <v/>
      </c>
      <c r="BJ24" s="441" t="str">
        <f t="shared" ca="1" si="20"/>
        <v/>
      </c>
      <c r="BK24" s="442" t="str">
        <f t="shared" ca="1" si="20"/>
        <v/>
      </c>
      <c r="BL24" s="442" t="str">
        <f t="shared" ca="1" si="20"/>
        <v/>
      </c>
      <c r="BM24" s="442" t="str">
        <f t="shared" ca="1" si="20"/>
        <v/>
      </c>
      <c r="BN24" s="443" t="str">
        <f t="shared" ca="1" si="20"/>
        <v/>
      </c>
      <c r="BO24" s="441" t="str">
        <f t="shared" ca="1" si="20"/>
        <v/>
      </c>
      <c r="BP24" s="442" t="str">
        <f t="shared" ca="1" si="20"/>
        <v/>
      </c>
      <c r="BQ24" s="442" t="str">
        <f t="shared" ca="1" si="20"/>
        <v/>
      </c>
      <c r="BR24" s="442" t="str">
        <f t="shared" ca="1" si="20"/>
        <v/>
      </c>
      <c r="BS24" s="443" t="str">
        <f t="shared" ca="1" si="20"/>
        <v/>
      </c>
      <c r="BT24" s="441" t="str">
        <f t="shared" ca="1" si="21"/>
        <v/>
      </c>
      <c r="BU24" s="442" t="str">
        <f t="shared" ca="1" si="21"/>
        <v/>
      </c>
      <c r="BV24" s="442" t="str">
        <f t="shared" ca="1" si="21"/>
        <v/>
      </c>
      <c r="BW24" s="442" t="str">
        <f t="shared" ca="1" si="21"/>
        <v/>
      </c>
      <c r="BX24" s="443" t="str">
        <f t="shared" ca="1" si="21"/>
        <v/>
      </c>
      <c r="BY24" s="441" t="str">
        <f t="shared" ca="1" si="21"/>
        <v/>
      </c>
      <c r="BZ24" s="442" t="str">
        <f t="shared" ca="1" si="21"/>
        <v/>
      </c>
      <c r="CA24" s="442" t="str">
        <f t="shared" ca="1" si="21"/>
        <v/>
      </c>
      <c r="CB24" s="442" t="str">
        <f t="shared" ca="1" si="21"/>
        <v/>
      </c>
      <c r="CC24" s="443" t="str">
        <f t="shared" ca="1" si="21"/>
        <v/>
      </c>
      <c r="CD24" s="441" t="str">
        <f t="shared" ca="1" si="22"/>
        <v/>
      </c>
      <c r="CE24" s="442" t="str">
        <f t="shared" ca="1" si="22"/>
        <v/>
      </c>
      <c r="CF24" s="442" t="str">
        <f t="shared" ca="1" si="22"/>
        <v/>
      </c>
      <c r="CG24" s="442" t="str">
        <f t="shared" ca="1" si="22"/>
        <v/>
      </c>
      <c r="CH24" s="443" t="str">
        <f t="shared" ca="1" si="22"/>
        <v/>
      </c>
      <c r="CI24" s="441" t="str">
        <f t="shared" ca="1" si="22"/>
        <v/>
      </c>
      <c r="CJ24" s="442" t="str">
        <f t="shared" ca="1" si="22"/>
        <v/>
      </c>
      <c r="CK24" s="442" t="str">
        <f t="shared" ca="1" si="22"/>
        <v/>
      </c>
      <c r="CL24" s="442" t="str">
        <f t="shared" ca="1" si="22"/>
        <v/>
      </c>
      <c r="CM24" s="443" t="str">
        <f t="shared" ca="1" si="22"/>
        <v/>
      </c>
      <c r="CN24" s="441" t="str">
        <f t="shared" ca="1" si="23"/>
        <v/>
      </c>
      <c r="CO24" s="442" t="str">
        <f t="shared" ca="1" si="23"/>
        <v/>
      </c>
      <c r="CP24" s="442" t="str">
        <f t="shared" ca="1" si="23"/>
        <v/>
      </c>
      <c r="CQ24" s="442" t="str">
        <f t="shared" ca="1" si="23"/>
        <v/>
      </c>
      <c r="CR24" s="443" t="str">
        <f t="shared" ca="1" si="23"/>
        <v/>
      </c>
      <c r="CS24" s="441" t="str">
        <f t="shared" ca="1" si="23"/>
        <v/>
      </c>
      <c r="CT24" s="442" t="str">
        <f t="shared" ca="1" si="23"/>
        <v/>
      </c>
      <c r="CU24" s="442" t="str">
        <f t="shared" ca="1" si="23"/>
        <v/>
      </c>
      <c r="CV24" s="442" t="str">
        <f t="shared" ca="1" si="23"/>
        <v/>
      </c>
      <c r="CW24" s="443" t="str">
        <f t="shared" ca="1" si="23"/>
        <v/>
      </c>
      <c r="CX24" s="441" t="str">
        <f t="shared" ca="1" si="23"/>
        <v/>
      </c>
      <c r="CY24" s="442" t="str">
        <f t="shared" ca="1" si="23"/>
        <v/>
      </c>
      <c r="CZ24" s="442" t="str">
        <f t="shared" ca="1" si="23"/>
        <v/>
      </c>
      <c r="DA24" s="442" t="str">
        <f t="shared" ca="1" si="23"/>
        <v/>
      </c>
      <c r="DB24" s="443" t="str">
        <f t="shared" ca="1" si="23"/>
        <v/>
      </c>
    </row>
    <row r="25" spans="1:106" s="437" customFormat="1" ht="25" customHeight="1" x14ac:dyDescent="0.2">
      <c r="A25" s="328" t="str">
        <f>Ressourcer!U1</f>
        <v>THON</v>
      </c>
      <c r="B25" s="438" t="str">
        <f t="shared" ca="1" si="14"/>
        <v/>
      </c>
      <c r="C25" s="439" t="str">
        <f t="shared" ca="1" si="14"/>
        <v/>
      </c>
      <c r="D25" s="439" t="str">
        <f t="shared" ca="1" si="14"/>
        <v/>
      </c>
      <c r="E25" s="439" t="str">
        <f t="shared" ca="1" si="14"/>
        <v/>
      </c>
      <c r="F25" s="440" t="str">
        <f t="shared" ca="1" si="14"/>
        <v/>
      </c>
      <c r="G25" s="438" t="str">
        <f t="shared" ca="1" si="14"/>
        <v/>
      </c>
      <c r="H25" s="439" t="str">
        <f t="shared" ca="1" si="14"/>
        <v/>
      </c>
      <c r="I25" s="439" t="str">
        <f t="shared" ca="1" si="14"/>
        <v/>
      </c>
      <c r="J25" s="439" t="str">
        <f t="shared" ca="1" si="14"/>
        <v/>
      </c>
      <c r="K25" s="440" t="str">
        <f t="shared" ca="1" si="14"/>
        <v/>
      </c>
      <c r="L25" s="438" t="str">
        <f t="shared" ca="1" si="15"/>
        <v/>
      </c>
      <c r="M25" s="439" t="str">
        <f t="shared" ca="1" si="15"/>
        <v/>
      </c>
      <c r="N25" s="439" t="str">
        <f t="shared" ca="1" si="15"/>
        <v/>
      </c>
      <c r="O25" s="439" t="str">
        <f t="shared" ca="1" si="15"/>
        <v/>
      </c>
      <c r="P25" s="440" t="str">
        <f t="shared" ca="1" si="15"/>
        <v/>
      </c>
      <c r="Q25" s="438" t="str">
        <f t="shared" ca="1" si="15"/>
        <v/>
      </c>
      <c r="R25" s="439" t="str">
        <f t="shared" ca="1" si="15"/>
        <v/>
      </c>
      <c r="S25" s="439" t="str">
        <f t="shared" ca="1" si="15"/>
        <v/>
      </c>
      <c r="T25" s="439" t="str">
        <f t="shared" ca="1" si="15"/>
        <v/>
      </c>
      <c r="U25" s="440" t="str">
        <f t="shared" ca="1" si="15"/>
        <v/>
      </c>
      <c r="V25" s="438" t="str">
        <f t="shared" ca="1" si="16"/>
        <v/>
      </c>
      <c r="W25" s="439" t="str">
        <f t="shared" ca="1" si="16"/>
        <v/>
      </c>
      <c r="X25" s="439" t="str">
        <f t="shared" ca="1" si="16"/>
        <v/>
      </c>
      <c r="Y25" s="439" t="str">
        <f t="shared" ca="1" si="16"/>
        <v/>
      </c>
      <c r="Z25" s="440" t="str">
        <f t="shared" ca="1" si="16"/>
        <v/>
      </c>
      <c r="AA25" s="438" t="str">
        <f t="shared" ca="1" si="16"/>
        <v/>
      </c>
      <c r="AB25" s="439" t="str">
        <f t="shared" ca="1" si="16"/>
        <v/>
      </c>
      <c r="AC25" s="439" t="str">
        <f t="shared" ca="1" si="16"/>
        <v/>
      </c>
      <c r="AD25" s="439" t="str">
        <f t="shared" ca="1" si="16"/>
        <v/>
      </c>
      <c r="AE25" s="440" t="str">
        <f t="shared" ca="1" si="16"/>
        <v/>
      </c>
      <c r="AF25" s="438" t="str">
        <f t="shared" ca="1" si="17"/>
        <v/>
      </c>
      <c r="AG25" s="439" t="str">
        <f t="shared" ca="1" si="17"/>
        <v/>
      </c>
      <c r="AH25" s="439" t="str">
        <f t="shared" ca="1" si="17"/>
        <v/>
      </c>
      <c r="AI25" s="439" t="str">
        <f t="shared" ca="1" si="17"/>
        <v/>
      </c>
      <c r="AJ25" s="440" t="str">
        <f t="shared" ca="1" si="17"/>
        <v/>
      </c>
      <c r="AK25" s="438" t="str">
        <f t="shared" ca="1" si="17"/>
        <v/>
      </c>
      <c r="AL25" s="439" t="str">
        <f t="shared" ca="1" si="17"/>
        <v/>
      </c>
      <c r="AM25" s="439" t="str">
        <f t="shared" ca="1" si="17"/>
        <v/>
      </c>
      <c r="AN25" s="439" t="str">
        <f t="shared" ca="1" si="17"/>
        <v/>
      </c>
      <c r="AO25" s="440" t="str">
        <f t="shared" ca="1" si="17"/>
        <v/>
      </c>
      <c r="AP25" s="438" t="str">
        <f t="shared" ca="1" si="18"/>
        <v/>
      </c>
      <c r="AQ25" s="439" t="str">
        <f t="shared" ca="1" si="18"/>
        <v/>
      </c>
      <c r="AR25" s="439" t="str">
        <f t="shared" ca="1" si="18"/>
        <v/>
      </c>
      <c r="AS25" s="439" t="str">
        <f t="shared" ca="1" si="18"/>
        <v/>
      </c>
      <c r="AT25" s="440" t="str">
        <f t="shared" ca="1" si="18"/>
        <v/>
      </c>
      <c r="AU25" s="438" t="str">
        <f t="shared" ca="1" si="18"/>
        <v/>
      </c>
      <c r="AV25" s="439" t="str">
        <f t="shared" ca="1" si="18"/>
        <v/>
      </c>
      <c r="AW25" s="439" t="str">
        <f t="shared" ca="1" si="18"/>
        <v/>
      </c>
      <c r="AX25" s="439" t="str">
        <f t="shared" ca="1" si="18"/>
        <v/>
      </c>
      <c r="AY25" s="440" t="str">
        <f t="shared" ca="1" si="18"/>
        <v/>
      </c>
      <c r="AZ25" s="438" t="str">
        <f t="shared" ca="1" si="19"/>
        <v/>
      </c>
      <c r="BA25" s="439" t="str">
        <f t="shared" ca="1" si="19"/>
        <v/>
      </c>
      <c r="BB25" s="439" t="str">
        <f t="shared" ca="1" si="19"/>
        <v/>
      </c>
      <c r="BC25" s="439" t="str">
        <f t="shared" ca="1" si="19"/>
        <v/>
      </c>
      <c r="BD25" s="440" t="str">
        <f t="shared" ca="1" si="19"/>
        <v/>
      </c>
      <c r="BE25" s="438" t="str">
        <f t="shared" ca="1" si="19"/>
        <v/>
      </c>
      <c r="BF25" s="439" t="str">
        <f t="shared" ca="1" si="19"/>
        <v/>
      </c>
      <c r="BG25" s="439" t="str">
        <f t="shared" ca="1" si="19"/>
        <v/>
      </c>
      <c r="BH25" s="439" t="str">
        <f t="shared" ca="1" si="19"/>
        <v/>
      </c>
      <c r="BI25" s="440" t="str">
        <f t="shared" ca="1" si="19"/>
        <v/>
      </c>
      <c r="BJ25" s="438" t="str">
        <f t="shared" ca="1" si="20"/>
        <v/>
      </c>
      <c r="BK25" s="439" t="str">
        <f t="shared" ca="1" si="20"/>
        <v/>
      </c>
      <c r="BL25" s="439" t="str">
        <f t="shared" ca="1" si="20"/>
        <v/>
      </c>
      <c r="BM25" s="439" t="str">
        <f t="shared" ca="1" si="20"/>
        <v/>
      </c>
      <c r="BN25" s="440" t="str">
        <f t="shared" ca="1" si="20"/>
        <v/>
      </c>
      <c r="BO25" s="438" t="str">
        <f t="shared" ca="1" si="20"/>
        <v/>
      </c>
      <c r="BP25" s="439" t="str">
        <f t="shared" ca="1" si="20"/>
        <v/>
      </c>
      <c r="BQ25" s="439" t="str">
        <f t="shared" ca="1" si="20"/>
        <v/>
      </c>
      <c r="BR25" s="439" t="str">
        <f t="shared" ca="1" si="20"/>
        <v/>
      </c>
      <c r="BS25" s="440" t="str">
        <f t="shared" ca="1" si="20"/>
        <v/>
      </c>
      <c r="BT25" s="438" t="str">
        <f t="shared" ca="1" si="21"/>
        <v/>
      </c>
      <c r="BU25" s="439" t="str">
        <f t="shared" ca="1" si="21"/>
        <v/>
      </c>
      <c r="BV25" s="439" t="str">
        <f t="shared" ca="1" si="21"/>
        <v/>
      </c>
      <c r="BW25" s="439" t="str">
        <f t="shared" ca="1" si="21"/>
        <v/>
      </c>
      <c r="BX25" s="440" t="str">
        <f t="shared" ca="1" si="21"/>
        <v/>
      </c>
      <c r="BY25" s="438" t="str">
        <f t="shared" ca="1" si="21"/>
        <v/>
      </c>
      <c r="BZ25" s="439" t="str">
        <f t="shared" ca="1" si="21"/>
        <v/>
      </c>
      <c r="CA25" s="439" t="str">
        <f t="shared" ca="1" si="21"/>
        <v/>
      </c>
      <c r="CB25" s="439" t="str">
        <f t="shared" ca="1" si="21"/>
        <v/>
      </c>
      <c r="CC25" s="440" t="str">
        <f t="shared" ca="1" si="21"/>
        <v/>
      </c>
      <c r="CD25" s="438" t="str">
        <f t="shared" ca="1" si="22"/>
        <v/>
      </c>
      <c r="CE25" s="439" t="str">
        <f t="shared" ca="1" si="22"/>
        <v/>
      </c>
      <c r="CF25" s="439" t="str">
        <f t="shared" ca="1" si="22"/>
        <v/>
      </c>
      <c r="CG25" s="439" t="str">
        <f t="shared" ca="1" si="22"/>
        <v/>
      </c>
      <c r="CH25" s="440" t="str">
        <f t="shared" ca="1" si="22"/>
        <v/>
      </c>
      <c r="CI25" s="438" t="str">
        <f t="shared" ca="1" si="22"/>
        <v/>
      </c>
      <c r="CJ25" s="439" t="str">
        <f t="shared" ca="1" si="22"/>
        <v/>
      </c>
      <c r="CK25" s="439" t="str">
        <f t="shared" ca="1" si="22"/>
        <v/>
      </c>
      <c r="CL25" s="439" t="str">
        <f t="shared" ca="1" si="22"/>
        <v/>
      </c>
      <c r="CM25" s="440" t="str">
        <f t="shared" ca="1" si="22"/>
        <v/>
      </c>
      <c r="CN25" s="438" t="str">
        <f t="shared" ca="1" si="23"/>
        <v/>
      </c>
      <c r="CO25" s="439" t="str">
        <f t="shared" ca="1" si="23"/>
        <v/>
      </c>
      <c r="CP25" s="439" t="str">
        <f t="shared" ca="1" si="23"/>
        <v/>
      </c>
      <c r="CQ25" s="439" t="str">
        <f t="shared" ca="1" si="23"/>
        <v/>
      </c>
      <c r="CR25" s="440" t="str">
        <f t="shared" ca="1" si="23"/>
        <v/>
      </c>
      <c r="CS25" s="438" t="str">
        <f t="shared" ca="1" si="23"/>
        <v/>
      </c>
      <c r="CT25" s="439" t="str">
        <f t="shared" ca="1" si="23"/>
        <v/>
      </c>
      <c r="CU25" s="439" t="str">
        <f t="shared" ca="1" si="23"/>
        <v/>
      </c>
      <c r="CV25" s="439" t="str">
        <f t="shared" ca="1" si="23"/>
        <v/>
      </c>
      <c r="CW25" s="440" t="str">
        <f t="shared" ca="1" si="23"/>
        <v/>
      </c>
      <c r="CX25" s="438" t="str">
        <f t="shared" ca="1" si="23"/>
        <v/>
      </c>
      <c r="CY25" s="439" t="str">
        <f t="shared" ca="1" si="23"/>
        <v/>
      </c>
      <c r="CZ25" s="439" t="str">
        <f t="shared" ca="1" si="23"/>
        <v/>
      </c>
      <c r="DA25" s="439" t="str">
        <f t="shared" ca="1" si="23"/>
        <v/>
      </c>
      <c r="DB25" s="440" t="str">
        <f t="shared" ca="1" si="23"/>
        <v/>
      </c>
    </row>
    <row r="26" spans="1:106" s="437" customFormat="1" ht="25" customHeight="1" x14ac:dyDescent="0.2">
      <c r="A26" s="329" t="str">
        <f>Ressourcer!V1</f>
        <v>TRRI</v>
      </c>
      <c r="B26" s="441" t="str">
        <f t="shared" ca="1" si="14"/>
        <v/>
      </c>
      <c r="C26" s="442" t="str">
        <f t="shared" ca="1" si="14"/>
        <v/>
      </c>
      <c r="D26" s="442" t="str">
        <f t="shared" ca="1" si="14"/>
        <v/>
      </c>
      <c r="E26" s="442" t="str">
        <f t="shared" ca="1" si="14"/>
        <v/>
      </c>
      <c r="F26" s="443" t="str">
        <f t="shared" ca="1" si="14"/>
        <v/>
      </c>
      <c r="G26" s="441" t="str">
        <f t="shared" ca="1" si="14"/>
        <v/>
      </c>
      <c r="H26" s="442" t="str">
        <f t="shared" ca="1" si="14"/>
        <v/>
      </c>
      <c r="I26" s="442" t="str">
        <f t="shared" ca="1" si="14"/>
        <v/>
      </c>
      <c r="J26" s="442" t="str">
        <f t="shared" ca="1" si="14"/>
        <v/>
      </c>
      <c r="K26" s="443" t="str">
        <f t="shared" ca="1" si="14"/>
        <v/>
      </c>
      <c r="L26" s="441" t="str">
        <f t="shared" ca="1" si="15"/>
        <v/>
      </c>
      <c r="M26" s="442" t="str">
        <f t="shared" ca="1" si="15"/>
        <v/>
      </c>
      <c r="N26" s="442" t="str">
        <f t="shared" ca="1" si="15"/>
        <v/>
      </c>
      <c r="O26" s="442" t="str">
        <f t="shared" ca="1" si="15"/>
        <v/>
      </c>
      <c r="P26" s="443" t="str">
        <f t="shared" ca="1" si="15"/>
        <v/>
      </c>
      <c r="Q26" s="441" t="str">
        <f t="shared" ca="1" si="15"/>
        <v/>
      </c>
      <c r="R26" s="442" t="str">
        <f t="shared" ca="1" si="15"/>
        <v/>
      </c>
      <c r="S26" s="442" t="str">
        <f t="shared" ca="1" si="15"/>
        <v/>
      </c>
      <c r="T26" s="442" t="str">
        <f t="shared" ca="1" si="15"/>
        <v/>
      </c>
      <c r="U26" s="443" t="str">
        <f t="shared" ca="1" si="15"/>
        <v/>
      </c>
      <c r="V26" s="441" t="str">
        <f t="shared" ca="1" si="16"/>
        <v/>
      </c>
      <c r="W26" s="442" t="str">
        <f t="shared" ca="1" si="16"/>
        <v/>
      </c>
      <c r="X26" s="442" t="str">
        <f t="shared" ca="1" si="16"/>
        <v/>
      </c>
      <c r="Y26" s="442" t="str">
        <f t="shared" ca="1" si="16"/>
        <v/>
      </c>
      <c r="Z26" s="443" t="str">
        <f t="shared" ca="1" si="16"/>
        <v/>
      </c>
      <c r="AA26" s="441" t="str">
        <f t="shared" ca="1" si="16"/>
        <v/>
      </c>
      <c r="AB26" s="442" t="str">
        <f t="shared" ca="1" si="16"/>
        <v/>
      </c>
      <c r="AC26" s="442" t="str">
        <f t="shared" ca="1" si="16"/>
        <v/>
      </c>
      <c r="AD26" s="442" t="str">
        <f t="shared" ca="1" si="16"/>
        <v/>
      </c>
      <c r="AE26" s="443" t="str">
        <f t="shared" ca="1" si="16"/>
        <v/>
      </c>
      <c r="AF26" s="441" t="str">
        <f t="shared" ca="1" si="17"/>
        <v/>
      </c>
      <c r="AG26" s="442" t="str">
        <f t="shared" ca="1" si="17"/>
        <v/>
      </c>
      <c r="AH26" s="442" t="str">
        <f t="shared" ca="1" si="17"/>
        <v/>
      </c>
      <c r="AI26" s="442" t="str">
        <f t="shared" ca="1" si="17"/>
        <v/>
      </c>
      <c r="AJ26" s="443" t="str">
        <f t="shared" ca="1" si="17"/>
        <v/>
      </c>
      <c r="AK26" s="441" t="str">
        <f t="shared" ca="1" si="17"/>
        <v/>
      </c>
      <c r="AL26" s="442" t="str">
        <f t="shared" ca="1" si="17"/>
        <v/>
      </c>
      <c r="AM26" s="442" t="str">
        <f t="shared" ca="1" si="17"/>
        <v/>
      </c>
      <c r="AN26" s="442" t="str">
        <f t="shared" ca="1" si="17"/>
        <v/>
      </c>
      <c r="AO26" s="443" t="str">
        <f t="shared" ca="1" si="17"/>
        <v/>
      </c>
      <c r="AP26" s="441" t="str">
        <f t="shared" ca="1" si="18"/>
        <v/>
      </c>
      <c r="AQ26" s="442" t="str">
        <f t="shared" ca="1" si="18"/>
        <v/>
      </c>
      <c r="AR26" s="442" t="str">
        <f t="shared" ca="1" si="18"/>
        <v/>
      </c>
      <c r="AS26" s="442" t="str">
        <f t="shared" ca="1" si="18"/>
        <v/>
      </c>
      <c r="AT26" s="443" t="str">
        <f t="shared" ca="1" si="18"/>
        <v/>
      </c>
      <c r="AU26" s="441" t="str">
        <f t="shared" ca="1" si="18"/>
        <v/>
      </c>
      <c r="AV26" s="442" t="str">
        <f t="shared" ca="1" si="18"/>
        <v/>
      </c>
      <c r="AW26" s="442" t="str">
        <f t="shared" ca="1" si="18"/>
        <v/>
      </c>
      <c r="AX26" s="442" t="str">
        <f t="shared" ca="1" si="18"/>
        <v/>
      </c>
      <c r="AY26" s="443" t="str">
        <f t="shared" ca="1" si="18"/>
        <v/>
      </c>
      <c r="AZ26" s="441" t="str">
        <f t="shared" ca="1" si="19"/>
        <v/>
      </c>
      <c r="BA26" s="442" t="str">
        <f t="shared" ca="1" si="19"/>
        <v/>
      </c>
      <c r="BB26" s="442" t="str">
        <f t="shared" ca="1" si="19"/>
        <v/>
      </c>
      <c r="BC26" s="442" t="str">
        <f t="shared" ca="1" si="19"/>
        <v/>
      </c>
      <c r="BD26" s="443" t="str">
        <f t="shared" ca="1" si="19"/>
        <v/>
      </c>
      <c r="BE26" s="441" t="str">
        <f t="shared" ca="1" si="19"/>
        <v/>
      </c>
      <c r="BF26" s="442" t="str">
        <f t="shared" ca="1" si="19"/>
        <v/>
      </c>
      <c r="BG26" s="442" t="str">
        <f t="shared" ca="1" si="19"/>
        <v/>
      </c>
      <c r="BH26" s="442" t="str">
        <f t="shared" ca="1" si="19"/>
        <v/>
      </c>
      <c r="BI26" s="443" t="str">
        <f t="shared" ca="1" si="19"/>
        <v/>
      </c>
      <c r="BJ26" s="441" t="str">
        <f t="shared" ca="1" si="20"/>
        <v/>
      </c>
      <c r="BK26" s="442" t="str">
        <f t="shared" ca="1" si="20"/>
        <v/>
      </c>
      <c r="BL26" s="442" t="str">
        <f t="shared" ca="1" si="20"/>
        <v/>
      </c>
      <c r="BM26" s="442" t="str">
        <f t="shared" ca="1" si="20"/>
        <v/>
      </c>
      <c r="BN26" s="443" t="str">
        <f t="shared" ca="1" si="20"/>
        <v/>
      </c>
      <c r="BO26" s="441" t="str">
        <f t="shared" ca="1" si="20"/>
        <v/>
      </c>
      <c r="BP26" s="442" t="str">
        <f t="shared" ca="1" si="20"/>
        <v/>
      </c>
      <c r="BQ26" s="442" t="str">
        <f t="shared" ca="1" si="20"/>
        <v/>
      </c>
      <c r="BR26" s="442" t="str">
        <f t="shared" ca="1" si="20"/>
        <v/>
      </c>
      <c r="BS26" s="443" t="str">
        <f t="shared" ca="1" si="20"/>
        <v/>
      </c>
      <c r="BT26" s="441" t="str">
        <f t="shared" ca="1" si="21"/>
        <v/>
      </c>
      <c r="BU26" s="442" t="str">
        <f t="shared" ca="1" si="21"/>
        <v/>
      </c>
      <c r="BV26" s="442" t="str">
        <f t="shared" ca="1" si="21"/>
        <v/>
      </c>
      <c r="BW26" s="442" t="str">
        <f t="shared" ca="1" si="21"/>
        <v/>
      </c>
      <c r="BX26" s="443" t="str">
        <f t="shared" ca="1" si="21"/>
        <v/>
      </c>
      <c r="BY26" s="441" t="str">
        <f t="shared" ca="1" si="21"/>
        <v/>
      </c>
      <c r="BZ26" s="442" t="str">
        <f t="shared" ca="1" si="21"/>
        <v/>
      </c>
      <c r="CA26" s="442" t="str">
        <f t="shared" ca="1" si="21"/>
        <v/>
      </c>
      <c r="CB26" s="442" t="str">
        <f t="shared" ca="1" si="21"/>
        <v/>
      </c>
      <c r="CC26" s="443" t="str">
        <f t="shared" ca="1" si="21"/>
        <v/>
      </c>
      <c r="CD26" s="441" t="str">
        <f t="shared" ca="1" si="22"/>
        <v/>
      </c>
      <c r="CE26" s="442" t="str">
        <f t="shared" ca="1" si="22"/>
        <v/>
      </c>
      <c r="CF26" s="442" t="str">
        <f t="shared" ca="1" si="22"/>
        <v/>
      </c>
      <c r="CG26" s="442" t="str">
        <f t="shared" ca="1" si="22"/>
        <v/>
      </c>
      <c r="CH26" s="443" t="str">
        <f t="shared" ca="1" si="22"/>
        <v/>
      </c>
      <c r="CI26" s="441" t="str">
        <f t="shared" ca="1" si="22"/>
        <v/>
      </c>
      <c r="CJ26" s="442" t="str">
        <f t="shared" ca="1" si="22"/>
        <v/>
      </c>
      <c r="CK26" s="442" t="str">
        <f t="shared" ca="1" si="22"/>
        <v/>
      </c>
      <c r="CL26" s="442" t="str">
        <f t="shared" ca="1" si="22"/>
        <v/>
      </c>
      <c r="CM26" s="443" t="str">
        <f t="shared" ca="1" si="22"/>
        <v/>
      </c>
      <c r="CN26" s="441" t="str">
        <f t="shared" ca="1" si="23"/>
        <v/>
      </c>
      <c r="CO26" s="442" t="str">
        <f t="shared" ca="1" si="23"/>
        <v/>
      </c>
      <c r="CP26" s="442" t="str">
        <f t="shared" ca="1" si="23"/>
        <v/>
      </c>
      <c r="CQ26" s="442" t="str">
        <f t="shared" ca="1" si="23"/>
        <v/>
      </c>
      <c r="CR26" s="443" t="str">
        <f t="shared" ca="1" si="23"/>
        <v/>
      </c>
      <c r="CS26" s="441" t="str">
        <f t="shared" ca="1" si="23"/>
        <v/>
      </c>
      <c r="CT26" s="442" t="str">
        <f t="shared" ca="1" si="23"/>
        <v/>
      </c>
      <c r="CU26" s="442" t="str">
        <f t="shared" ca="1" si="23"/>
        <v/>
      </c>
      <c r="CV26" s="442" t="str">
        <f t="shared" ca="1" si="23"/>
        <v/>
      </c>
      <c r="CW26" s="443" t="str">
        <f t="shared" ca="1" si="23"/>
        <v/>
      </c>
      <c r="CX26" s="441" t="str">
        <f t="shared" ca="1" si="23"/>
        <v/>
      </c>
      <c r="CY26" s="442" t="str">
        <f t="shared" ca="1" si="23"/>
        <v/>
      </c>
      <c r="CZ26" s="442" t="str">
        <f t="shared" ca="1" si="23"/>
        <v/>
      </c>
      <c r="DA26" s="442" t="str">
        <f t="shared" ca="1" si="23"/>
        <v/>
      </c>
      <c r="DB26" s="443" t="str">
        <f t="shared" ca="1" si="23"/>
        <v/>
      </c>
    </row>
    <row r="27" spans="1:106" s="437" customFormat="1" ht="25" customHeight="1" thickBot="1" x14ac:dyDescent="0.25">
      <c r="A27" s="330" t="str">
        <f>Ressourcer!W1</f>
        <v>ULPE</v>
      </c>
      <c r="B27" s="444" t="str">
        <f t="shared" ca="1" si="14"/>
        <v/>
      </c>
      <c r="C27" s="445" t="str">
        <f t="shared" ca="1" si="14"/>
        <v/>
      </c>
      <c r="D27" s="445" t="str">
        <f t="shared" ca="1" si="14"/>
        <v/>
      </c>
      <c r="E27" s="445" t="str">
        <f t="shared" ca="1" si="14"/>
        <v/>
      </c>
      <c r="F27" s="446" t="str">
        <f t="shared" ca="1" si="14"/>
        <v/>
      </c>
      <c r="G27" s="444" t="str">
        <f t="shared" ca="1" si="14"/>
        <v/>
      </c>
      <c r="H27" s="445" t="str">
        <f t="shared" ca="1" si="14"/>
        <v/>
      </c>
      <c r="I27" s="445" t="str">
        <f t="shared" ca="1" si="14"/>
        <v/>
      </c>
      <c r="J27" s="445" t="str">
        <f t="shared" ca="1" si="14"/>
        <v/>
      </c>
      <c r="K27" s="446" t="str">
        <f t="shared" ca="1" si="14"/>
        <v/>
      </c>
      <c r="L27" s="444" t="str">
        <f t="shared" ca="1" si="15"/>
        <v/>
      </c>
      <c r="M27" s="445" t="str">
        <f t="shared" ca="1" si="15"/>
        <v/>
      </c>
      <c r="N27" s="445" t="str">
        <f t="shared" ca="1" si="15"/>
        <v/>
      </c>
      <c r="O27" s="445" t="str">
        <f t="shared" ca="1" si="15"/>
        <v/>
      </c>
      <c r="P27" s="446" t="str">
        <f t="shared" ca="1" si="15"/>
        <v/>
      </c>
      <c r="Q27" s="444" t="str">
        <f t="shared" ca="1" si="15"/>
        <v/>
      </c>
      <c r="R27" s="445" t="str">
        <f t="shared" ca="1" si="15"/>
        <v/>
      </c>
      <c r="S27" s="445" t="str">
        <f t="shared" ca="1" si="15"/>
        <v/>
      </c>
      <c r="T27" s="445" t="str">
        <f t="shared" ca="1" si="15"/>
        <v/>
      </c>
      <c r="U27" s="446" t="str">
        <f t="shared" ca="1" si="15"/>
        <v/>
      </c>
      <c r="V27" s="444" t="str">
        <f t="shared" ca="1" si="16"/>
        <v/>
      </c>
      <c r="W27" s="445" t="str">
        <f t="shared" ca="1" si="16"/>
        <v/>
      </c>
      <c r="X27" s="445" t="str">
        <f t="shared" ca="1" si="16"/>
        <v/>
      </c>
      <c r="Y27" s="445" t="str">
        <f t="shared" ca="1" si="16"/>
        <v/>
      </c>
      <c r="Z27" s="446" t="str">
        <f t="shared" ca="1" si="16"/>
        <v/>
      </c>
      <c r="AA27" s="444" t="str">
        <f t="shared" ca="1" si="16"/>
        <v/>
      </c>
      <c r="AB27" s="445" t="str">
        <f t="shared" ca="1" si="16"/>
        <v/>
      </c>
      <c r="AC27" s="445" t="str">
        <f t="shared" ca="1" si="16"/>
        <v/>
      </c>
      <c r="AD27" s="445" t="str">
        <f t="shared" ca="1" si="16"/>
        <v/>
      </c>
      <c r="AE27" s="446" t="str">
        <f t="shared" ca="1" si="16"/>
        <v/>
      </c>
      <c r="AF27" s="444" t="str">
        <f t="shared" ca="1" si="17"/>
        <v/>
      </c>
      <c r="AG27" s="445" t="str">
        <f t="shared" ca="1" si="17"/>
        <v/>
      </c>
      <c r="AH27" s="445" t="str">
        <f t="shared" ca="1" si="17"/>
        <v/>
      </c>
      <c r="AI27" s="445" t="str">
        <f t="shared" ca="1" si="17"/>
        <v/>
      </c>
      <c r="AJ27" s="446" t="str">
        <f t="shared" ca="1" si="17"/>
        <v/>
      </c>
      <c r="AK27" s="444" t="str">
        <f t="shared" ca="1" si="17"/>
        <v/>
      </c>
      <c r="AL27" s="445" t="str">
        <f t="shared" ca="1" si="17"/>
        <v/>
      </c>
      <c r="AM27" s="445" t="str">
        <f t="shared" ca="1" si="17"/>
        <v/>
      </c>
      <c r="AN27" s="445" t="str">
        <f t="shared" ca="1" si="17"/>
        <v/>
      </c>
      <c r="AO27" s="446" t="str">
        <f t="shared" ca="1" si="17"/>
        <v/>
      </c>
      <c r="AP27" s="444" t="str">
        <f t="shared" ca="1" si="18"/>
        <v/>
      </c>
      <c r="AQ27" s="445" t="str">
        <f t="shared" ca="1" si="18"/>
        <v/>
      </c>
      <c r="AR27" s="445" t="str">
        <f t="shared" ca="1" si="18"/>
        <v/>
      </c>
      <c r="AS27" s="445" t="str">
        <f t="shared" ca="1" si="18"/>
        <v/>
      </c>
      <c r="AT27" s="446" t="str">
        <f t="shared" ca="1" si="18"/>
        <v/>
      </c>
      <c r="AU27" s="444" t="str">
        <f t="shared" ca="1" si="18"/>
        <v/>
      </c>
      <c r="AV27" s="445" t="str">
        <f t="shared" ca="1" si="18"/>
        <v/>
      </c>
      <c r="AW27" s="445" t="str">
        <f t="shared" ca="1" si="18"/>
        <v/>
      </c>
      <c r="AX27" s="445" t="str">
        <f t="shared" ca="1" si="18"/>
        <v/>
      </c>
      <c r="AY27" s="446" t="str">
        <f t="shared" ca="1" si="18"/>
        <v/>
      </c>
      <c r="AZ27" s="444" t="str">
        <f t="shared" ca="1" si="19"/>
        <v/>
      </c>
      <c r="BA27" s="445" t="str">
        <f t="shared" ca="1" si="19"/>
        <v/>
      </c>
      <c r="BB27" s="445" t="str">
        <f t="shared" ca="1" si="19"/>
        <v/>
      </c>
      <c r="BC27" s="445" t="str">
        <f t="shared" ca="1" si="19"/>
        <v/>
      </c>
      <c r="BD27" s="446" t="str">
        <f t="shared" ca="1" si="19"/>
        <v/>
      </c>
      <c r="BE27" s="444" t="str">
        <f t="shared" ca="1" si="19"/>
        <v/>
      </c>
      <c r="BF27" s="445" t="str">
        <f t="shared" ca="1" si="19"/>
        <v/>
      </c>
      <c r="BG27" s="445" t="str">
        <f t="shared" ca="1" si="19"/>
        <v/>
      </c>
      <c r="BH27" s="445" t="str">
        <f t="shared" ca="1" si="19"/>
        <v/>
      </c>
      <c r="BI27" s="446" t="str">
        <f t="shared" ca="1" si="19"/>
        <v/>
      </c>
      <c r="BJ27" s="444" t="str">
        <f t="shared" ca="1" si="20"/>
        <v/>
      </c>
      <c r="BK27" s="445" t="str">
        <f t="shared" ca="1" si="20"/>
        <v/>
      </c>
      <c r="BL27" s="445" t="str">
        <f t="shared" ca="1" si="20"/>
        <v/>
      </c>
      <c r="BM27" s="445" t="str">
        <f t="shared" ca="1" si="20"/>
        <v/>
      </c>
      <c r="BN27" s="446" t="str">
        <f t="shared" ca="1" si="20"/>
        <v/>
      </c>
      <c r="BO27" s="444" t="str">
        <f t="shared" ca="1" si="20"/>
        <v/>
      </c>
      <c r="BP27" s="445" t="str">
        <f t="shared" ca="1" si="20"/>
        <v/>
      </c>
      <c r="BQ27" s="445" t="str">
        <f t="shared" ca="1" si="20"/>
        <v/>
      </c>
      <c r="BR27" s="445" t="str">
        <f t="shared" ca="1" si="20"/>
        <v/>
      </c>
      <c r="BS27" s="446" t="str">
        <f t="shared" ca="1" si="20"/>
        <v/>
      </c>
      <c r="BT27" s="444" t="str">
        <f t="shared" ca="1" si="21"/>
        <v/>
      </c>
      <c r="BU27" s="445" t="str">
        <f t="shared" ca="1" si="21"/>
        <v/>
      </c>
      <c r="BV27" s="445" t="str">
        <f t="shared" ca="1" si="21"/>
        <v/>
      </c>
      <c r="BW27" s="445" t="str">
        <f t="shared" ca="1" si="21"/>
        <v/>
      </c>
      <c r="BX27" s="446" t="str">
        <f t="shared" ca="1" si="21"/>
        <v/>
      </c>
      <c r="BY27" s="444" t="str">
        <f t="shared" ca="1" si="21"/>
        <v/>
      </c>
      <c r="BZ27" s="445" t="str">
        <f t="shared" ca="1" si="21"/>
        <v/>
      </c>
      <c r="CA27" s="445" t="str">
        <f t="shared" ca="1" si="21"/>
        <v/>
      </c>
      <c r="CB27" s="445" t="str">
        <f t="shared" ca="1" si="21"/>
        <v/>
      </c>
      <c r="CC27" s="446" t="str">
        <f t="shared" ca="1" si="21"/>
        <v/>
      </c>
      <c r="CD27" s="444" t="str">
        <f t="shared" ca="1" si="22"/>
        <v/>
      </c>
      <c r="CE27" s="445" t="str">
        <f t="shared" ca="1" si="22"/>
        <v/>
      </c>
      <c r="CF27" s="445" t="str">
        <f t="shared" ca="1" si="22"/>
        <v/>
      </c>
      <c r="CG27" s="445" t="str">
        <f t="shared" ca="1" si="22"/>
        <v/>
      </c>
      <c r="CH27" s="446" t="str">
        <f t="shared" ca="1" si="22"/>
        <v/>
      </c>
      <c r="CI27" s="444" t="str">
        <f t="shared" ca="1" si="22"/>
        <v/>
      </c>
      <c r="CJ27" s="445" t="str">
        <f t="shared" ca="1" si="22"/>
        <v/>
      </c>
      <c r="CK27" s="445" t="str">
        <f t="shared" ca="1" si="22"/>
        <v/>
      </c>
      <c r="CL27" s="445" t="str">
        <f t="shared" ca="1" si="22"/>
        <v/>
      </c>
      <c r="CM27" s="446" t="str">
        <f t="shared" ca="1" si="22"/>
        <v/>
      </c>
      <c r="CN27" s="444" t="str">
        <f t="shared" ca="1" si="23"/>
        <v/>
      </c>
      <c r="CO27" s="445" t="str">
        <f t="shared" ca="1" si="23"/>
        <v/>
      </c>
      <c r="CP27" s="445" t="str">
        <f t="shared" ca="1" si="23"/>
        <v/>
      </c>
      <c r="CQ27" s="445" t="str">
        <f t="shared" ca="1" si="23"/>
        <v/>
      </c>
      <c r="CR27" s="446" t="str">
        <f t="shared" ca="1" si="23"/>
        <v/>
      </c>
      <c r="CS27" s="444" t="str">
        <f t="shared" ca="1" si="23"/>
        <v/>
      </c>
      <c r="CT27" s="445" t="str">
        <f t="shared" ca="1" si="23"/>
        <v/>
      </c>
      <c r="CU27" s="445" t="str">
        <f t="shared" ca="1" si="23"/>
        <v/>
      </c>
      <c r="CV27" s="445" t="str">
        <f t="shared" ca="1" si="23"/>
        <v/>
      </c>
      <c r="CW27" s="446" t="str">
        <f t="shared" ca="1" si="23"/>
        <v/>
      </c>
      <c r="CX27" s="444" t="str">
        <f t="shared" ca="1" si="23"/>
        <v/>
      </c>
      <c r="CY27" s="445" t="str">
        <f t="shared" ca="1" si="23"/>
        <v/>
      </c>
      <c r="CZ27" s="445" t="str">
        <f t="shared" ca="1" si="23"/>
        <v/>
      </c>
      <c r="DA27" s="445" t="str">
        <f t="shared" ca="1" si="23"/>
        <v/>
      </c>
      <c r="DB27" s="446" t="str">
        <f t="shared" ca="1" si="23"/>
        <v/>
      </c>
    </row>
    <row r="28" spans="1:106" x14ac:dyDescent="0.2">
      <c r="A28" s="331"/>
    </row>
    <row r="40" spans="14:14" x14ac:dyDescent="0.2">
      <c r="N40" s="447"/>
    </row>
  </sheetData>
  <mergeCells count="22">
    <mergeCell ref="CN2:CR2"/>
    <mergeCell ref="CS2:CW2"/>
    <mergeCell ref="CX2:DB2"/>
    <mergeCell ref="A3:A4"/>
    <mergeCell ref="BJ2:BN2"/>
    <mergeCell ref="BO2:BS2"/>
    <mergeCell ref="BT2:BX2"/>
    <mergeCell ref="BY2:CC2"/>
    <mergeCell ref="CD2:CH2"/>
    <mergeCell ref="CI2:CM2"/>
    <mergeCell ref="AF2:AJ2"/>
    <mergeCell ref="AK2:AO2"/>
    <mergeCell ref="AP2:AT2"/>
    <mergeCell ref="AU2:AY2"/>
    <mergeCell ref="AZ2:BD2"/>
    <mergeCell ref="BE2:BI2"/>
    <mergeCell ref="AA2:AE2"/>
    <mergeCell ref="B2:F2"/>
    <mergeCell ref="G2:K2"/>
    <mergeCell ref="L2:P2"/>
    <mergeCell ref="Q2:U2"/>
    <mergeCell ref="V2:Z2"/>
  </mergeCells>
  <conditionalFormatting sqref="B6:DB27">
    <cfRule type="expression" dxfId="831" priority="2">
      <formula>B6="X"</formula>
    </cfRule>
  </conditionalFormatting>
  <conditionalFormatting sqref="A6:A27">
    <cfRule type="expression" dxfId="830" priority="1">
      <formula>COUNTIF($B6:$DC6,"X")&gt;0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D9DABB-41D5-7D48-A54B-23986AAC33AA}">
  <sheetPr codeName="Sheet11"/>
  <dimension ref="A1:FI40"/>
  <sheetViews>
    <sheetView workbookViewId="0">
      <pane xSplit="4" topLeftCell="E1" activePane="topRight" state="frozen"/>
      <selection pane="topRight" activeCell="E1" sqref="E1"/>
    </sheetView>
  </sheetViews>
  <sheetFormatPr baseColWidth="10" defaultColWidth="10.83203125" defaultRowHeight="16" x14ac:dyDescent="0.2"/>
  <cols>
    <col min="1" max="1" width="3.83203125" style="134" customWidth="1"/>
    <col min="2" max="109" width="12.83203125" style="134" customWidth="1"/>
    <col min="110" max="16384" width="10.83203125" style="134"/>
  </cols>
  <sheetData>
    <row r="1" spans="1:165" ht="17" thickBot="1" x14ac:dyDescent="0.25"/>
    <row r="2" spans="1:165" ht="17" thickBot="1" x14ac:dyDescent="0.25">
      <c r="B2" s="477" t="s">
        <v>363</v>
      </c>
      <c r="C2" s="477"/>
      <c r="D2" s="477"/>
      <c r="E2" s="464" t="str">
        <f>_xlfn.CONCAT("Uge ",_xlfn.ISOWEEKNUM(E5))</f>
        <v>Uge 5</v>
      </c>
      <c r="F2" s="465"/>
      <c r="G2" s="465"/>
      <c r="H2" s="465"/>
      <c r="I2" s="466"/>
      <c r="J2" s="464" t="str">
        <f t="shared" ref="J2" si="0">_xlfn.CONCAT("Uge ",_xlfn.ISOWEEKNUM(J5))</f>
        <v>Uge 6</v>
      </c>
      <c r="K2" s="465"/>
      <c r="L2" s="465"/>
      <c r="M2" s="465"/>
      <c r="N2" s="466"/>
      <c r="O2" s="464" t="str">
        <f t="shared" ref="O2" si="1">_xlfn.CONCAT("Uge ",_xlfn.ISOWEEKNUM(O5))</f>
        <v>Uge 7</v>
      </c>
      <c r="P2" s="465"/>
      <c r="Q2" s="465"/>
      <c r="R2" s="465"/>
      <c r="S2" s="466"/>
      <c r="T2" s="464" t="str">
        <f t="shared" ref="T2" si="2">_xlfn.CONCAT("Uge ",_xlfn.ISOWEEKNUM(T5))</f>
        <v>Uge 8</v>
      </c>
      <c r="U2" s="465"/>
      <c r="V2" s="465"/>
      <c r="W2" s="465"/>
      <c r="X2" s="466"/>
      <c r="Y2" s="464" t="str">
        <f t="shared" ref="Y2" si="3">_xlfn.CONCAT("Uge ",_xlfn.ISOWEEKNUM(Y5))</f>
        <v>Uge 9</v>
      </c>
      <c r="Z2" s="465"/>
      <c r="AA2" s="465"/>
      <c r="AB2" s="465"/>
      <c r="AC2" s="466"/>
      <c r="AD2" s="464" t="str">
        <f t="shared" ref="AD2" si="4">_xlfn.CONCAT("Uge ",_xlfn.ISOWEEKNUM(AD5))</f>
        <v>Uge 10</v>
      </c>
      <c r="AE2" s="465"/>
      <c r="AF2" s="465"/>
      <c r="AG2" s="465"/>
      <c r="AH2" s="466"/>
      <c r="AI2" s="464" t="str">
        <f t="shared" ref="AI2" si="5">_xlfn.CONCAT("Uge ",_xlfn.ISOWEEKNUM(AI5))</f>
        <v>Uge 11</v>
      </c>
      <c r="AJ2" s="465"/>
      <c r="AK2" s="465"/>
      <c r="AL2" s="465"/>
      <c r="AM2" s="466"/>
      <c r="AN2" s="464" t="str">
        <f t="shared" ref="AN2" si="6">_xlfn.CONCAT("Uge ",_xlfn.ISOWEEKNUM(AN5))</f>
        <v>Uge 12</v>
      </c>
      <c r="AO2" s="465"/>
      <c r="AP2" s="465"/>
      <c r="AQ2" s="465"/>
      <c r="AR2" s="466"/>
      <c r="AS2" s="464" t="str">
        <f t="shared" ref="AS2" si="7">_xlfn.CONCAT("Uge ",_xlfn.ISOWEEKNUM(AS5))</f>
        <v>Uge 13</v>
      </c>
      <c r="AT2" s="465"/>
      <c r="AU2" s="465"/>
      <c r="AV2" s="465"/>
      <c r="AW2" s="466"/>
      <c r="AX2" s="464" t="str">
        <f t="shared" ref="AX2" si="8">_xlfn.CONCAT("Uge ",_xlfn.ISOWEEKNUM(AX5))</f>
        <v>Uge 14</v>
      </c>
      <c r="AY2" s="465"/>
      <c r="AZ2" s="465"/>
      <c r="BA2" s="465"/>
      <c r="BB2" s="466"/>
      <c r="BC2" s="464" t="str">
        <f t="shared" ref="BC2" si="9">_xlfn.CONCAT("Uge ",_xlfn.ISOWEEKNUM(BC5))</f>
        <v>Uge 15</v>
      </c>
      <c r="BD2" s="465"/>
      <c r="BE2" s="465"/>
      <c r="BF2" s="465"/>
      <c r="BG2" s="466"/>
      <c r="BH2" s="464" t="str">
        <f t="shared" ref="BH2" si="10">_xlfn.CONCAT("Uge ",_xlfn.ISOWEEKNUM(BH5))</f>
        <v>Uge 16</v>
      </c>
      <c r="BI2" s="465"/>
      <c r="BJ2" s="465"/>
      <c r="BK2" s="465"/>
      <c r="BL2" s="466"/>
      <c r="BM2" s="464" t="str">
        <f t="shared" ref="BM2" si="11">_xlfn.CONCAT("Uge ",_xlfn.ISOWEEKNUM(BM5))</f>
        <v>Uge 17</v>
      </c>
      <c r="BN2" s="465"/>
      <c r="BO2" s="465"/>
      <c r="BP2" s="465"/>
      <c r="BQ2" s="466"/>
      <c r="BR2" s="464" t="str">
        <f t="shared" ref="BR2" si="12">_xlfn.CONCAT("Uge ",_xlfn.ISOWEEKNUM(BR5))</f>
        <v>Uge 18</v>
      </c>
      <c r="BS2" s="465"/>
      <c r="BT2" s="465"/>
      <c r="BU2" s="465"/>
      <c r="BV2" s="466"/>
      <c r="BW2" s="464" t="str">
        <f t="shared" ref="BW2" si="13">_xlfn.CONCAT("Uge ",_xlfn.ISOWEEKNUM(BW5))</f>
        <v>Uge 19</v>
      </c>
      <c r="BX2" s="465"/>
      <c r="BY2" s="465"/>
      <c r="BZ2" s="465"/>
      <c r="CA2" s="466"/>
      <c r="CB2" s="464" t="str">
        <f t="shared" ref="CB2" si="14">_xlfn.CONCAT("Uge ",_xlfn.ISOWEEKNUM(CB5))</f>
        <v>Uge 20</v>
      </c>
      <c r="CC2" s="465"/>
      <c r="CD2" s="465"/>
      <c r="CE2" s="465"/>
      <c r="CF2" s="466"/>
      <c r="CG2" s="464" t="str">
        <f t="shared" ref="CG2" si="15">_xlfn.CONCAT("Uge ",_xlfn.ISOWEEKNUM(CG5))</f>
        <v>Uge 21</v>
      </c>
      <c r="CH2" s="465"/>
      <c r="CI2" s="465"/>
      <c r="CJ2" s="465"/>
      <c r="CK2" s="466"/>
      <c r="CL2" s="464" t="str">
        <f t="shared" ref="CL2" si="16">_xlfn.CONCAT("Uge ",_xlfn.ISOWEEKNUM(CL5))</f>
        <v>Uge 22</v>
      </c>
      <c r="CM2" s="465"/>
      <c r="CN2" s="465"/>
      <c r="CO2" s="465"/>
      <c r="CP2" s="466"/>
      <c r="CQ2" s="464" t="str">
        <f t="shared" ref="CQ2" si="17">_xlfn.CONCAT("Uge ",_xlfn.ISOWEEKNUM(CQ5))</f>
        <v>Uge 23</v>
      </c>
      <c r="CR2" s="465"/>
      <c r="CS2" s="465"/>
      <c r="CT2" s="465"/>
      <c r="CU2" s="466"/>
      <c r="CV2" s="464" t="str">
        <f t="shared" ref="CV2" si="18">_xlfn.CONCAT("Uge ",_xlfn.ISOWEEKNUM(CV5))</f>
        <v>Uge 24</v>
      </c>
      <c r="CW2" s="465"/>
      <c r="CX2" s="465"/>
      <c r="CY2" s="465"/>
      <c r="CZ2" s="466"/>
      <c r="DA2" s="464" t="str">
        <f t="shared" ref="DA2" si="19">_xlfn.CONCAT("Uge ",_xlfn.ISOWEEKNUM(DA5))</f>
        <v>Uge 25</v>
      </c>
      <c r="DB2" s="465"/>
      <c r="DC2" s="465"/>
      <c r="DD2" s="465"/>
      <c r="DE2" s="466"/>
    </row>
    <row r="3" spans="1:165" ht="17" thickBot="1" x14ac:dyDescent="0.25">
      <c r="B3" s="645" t="s">
        <v>390</v>
      </c>
      <c r="C3" s="646"/>
      <c r="D3" s="647"/>
      <c r="E3" s="476" t="s">
        <v>365</v>
      </c>
      <c r="F3" s="532"/>
      <c r="G3" s="532"/>
      <c r="H3" s="532"/>
      <c r="I3" s="533"/>
      <c r="J3" s="463" t="s">
        <v>366</v>
      </c>
      <c r="K3" s="532"/>
      <c r="L3" s="532"/>
      <c r="M3" s="532"/>
      <c r="N3" s="533"/>
      <c r="O3" s="463" t="s">
        <v>366</v>
      </c>
      <c r="P3" s="532"/>
      <c r="Q3" s="532"/>
      <c r="R3" s="532"/>
      <c r="S3" s="533"/>
      <c r="T3" s="463" t="s">
        <v>366</v>
      </c>
      <c r="U3" s="532"/>
      <c r="V3" s="532"/>
      <c r="W3" s="532"/>
      <c r="X3" s="533"/>
      <c r="Y3" s="463" t="s">
        <v>366</v>
      </c>
      <c r="Z3" s="532"/>
      <c r="AA3" s="532"/>
      <c r="AB3" s="532"/>
      <c r="AC3" s="533"/>
      <c r="AD3" s="463" t="s">
        <v>366</v>
      </c>
      <c r="AE3" s="532"/>
      <c r="AF3" s="532"/>
      <c r="AG3" s="532"/>
      <c r="AH3" s="533"/>
      <c r="AI3" s="461" t="s">
        <v>367</v>
      </c>
      <c r="AJ3" s="532"/>
      <c r="AK3" s="532"/>
      <c r="AL3" s="532"/>
      <c r="AM3" s="533"/>
      <c r="AN3" s="461" t="s">
        <v>367</v>
      </c>
      <c r="AO3" s="532"/>
      <c r="AP3" s="532"/>
      <c r="AQ3" s="532"/>
      <c r="AR3" s="533"/>
      <c r="AS3" s="461" t="s">
        <v>367</v>
      </c>
      <c r="AT3" s="532"/>
      <c r="AU3" s="532"/>
      <c r="AV3" s="532"/>
      <c r="AW3" s="533"/>
      <c r="AX3" s="461" t="s">
        <v>367</v>
      </c>
      <c r="AY3" s="532"/>
      <c r="AZ3" s="532"/>
      <c r="BA3" s="532"/>
      <c r="BB3" s="533"/>
      <c r="BC3" s="461" t="s">
        <v>367</v>
      </c>
      <c r="BD3" s="532"/>
      <c r="BE3" s="532"/>
      <c r="BF3" s="532"/>
      <c r="BG3" s="533"/>
      <c r="BH3" s="461" t="s">
        <v>367</v>
      </c>
      <c r="BI3" s="532"/>
      <c r="BJ3" s="532"/>
      <c r="BK3" s="532"/>
      <c r="BL3" s="533"/>
      <c r="BM3" s="462" t="s">
        <v>368</v>
      </c>
      <c r="BN3" s="532"/>
      <c r="BO3" s="532"/>
      <c r="BP3" s="532"/>
      <c r="BQ3" s="533"/>
      <c r="BR3" s="462" t="s">
        <v>368</v>
      </c>
      <c r="BS3" s="532"/>
      <c r="BT3" s="532"/>
      <c r="BU3" s="532"/>
      <c r="BV3" s="533"/>
      <c r="BW3" s="462" t="s">
        <v>368</v>
      </c>
      <c r="BX3" s="532"/>
      <c r="BY3" s="532"/>
      <c r="BZ3" s="532"/>
      <c r="CA3" s="533"/>
      <c r="CB3" s="462" t="s">
        <v>368</v>
      </c>
      <c r="CC3" s="532"/>
      <c r="CD3" s="532"/>
      <c r="CE3" s="532"/>
      <c r="CF3" s="533"/>
      <c r="CG3" s="462" t="s">
        <v>368</v>
      </c>
      <c r="CH3" s="532"/>
      <c r="CI3" s="532"/>
      <c r="CJ3" s="532"/>
      <c r="CK3" s="533"/>
      <c r="CL3" s="462" t="s">
        <v>368</v>
      </c>
      <c r="CM3" s="532"/>
      <c r="CN3" s="532"/>
      <c r="CO3" s="532"/>
      <c r="CP3" s="533"/>
      <c r="CQ3" s="462" t="s">
        <v>368</v>
      </c>
      <c r="CR3" s="532"/>
      <c r="CS3" s="532"/>
      <c r="CT3" s="532"/>
      <c r="CU3" s="533"/>
      <c r="CV3" s="462" t="s">
        <v>368</v>
      </c>
      <c r="CW3" s="532"/>
      <c r="CX3" s="532"/>
      <c r="CY3" s="532"/>
      <c r="CZ3" s="533"/>
      <c r="DA3" s="462" t="s">
        <v>368</v>
      </c>
      <c r="DB3" s="532"/>
      <c r="DC3" s="532"/>
      <c r="DD3" s="532"/>
      <c r="DE3" s="533"/>
    </row>
    <row r="4" spans="1:165" s="135" customFormat="1" x14ac:dyDescent="0.2">
      <c r="B4" s="648"/>
      <c r="C4" s="649"/>
      <c r="D4" s="650"/>
      <c r="E4" s="316">
        <f>E5</f>
        <v>46419</v>
      </c>
      <c r="F4" s="317">
        <f t="shared" ref="F4:BQ4" si="20">F5</f>
        <v>46420</v>
      </c>
      <c r="G4" s="318">
        <f t="shared" si="20"/>
        <v>46421</v>
      </c>
      <c r="H4" s="318">
        <f t="shared" si="20"/>
        <v>46422</v>
      </c>
      <c r="I4" s="319">
        <f t="shared" si="20"/>
        <v>46423</v>
      </c>
      <c r="J4" s="320">
        <f t="shared" si="20"/>
        <v>46426</v>
      </c>
      <c r="K4" s="321">
        <f t="shared" si="20"/>
        <v>46427</v>
      </c>
      <c r="L4" s="322">
        <f t="shared" si="20"/>
        <v>46428</v>
      </c>
      <c r="M4" s="322">
        <f t="shared" si="20"/>
        <v>46429</v>
      </c>
      <c r="N4" s="323">
        <f t="shared" si="20"/>
        <v>46430</v>
      </c>
      <c r="O4" s="316">
        <f t="shared" si="20"/>
        <v>46433</v>
      </c>
      <c r="P4" s="317">
        <f t="shared" si="20"/>
        <v>46434</v>
      </c>
      <c r="Q4" s="318">
        <f t="shared" si="20"/>
        <v>46435</v>
      </c>
      <c r="R4" s="318">
        <f t="shared" si="20"/>
        <v>46436</v>
      </c>
      <c r="S4" s="319">
        <f t="shared" si="20"/>
        <v>46437</v>
      </c>
      <c r="T4" s="320">
        <f t="shared" si="20"/>
        <v>46440</v>
      </c>
      <c r="U4" s="322">
        <f t="shared" si="20"/>
        <v>46441</v>
      </c>
      <c r="V4" s="322">
        <f t="shared" si="20"/>
        <v>46442</v>
      </c>
      <c r="W4" s="322">
        <f t="shared" si="20"/>
        <v>46443</v>
      </c>
      <c r="X4" s="323">
        <f t="shared" si="20"/>
        <v>46444</v>
      </c>
      <c r="Y4" s="316">
        <f t="shared" si="20"/>
        <v>46447</v>
      </c>
      <c r="Z4" s="318">
        <f t="shared" si="20"/>
        <v>46448</v>
      </c>
      <c r="AA4" s="318">
        <f t="shared" si="20"/>
        <v>46449</v>
      </c>
      <c r="AB4" s="318">
        <f t="shared" si="20"/>
        <v>46450</v>
      </c>
      <c r="AC4" s="319">
        <f t="shared" si="20"/>
        <v>46451</v>
      </c>
      <c r="AD4" s="320">
        <f t="shared" si="20"/>
        <v>46454</v>
      </c>
      <c r="AE4" s="322">
        <f t="shared" si="20"/>
        <v>46455</v>
      </c>
      <c r="AF4" s="322">
        <f t="shared" si="20"/>
        <v>46456</v>
      </c>
      <c r="AG4" s="322">
        <f t="shared" si="20"/>
        <v>46457</v>
      </c>
      <c r="AH4" s="323">
        <f t="shared" si="20"/>
        <v>46458</v>
      </c>
      <c r="AI4" s="316">
        <f t="shared" si="20"/>
        <v>46461</v>
      </c>
      <c r="AJ4" s="318">
        <f t="shared" si="20"/>
        <v>46462</v>
      </c>
      <c r="AK4" s="318">
        <f t="shared" si="20"/>
        <v>46463</v>
      </c>
      <c r="AL4" s="318">
        <f t="shared" si="20"/>
        <v>46464</v>
      </c>
      <c r="AM4" s="319">
        <f t="shared" si="20"/>
        <v>46465</v>
      </c>
      <c r="AN4" s="320">
        <f t="shared" si="20"/>
        <v>46468</v>
      </c>
      <c r="AO4" s="322">
        <f t="shared" si="20"/>
        <v>46469</v>
      </c>
      <c r="AP4" s="322">
        <f t="shared" si="20"/>
        <v>46470</v>
      </c>
      <c r="AQ4" s="322">
        <f t="shared" si="20"/>
        <v>46471</v>
      </c>
      <c r="AR4" s="323">
        <f t="shared" si="20"/>
        <v>46472</v>
      </c>
      <c r="AS4" s="316">
        <f t="shared" si="20"/>
        <v>46475</v>
      </c>
      <c r="AT4" s="318">
        <f t="shared" si="20"/>
        <v>46476</v>
      </c>
      <c r="AU4" s="318">
        <f t="shared" si="20"/>
        <v>46477</v>
      </c>
      <c r="AV4" s="318">
        <f t="shared" si="20"/>
        <v>46478</v>
      </c>
      <c r="AW4" s="324">
        <f t="shared" si="20"/>
        <v>46479</v>
      </c>
      <c r="AX4" s="320">
        <f t="shared" si="20"/>
        <v>46482</v>
      </c>
      <c r="AY4" s="322">
        <f t="shared" si="20"/>
        <v>46483</v>
      </c>
      <c r="AZ4" s="322">
        <f t="shared" si="20"/>
        <v>46484</v>
      </c>
      <c r="BA4" s="322">
        <f t="shared" si="20"/>
        <v>46485</v>
      </c>
      <c r="BB4" s="325">
        <f t="shared" si="20"/>
        <v>46486</v>
      </c>
      <c r="BC4" s="316">
        <f t="shared" si="20"/>
        <v>46489</v>
      </c>
      <c r="BD4" s="318">
        <f t="shared" si="20"/>
        <v>46490</v>
      </c>
      <c r="BE4" s="318">
        <f t="shared" si="20"/>
        <v>46491</v>
      </c>
      <c r="BF4" s="318">
        <f t="shared" si="20"/>
        <v>46492</v>
      </c>
      <c r="BG4" s="324">
        <f t="shared" si="20"/>
        <v>46493</v>
      </c>
      <c r="BH4" s="320">
        <f t="shared" si="20"/>
        <v>46496</v>
      </c>
      <c r="BI4" s="322">
        <f t="shared" si="20"/>
        <v>46497</v>
      </c>
      <c r="BJ4" s="322">
        <f t="shared" si="20"/>
        <v>46498</v>
      </c>
      <c r="BK4" s="322">
        <f t="shared" si="20"/>
        <v>46499</v>
      </c>
      <c r="BL4" s="325">
        <f t="shared" si="20"/>
        <v>46500</v>
      </c>
      <c r="BM4" s="316">
        <f t="shared" si="20"/>
        <v>46503</v>
      </c>
      <c r="BN4" s="318">
        <f t="shared" si="20"/>
        <v>46504</v>
      </c>
      <c r="BO4" s="318">
        <f t="shared" si="20"/>
        <v>46505</v>
      </c>
      <c r="BP4" s="318">
        <f t="shared" si="20"/>
        <v>46506</v>
      </c>
      <c r="BQ4" s="324">
        <f t="shared" si="20"/>
        <v>46507</v>
      </c>
      <c r="BR4" s="320">
        <f t="shared" ref="BR4:DE4" si="21">BR5</f>
        <v>46510</v>
      </c>
      <c r="BS4" s="322">
        <f t="shared" si="21"/>
        <v>46511</v>
      </c>
      <c r="BT4" s="322">
        <f t="shared" si="21"/>
        <v>46512</v>
      </c>
      <c r="BU4" s="322">
        <f t="shared" si="21"/>
        <v>46513</v>
      </c>
      <c r="BV4" s="325">
        <f t="shared" si="21"/>
        <v>46514</v>
      </c>
      <c r="BW4" s="316">
        <f t="shared" si="21"/>
        <v>46517</v>
      </c>
      <c r="BX4" s="318">
        <f t="shared" si="21"/>
        <v>46518</v>
      </c>
      <c r="BY4" s="318">
        <f t="shared" si="21"/>
        <v>46519</v>
      </c>
      <c r="BZ4" s="318">
        <f t="shared" si="21"/>
        <v>46520</v>
      </c>
      <c r="CA4" s="324">
        <f t="shared" si="21"/>
        <v>46521</v>
      </c>
      <c r="CB4" s="320">
        <f t="shared" si="21"/>
        <v>46524</v>
      </c>
      <c r="CC4" s="322">
        <f t="shared" si="21"/>
        <v>46525</v>
      </c>
      <c r="CD4" s="322">
        <f t="shared" si="21"/>
        <v>46526</v>
      </c>
      <c r="CE4" s="322">
        <f t="shared" si="21"/>
        <v>46527</v>
      </c>
      <c r="CF4" s="325">
        <f t="shared" si="21"/>
        <v>46528</v>
      </c>
      <c r="CG4" s="316">
        <f t="shared" si="21"/>
        <v>46531</v>
      </c>
      <c r="CH4" s="318">
        <f t="shared" si="21"/>
        <v>46532</v>
      </c>
      <c r="CI4" s="318">
        <f t="shared" si="21"/>
        <v>46533</v>
      </c>
      <c r="CJ4" s="318">
        <f t="shared" si="21"/>
        <v>46534</v>
      </c>
      <c r="CK4" s="324">
        <f t="shared" si="21"/>
        <v>46535</v>
      </c>
      <c r="CL4" s="320">
        <f t="shared" si="21"/>
        <v>46538</v>
      </c>
      <c r="CM4" s="322">
        <f t="shared" si="21"/>
        <v>46539</v>
      </c>
      <c r="CN4" s="322">
        <f t="shared" si="21"/>
        <v>46540</v>
      </c>
      <c r="CO4" s="322">
        <f t="shared" si="21"/>
        <v>46541</v>
      </c>
      <c r="CP4" s="325">
        <f t="shared" si="21"/>
        <v>46542</v>
      </c>
      <c r="CQ4" s="316">
        <f t="shared" si="21"/>
        <v>46545</v>
      </c>
      <c r="CR4" s="318">
        <f t="shared" si="21"/>
        <v>46546</v>
      </c>
      <c r="CS4" s="318">
        <f t="shared" si="21"/>
        <v>46547</v>
      </c>
      <c r="CT4" s="318">
        <f t="shared" si="21"/>
        <v>46548</v>
      </c>
      <c r="CU4" s="319">
        <f t="shared" si="21"/>
        <v>46549</v>
      </c>
      <c r="CV4" s="320">
        <f t="shared" si="21"/>
        <v>46552</v>
      </c>
      <c r="CW4" s="322">
        <f t="shared" si="21"/>
        <v>46553</v>
      </c>
      <c r="CX4" s="322">
        <f t="shared" si="21"/>
        <v>46554</v>
      </c>
      <c r="CY4" s="322">
        <f t="shared" si="21"/>
        <v>46555</v>
      </c>
      <c r="CZ4" s="323">
        <f t="shared" si="21"/>
        <v>46556</v>
      </c>
      <c r="DA4" s="316">
        <f t="shared" si="21"/>
        <v>46559</v>
      </c>
      <c r="DB4" s="318">
        <f t="shared" si="21"/>
        <v>46560</v>
      </c>
      <c r="DC4" s="318">
        <f t="shared" si="21"/>
        <v>46561</v>
      </c>
      <c r="DD4" s="318">
        <f t="shared" si="21"/>
        <v>46562</v>
      </c>
      <c r="DE4" s="319">
        <f t="shared" si="21"/>
        <v>46563</v>
      </c>
    </row>
    <row r="5" spans="1:165" s="135" customFormat="1" ht="17" thickBot="1" x14ac:dyDescent="0.25">
      <c r="B5" s="651"/>
      <c r="C5" s="652"/>
      <c r="D5" s="653"/>
      <c r="E5" s="31">
        <f>Data!M2</f>
        <v>46419</v>
      </c>
      <c r="F5" s="32">
        <f>E5+1</f>
        <v>46420</v>
      </c>
      <c r="G5" s="33">
        <f>F5+1</f>
        <v>46421</v>
      </c>
      <c r="H5" s="33">
        <f>G5+1</f>
        <v>46422</v>
      </c>
      <c r="I5" s="34">
        <f>H5+1</f>
        <v>46423</v>
      </c>
      <c r="J5" s="35">
        <f>I5+3</f>
        <v>46426</v>
      </c>
      <c r="K5" s="36">
        <f>J5+1</f>
        <v>46427</v>
      </c>
      <c r="L5" s="37">
        <f>K5+1</f>
        <v>46428</v>
      </c>
      <c r="M5" s="37">
        <f>L5+1</f>
        <v>46429</v>
      </c>
      <c r="N5" s="38">
        <f>M5+1</f>
        <v>46430</v>
      </c>
      <c r="O5" s="31">
        <f>N5+3</f>
        <v>46433</v>
      </c>
      <c r="P5" s="32">
        <f>O5+1</f>
        <v>46434</v>
      </c>
      <c r="Q5" s="33">
        <f>P5+1</f>
        <v>46435</v>
      </c>
      <c r="R5" s="33">
        <f>Q5+1</f>
        <v>46436</v>
      </c>
      <c r="S5" s="34">
        <f>R5+1</f>
        <v>46437</v>
      </c>
      <c r="T5" s="35">
        <f>S5+3</f>
        <v>46440</v>
      </c>
      <c r="U5" s="37">
        <f>T5+1</f>
        <v>46441</v>
      </c>
      <c r="V5" s="37">
        <f>U5+1</f>
        <v>46442</v>
      </c>
      <c r="W5" s="37">
        <f>V5+1</f>
        <v>46443</v>
      </c>
      <c r="X5" s="38">
        <f>W5+1</f>
        <v>46444</v>
      </c>
      <c r="Y5" s="31">
        <f>X5+3</f>
        <v>46447</v>
      </c>
      <c r="Z5" s="33">
        <f>Y5+1</f>
        <v>46448</v>
      </c>
      <c r="AA5" s="33">
        <f>Z5+1</f>
        <v>46449</v>
      </c>
      <c r="AB5" s="33">
        <f>AA5+1</f>
        <v>46450</v>
      </c>
      <c r="AC5" s="34">
        <f>AB5+1</f>
        <v>46451</v>
      </c>
      <c r="AD5" s="35">
        <f>AC5+3</f>
        <v>46454</v>
      </c>
      <c r="AE5" s="37">
        <f>AD5+1</f>
        <v>46455</v>
      </c>
      <c r="AF5" s="37">
        <f>AE5+1</f>
        <v>46456</v>
      </c>
      <c r="AG5" s="37">
        <f>AF5+1</f>
        <v>46457</v>
      </c>
      <c r="AH5" s="38">
        <f>AG5+1</f>
        <v>46458</v>
      </c>
      <c r="AI5" s="31">
        <f>AH5+3</f>
        <v>46461</v>
      </c>
      <c r="AJ5" s="33">
        <f>AI5+1</f>
        <v>46462</v>
      </c>
      <c r="AK5" s="33">
        <f>AJ5+1</f>
        <v>46463</v>
      </c>
      <c r="AL5" s="33">
        <f>AK5+1</f>
        <v>46464</v>
      </c>
      <c r="AM5" s="34">
        <f>AL5+1</f>
        <v>46465</v>
      </c>
      <c r="AN5" s="35">
        <f>AM5+3</f>
        <v>46468</v>
      </c>
      <c r="AO5" s="37">
        <f>AN5+1</f>
        <v>46469</v>
      </c>
      <c r="AP5" s="37">
        <f>AO5+1</f>
        <v>46470</v>
      </c>
      <c r="AQ5" s="37">
        <f>AP5+1</f>
        <v>46471</v>
      </c>
      <c r="AR5" s="38">
        <f>AQ5+1</f>
        <v>46472</v>
      </c>
      <c r="AS5" s="31">
        <f>AR5+3</f>
        <v>46475</v>
      </c>
      <c r="AT5" s="33">
        <f>AS5+1</f>
        <v>46476</v>
      </c>
      <c r="AU5" s="33">
        <f>AT5+1</f>
        <v>46477</v>
      </c>
      <c r="AV5" s="33">
        <f>AU5+1</f>
        <v>46478</v>
      </c>
      <c r="AW5" s="39">
        <f>AV5+1</f>
        <v>46479</v>
      </c>
      <c r="AX5" s="35">
        <f>AW5+3</f>
        <v>46482</v>
      </c>
      <c r="AY5" s="37">
        <f>AX5+1</f>
        <v>46483</v>
      </c>
      <c r="AZ5" s="37">
        <f>AY5+1</f>
        <v>46484</v>
      </c>
      <c r="BA5" s="37">
        <f>AZ5+1</f>
        <v>46485</v>
      </c>
      <c r="BB5" s="40">
        <f>BA5+1</f>
        <v>46486</v>
      </c>
      <c r="BC5" s="31">
        <f>BB5+3</f>
        <v>46489</v>
      </c>
      <c r="BD5" s="33">
        <f>BC5+1</f>
        <v>46490</v>
      </c>
      <c r="BE5" s="33">
        <f>BD5+1</f>
        <v>46491</v>
      </c>
      <c r="BF5" s="33">
        <f>BE5+1</f>
        <v>46492</v>
      </c>
      <c r="BG5" s="39">
        <f>BF5+1</f>
        <v>46493</v>
      </c>
      <c r="BH5" s="35">
        <f>BG5+3</f>
        <v>46496</v>
      </c>
      <c r="BI5" s="37">
        <f>BH5+1</f>
        <v>46497</v>
      </c>
      <c r="BJ5" s="37">
        <f>BI5+1</f>
        <v>46498</v>
      </c>
      <c r="BK5" s="37">
        <f>BJ5+1</f>
        <v>46499</v>
      </c>
      <c r="BL5" s="40">
        <f>BK5+1</f>
        <v>46500</v>
      </c>
      <c r="BM5" s="31">
        <f>BL5+3</f>
        <v>46503</v>
      </c>
      <c r="BN5" s="33">
        <f>BM5+1</f>
        <v>46504</v>
      </c>
      <c r="BO5" s="33">
        <f>BN5+1</f>
        <v>46505</v>
      </c>
      <c r="BP5" s="33">
        <f>BO5+1</f>
        <v>46506</v>
      </c>
      <c r="BQ5" s="39">
        <f>BP5+1</f>
        <v>46507</v>
      </c>
      <c r="BR5" s="35">
        <f>BQ5+3</f>
        <v>46510</v>
      </c>
      <c r="BS5" s="37">
        <f>BR5+1</f>
        <v>46511</v>
      </c>
      <c r="BT5" s="37">
        <f>BS5+1</f>
        <v>46512</v>
      </c>
      <c r="BU5" s="37">
        <f>BT5+1</f>
        <v>46513</v>
      </c>
      <c r="BV5" s="40">
        <f>BU5+1</f>
        <v>46514</v>
      </c>
      <c r="BW5" s="31">
        <f>BV5+3</f>
        <v>46517</v>
      </c>
      <c r="BX5" s="33">
        <f>BW5+1</f>
        <v>46518</v>
      </c>
      <c r="BY5" s="33">
        <f>BX5+1</f>
        <v>46519</v>
      </c>
      <c r="BZ5" s="33">
        <f>BY5+1</f>
        <v>46520</v>
      </c>
      <c r="CA5" s="39">
        <f>BZ5+1</f>
        <v>46521</v>
      </c>
      <c r="CB5" s="35">
        <f>CA5+3</f>
        <v>46524</v>
      </c>
      <c r="CC5" s="37">
        <f>CB5+1</f>
        <v>46525</v>
      </c>
      <c r="CD5" s="37">
        <f>CC5+1</f>
        <v>46526</v>
      </c>
      <c r="CE5" s="37">
        <f>CD5+1</f>
        <v>46527</v>
      </c>
      <c r="CF5" s="40">
        <f>CE5+1</f>
        <v>46528</v>
      </c>
      <c r="CG5" s="31">
        <f>CF5+3</f>
        <v>46531</v>
      </c>
      <c r="CH5" s="33">
        <f>CG5+1</f>
        <v>46532</v>
      </c>
      <c r="CI5" s="33">
        <f>CH5+1</f>
        <v>46533</v>
      </c>
      <c r="CJ5" s="33">
        <f>CI5+1</f>
        <v>46534</v>
      </c>
      <c r="CK5" s="39">
        <f>CJ5+1</f>
        <v>46535</v>
      </c>
      <c r="CL5" s="35">
        <f>CK5+3</f>
        <v>46538</v>
      </c>
      <c r="CM5" s="37">
        <f>CL5+1</f>
        <v>46539</v>
      </c>
      <c r="CN5" s="37">
        <f>CM5+1</f>
        <v>46540</v>
      </c>
      <c r="CO5" s="37">
        <f>CN5+1</f>
        <v>46541</v>
      </c>
      <c r="CP5" s="40">
        <f>CO5+1</f>
        <v>46542</v>
      </c>
      <c r="CQ5" s="31">
        <f>CP5+3</f>
        <v>46545</v>
      </c>
      <c r="CR5" s="33">
        <f>CQ5+1</f>
        <v>46546</v>
      </c>
      <c r="CS5" s="33">
        <f>CR5+1</f>
        <v>46547</v>
      </c>
      <c r="CT5" s="33">
        <f>CS5+1</f>
        <v>46548</v>
      </c>
      <c r="CU5" s="34">
        <f>CT5+1</f>
        <v>46549</v>
      </c>
      <c r="CV5" s="35">
        <f>CU5+3</f>
        <v>46552</v>
      </c>
      <c r="CW5" s="37">
        <f>CV5+1</f>
        <v>46553</v>
      </c>
      <c r="CX5" s="37">
        <f>CW5+1</f>
        <v>46554</v>
      </c>
      <c r="CY5" s="37">
        <f>CX5+1</f>
        <v>46555</v>
      </c>
      <c r="CZ5" s="38">
        <f>CY5+1</f>
        <v>46556</v>
      </c>
      <c r="DA5" s="31">
        <f>CZ5+3</f>
        <v>46559</v>
      </c>
      <c r="DB5" s="33">
        <f>DA5+1</f>
        <v>46560</v>
      </c>
      <c r="DC5" s="33">
        <f>DB5+1</f>
        <v>46561</v>
      </c>
      <c r="DD5" s="33">
        <f>DC5+1</f>
        <v>46562</v>
      </c>
      <c r="DE5" s="34">
        <f>DD5+1</f>
        <v>46563</v>
      </c>
    </row>
    <row r="6" spans="1:165" s="138" customFormat="1" ht="17" thickBot="1" x14ac:dyDescent="0.25">
      <c r="A6" s="134"/>
      <c r="B6" s="457"/>
      <c r="C6" s="457"/>
      <c r="D6" s="45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6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5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</row>
    <row r="7" spans="1:165" x14ac:dyDescent="0.2">
      <c r="B7" s="458" t="s">
        <v>7</v>
      </c>
      <c r="C7" s="459"/>
      <c r="D7" s="460"/>
      <c r="E7" s="81"/>
      <c r="F7" s="42"/>
      <c r="G7" s="42"/>
      <c r="H7" s="42"/>
      <c r="I7" s="43"/>
      <c r="J7" s="77"/>
      <c r="K7" s="62"/>
      <c r="L7" s="62"/>
      <c r="M7" s="62"/>
      <c r="N7" s="44"/>
      <c r="O7" s="41"/>
      <c r="P7" s="42"/>
      <c r="Q7" s="42"/>
      <c r="R7" s="42"/>
      <c r="S7" s="43"/>
      <c r="T7" s="77"/>
      <c r="U7" s="62"/>
      <c r="V7" s="62"/>
      <c r="W7" s="62"/>
      <c r="X7" s="44"/>
      <c r="Y7" s="41"/>
      <c r="Z7" s="42"/>
      <c r="AA7" s="42"/>
      <c r="AB7" s="42"/>
      <c r="AC7" s="43"/>
      <c r="AD7" s="77"/>
      <c r="AE7" s="62"/>
      <c r="AF7" s="62"/>
      <c r="AG7" s="62"/>
      <c r="AH7" s="44"/>
      <c r="AI7" s="41"/>
      <c r="AJ7" s="42"/>
      <c r="AK7" s="42"/>
      <c r="AL7" s="42"/>
      <c r="AM7" s="43"/>
      <c r="AN7" s="219"/>
      <c r="AO7" s="200"/>
      <c r="AP7" s="200"/>
      <c r="AQ7" s="200"/>
      <c r="AR7" s="209"/>
      <c r="AS7" s="223"/>
      <c r="AT7" s="42"/>
      <c r="AU7" s="42"/>
      <c r="AV7" s="42"/>
      <c r="AW7" s="43"/>
      <c r="AX7" s="77"/>
      <c r="AY7" s="62"/>
      <c r="AZ7" s="62"/>
      <c r="BA7" s="62"/>
      <c r="BB7" s="44"/>
      <c r="BC7" s="41"/>
      <c r="BD7" s="42"/>
      <c r="BE7" s="42"/>
      <c r="BF7" s="42"/>
      <c r="BG7" s="43"/>
      <c r="BH7" s="77"/>
      <c r="BI7" s="62"/>
      <c r="BJ7" s="62"/>
      <c r="BK7" s="62"/>
      <c r="BL7" s="44"/>
      <c r="BM7" s="41"/>
      <c r="BN7" s="42"/>
      <c r="BO7" s="42"/>
      <c r="BP7" s="42"/>
      <c r="BQ7" s="43"/>
      <c r="BR7" s="77"/>
      <c r="BS7" s="62"/>
      <c r="BT7" s="62"/>
      <c r="BU7" s="200"/>
      <c r="BV7" s="209"/>
      <c r="BW7" s="41"/>
      <c r="BX7" s="42"/>
      <c r="BY7" s="42"/>
      <c r="BZ7" s="42"/>
      <c r="CA7" s="43"/>
      <c r="CB7" s="219"/>
      <c r="CC7" s="62"/>
      <c r="CD7" s="62"/>
      <c r="CE7" s="62"/>
      <c r="CF7" s="44"/>
      <c r="CG7" s="41"/>
      <c r="CH7" s="42"/>
      <c r="CI7" s="42"/>
      <c r="CJ7" s="42"/>
      <c r="CK7" s="43"/>
      <c r="CL7" s="77"/>
      <c r="CM7" s="62"/>
      <c r="CN7" s="62"/>
      <c r="CO7" s="62"/>
      <c r="CP7" s="44"/>
      <c r="CQ7" s="41"/>
      <c r="CR7" s="42"/>
      <c r="CS7" s="42"/>
      <c r="CT7" s="42"/>
      <c r="CU7" s="43"/>
      <c r="CV7" s="77"/>
      <c r="CW7" s="62"/>
      <c r="CX7" s="62"/>
      <c r="CY7" s="62"/>
      <c r="CZ7" s="44"/>
      <c r="DA7" s="41"/>
      <c r="DB7" s="42"/>
      <c r="DC7" s="42"/>
      <c r="DD7" s="42"/>
      <c r="DE7" s="43"/>
    </row>
    <row r="8" spans="1:165" x14ac:dyDescent="0.2">
      <c r="B8" s="48" t="s">
        <v>15</v>
      </c>
      <c r="C8" s="82"/>
      <c r="D8" s="49"/>
      <c r="E8" s="214"/>
      <c r="F8" s="51"/>
      <c r="G8" s="51"/>
      <c r="H8" s="51"/>
      <c r="I8" s="52"/>
      <c r="J8" s="69"/>
      <c r="K8" s="64"/>
      <c r="L8" s="64"/>
      <c r="M8" s="64"/>
      <c r="N8" s="53"/>
      <c r="O8" s="50"/>
      <c r="P8" s="51"/>
      <c r="Q8" s="51"/>
      <c r="R8" s="51"/>
      <c r="S8" s="52"/>
      <c r="T8" s="69"/>
      <c r="U8" s="64"/>
      <c r="V8" s="64"/>
      <c r="W8" s="64"/>
      <c r="X8" s="53"/>
      <c r="Y8" s="50"/>
      <c r="Z8" s="51"/>
      <c r="AA8" s="51"/>
      <c r="AB8" s="51"/>
      <c r="AC8" s="52"/>
      <c r="AD8" s="69"/>
      <c r="AE8" s="64"/>
      <c r="AF8" s="64"/>
      <c r="AG8" s="64"/>
      <c r="AH8" s="53"/>
      <c r="AI8" s="50"/>
      <c r="AJ8" s="51"/>
      <c r="AK8" s="51"/>
      <c r="AL8" s="51"/>
      <c r="AM8" s="52"/>
      <c r="AN8" s="220"/>
      <c r="AO8" s="201"/>
      <c r="AP8" s="201"/>
      <c r="AQ8" s="201"/>
      <c r="AR8" s="210"/>
      <c r="AS8" s="225"/>
      <c r="AT8" s="51"/>
      <c r="AU8" s="51"/>
      <c r="AV8" s="51"/>
      <c r="AW8" s="52"/>
      <c r="AX8" s="69"/>
      <c r="AY8" s="64"/>
      <c r="AZ8" s="64"/>
      <c r="BA8" s="64"/>
      <c r="BB8" s="53"/>
      <c r="BC8" s="50"/>
      <c r="BD8" s="51"/>
      <c r="BE8" s="51"/>
      <c r="BF8" s="51"/>
      <c r="BG8" s="52"/>
      <c r="BH8" s="69"/>
      <c r="BI8" s="64"/>
      <c r="BJ8" s="64"/>
      <c r="BK8" s="64"/>
      <c r="BL8" s="53"/>
      <c r="BM8" s="50"/>
      <c r="BN8" s="51"/>
      <c r="BO8" s="51"/>
      <c r="BP8" s="51"/>
      <c r="BQ8" s="52"/>
      <c r="BR8" s="69"/>
      <c r="BS8" s="64"/>
      <c r="BT8" s="64"/>
      <c r="BU8" s="201"/>
      <c r="BV8" s="210"/>
      <c r="BW8" s="50"/>
      <c r="BX8" s="51"/>
      <c r="BY8" s="51"/>
      <c r="BZ8" s="51"/>
      <c r="CA8" s="52"/>
      <c r="CB8" s="220"/>
      <c r="CC8" s="64"/>
      <c r="CD8" s="64"/>
      <c r="CE8" s="64"/>
      <c r="CF8" s="53"/>
      <c r="CG8" s="50"/>
      <c r="CH8" s="51"/>
      <c r="CI8" s="51"/>
      <c r="CJ8" s="51"/>
      <c r="CK8" s="52"/>
      <c r="CL8" s="69"/>
      <c r="CM8" s="64"/>
      <c r="CN8" s="64"/>
      <c r="CO8" s="64"/>
      <c r="CP8" s="53"/>
      <c r="CQ8" s="50"/>
      <c r="CR8" s="51"/>
      <c r="CS8" s="51"/>
      <c r="CT8" s="51"/>
      <c r="CU8" s="52"/>
      <c r="CV8" s="69"/>
      <c r="CW8" s="64"/>
      <c r="CX8" s="64"/>
      <c r="CY8" s="64"/>
      <c r="CZ8" s="53"/>
      <c r="DA8" s="50"/>
      <c r="DB8" s="51"/>
      <c r="DC8" s="51"/>
      <c r="DD8" s="51"/>
      <c r="DE8" s="52"/>
    </row>
    <row r="9" spans="1:165" x14ac:dyDescent="0.2">
      <c r="B9" s="448" t="s">
        <v>16</v>
      </c>
      <c r="C9" s="449"/>
      <c r="D9" s="450"/>
      <c r="E9" s="57"/>
      <c r="F9" s="51"/>
      <c r="G9" s="51"/>
      <c r="H9" s="51"/>
      <c r="I9" s="52"/>
      <c r="J9" s="69"/>
      <c r="K9" s="64"/>
      <c r="L9" s="64"/>
      <c r="M9" s="64"/>
      <c r="N9" s="45"/>
      <c r="O9" s="54"/>
      <c r="P9" s="51"/>
      <c r="Q9" s="51"/>
      <c r="R9" s="51"/>
      <c r="S9" s="52"/>
      <c r="T9" s="69"/>
      <c r="U9" s="64"/>
      <c r="V9" s="64"/>
      <c r="W9" s="64"/>
      <c r="X9" s="45"/>
      <c r="Y9" s="54"/>
      <c r="Z9" s="51"/>
      <c r="AA9" s="51"/>
      <c r="AB9" s="51"/>
      <c r="AC9" s="52"/>
      <c r="AD9" s="69"/>
      <c r="AE9" s="64"/>
      <c r="AF9" s="64"/>
      <c r="AG9" s="64"/>
      <c r="AH9" s="45"/>
      <c r="AI9" s="54"/>
      <c r="AJ9" s="51"/>
      <c r="AK9" s="51"/>
      <c r="AL9" s="51"/>
      <c r="AM9" s="52"/>
      <c r="AN9" s="220"/>
      <c r="AO9" s="201"/>
      <c r="AP9" s="201"/>
      <c r="AQ9" s="201"/>
      <c r="AR9" s="211"/>
      <c r="AS9" s="227"/>
      <c r="AT9" s="51"/>
      <c r="AU9" s="51"/>
      <c r="AV9" s="51"/>
      <c r="AW9" s="52"/>
      <c r="AX9" s="69"/>
      <c r="AY9" s="64"/>
      <c r="AZ9" s="64"/>
      <c r="BA9" s="64"/>
      <c r="BB9" s="45"/>
      <c r="BC9" s="54"/>
      <c r="BD9" s="51"/>
      <c r="BE9" s="51"/>
      <c r="BF9" s="51"/>
      <c r="BG9" s="52"/>
      <c r="BH9" s="69"/>
      <c r="BI9" s="64"/>
      <c r="BJ9" s="64"/>
      <c r="BK9" s="64"/>
      <c r="BL9" s="45"/>
      <c r="BM9" s="54"/>
      <c r="BN9" s="51"/>
      <c r="BO9" s="51"/>
      <c r="BP9" s="51"/>
      <c r="BQ9" s="52"/>
      <c r="BR9" s="69"/>
      <c r="BS9" s="64"/>
      <c r="BT9" s="64"/>
      <c r="BU9" s="201"/>
      <c r="BV9" s="211"/>
      <c r="BW9" s="54"/>
      <c r="BX9" s="51"/>
      <c r="BY9" s="51"/>
      <c r="BZ9" s="51"/>
      <c r="CA9" s="52"/>
      <c r="CB9" s="220"/>
      <c r="CC9" s="64"/>
      <c r="CD9" s="64"/>
      <c r="CE9" s="64"/>
      <c r="CF9" s="45"/>
      <c r="CG9" s="54"/>
      <c r="CH9" s="51"/>
      <c r="CI9" s="51"/>
      <c r="CJ9" s="51"/>
      <c r="CK9" s="52"/>
      <c r="CL9" s="69"/>
      <c r="CM9" s="64"/>
      <c r="CN9" s="64"/>
      <c r="CO9" s="64"/>
      <c r="CP9" s="45"/>
      <c r="CQ9" s="54"/>
      <c r="CR9" s="51"/>
      <c r="CS9" s="51"/>
      <c r="CT9" s="51"/>
      <c r="CU9" s="52"/>
      <c r="CV9" s="69"/>
      <c r="CW9" s="64"/>
      <c r="CX9" s="64"/>
      <c r="CY9" s="64"/>
      <c r="CZ9" s="45"/>
      <c r="DA9" s="54"/>
      <c r="DB9" s="51"/>
      <c r="DC9" s="51"/>
      <c r="DD9" s="51"/>
      <c r="DE9" s="52"/>
    </row>
    <row r="10" spans="1:165" ht="17" thickBot="1" x14ac:dyDescent="0.25">
      <c r="B10" s="448" t="s">
        <v>17</v>
      </c>
      <c r="C10" s="449"/>
      <c r="D10" s="450"/>
      <c r="E10" s="57"/>
      <c r="F10" s="51"/>
      <c r="G10" s="51"/>
      <c r="H10" s="51"/>
      <c r="I10" s="52"/>
      <c r="J10" s="69"/>
      <c r="K10" s="64"/>
      <c r="L10" s="64"/>
      <c r="M10" s="64"/>
      <c r="N10" s="45"/>
      <c r="O10" s="54"/>
      <c r="P10" s="51"/>
      <c r="Q10" s="51"/>
      <c r="R10" s="51"/>
      <c r="S10" s="52"/>
      <c r="T10" s="69"/>
      <c r="U10" s="64"/>
      <c r="V10" s="64"/>
      <c r="W10" s="64"/>
      <c r="X10" s="45"/>
      <c r="Y10" s="54"/>
      <c r="Z10" s="51"/>
      <c r="AA10" s="51"/>
      <c r="AB10" s="51"/>
      <c r="AC10" s="52"/>
      <c r="AD10" s="69"/>
      <c r="AE10" s="64"/>
      <c r="AF10" s="64"/>
      <c r="AG10" s="64"/>
      <c r="AH10" s="45"/>
      <c r="AI10" s="54"/>
      <c r="AJ10" s="51"/>
      <c r="AK10" s="51"/>
      <c r="AL10" s="51"/>
      <c r="AM10" s="52"/>
      <c r="AN10" s="220"/>
      <c r="AO10" s="201"/>
      <c r="AP10" s="201"/>
      <c r="AQ10" s="201"/>
      <c r="AR10" s="211"/>
      <c r="AS10" s="227"/>
      <c r="AT10" s="51"/>
      <c r="AU10" s="51"/>
      <c r="AV10" s="51"/>
      <c r="AW10" s="52"/>
      <c r="AX10" s="69"/>
      <c r="AY10" s="64"/>
      <c r="AZ10" s="64"/>
      <c r="BA10" s="64"/>
      <c r="BB10" s="45"/>
      <c r="BC10" s="54"/>
      <c r="BD10" s="51"/>
      <c r="BE10" s="51"/>
      <c r="BF10" s="51"/>
      <c r="BG10" s="52"/>
      <c r="BH10" s="69"/>
      <c r="BI10" s="64"/>
      <c r="BJ10" s="64"/>
      <c r="BK10" s="64"/>
      <c r="BL10" s="45"/>
      <c r="BM10" s="54"/>
      <c r="BN10" s="51"/>
      <c r="BO10" s="51"/>
      <c r="BP10" s="51"/>
      <c r="BQ10" s="52"/>
      <c r="BR10" s="69"/>
      <c r="BS10" s="64"/>
      <c r="BT10" s="64"/>
      <c r="BU10" s="201"/>
      <c r="BV10" s="211"/>
      <c r="BW10" s="54"/>
      <c r="BX10" s="51"/>
      <c r="BY10" s="51"/>
      <c r="BZ10" s="51"/>
      <c r="CA10" s="52"/>
      <c r="CB10" s="220"/>
      <c r="CC10" s="64"/>
      <c r="CD10" s="64"/>
      <c r="CE10" s="64"/>
      <c r="CF10" s="45"/>
      <c r="CG10" s="54"/>
      <c r="CH10" s="51"/>
      <c r="CI10" s="51"/>
      <c r="CJ10" s="51"/>
      <c r="CK10" s="52"/>
      <c r="CL10" s="69"/>
      <c r="CM10" s="64"/>
      <c r="CN10" s="64"/>
      <c r="CO10" s="64"/>
      <c r="CP10" s="45"/>
      <c r="CQ10" s="54"/>
      <c r="CR10" s="51"/>
      <c r="CS10" s="51"/>
      <c r="CT10" s="51"/>
      <c r="CU10" s="52"/>
      <c r="CV10" s="69"/>
      <c r="CW10" s="64"/>
      <c r="CX10" s="64"/>
      <c r="CY10" s="64"/>
      <c r="CZ10" s="45"/>
      <c r="DA10" s="54"/>
      <c r="DB10" s="51"/>
      <c r="DC10" s="51"/>
      <c r="DD10" s="51"/>
      <c r="DE10" s="52"/>
    </row>
    <row r="11" spans="1:165" ht="17" thickBot="1" x14ac:dyDescent="0.25">
      <c r="B11" s="48" t="s">
        <v>18</v>
      </c>
      <c r="C11" s="82"/>
      <c r="D11" s="49"/>
      <c r="E11" s="100"/>
      <c r="F11" s="101"/>
      <c r="G11" s="101"/>
      <c r="H11" s="101"/>
      <c r="I11" s="102"/>
      <c r="J11" s="103"/>
      <c r="K11" s="104"/>
      <c r="L11" s="104"/>
      <c r="M11" s="104"/>
      <c r="N11" s="105"/>
      <c r="O11" s="100"/>
      <c r="P11" s="101"/>
      <c r="Q11" s="101"/>
      <c r="R11" s="101"/>
      <c r="S11" s="102"/>
      <c r="T11" s="103"/>
      <c r="U11" s="104"/>
      <c r="V11" s="104"/>
      <c r="W11" s="104"/>
      <c r="X11" s="105"/>
      <c r="Y11" s="100"/>
      <c r="Z11" s="101"/>
      <c r="AA11" s="101"/>
      <c r="AB11" s="101"/>
      <c r="AC11" s="102"/>
      <c r="AD11" s="103"/>
      <c r="AE11" s="104"/>
      <c r="AF11" s="104"/>
      <c r="AG11" s="104"/>
      <c r="AH11" s="105"/>
      <c r="AI11" s="100"/>
      <c r="AJ11" s="101"/>
      <c r="AK11" s="101"/>
      <c r="AL11" s="101"/>
      <c r="AM11" s="102"/>
      <c r="AN11" s="221"/>
      <c r="AO11" s="208"/>
      <c r="AP11" s="208"/>
      <c r="AQ11" s="208"/>
      <c r="AR11" s="212"/>
      <c r="AS11" s="228"/>
      <c r="AT11" s="101"/>
      <c r="AU11" s="101"/>
      <c r="AV11" s="101"/>
      <c r="AW11" s="102"/>
      <c r="AX11" s="103"/>
      <c r="AY11" s="104"/>
      <c r="AZ11" s="104"/>
      <c r="BA11" s="104"/>
      <c r="BB11" s="105"/>
      <c r="BC11" s="100"/>
      <c r="BD11" s="101"/>
      <c r="BE11" s="101"/>
      <c r="BF11" s="101"/>
      <c r="BG11" s="102"/>
      <c r="BH11" s="103"/>
      <c r="BI11" s="104"/>
      <c r="BJ11" s="104"/>
      <c r="BK11" s="104"/>
      <c r="BL11" s="105"/>
      <c r="BM11" s="100"/>
      <c r="BN11" s="101"/>
      <c r="BO11" s="101"/>
      <c r="BP11" s="101"/>
      <c r="BQ11" s="102"/>
      <c r="BR11" s="103"/>
      <c r="BS11" s="104"/>
      <c r="BT11" s="104"/>
      <c r="BU11" s="208"/>
      <c r="BV11" s="212"/>
      <c r="BW11" s="100"/>
      <c r="BX11" s="101"/>
      <c r="BY11" s="101"/>
      <c r="BZ11" s="101"/>
      <c r="CA11" s="102"/>
      <c r="CB11" s="221"/>
      <c r="CC11" s="104"/>
      <c r="CD11" s="104"/>
      <c r="CE11" s="104"/>
      <c r="CF11" s="105"/>
      <c r="CG11" s="100"/>
      <c r="CH11" s="101"/>
      <c r="CI11" s="101"/>
      <c r="CJ11" s="101"/>
      <c r="CK11" s="102"/>
      <c r="CL11" s="103"/>
      <c r="CM11" s="104"/>
      <c r="CN11" s="104"/>
      <c r="CO11" s="104"/>
      <c r="CP11" s="105"/>
      <c r="CQ11" s="100"/>
      <c r="CR11" s="101"/>
      <c r="CS11" s="101"/>
      <c r="CT11" s="101"/>
      <c r="CU11" s="102"/>
      <c r="CV11" s="103"/>
      <c r="CW11" s="104"/>
      <c r="CX11" s="104"/>
      <c r="CY11" s="104"/>
      <c r="CZ11" s="105"/>
      <c r="DA11" s="100"/>
      <c r="DB11" s="101"/>
      <c r="DC11" s="101"/>
      <c r="DD11" s="101"/>
      <c r="DE11" s="102"/>
    </row>
    <row r="12" spans="1:165" x14ac:dyDescent="0.2">
      <c r="B12" s="48" t="s">
        <v>19</v>
      </c>
      <c r="C12" s="82"/>
      <c r="D12" s="49"/>
      <c r="E12" s="81"/>
      <c r="F12" s="42"/>
      <c r="G12" s="200"/>
      <c r="H12" s="42"/>
      <c r="I12" s="43"/>
      <c r="J12" s="77"/>
      <c r="K12" s="62"/>
      <c r="L12" s="200"/>
      <c r="M12" s="62"/>
      <c r="N12" s="44"/>
      <c r="O12" s="41"/>
      <c r="P12" s="42"/>
      <c r="Q12" s="200"/>
      <c r="R12" s="42"/>
      <c r="S12" s="43"/>
      <c r="T12" s="77"/>
      <c r="U12" s="62"/>
      <c r="V12" s="200"/>
      <c r="W12" s="62"/>
      <c r="X12" s="44"/>
      <c r="Y12" s="41"/>
      <c r="Z12" s="42"/>
      <c r="AA12" s="200"/>
      <c r="AB12" s="42"/>
      <c r="AC12" s="43"/>
      <c r="AD12" s="77"/>
      <c r="AE12" s="62"/>
      <c r="AF12" s="200"/>
      <c r="AG12" s="62"/>
      <c r="AH12" s="44"/>
      <c r="AI12" s="41"/>
      <c r="AJ12" s="42"/>
      <c r="AK12" s="200"/>
      <c r="AL12" s="42"/>
      <c r="AM12" s="43"/>
      <c r="AN12" s="219"/>
      <c r="AO12" s="200"/>
      <c r="AP12" s="200"/>
      <c r="AQ12" s="200"/>
      <c r="AR12" s="209"/>
      <c r="AS12" s="223"/>
      <c r="AT12" s="42"/>
      <c r="AU12" s="200"/>
      <c r="AV12" s="42"/>
      <c r="AW12" s="43"/>
      <c r="AX12" s="77"/>
      <c r="AY12" s="62"/>
      <c r="AZ12" s="200"/>
      <c r="BA12" s="62"/>
      <c r="BB12" s="44"/>
      <c r="BC12" s="41"/>
      <c r="BD12" s="42"/>
      <c r="BE12" s="200"/>
      <c r="BF12" s="42"/>
      <c r="BG12" s="43"/>
      <c r="BH12" s="77"/>
      <c r="BI12" s="62"/>
      <c r="BJ12" s="200"/>
      <c r="BK12" s="62"/>
      <c r="BL12" s="44"/>
      <c r="BM12" s="41"/>
      <c r="BN12" s="42"/>
      <c r="BO12" s="200"/>
      <c r="BP12" s="42"/>
      <c r="BQ12" s="43"/>
      <c r="BR12" s="77"/>
      <c r="BS12" s="62"/>
      <c r="BT12" s="200"/>
      <c r="BU12" s="200"/>
      <c r="BV12" s="209"/>
      <c r="BW12" s="41"/>
      <c r="BX12" s="42"/>
      <c r="BY12" s="200"/>
      <c r="BZ12" s="42"/>
      <c r="CA12" s="43"/>
      <c r="CB12" s="219"/>
      <c r="CC12" s="62"/>
      <c r="CD12" s="200"/>
      <c r="CE12" s="62"/>
      <c r="CF12" s="44"/>
      <c r="CG12" s="41"/>
      <c r="CH12" s="42"/>
      <c r="CI12" s="200"/>
      <c r="CJ12" s="42"/>
      <c r="CK12" s="43"/>
      <c r="CL12" s="77"/>
      <c r="CM12" s="62"/>
      <c r="CN12" s="200"/>
      <c r="CO12" s="62"/>
      <c r="CP12" s="44"/>
      <c r="CQ12" s="41"/>
      <c r="CR12" s="42"/>
      <c r="CS12" s="200"/>
      <c r="CT12" s="42"/>
      <c r="CU12" s="43"/>
      <c r="CV12" s="77"/>
      <c r="CW12" s="62"/>
      <c r="CX12" s="200"/>
      <c r="CY12" s="62"/>
      <c r="CZ12" s="44"/>
      <c r="DA12" s="41"/>
      <c r="DB12" s="42"/>
      <c r="DC12" s="200"/>
      <c r="DD12" s="42"/>
      <c r="DE12" s="43"/>
    </row>
    <row r="13" spans="1:165" x14ac:dyDescent="0.2">
      <c r="B13" s="448" t="s">
        <v>21</v>
      </c>
      <c r="C13" s="449"/>
      <c r="D13" s="450"/>
      <c r="E13" s="214"/>
      <c r="F13" s="51"/>
      <c r="G13" s="201"/>
      <c r="H13" s="51"/>
      <c r="I13" s="52"/>
      <c r="J13" s="69"/>
      <c r="K13" s="64"/>
      <c r="L13" s="201"/>
      <c r="M13" s="64"/>
      <c r="N13" s="53"/>
      <c r="O13" s="50"/>
      <c r="P13" s="51"/>
      <c r="Q13" s="201"/>
      <c r="R13" s="51"/>
      <c r="S13" s="52"/>
      <c r="T13" s="69"/>
      <c r="U13" s="64"/>
      <c r="V13" s="201"/>
      <c r="W13" s="64"/>
      <c r="X13" s="53"/>
      <c r="Y13" s="50"/>
      <c r="Z13" s="51"/>
      <c r="AA13" s="201"/>
      <c r="AB13" s="51"/>
      <c r="AC13" s="52"/>
      <c r="AD13" s="69"/>
      <c r="AE13" s="64"/>
      <c r="AF13" s="201"/>
      <c r="AG13" s="64"/>
      <c r="AH13" s="53"/>
      <c r="AI13" s="50"/>
      <c r="AJ13" s="51"/>
      <c r="AK13" s="201"/>
      <c r="AL13" s="51"/>
      <c r="AM13" s="52"/>
      <c r="AN13" s="220"/>
      <c r="AO13" s="201"/>
      <c r="AP13" s="201"/>
      <c r="AQ13" s="201"/>
      <c r="AR13" s="210"/>
      <c r="AS13" s="225"/>
      <c r="AT13" s="51"/>
      <c r="AU13" s="201"/>
      <c r="AV13" s="51"/>
      <c r="AW13" s="52"/>
      <c r="AX13" s="69"/>
      <c r="AY13" s="64"/>
      <c r="AZ13" s="201"/>
      <c r="BA13" s="64"/>
      <c r="BB13" s="53"/>
      <c r="BC13" s="50"/>
      <c r="BD13" s="51"/>
      <c r="BE13" s="201"/>
      <c r="BF13" s="51"/>
      <c r="BG13" s="52"/>
      <c r="BH13" s="69"/>
      <c r="BI13" s="64"/>
      <c r="BJ13" s="201"/>
      <c r="BK13" s="64"/>
      <c r="BL13" s="53"/>
      <c r="BM13" s="50"/>
      <c r="BN13" s="51"/>
      <c r="BO13" s="201"/>
      <c r="BP13" s="51"/>
      <c r="BQ13" s="52"/>
      <c r="BR13" s="69"/>
      <c r="BS13" s="64"/>
      <c r="BT13" s="201"/>
      <c r="BU13" s="201"/>
      <c r="BV13" s="210"/>
      <c r="BW13" s="50"/>
      <c r="BX13" s="51"/>
      <c r="BY13" s="201"/>
      <c r="BZ13" s="51"/>
      <c r="CA13" s="52"/>
      <c r="CB13" s="220"/>
      <c r="CC13" s="64"/>
      <c r="CD13" s="201"/>
      <c r="CE13" s="64"/>
      <c r="CF13" s="53"/>
      <c r="CG13" s="50"/>
      <c r="CH13" s="51"/>
      <c r="CI13" s="201"/>
      <c r="CJ13" s="51"/>
      <c r="CK13" s="52"/>
      <c r="CL13" s="69"/>
      <c r="CM13" s="64"/>
      <c r="CN13" s="201"/>
      <c r="CO13" s="64"/>
      <c r="CP13" s="53"/>
      <c r="CQ13" s="50"/>
      <c r="CR13" s="51"/>
      <c r="CS13" s="201"/>
      <c r="CT13" s="51"/>
      <c r="CU13" s="52"/>
      <c r="CV13" s="69"/>
      <c r="CW13" s="64"/>
      <c r="CX13" s="201"/>
      <c r="CY13" s="64"/>
      <c r="CZ13" s="53"/>
      <c r="DA13" s="50"/>
      <c r="DB13" s="51"/>
      <c r="DC13" s="201"/>
      <c r="DD13" s="51"/>
      <c r="DE13" s="52"/>
    </row>
    <row r="14" spans="1:165" x14ac:dyDescent="0.2">
      <c r="B14" s="448" t="s">
        <v>22</v>
      </c>
      <c r="C14" s="449"/>
      <c r="D14" s="450"/>
      <c r="E14" s="57"/>
      <c r="F14" s="51"/>
      <c r="G14" s="201"/>
      <c r="H14" s="51"/>
      <c r="I14" s="52"/>
      <c r="J14" s="69"/>
      <c r="K14" s="64"/>
      <c r="L14" s="201"/>
      <c r="M14" s="64"/>
      <c r="N14" s="45"/>
      <c r="O14" s="54"/>
      <c r="P14" s="51"/>
      <c r="Q14" s="201"/>
      <c r="R14" s="51"/>
      <c r="S14" s="52"/>
      <c r="T14" s="69"/>
      <c r="U14" s="64"/>
      <c r="V14" s="201"/>
      <c r="W14" s="64"/>
      <c r="X14" s="45"/>
      <c r="Y14" s="54"/>
      <c r="Z14" s="51"/>
      <c r="AA14" s="201"/>
      <c r="AB14" s="51"/>
      <c r="AC14" s="52"/>
      <c r="AD14" s="69"/>
      <c r="AE14" s="64"/>
      <c r="AF14" s="201"/>
      <c r="AG14" s="64"/>
      <c r="AH14" s="45"/>
      <c r="AI14" s="54"/>
      <c r="AJ14" s="51"/>
      <c r="AK14" s="201"/>
      <c r="AL14" s="51"/>
      <c r="AM14" s="52"/>
      <c r="AN14" s="220"/>
      <c r="AO14" s="201"/>
      <c r="AP14" s="201"/>
      <c r="AQ14" s="201"/>
      <c r="AR14" s="211"/>
      <c r="AS14" s="227"/>
      <c r="AT14" s="51"/>
      <c r="AU14" s="201"/>
      <c r="AV14" s="51"/>
      <c r="AW14" s="52"/>
      <c r="AX14" s="69"/>
      <c r="AY14" s="64"/>
      <c r="AZ14" s="201"/>
      <c r="BA14" s="64"/>
      <c r="BB14" s="45"/>
      <c r="BC14" s="54"/>
      <c r="BD14" s="51"/>
      <c r="BE14" s="201"/>
      <c r="BF14" s="51"/>
      <c r="BG14" s="52"/>
      <c r="BH14" s="69"/>
      <c r="BI14" s="64"/>
      <c r="BJ14" s="201"/>
      <c r="BK14" s="64"/>
      <c r="BL14" s="45"/>
      <c r="BM14" s="54"/>
      <c r="BN14" s="51"/>
      <c r="BO14" s="201"/>
      <c r="BP14" s="51"/>
      <c r="BQ14" s="52"/>
      <c r="BR14" s="69"/>
      <c r="BS14" s="64"/>
      <c r="BT14" s="201"/>
      <c r="BU14" s="201"/>
      <c r="BV14" s="211"/>
      <c r="BW14" s="54"/>
      <c r="BX14" s="51"/>
      <c r="BY14" s="201"/>
      <c r="BZ14" s="51"/>
      <c r="CA14" s="52"/>
      <c r="CB14" s="220"/>
      <c r="CC14" s="64"/>
      <c r="CD14" s="201"/>
      <c r="CE14" s="64"/>
      <c r="CF14" s="45"/>
      <c r="CG14" s="54"/>
      <c r="CH14" s="51"/>
      <c r="CI14" s="201"/>
      <c r="CJ14" s="51"/>
      <c r="CK14" s="52"/>
      <c r="CL14" s="69"/>
      <c r="CM14" s="64"/>
      <c r="CN14" s="201"/>
      <c r="CO14" s="64"/>
      <c r="CP14" s="45"/>
      <c r="CQ14" s="54"/>
      <c r="CR14" s="51"/>
      <c r="CS14" s="201"/>
      <c r="CT14" s="51"/>
      <c r="CU14" s="52"/>
      <c r="CV14" s="69"/>
      <c r="CW14" s="64"/>
      <c r="CX14" s="201"/>
      <c r="CY14" s="64"/>
      <c r="CZ14" s="45"/>
      <c r="DA14" s="54"/>
      <c r="DB14" s="51"/>
      <c r="DC14" s="201"/>
      <c r="DD14" s="51"/>
      <c r="DE14" s="52"/>
    </row>
    <row r="15" spans="1:165" ht="17" thickBot="1" x14ac:dyDescent="0.25">
      <c r="B15" s="448" t="s">
        <v>23</v>
      </c>
      <c r="C15" s="449"/>
      <c r="D15" s="450"/>
      <c r="E15" s="215"/>
      <c r="F15" s="90"/>
      <c r="G15" s="202"/>
      <c r="H15" s="90"/>
      <c r="I15" s="91"/>
      <c r="J15" s="92"/>
      <c r="K15" s="93"/>
      <c r="L15" s="202"/>
      <c r="M15" s="93"/>
      <c r="N15" s="94"/>
      <c r="O15" s="89"/>
      <c r="P15" s="90"/>
      <c r="Q15" s="202"/>
      <c r="R15" s="90"/>
      <c r="S15" s="91"/>
      <c r="T15" s="92"/>
      <c r="U15" s="93"/>
      <c r="V15" s="202"/>
      <c r="W15" s="93"/>
      <c r="X15" s="94"/>
      <c r="Y15" s="89"/>
      <c r="Z15" s="90"/>
      <c r="AA15" s="202"/>
      <c r="AB15" s="90"/>
      <c r="AC15" s="91"/>
      <c r="AD15" s="92"/>
      <c r="AE15" s="93"/>
      <c r="AF15" s="202"/>
      <c r="AG15" s="93"/>
      <c r="AH15" s="94"/>
      <c r="AI15" s="89"/>
      <c r="AJ15" s="90"/>
      <c r="AK15" s="202"/>
      <c r="AL15" s="90"/>
      <c r="AM15" s="91"/>
      <c r="AN15" s="222"/>
      <c r="AO15" s="202"/>
      <c r="AP15" s="202"/>
      <c r="AQ15" s="202"/>
      <c r="AR15" s="213"/>
      <c r="AS15" s="230"/>
      <c r="AT15" s="90"/>
      <c r="AU15" s="202"/>
      <c r="AV15" s="90"/>
      <c r="AW15" s="91"/>
      <c r="AX15" s="92"/>
      <c r="AY15" s="93"/>
      <c r="AZ15" s="202"/>
      <c r="BA15" s="93"/>
      <c r="BB15" s="94"/>
      <c r="BC15" s="89"/>
      <c r="BD15" s="90"/>
      <c r="BE15" s="202"/>
      <c r="BF15" s="90"/>
      <c r="BG15" s="91"/>
      <c r="BH15" s="92"/>
      <c r="BI15" s="93"/>
      <c r="BJ15" s="202"/>
      <c r="BK15" s="93"/>
      <c r="BL15" s="94"/>
      <c r="BM15" s="89"/>
      <c r="BN15" s="90"/>
      <c r="BO15" s="202"/>
      <c r="BP15" s="90"/>
      <c r="BQ15" s="91"/>
      <c r="BR15" s="92"/>
      <c r="BS15" s="93"/>
      <c r="BT15" s="202"/>
      <c r="BU15" s="202"/>
      <c r="BV15" s="213"/>
      <c r="BW15" s="89"/>
      <c r="BX15" s="90"/>
      <c r="BY15" s="202"/>
      <c r="BZ15" s="90"/>
      <c r="CA15" s="91"/>
      <c r="CB15" s="222"/>
      <c r="CC15" s="93"/>
      <c r="CD15" s="202"/>
      <c r="CE15" s="93"/>
      <c r="CF15" s="94"/>
      <c r="CG15" s="89"/>
      <c r="CH15" s="90"/>
      <c r="CI15" s="202"/>
      <c r="CJ15" s="90"/>
      <c r="CK15" s="91"/>
      <c r="CL15" s="92"/>
      <c r="CM15" s="93"/>
      <c r="CN15" s="202"/>
      <c r="CO15" s="93"/>
      <c r="CP15" s="94"/>
      <c r="CQ15" s="89"/>
      <c r="CR15" s="90"/>
      <c r="CS15" s="202"/>
      <c r="CT15" s="90"/>
      <c r="CU15" s="91"/>
      <c r="CV15" s="92"/>
      <c r="CW15" s="93"/>
      <c r="CX15" s="202"/>
      <c r="CY15" s="93"/>
      <c r="CZ15" s="94"/>
      <c r="DA15" s="89"/>
      <c r="DB15" s="90"/>
      <c r="DC15" s="202"/>
      <c r="DD15" s="90"/>
      <c r="DE15" s="91"/>
    </row>
    <row r="16" spans="1:165" x14ac:dyDescent="0.2">
      <c r="B16" s="448" t="s">
        <v>24</v>
      </c>
      <c r="C16" s="449"/>
      <c r="D16" s="450"/>
      <c r="E16" s="95"/>
      <c r="F16" s="96"/>
      <c r="G16" s="96"/>
      <c r="H16" s="96"/>
      <c r="I16" s="97"/>
      <c r="J16" s="98"/>
      <c r="K16" s="47"/>
      <c r="L16" s="47"/>
      <c r="M16" s="47"/>
      <c r="N16" s="63"/>
      <c r="O16" s="95"/>
      <c r="P16" s="96"/>
      <c r="Q16" s="96"/>
      <c r="R16" s="96"/>
      <c r="S16" s="97"/>
      <c r="T16" s="98"/>
      <c r="U16" s="47"/>
      <c r="V16" s="47"/>
      <c r="W16" s="47"/>
      <c r="X16" s="63"/>
      <c r="Y16" s="95"/>
      <c r="Z16" s="96"/>
      <c r="AA16" s="96"/>
      <c r="AB16" s="96"/>
      <c r="AC16" s="97"/>
      <c r="AD16" s="98"/>
      <c r="AE16" s="47"/>
      <c r="AF16" s="47"/>
      <c r="AG16" s="47"/>
      <c r="AH16" s="63"/>
      <c r="AI16" s="95"/>
      <c r="AJ16" s="96"/>
      <c r="AK16" s="96"/>
      <c r="AL16" s="96"/>
      <c r="AM16" s="97"/>
      <c r="AN16" s="98"/>
      <c r="AO16" s="47"/>
      <c r="AP16" s="47"/>
      <c r="AQ16" s="47"/>
      <c r="AR16" s="63"/>
      <c r="AS16" s="95"/>
      <c r="AT16" s="96"/>
      <c r="AU16" s="96"/>
      <c r="AV16" s="96"/>
      <c r="AW16" s="97"/>
      <c r="AX16" s="98"/>
      <c r="AY16" s="47"/>
      <c r="AZ16" s="47"/>
      <c r="BA16" s="47"/>
      <c r="BB16" s="63"/>
      <c r="BC16" s="95"/>
      <c r="BD16" s="96"/>
      <c r="BE16" s="96"/>
      <c r="BF16" s="96"/>
      <c r="BG16" s="97"/>
      <c r="BH16" s="98"/>
      <c r="BI16" s="47"/>
      <c r="BJ16" s="47"/>
      <c r="BK16" s="47"/>
      <c r="BL16" s="63"/>
      <c r="BM16" s="95"/>
      <c r="BN16" s="96"/>
      <c r="BO16" s="96"/>
      <c r="BP16" s="96"/>
      <c r="BQ16" s="97"/>
      <c r="BR16" s="98"/>
      <c r="BS16" s="47"/>
      <c r="BT16" s="47"/>
      <c r="BU16" s="47"/>
      <c r="BV16" s="63"/>
      <c r="BW16" s="95"/>
      <c r="BX16" s="96"/>
      <c r="BY16" s="96"/>
      <c r="BZ16" s="96"/>
      <c r="CA16" s="97"/>
      <c r="CB16" s="98"/>
      <c r="CC16" s="47"/>
      <c r="CD16" s="47"/>
      <c r="CE16" s="47"/>
      <c r="CF16" s="63"/>
      <c r="CG16" s="95"/>
      <c r="CH16" s="96"/>
      <c r="CI16" s="96"/>
      <c r="CJ16" s="96"/>
      <c r="CK16" s="97"/>
      <c r="CL16" s="98"/>
      <c r="CM16" s="47"/>
      <c r="CN16" s="47"/>
      <c r="CO16" s="47"/>
      <c r="CP16" s="63"/>
      <c r="CQ16" s="95"/>
      <c r="CR16" s="96"/>
      <c r="CS16" s="96"/>
      <c r="CT16" s="96"/>
      <c r="CU16" s="97"/>
      <c r="CV16" s="98"/>
      <c r="CW16" s="47"/>
      <c r="CX16" s="47"/>
      <c r="CY16" s="47"/>
      <c r="CZ16" s="63"/>
      <c r="DA16" s="95"/>
      <c r="DB16" s="96"/>
      <c r="DC16" s="96"/>
      <c r="DD16" s="96"/>
      <c r="DE16" s="97"/>
    </row>
    <row r="17" spans="2:109" x14ac:dyDescent="0.2">
      <c r="B17" s="448" t="s">
        <v>30</v>
      </c>
      <c r="C17" s="449"/>
      <c r="D17" s="450"/>
      <c r="E17" s="68"/>
      <c r="F17" s="65"/>
      <c r="G17" s="65"/>
      <c r="H17" s="65"/>
      <c r="I17" s="70"/>
      <c r="J17" s="67"/>
      <c r="K17" s="56"/>
      <c r="L17" s="56"/>
      <c r="M17" s="56"/>
      <c r="N17" s="66"/>
      <c r="O17" s="68"/>
      <c r="P17" s="65"/>
      <c r="Q17" s="65"/>
      <c r="R17" s="65"/>
      <c r="S17" s="70"/>
      <c r="T17" s="67"/>
      <c r="U17" s="56"/>
      <c r="V17" s="56"/>
      <c r="W17" s="56"/>
      <c r="X17" s="66"/>
      <c r="Y17" s="68"/>
      <c r="Z17" s="65"/>
      <c r="AA17" s="65"/>
      <c r="AB17" s="65"/>
      <c r="AC17" s="70"/>
      <c r="AD17" s="67"/>
      <c r="AE17" s="56"/>
      <c r="AF17" s="56"/>
      <c r="AG17" s="56"/>
      <c r="AH17" s="66"/>
      <c r="AI17" s="68"/>
      <c r="AJ17" s="65"/>
      <c r="AK17" s="65"/>
      <c r="AL17" s="65"/>
      <c r="AM17" s="70"/>
      <c r="AN17" s="67"/>
      <c r="AO17" s="56"/>
      <c r="AP17" s="56"/>
      <c r="AQ17" s="56"/>
      <c r="AR17" s="66"/>
      <c r="AS17" s="68"/>
      <c r="AT17" s="65"/>
      <c r="AU17" s="65"/>
      <c r="AV17" s="65"/>
      <c r="AW17" s="70"/>
      <c r="AX17" s="67"/>
      <c r="AY17" s="56"/>
      <c r="AZ17" s="56"/>
      <c r="BA17" s="56"/>
      <c r="BB17" s="66"/>
      <c r="BC17" s="68"/>
      <c r="BD17" s="65"/>
      <c r="BE17" s="65"/>
      <c r="BF17" s="65"/>
      <c r="BG17" s="70"/>
      <c r="BH17" s="67"/>
      <c r="BI17" s="56"/>
      <c r="BJ17" s="56"/>
      <c r="BK17" s="56"/>
      <c r="BL17" s="66"/>
      <c r="BM17" s="68"/>
      <c r="BN17" s="65"/>
      <c r="BO17" s="65"/>
      <c r="BP17" s="65"/>
      <c r="BQ17" s="70"/>
      <c r="BR17" s="67"/>
      <c r="BS17" s="56"/>
      <c r="BT17" s="56"/>
      <c r="BU17" s="56"/>
      <c r="BV17" s="66"/>
      <c r="BW17" s="68"/>
      <c r="BX17" s="65"/>
      <c r="BY17" s="65"/>
      <c r="BZ17" s="65"/>
      <c r="CA17" s="70"/>
      <c r="CB17" s="67"/>
      <c r="CC17" s="56"/>
      <c r="CD17" s="56"/>
      <c r="CE17" s="56"/>
      <c r="CF17" s="66"/>
      <c r="CG17" s="68"/>
      <c r="CH17" s="65"/>
      <c r="CI17" s="65"/>
      <c r="CJ17" s="65"/>
      <c r="CK17" s="70"/>
      <c r="CL17" s="67"/>
      <c r="CM17" s="56"/>
      <c r="CN17" s="56"/>
      <c r="CO17" s="56"/>
      <c r="CP17" s="66"/>
      <c r="CQ17" s="68"/>
      <c r="CR17" s="65"/>
      <c r="CS17" s="65"/>
      <c r="CT17" s="65"/>
      <c r="CU17" s="70"/>
      <c r="CV17" s="67"/>
      <c r="CW17" s="56"/>
      <c r="CX17" s="56"/>
      <c r="CY17" s="56"/>
      <c r="CZ17" s="66"/>
      <c r="DA17" s="68"/>
      <c r="DB17" s="65"/>
      <c r="DC17" s="65"/>
      <c r="DD17" s="65"/>
      <c r="DE17" s="70"/>
    </row>
    <row r="18" spans="2:109" x14ac:dyDescent="0.2">
      <c r="B18" s="448" t="s">
        <v>31</v>
      </c>
      <c r="C18" s="449"/>
      <c r="D18" s="450"/>
      <c r="E18" s="68"/>
      <c r="F18" s="65"/>
      <c r="G18" s="65"/>
      <c r="H18" s="65"/>
      <c r="I18" s="70"/>
      <c r="J18" s="67"/>
      <c r="K18" s="56"/>
      <c r="L18" s="56"/>
      <c r="M18" s="56"/>
      <c r="N18" s="66"/>
      <c r="O18" s="68"/>
      <c r="P18" s="65"/>
      <c r="Q18" s="65"/>
      <c r="R18" s="65"/>
      <c r="S18" s="70"/>
      <c r="T18" s="67"/>
      <c r="U18" s="56"/>
      <c r="V18" s="56"/>
      <c r="W18" s="56"/>
      <c r="X18" s="66"/>
      <c r="Y18" s="68"/>
      <c r="Z18" s="65"/>
      <c r="AA18" s="65"/>
      <c r="AB18" s="65"/>
      <c r="AC18" s="70"/>
      <c r="AD18" s="67"/>
      <c r="AE18" s="56"/>
      <c r="AF18" s="56"/>
      <c r="AG18" s="56"/>
      <c r="AH18" s="66"/>
      <c r="AI18" s="68"/>
      <c r="AJ18" s="65"/>
      <c r="AK18" s="65"/>
      <c r="AL18" s="65"/>
      <c r="AM18" s="70"/>
      <c r="AN18" s="67"/>
      <c r="AO18" s="56"/>
      <c r="AP18" s="56"/>
      <c r="AQ18" s="56"/>
      <c r="AR18" s="66"/>
      <c r="AS18" s="68"/>
      <c r="AT18" s="65"/>
      <c r="AU18" s="65"/>
      <c r="AV18" s="65"/>
      <c r="AW18" s="70"/>
      <c r="AX18" s="67"/>
      <c r="AY18" s="56"/>
      <c r="AZ18" s="56"/>
      <c r="BA18" s="56"/>
      <c r="BB18" s="66"/>
      <c r="BC18" s="68"/>
      <c r="BD18" s="65"/>
      <c r="BE18" s="65"/>
      <c r="BF18" s="65"/>
      <c r="BG18" s="70"/>
      <c r="BH18" s="67"/>
      <c r="BI18" s="56"/>
      <c r="BJ18" s="56"/>
      <c r="BK18" s="56"/>
      <c r="BL18" s="66"/>
      <c r="BM18" s="68"/>
      <c r="BN18" s="65"/>
      <c r="BO18" s="65"/>
      <c r="BP18" s="65"/>
      <c r="BQ18" s="70"/>
      <c r="BR18" s="67"/>
      <c r="BS18" s="56"/>
      <c r="BT18" s="56"/>
      <c r="BU18" s="56"/>
      <c r="BV18" s="66"/>
      <c r="BW18" s="68"/>
      <c r="BX18" s="65"/>
      <c r="BY18" s="65"/>
      <c r="BZ18" s="65"/>
      <c r="CA18" s="70"/>
      <c r="CB18" s="67"/>
      <c r="CC18" s="56"/>
      <c r="CD18" s="56"/>
      <c r="CE18" s="56"/>
      <c r="CF18" s="66"/>
      <c r="CG18" s="68"/>
      <c r="CH18" s="65"/>
      <c r="CI18" s="65"/>
      <c r="CJ18" s="65"/>
      <c r="CK18" s="70"/>
      <c r="CL18" s="67"/>
      <c r="CM18" s="56"/>
      <c r="CN18" s="56"/>
      <c r="CO18" s="56"/>
      <c r="CP18" s="66"/>
      <c r="CQ18" s="68"/>
      <c r="CR18" s="65"/>
      <c r="CS18" s="65"/>
      <c r="CT18" s="65"/>
      <c r="CU18" s="70"/>
      <c r="CV18" s="67"/>
      <c r="CW18" s="56"/>
      <c r="CX18" s="56"/>
      <c r="CY18" s="56"/>
      <c r="CZ18" s="66"/>
      <c r="DA18" s="68"/>
      <c r="DB18" s="65"/>
      <c r="DC18" s="65"/>
      <c r="DD18" s="65"/>
      <c r="DE18" s="70"/>
    </row>
    <row r="19" spans="2:109" x14ac:dyDescent="0.2">
      <c r="B19" s="448" t="s">
        <v>32</v>
      </c>
      <c r="C19" s="449"/>
      <c r="D19" s="450"/>
      <c r="E19" s="68"/>
      <c r="F19" s="65"/>
      <c r="G19" s="65"/>
      <c r="H19" s="65"/>
      <c r="I19" s="70"/>
      <c r="J19" s="67"/>
      <c r="K19" s="56"/>
      <c r="L19" s="56"/>
      <c r="M19" s="56"/>
      <c r="N19" s="66"/>
      <c r="O19" s="68"/>
      <c r="P19" s="65"/>
      <c r="Q19" s="65"/>
      <c r="R19" s="65"/>
      <c r="S19" s="70"/>
      <c r="T19" s="67"/>
      <c r="U19" s="56"/>
      <c r="V19" s="56"/>
      <c r="W19" s="56"/>
      <c r="X19" s="66"/>
      <c r="Y19" s="68"/>
      <c r="Z19" s="65"/>
      <c r="AA19" s="65"/>
      <c r="AB19" s="65"/>
      <c r="AC19" s="70"/>
      <c r="AD19" s="67"/>
      <c r="AE19" s="56"/>
      <c r="AF19" s="56"/>
      <c r="AG19" s="56"/>
      <c r="AH19" s="66"/>
      <c r="AI19" s="68"/>
      <c r="AJ19" s="65"/>
      <c r="AK19" s="65"/>
      <c r="AL19" s="65"/>
      <c r="AM19" s="70"/>
      <c r="AN19" s="67"/>
      <c r="AO19" s="56"/>
      <c r="AP19" s="56"/>
      <c r="AQ19" s="56"/>
      <c r="AR19" s="66"/>
      <c r="AS19" s="68"/>
      <c r="AT19" s="65"/>
      <c r="AU19" s="65"/>
      <c r="AV19" s="65"/>
      <c r="AW19" s="70"/>
      <c r="AX19" s="67"/>
      <c r="AY19" s="56"/>
      <c r="AZ19" s="56"/>
      <c r="BA19" s="56"/>
      <c r="BB19" s="66"/>
      <c r="BC19" s="68"/>
      <c r="BD19" s="65"/>
      <c r="BE19" s="65"/>
      <c r="BF19" s="65"/>
      <c r="BG19" s="70"/>
      <c r="BH19" s="67"/>
      <c r="BI19" s="56"/>
      <c r="BJ19" s="56"/>
      <c r="BK19" s="56"/>
      <c r="BL19" s="66"/>
      <c r="BM19" s="68"/>
      <c r="BN19" s="65"/>
      <c r="BO19" s="65"/>
      <c r="BP19" s="65"/>
      <c r="BQ19" s="70"/>
      <c r="BR19" s="67"/>
      <c r="BS19" s="56"/>
      <c r="BT19" s="56"/>
      <c r="BU19" s="56"/>
      <c r="BV19" s="66"/>
      <c r="BW19" s="68"/>
      <c r="BX19" s="65"/>
      <c r="BY19" s="65"/>
      <c r="BZ19" s="65"/>
      <c r="CA19" s="70"/>
      <c r="CB19" s="67"/>
      <c r="CC19" s="56"/>
      <c r="CD19" s="56"/>
      <c r="CE19" s="56"/>
      <c r="CF19" s="66"/>
      <c r="CG19" s="68"/>
      <c r="CH19" s="65"/>
      <c r="CI19" s="65"/>
      <c r="CJ19" s="65"/>
      <c r="CK19" s="70"/>
      <c r="CL19" s="67"/>
      <c r="CM19" s="56"/>
      <c r="CN19" s="56"/>
      <c r="CO19" s="56"/>
      <c r="CP19" s="66"/>
      <c r="CQ19" s="68"/>
      <c r="CR19" s="65"/>
      <c r="CS19" s="65"/>
      <c r="CT19" s="65"/>
      <c r="CU19" s="70"/>
      <c r="CV19" s="67"/>
      <c r="CW19" s="56"/>
      <c r="CX19" s="56"/>
      <c r="CY19" s="56"/>
      <c r="CZ19" s="66"/>
      <c r="DA19" s="68"/>
      <c r="DB19" s="65"/>
      <c r="DC19" s="65"/>
      <c r="DD19" s="65"/>
      <c r="DE19" s="70"/>
    </row>
    <row r="20" spans="2:109" x14ac:dyDescent="0.2">
      <c r="B20" s="448" t="s">
        <v>33</v>
      </c>
      <c r="C20" s="449"/>
      <c r="D20" s="450"/>
      <c r="E20" s="68"/>
      <c r="F20" s="65"/>
      <c r="G20" s="65"/>
      <c r="H20" s="65"/>
      <c r="I20" s="70"/>
      <c r="J20" s="67"/>
      <c r="K20" s="56"/>
      <c r="L20" s="56"/>
      <c r="M20" s="56"/>
      <c r="N20" s="66"/>
      <c r="O20" s="68"/>
      <c r="P20" s="65"/>
      <c r="Q20" s="65"/>
      <c r="R20" s="65"/>
      <c r="S20" s="70"/>
      <c r="T20" s="67"/>
      <c r="U20" s="56"/>
      <c r="V20" s="56"/>
      <c r="W20" s="56"/>
      <c r="X20" s="66"/>
      <c r="Y20" s="68"/>
      <c r="Z20" s="65"/>
      <c r="AA20" s="65"/>
      <c r="AB20" s="65"/>
      <c r="AC20" s="70"/>
      <c r="AD20" s="67"/>
      <c r="AE20" s="56"/>
      <c r="AF20" s="56"/>
      <c r="AG20" s="56"/>
      <c r="AH20" s="66"/>
      <c r="AI20" s="68"/>
      <c r="AJ20" s="65"/>
      <c r="AK20" s="65"/>
      <c r="AL20" s="65"/>
      <c r="AM20" s="70"/>
      <c r="AN20" s="67"/>
      <c r="AO20" s="56"/>
      <c r="AP20" s="56"/>
      <c r="AQ20" s="56"/>
      <c r="AR20" s="66"/>
      <c r="AS20" s="68"/>
      <c r="AT20" s="65"/>
      <c r="AU20" s="65"/>
      <c r="AV20" s="65"/>
      <c r="AW20" s="70"/>
      <c r="AX20" s="67"/>
      <c r="AY20" s="56"/>
      <c r="AZ20" s="56"/>
      <c r="BA20" s="56"/>
      <c r="BB20" s="66"/>
      <c r="BC20" s="68"/>
      <c r="BD20" s="65"/>
      <c r="BE20" s="65"/>
      <c r="BF20" s="65"/>
      <c r="BG20" s="70"/>
      <c r="BH20" s="67"/>
      <c r="BI20" s="56"/>
      <c r="BJ20" s="56"/>
      <c r="BK20" s="56"/>
      <c r="BL20" s="66"/>
      <c r="BM20" s="68"/>
      <c r="BN20" s="65"/>
      <c r="BO20" s="65"/>
      <c r="BP20" s="65"/>
      <c r="BQ20" s="70"/>
      <c r="BR20" s="67"/>
      <c r="BS20" s="56"/>
      <c r="BT20" s="56"/>
      <c r="BU20" s="56"/>
      <c r="BV20" s="66"/>
      <c r="BW20" s="68"/>
      <c r="BX20" s="65"/>
      <c r="BY20" s="65"/>
      <c r="BZ20" s="65"/>
      <c r="CA20" s="70"/>
      <c r="CB20" s="67"/>
      <c r="CC20" s="56"/>
      <c r="CD20" s="56"/>
      <c r="CE20" s="56"/>
      <c r="CF20" s="66"/>
      <c r="CG20" s="68"/>
      <c r="CH20" s="65"/>
      <c r="CI20" s="65"/>
      <c r="CJ20" s="65"/>
      <c r="CK20" s="70"/>
      <c r="CL20" s="67"/>
      <c r="CM20" s="56"/>
      <c r="CN20" s="56"/>
      <c r="CO20" s="56"/>
      <c r="CP20" s="66"/>
      <c r="CQ20" s="68"/>
      <c r="CR20" s="65"/>
      <c r="CS20" s="65"/>
      <c r="CT20" s="65"/>
      <c r="CU20" s="70"/>
      <c r="CV20" s="67"/>
      <c r="CW20" s="56"/>
      <c r="CX20" s="56"/>
      <c r="CY20" s="56"/>
      <c r="CZ20" s="66"/>
      <c r="DA20" s="68"/>
      <c r="DB20" s="65"/>
      <c r="DC20" s="65"/>
      <c r="DD20" s="65"/>
      <c r="DE20" s="70"/>
    </row>
    <row r="21" spans="2:109" ht="17" thickBot="1" x14ac:dyDescent="0.25">
      <c r="B21" s="451" t="s">
        <v>34</v>
      </c>
      <c r="C21" s="452"/>
      <c r="D21" s="453"/>
      <c r="E21" s="71"/>
      <c r="F21" s="72"/>
      <c r="G21" s="72"/>
      <c r="H21" s="72"/>
      <c r="I21" s="73"/>
      <c r="J21" s="74"/>
      <c r="K21" s="75"/>
      <c r="L21" s="75"/>
      <c r="M21" s="75"/>
      <c r="N21" s="76"/>
      <c r="O21" s="71"/>
      <c r="P21" s="72"/>
      <c r="Q21" s="72"/>
      <c r="R21" s="72"/>
      <c r="S21" s="73"/>
      <c r="T21" s="74"/>
      <c r="U21" s="75"/>
      <c r="V21" s="75"/>
      <c r="W21" s="75"/>
      <c r="X21" s="76"/>
      <c r="Y21" s="71"/>
      <c r="Z21" s="72"/>
      <c r="AA21" s="72"/>
      <c r="AB21" s="72"/>
      <c r="AC21" s="73"/>
      <c r="AD21" s="74"/>
      <c r="AE21" s="75"/>
      <c r="AF21" s="75"/>
      <c r="AG21" s="75"/>
      <c r="AH21" s="76"/>
      <c r="AI21" s="71"/>
      <c r="AJ21" s="72"/>
      <c r="AK21" s="72"/>
      <c r="AL21" s="72"/>
      <c r="AM21" s="73"/>
      <c r="AN21" s="74"/>
      <c r="AO21" s="75"/>
      <c r="AP21" s="75"/>
      <c r="AQ21" s="75"/>
      <c r="AR21" s="76"/>
      <c r="AS21" s="71"/>
      <c r="AT21" s="72"/>
      <c r="AU21" s="72"/>
      <c r="AV21" s="72"/>
      <c r="AW21" s="73"/>
      <c r="AX21" s="74"/>
      <c r="AY21" s="75"/>
      <c r="AZ21" s="75"/>
      <c r="BA21" s="75"/>
      <c r="BB21" s="76"/>
      <c r="BC21" s="71"/>
      <c r="BD21" s="72"/>
      <c r="BE21" s="72"/>
      <c r="BF21" s="72"/>
      <c r="BG21" s="73"/>
      <c r="BH21" s="74"/>
      <c r="BI21" s="75"/>
      <c r="BJ21" s="75"/>
      <c r="BK21" s="75"/>
      <c r="BL21" s="76"/>
      <c r="BM21" s="71"/>
      <c r="BN21" s="72"/>
      <c r="BO21" s="72"/>
      <c r="BP21" s="72"/>
      <c r="BQ21" s="73"/>
      <c r="BR21" s="74"/>
      <c r="BS21" s="75"/>
      <c r="BT21" s="75"/>
      <c r="BU21" s="75"/>
      <c r="BV21" s="76"/>
      <c r="BW21" s="71"/>
      <c r="BX21" s="72"/>
      <c r="BY21" s="72"/>
      <c r="BZ21" s="72"/>
      <c r="CA21" s="73"/>
      <c r="CB21" s="74"/>
      <c r="CC21" s="75"/>
      <c r="CD21" s="75"/>
      <c r="CE21" s="75"/>
      <c r="CF21" s="76"/>
      <c r="CG21" s="71"/>
      <c r="CH21" s="72"/>
      <c r="CI21" s="72"/>
      <c r="CJ21" s="72"/>
      <c r="CK21" s="73"/>
      <c r="CL21" s="74"/>
      <c r="CM21" s="75"/>
      <c r="CN21" s="75"/>
      <c r="CO21" s="75"/>
      <c r="CP21" s="76"/>
      <c r="CQ21" s="71"/>
      <c r="CR21" s="72"/>
      <c r="CS21" s="72"/>
      <c r="CT21" s="72"/>
      <c r="CU21" s="73"/>
      <c r="CV21" s="74"/>
      <c r="CW21" s="75"/>
      <c r="CX21" s="75"/>
      <c r="CY21" s="75"/>
      <c r="CZ21" s="76"/>
      <c r="DA21" s="71"/>
      <c r="DB21" s="72"/>
      <c r="DC21" s="72"/>
      <c r="DD21" s="72"/>
      <c r="DE21" s="73"/>
    </row>
    <row r="22" spans="2:109" s="136" customFormat="1" ht="17" thickBot="1" x14ac:dyDescent="0.25"/>
    <row r="23" spans="2:109" ht="17" thickBot="1" x14ac:dyDescent="0.25">
      <c r="C23" s="198" t="s">
        <v>37</v>
      </c>
      <c r="D23" s="199" t="s">
        <v>38</v>
      </c>
    </row>
    <row r="24" spans="2:109" x14ac:dyDescent="0.2">
      <c r="B24" s="83" t="str">
        <f>IFERROR(INDEX(_xlfn._xlws.FILTER(Ressourcer!$B$1:$X$1,_xlfn.BYCOL(Ressourcer!$B$7:$X$10,_xlfn.LAMBDA(_xlpm.c,COUNTIF(_xlpm.c,"&lt;&gt;" )&gt;0))),ROWS($B$2:B2)),"")</f>
        <v>KAFH</v>
      </c>
      <c r="C24" s="80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)&gt;0))),_xlfn.LAMBDA(_xlpm.col,SUM(INDEX(Ressourcer!$B$7:$X$10,,_xlpm.col-COLUMN(Ressourcer!$B$7:$X$10)+1)))),ROWS($B$2:B2))/2,"")</f>
        <v>100</v>
      </c>
      <c r="D24" s="106" t="str">
        <f t="shared" ref="D24:D36" si="22">IF(SUM(E24:DE24)=0,"",SUM(E24:DE24))</f>
        <v/>
      </c>
      <c r="E24" s="81">
        <f>IF($B24="","",IF(COUNTIF(E$16:E$21,$B24)&gt;0,COUNTA(E$7:E$15),0))</f>
        <v>0</v>
      </c>
      <c r="F24" s="46">
        <f>IF($B24="","",IF(COUNTIF(F$16:F$21,$B24)&gt;0,COUNTA(F$7:F$15),0))</f>
        <v>0</v>
      </c>
      <c r="G24" s="46">
        <f>IF($B24="","",IF(COUNTIF(G$16:G$21,$B24)&gt;0,COUNTA(G$7:G$15),0))</f>
        <v>0</v>
      </c>
      <c r="H24" s="46">
        <f>IF($B24="","",IF(COUNTIF(H$16:H$21,$B24)&gt;0,COUNTA(H$7:H$15),0))</f>
        <v>0</v>
      </c>
      <c r="I24" s="46">
        <f>IF($B24="","",IF(COUNTIF(I$16:I$21,$B24)&gt;0,COUNTA(I$7:I$15),0))</f>
        <v>0</v>
      </c>
      <c r="J24" s="46">
        <f>IF($B24="","",IF(COUNTIF(J$16:J$21,$B24)&gt;0,COUNTA(J$7:J$15),0))</f>
        <v>0</v>
      </c>
      <c r="K24" s="46">
        <f>IF($B24="","",IF(COUNTIF(K$16:K$21,$B24)&gt;0,COUNTA(K$7:K$15),0))</f>
        <v>0</v>
      </c>
      <c r="L24" s="46">
        <f>IF($B24="","",IF(COUNTIF(L$16:L$21,$B24)&gt;0,COUNTA(L$7:L$15),0))</f>
        <v>0</v>
      </c>
      <c r="M24" s="46">
        <f>IF($B24="","",IF(COUNTIF(M$16:M$21,$B24)&gt;0,COUNTA(M$7:M$15),0))</f>
        <v>0</v>
      </c>
      <c r="N24" s="46">
        <f>IF($B24="","",IF(COUNTIF(N$16:N$21,$B24)&gt;0,COUNTA(N$7:N$15),0))</f>
        <v>0</v>
      </c>
      <c r="O24" s="46">
        <f>IF($B24="","",IF(COUNTIF(O$16:O$21,$B24)&gt;0,COUNTA(O$7:O$15),0))</f>
        <v>0</v>
      </c>
      <c r="P24" s="46">
        <f>IF($B24="","",IF(COUNTIF(P$16:P$21,$B24)&gt;0,COUNTA(P$7:P$15),0))</f>
        <v>0</v>
      </c>
      <c r="Q24" s="46">
        <f>IF($B24="","",IF(COUNTIF(Q$16:Q$21,$B24)&gt;0,COUNTA(Q$7:Q$15),0))</f>
        <v>0</v>
      </c>
      <c r="R24" s="46">
        <f>IF($B24="","",IF(COUNTIF(R$16:R$21,$B24)&gt;0,COUNTA(R$7:R$15),0))</f>
        <v>0</v>
      </c>
      <c r="S24" s="46">
        <f>IF($B24="","",IF(COUNTIF(S$16:S$21,$B24)&gt;0,COUNTA(S$7:S$15),0))</f>
        <v>0</v>
      </c>
      <c r="T24" s="46">
        <f>IF($B24="","",IF(COUNTIF(T$16:T$21,$B24)&gt;0,COUNTA(T$7:T$15),0))</f>
        <v>0</v>
      </c>
      <c r="U24" s="46">
        <f>IF($B24="","",IF(COUNTIF(U$16:U$21,$B24)&gt;0,COUNTA(U$7:U$15),0))</f>
        <v>0</v>
      </c>
      <c r="V24" s="46">
        <f>IF($B24="","",IF(COUNTIF(V$16:V$21,$B24)&gt;0,COUNTA(V$7:V$15),0))</f>
        <v>0</v>
      </c>
      <c r="W24" s="46">
        <f>IF($B24="","",IF(COUNTIF(W$16:W$21,$B24)&gt;0,COUNTA(W$7:W$15),0))</f>
        <v>0</v>
      </c>
      <c r="X24" s="46">
        <f>IF($B24="","",IF(COUNTIF(X$16:X$21,$B24)&gt;0,COUNTA(X$7:X$15),0))</f>
        <v>0</v>
      </c>
      <c r="Y24" s="46">
        <f>IF($B24="","",IF(COUNTIF(Y$16:Y$21,$B24)&gt;0,COUNTA(Y$7:Y$15),0))</f>
        <v>0</v>
      </c>
      <c r="Z24" s="46">
        <f>IF($B24="","",IF(COUNTIF(Z$16:Z$21,$B24)&gt;0,COUNTA(Z$7:Z$15),0))</f>
        <v>0</v>
      </c>
      <c r="AA24" s="46">
        <f>IF($B24="","",IF(COUNTIF(AA$16:AA$21,$B24)&gt;0,COUNTA(AA$7:AA$15),0))</f>
        <v>0</v>
      </c>
      <c r="AB24" s="46">
        <f>IF($B24="","",IF(COUNTIF(AB$16:AB$21,$B24)&gt;0,COUNTA(AB$7:AB$15),0))</f>
        <v>0</v>
      </c>
      <c r="AC24" s="46">
        <f>IF($B24="","",IF(COUNTIF(AC$16:AC$21,$B24)&gt;0,COUNTA(AC$7:AC$15),0))</f>
        <v>0</v>
      </c>
      <c r="AD24" s="46">
        <f>IF($B24="","",IF(COUNTIF(AD$16:AD$21,$B24)&gt;0,COUNTA(AD$7:AD$15),0))</f>
        <v>0</v>
      </c>
      <c r="AE24" s="46">
        <f>IF($B24="","",IF(COUNTIF(AE$16:AE$21,$B24)&gt;0,COUNTA(AE$7:AE$15),0))</f>
        <v>0</v>
      </c>
      <c r="AF24" s="46">
        <f>IF($B24="","",IF(COUNTIF(AF$16:AF$21,$B24)&gt;0,COUNTA(AF$7:AF$15),0))</f>
        <v>0</v>
      </c>
      <c r="AG24" s="46">
        <f>IF($B24="","",IF(COUNTIF(AG$16:AG$21,$B24)&gt;0,COUNTA(AG$7:AG$15),0))</f>
        <v>0</v>
      </c>
      <c r="AH24" s="46">
        <f>IF($B24="","",IF(COUNTIF(AH$16:AH$21,$B24)&gt;0,COUNTA(AH$7:AH$15),0))</f>
        <v>0</v>
      </c>
      <c r="AI24" s="46">
        <f>IF($B24="","",IF(COUNTIF(AI$16:AI$21,$B24)&gt;0,COUNTA(AI$7:AI$15),0))</f>
        <v>0</v>
      </c>
      <c r="AJ24" s="46">
        <f>IF($B24="","",IF(COUNTIF(AJ$16:AJ$21,$B24)&gt;0,COUNTA(AJ$7:AJ$15),0))</f>
        <v>0</v>
      </c>
      <c r="AK24" s="46">
        <f>IF($B24="","",IF(COUNTIF(AK$16:AK$21,$B24)&gt;0,COUNTA(AK$7:AK$15),0))</f>
        <v>0</v>
      </c>
      <c r="AL24" s="46">
        <f>IF($B24="","",IF(COUNTIF(AL$16:AL$21,$B24)&gt;0,COUNTA(AL$7:AL$15),0))</f>
        <v>0</v>
      </c>
      <c r="AM24" s="46">
        <f>IF($B24="","",IF(COUNTIF(AM$16:AM$21,$B24)&gt;0,COUNTA(AM$7:AM$15),0))</f>
        <v>0</v>
      </c>
      <c r="AN24" s="46">
        <f>IF($B24="","",IF(COUNTIF(AN$16:AN$21,$B24)&gt;0,COUNTA(AN$7:AN$15),0))</f>
        <v>0</v>
      </c>
      <c r="AO24" s="46">
        <f>IF($B24="","",IF(COUNTIF(AO$16:AO$21,$B24)&gt;0,COUNTA(AO$7:AO$15),0))</f>
        <v>0</v>
      </c>
      <c r="AP24" s="46">
        <f>IF($B24="","",IF(COUNTIF(AP$16:AP$21,$B24)&gt;0,COUNTA(AP$7:AP$15),0))</f>
        <v>0</v>
      </c>
      <c r="AQ24" s="46">
        <f>IF($B24="","",IF(COUNTIF(AQ$16:AQ$21,$B24)&gt;0,COUNTA(AQ$7:AQ$15),0))</f>
        <v>0</v>
      </c>
      <c r="AR24" s="46">
        <f>IF($B24="","",IF(COUNTIF(AR$16:AR$21,$B24)&gt;0,COUNTA(AR$7:AR$15),0))</f>
        <v>0</v>
      </c>
      <c r="AS24" s="46">
        <f>IF($B24="","",IF(COUNTIF(AS$16:AS$21,$B24)&gt;0,COUNTA(AS$7:AS$15),0))</f>
        <v>0</v>
      </c>
      <c r="AT24" s="46">
        <f>IF($B24="","",IF(COUNTIF(AT$16:AT$21,$B24)&gt;0,COUNTA(AT$7:AT$15),0))</f>
        <v>0</v>
      </c>
      <c r="AU24" s="46">
        <f>IF($B24="","",IF(COUNTIF(AU$16:AU$21,$B24)&gt;0,COUNTA(AU$7:AU$15),0))</f>
        <v>0</v>
      </c>
      <c r="AV24" s="46">
        <f>IF($B24="","",IF(COUNTIF(AV$16:AV$21,$B24)&gt;0,COUNTA(AV$7:AV$15),0))</f>
        <v>0</v>
      </c>
      <c r="AW24" s="46">
        <f>IF($B24="","",IF(COUNTIF(AW$16:AW$21,$B24)&gt;0,COUNTA(AW$7:AW$15),0))</f>
        <v>0</v>
      </c>
      <c r="AX24" s="46">
        <f>IF($B24="","",IF(COUNTIF(AX$16:AX$21,$B24)&gt;0,COUNTA(AX$7:AX$15),0))</f>
        <v>0</v>
      </c>
      <c r="AY24" s="46">
        <f>IF($B24="","",IF(COUNTIF(AY$16:AY$21,$B24)&gt;0,COUNTA(AY$7:AY$15),0))</f>
        <v>0</v>
      </c>
      <c r="AZ24" s="46">
        <f>IF($B24="","",IF(COUNTIF(AZ$16:AZ$21,$B24)&gt;0,COUNTA(AZ$7:AZ$15),0))</f>
        <v>0</v>
      </c>
      <c r="BA24" s="46">
        <f>IF($B24="","",IF(COUNTIF(BA$16:BA$21,$B24)&gt;0,COUNTA(BA$7:BA$15),0))</f>
        <v>0</v>
      </c>
      <c r="BB24" s="46">
        <f>IF($B24="","",IF(COUNTIF(BB$16:BB$21,$B24)&gt;0,COUNTA(BB$7:BB$15),0))</f>
        <v>0</v>
      </c>
      <c r="BC24" s="46">
        <f>IF($B24="","",IF(COUNTIF(BC$16:BC$21,$B24)&gt;0,COUNTA(BC$7:BC$15),0))</f>
        <v>0</v>
      </c>
      <c r="BD24" s="46">
        <f>IF($B24="","",IF(COUNTIF(BD$16:BD$21,$B24)&gt;0,COUNTA(BD$7:BD$15),0))</f>
        <v>0</v>
      </c>
      <c r="BE24" s="46">
        <f>IF($B24="","",IF(COUNTIF(BE$16:BE$21,$B24)&gt;0,COUNTA(BE$7:BE$15),0))</f>
        <v>0</v>
      </c>
      <c r="BF24" s="46">
        <f>IF($B24="","",IF(COUNTIF(BF$16:BF$21,$B24)&gt;0,COUNTA(BF$7:BF$15),0))</f>
        <v>0</v>
      </c>
      <c r="BG24" s="46">
        <f>IF($B24="","",IF(COUNTIF(BG$16:BG$21,$B24)&gt;0,COUNTA(BG$7:BG$15),0))</f>
        <v>0</v>
      </c>
      <c r="BH24" s="46">
        <f>IF($B24="","",IF(COUNTIF(BH$16:BH$21,$B24)&gt;0,COUNTA(BH$7:BH$15),0))</f>
        <v>0</v>
      </c>
      <c r="BI24" s="46">
        <f>IF($B24="","",IF(COUNTIF(BI$16:BI$21,$B24)&gt;0,COUNTA(BI$7:BI$15),0))</f>
        <v>0</v>
      </c>
      <c r="BJ24" s="46">
        <f>IF($B24="","",IF(COUNTIF(BJ$16:BJ$21,$B24)&gt;0,COUNTA(BJ$7:BJ$15),0))</f>
        <v>0</v>
      </c>
      <c r="BK24" s="46">
        <f>IF($B24="","",IF(COUNTIF(BK$16:BK$21,$B24)&gt;0,COUNTA(BK$7:BK$15),0))</f>
        <v>0</v>
      </c>
      <c r="BL24" s="46">
        <f>IF($B24="","",IF(COUNTIF(BL$16:BL$21,$B24)&gt;0,COUNTA(BL$7:BL$15),0))</f>
        <v>0</v>
      </c>
      <c r="BM24" s="46">
        <f>IF($B24="","",IF(COUNTIF(BM$16:BM$21,$B24)&gt;0,COUNTA(BM$7:BM$15),0))</f>
        <v>0</v>
      </c>
      <c r="BN24" s="46">
        <f>IF($B24="","",IF(COUNTIF(BN$16:BN$21,$B24)&gt;0,COUNTA(BN$7:BN$15),0))</f>
        <v>0</v>
      </c>
      <c r="BO24" s="46">
        <f>IF($B24="","",IF(COUNTIF(BO$16:BO$21,$B24)&gt;0,COUNTA(BO$7:BO$15),0))</f>
        <v>0</v>
      </c>
      <c r="BP24" s="46">
        <f>IF($B24="","",IF(COUNTIF(BP$16:BP$21,$B24)&gt;0,COUNTA(BP$7:BP$15),0))</f>
        <v>0</v>
      </c>
      <c r="BQ24" s="46">
        <f>IF($B24="","",IF(COUNTIF(BQ$16:BQ$21,$B24)&gt;0,COUNTA(BQ$7:BQ$15),0))</f>
        <v>0</v>
      </c>
      <c r="BR24" s="46">
        <f>IF($B24="","",IF(COUNTIF(BR$16:BR$21,$B24)&gt;0,COUNTA(BR$7:BR$15),0))</f>
        <v>0</v>
      </c>
      <c r="BS24" s="46">
        <f>IF($B24="","",IF(COUNTIF(BS$16:BS$21,$B24)&gt;0,COUNTA(BS$7:BS$15),0))</f>
        <v>0</v>
      </c>
      <c r="BT24" s="46">
        <f>IF($B24="","",IF(COUNTIF(BT$16:BT$21,$B24)&gt;0,COUNTA(BT$7:BT$15),0))</f>
        <v>0</v>
      </c>
      <c r="BU24" s="46">
        <f>IF($B24="","",IF(COUNTIF(BU$16:BU$21,$B24)&gt;0,COUNTA(BU$7:BU$15),0))</f>
        <v>0</v>
      </c>
      <c r="BV24" s="46">
        <f>IF($B24="","",IF(COUNTIF(BV$16:BV$21,$B24)&gt;0,COUNTA(BV$7:BV$15),0))</f>
        <v>0</v>
      </c>
      <c r="BW24" s="46">
        <f>IF($B24="","",IF(COUNTIF(BW$16:BW$21,$B24)&gt;0,COUNTA(BW$7:BW$15),0))</f>
        <v>0</v>
      </c>
      <c r="BX24" s="46">
        <f>IF($B24="","",IF(COUNTIF(BX$16:BX$21,$B24)&gt;0,COUNTA(BX$7:BX$15),0))</f>
        <v>0</v>
      </c>
      <c r="BY24" s="46">
        <f>IF($B24="","",IF(COUNTIF(BY$16:BY$21,$B24)&gt;0,COUNTA(BY$7:BY$15),0))</f>
        <v>0</v>
      </c>
      <c r="BZ24" s="46">
        <f>IF($B24="","",IF(COUNTIF(BZ$16:BZ$21,$B24)&gt;0,COUNTA(BZ$7:BZ$15),0))</f>
        <v>0</v>
      </c>
      <c r="CA24" s="46">
        <f>IF($B24="","",IF(COUNTIF(CA$16:CA$21,$B24)&gt;0,COUNTA(CA$7:CA$15),0))</f>
        <v>0</v>
      </c>
      <c r="CB24" s="46">
        <f>IF($B24="","",IF(COUNTIF(CB$16:CB$21,$B24)&gt;0,COUNTA(CB$7:CB$15),0))</f>
        <v>0</v>
      </c>
      <c r="CC24" s="46">
        <f>IF($B24="","",IF(COUNTIF(CC$16:CC$21,$B24)&gt;0,COUNTA(CC$7:CC$15),0))</f>
        <v>0</v>
      </c>
      <c r="CD24" s="46">
        <f>IF($B24="","",IF(COUNTIF(CD$16:CD$21,$B24)&gt;0,COUNTA(CD$7:CD$15),0))</f>
        <v>0</v>
      </c>
      <c r="CE24" s="46">
        <f>IF($B24="","",IF(COUNTIF(CE$16:CE$21,$B24)&gt;0,COUNTA(CE$7:CE$15),0))</f>
        <v>0</v>
      </c>
      <c r="CF24" s="46">
        <f>IF($B24="","",IF(COUNTIF(CF$16:CF$21,$B24)&gt;0,COUNTA(CF$7:CF$15),0))</f>
        <v>0</v>
      </c>
      <c r="CG24" s="46">
        <f>IF($B24="","",IF(COUNTIF(CG$16:CG$21,$B24)&gt;0,COUNTA(CG$7:CG$15),0))</f>
        <v>0</v>
      </c>
      <c r="CH24" s="46">
        <f>IF($B24="","",IF(COUNTIF(CH$16:CH$21,$B24)&gt;0,COUNTA(CH$7:CH$15),0))</f>
        <v>0</v>
      </c>
      <c r="CI24" s="46">
        <f>IF($B24="","",IF(COUNTIF(CI$16:CI$21,$B24)&gt;0,COUNTA(CI$7:CI$15),0))</f>
        <v>0</v>
      </c>
      <c r="CJ24" s="46">
        <f>IF($B24="","",IF(COUNTIF(CJ$16:CJ$21,$B24)&gt;0,COUNTA(CJ$7:CJ$15),0))</f>
        <v>0</v>
      </c>
      <c r="CK24" s="46">
        <f>IF($B24="","",IF(COUNTIF(CK$16:CK$21,$B24)&gt;0,COUNTA(CK$7:CK$15),0))</f>
        <v>0</v>
      </c>
      <c r="CL24" s="46">
        <f>IF($B24="","",IF(COUNTIF(CL$16:CL$21,$B24)&gt;0,COUNTA(CL$7:CL$15),0))</f>
        <v>0</v>
      </c>
      <c r="CM24" s="46">
        <f>IF($B24="","",IF(COUNTIF(CM$16:CM$21,$B24)&gt;0,COUNTA(CM$7:CM$15),0))</f>
        <v>0</v>
      </c>
      <c r="CN24" s="46">
        <f>IF($B24="","",IF(COUNTIF(CN$16:CN$21,$B24)&gt;0,COUNTA(CN$7:CN$15),0))</f>
        <v>0</v>
      </c>
      <c r="CO24" s="46">
        <f>IF($B24="","",IF(COUNTIF(CO$16:CO$21,$B24)&gt;0,COUNTA(CO$7:CO$15),0))</f>
        <v>0</v>
      </c>
      <c r="CP24" s="46">
        <f>IF($B24="","",IF(COUNTIF(CP$16:CP$21,$B24)&gt;0,COUNTA(CP$7:CP$15),0))</f>
        <v>0</v>
      </c>
      <c r="CQ24" s="46">
        <f>IF($B24="","",IF(COUNTIF(CQ$16:CQ$21,$B24)&gt;0,COUNTA(CQ$7:CQ$15),0))</f>
        <v>0</v>
      </c>
      <c r="CR24" s="46">
        <f>IF($B24="","",IF(COUNTIF(CR$16:CR$21,$B24)&gt;0,COUNTA(CR$7:CR$15),0))</f>
        <v>0</v>
      </c>
      <c r="CS24" s="46">
        <f>IF($B24="","",IF(COUNTIF(CS$16:CS$21,$B24)&gt;0,COUNTA(CS$7:CS$15),0))</f>
        <v>0</v>
      </c>
      <c r="CT24" s="46">
        <f>IF($B24="","",IF(COUNTIF(CT$16:CT$21,$B24)&gt;0,COUNTA(CT$7:CT$15),0))</f>
        <v>0</v>
      </c>
      <c r="CU24" s="46">
        <f>IF($B24="","",IF(COUNTIF(CU$16:CU$21,$B24)&gt;0,COUNTA(CU$7:CU$15),0))</f>
        <v>0</v>
      </c>
      <c r="CV24" s="46">
        <f>IF($B24="","",IF(COUNTIF(CV$16:CV$21,$B24)&gt;0,COUNTA(CV$7:CV$15),0))</f>
        <v>0</v>
      </c>
      <c r="CW24" s="46">
        <f>IF($B24="","",IF(COUNTIF(CW$16:CW$21,$B24)&gt;0,COUNTA(CW$7:CW$15),0))</f>
        <v>0</v>
      </c>
      <c r="CX24" s="46">
        <f>IF($B24="","",IF(COUNTIF(CX$16:CX$21,$B24)&gt;0,COUNTA(CX$7:CX$15),0))</f>
        <v>0</v>
      </c>
      <c r="CY24" s="46">
        <f>IF($B24="","",IF(COUNTIF(CY$16:CY$21,$B24)&gt;0,COUNTA(CY$7:CY$15),0))</f>
        <v>0</v>
      </c>
      <c r="CZ24" s="46">
        <f>IF($B24="","",IF(COUNTIF(CZ$16:CZ$21,$B24)&gt;0,COUNTA(CZ$7:CZ$15),0))</f>
        <v>0</v>
      </c>
      <c r="DA24" s="46">
        <f>IF($B24="","",IF(COUNTIF(DA$16:DA$21,$B24)&gt;0,COUNTA(DA$7:DA$15),0))</f>
        <v>0</v>
      </c>
      <c r="DB24" s="46">
        <f>IF($B24="","",IF(COUNTIF(DB$16:DB$21,$B24)&gt;0,COUNTA(DB$7:DB$15),0))</f>
        <v>0</v>
      </c>
      <c r="DC24" s="46">
        <f>IF($B24="","",IF(COUNTIF(DC$16:DC$21,$B24)&gt;0,COUNTA(DC$7:DC$15),0))</f>
        <v>0</v>
      </c>
      <c r="DD24" s="46">
        <f>IF($B24="","",IF(COUNTIF(DD$16:DD$21,$B24)&gt;0,COUNTA(DD$7:DD$15),0))</f>
        <v>0</v>
      </c>
      <c r="DE24" s="78">
        <f>IF($B24="","",IF(COUNTIF(DE$16:DE$21,$B24)&gt;0,COUNTA(DE$7:DE$15),0))</f>
        <v>0</v>
      </c>
    </row>
    <row r="25" spans="2:109" x14ac:dyDescent="0.2">
      <c r="B25" s="84" t="str">
        <f>IFERROR(INDEX(_xlfn._xlws.FILTER(Ressourcer!$B$1:$X$1,_xlfn.BYCOL(Ressourcer!$B$7:$X$10,_xlfn.LAMBDA(_xlpm.c,COUNTIF(_xlpm.c,"&lt;&gt;" )&gt;0))),ROWS($B$2:B3)),"")</f>
        <v>LOEH</v>
      </c>
      <c r="C25" s="79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)&gt;0))),_xlfn.LAMBDA(_xlpm.col,SUM(INDEX(Ressourcer!$B$7:$X$10,,_xlpm.col-COLUMN(Ressourcer!$B$7:$X$10)+1)))),ROWS($B$2:B3))/2,"")</f>
        <v>125</v>
      </c>
      <c r="D25" s="106" t="str">
        <f t="shared" si="22"/>
        <v/>
      </c>
      <c r="E25" s="57">
        <f>IF($B25="","",IF(COUNTIF(E$16:E$21,$B25)&gt;0,COUNTA(E$7:E$15),0))</f>
        <v>0</v>
      </c>
      <c r="F25" s="55">
        <f>IF($B25="","",IF(COUNTIF(F$16:F$21,$B25)&gt;0,COUNTA(F$7:F$15),0))</f>
        <v>0</v>
      </c>
      <c r="G25" s="55">
        <f>IF($B25="","",IF(COUNTIF(G$16:G$21,$B25)&gt;0,COUNTA(G$7:G$15),0))</f>
        <v>0</v>
      </c>
      <c r="H25" s="55">
        <f>IF($B25="","",IF(COUNTIF(H$16:H$21,$B25)&gt;0,COUNTA(H$7:H$15),0))</f>
        <v>0</v>
      </c>
      <c r="I25" s="55">
        <f>IF($B25="","",IF(COUNTIF(I$16:I$21,$B25)&gt;0,COUNTA(I$7:I$15),0))</f>
        <v>0</v>
      </c>
      <c r="J25" s="55">
        <f>IF($B25="","",IF(COUNTIF(J$16:J$21,$B25)&gt;0,COUNTA(J$7:J$15),0))</f>
        <v>0</v>
      </c>
      <c r="K25" s="55">
        <f>IF($B25="","",IF(COUNTIF(K$16:K$21,$B25)&gt;0,COUNTA(K$7:K$15),0))</f>
        <v>0</v>
      </c>
      <c r="L25" s="55">
        <f>IF($B25="","",IF(COUNTIF(L$16:L$21,$B25)&gt;0,COUNTA(L$7:L$15),0))</f>
        <v>0</v>
      </c>
      <c r="M25" s="55">
        <f>IF($B25="","",IF(COUNTIF(M$16:M$21,$B25)&gt;0,COUNTA(M$7:M$15),0))</f>
        <v>0</v>
      </c>
      <c r="N25" s="55">
        <f>IF($B25="","",IF(COUNTIF(N$16:N$21,$B25)&gt;0,COUNTA(N$7:N$15),0))</f>
        <v>0</v>
      </c>
      <c r="O25" s="55">
        <f>IF($B25="","",IF(COUNTIF(O$16:O$21,$B25)&gt;0,COUNTA(O$7:O$15),0))</f>
        <v>0</v>
      </c>
      <c r="P25" s="55">
        <f>IF($B25="","",IF(COUNTIF(P$16:P$21,$B25)&gt;0,COUNTA(P$7:P$15),0))</f>
        <v>0</v>
      </c>
      <c r="Q25" s="55">
        <f>IF($B25="","",IF(COUNTIF(Q$16:Q$21,$B25)&gt;0,COUNTA(Q$7:Q$15),0))</f>
        <v>0</v>
      </c>
      <c r="R25" s="55">
        <f>IF($B25="","",IF(COUNTIF(R$16:R$21,$B25)&gt;0,COUNTA(R$7:R$15),0))</f>
        <v>0</v>
      </c>
      <c r="S25" s="55">
        <f>IF($B25="","",IF(COUNTIF(S$16:S$21,$B25)&gt;0,COUNTA(S$7:S$15),0))</f>
        <v>0</v>
      </c>
      <c r="T25" s="55">
        <f>IF($B25="","",IF(COUNTIF(T$16:T$21,$B25)&gt;0,COUNTA(T$7:T$15),0))</f>
        <v>0</v>
      </c>
      <c r="U25" s="55">
        <f>IF($B25="","",IF(COUNTIF(U$16:U$21,$B25)&gt;0,COUNTA(U$7:U$15),0))</f>
        <v>0</v>
      </c>
      <c r="V25" s="55">
        <f>IF($B25="","",IF(COUNTIF(V$16:V$21,$B25)&gt;0,COUNTA(V$7:V$15),0))</f>
        <v>0</v>
      </c>
      <c r="W25" s="55">
        <f>IF($B25="","",IF(COUNTIF(W$16:W$21,$B25)&gt;0,COUNTA(W$7:W$15),0))</f>
        <v>0</v>
      </c>
      <c r="X25" s="55">
        <f>IF($B25="","",IF(COUNTIF(X$16:X$21,$B25)&gt;0,COUNTA(X$7:X$15),0))</f>
        <v>0</v>
      </c>
      <c r="Y25" s="55">
        <f>IF($B25="","",IF(COUNTIF(Y$16:Y$21,$B25)&gt;0,COUNTA(Y$7:Y$15),0))</f>
        <v>0</v>
      </c>
      <c r="Z25" s="55">
        <f>IF($B25="","",IF(COUNTIF(Z$16:Z$21,$B25)&gt;0,COUNTA(Z$7:Z$15),0))</f>
        <v>0</v>
      </c>
      <c r="AA25" s="55">
        <f>IF($B25="","",IF(COUNTIF(AA$16:AA$21,$B25)&gt;0,COUNTA(AA$7:AA$15),0))</f>
        <v>0</v>
      </c>
      <c r="AB25" s="55">
        <f>IF($B25="","",IF(COUNTIF(AB$16:AB$21,$B25)&gt;0,COUNTA(AB$7:AB$15),0))</f>
        <v>0</v>
      </c>
      <c r="AC25" s="55">
        <f>IF($B25="","",IF(COUNTIF(AC$16:AC$21,$B25)&gt;0,COUNTA(AC$7:AC$15),0))</f>
        <v>0</v>
      </c>
      <c r="AD25" s="55">
        <f>IF($B25="","",IF(COUNTIF(AD$16:AD$21,$B25)&gt;0,COUNTA(AD$7:AD$15),0))</f>
        <v>0</v>
      </c>
      <c r="AE25" s="55">
        <f>IF($B25="","",IF(COUNTIF(AE$16:AE$21,$B25)&gt;0,COUNTA(AE$7:AE$15),0))</f>
        <v>0</v>
      </c>
      <c r="AF25" s="55">
        <f>IF($B25="","",IF(COUNTIF(AF$16:AF$21,$B25)&gt;0,COUNTA(AF$7:AF$15),0))</f>
        <v>0</v>
      </c>
      <c r="AG25" s="55">
        <f>IF($B25="","",IF(COUNTIF(AG$16:AG$21,$B25)&gt;0,COUNTA(AG$7:AG$15),0))</f>
        <v>0</v>
      </c>
      <c r="AH25" s="55">
        <f>IF($B25="","",IF(COUNTIF(AH$16:AH$21,$B25)&gt;0,COUNTA(AH$7:AH$15),0))</f>
        <v>0</v>
      </c>
      <c r="AI25" s="55">
        <f>IF($B25="","",IF(COUNTIF(AI$16:AI$21,$B25)&gt;0,COUNTA(AI$7:AI$15),0))</f>
        <v>0</v>
      </c>
      <c r="AJ25" s="55">
        <f>IF($B25="","",IF(COUNTIF(AJ$16:AJ$21,$B25)&gt;0,COUNTA(AJ$7:AJ$15),0))</f>
        <v>0</v>
      </c>
      <c r="AK25" s="55">
        <f>IF($B25="","",IF(COUNTIF(AK$16:AK$21,$B25)&gt;0,COUNTA(AK$7:AK$15),0))</f>
        <v>0</v>
      </c>
      <c r="AL25" s="55">
        <f>IF($B25="","",IF(COUNTIF(AL$16:AL$21,$B25)&gt;0,COUNTA(AL$7:AL$15),0))</f>
        <v>0</v>
      </c>
      <c r="AM25" s="55">
        <f>IF($B25="","",IF(COUNTIF(AM$16:AM$21,$B25)&gt;0,COUNTA(AM$7:AM$15),0))</f>
        <v>0</v>
      </c>
      <c r="AN25" s="55">
        <f>IF($B25="","",IF(COUNTIF(AN$16:AN$21,$B25)&gt;0,COUNTA(AN$7:AN$15),0))</f>
        <v>0</v>
      </c>
      <c r="AO25" s="55">
        <f>IF($B25="","",IF(COUNTIF(AO$16:AO$21,$B25)&gt;0,COUNTA(AO$7:AO$15),0))</f>
        <v>0</v>
      </c>
      <c r="AP25" s="55">
        <f>IF($B25="","",IF(COUNTIF(AP$16:AP$21,$B25)&gt;0,COUNTA(AP$7:AP$15),0))</f>
        <v>0</v>
      </c>
      <c r="AQ25" s="55">
        <f>IF($B25="","",IF(COUNTIF(AQ$16:AQ$21,$B25)&gt;0,COUNTA(AQ$7:AQ$15),0))</f>
        <v>0</v>
      </c>
      <c r="AR25" s="55">
        <f>IF($B25="","",IF(COUNTIF(AR$16:AR$21,$B25)&gt;0,COUNTA(AR$7:AR$15),0))</f>
        <v>0</v>
      </c>
      <c r="AS25" s="55">
        <f>IF($B25="","",IF(COUNTIF(AS$16:AS$21,$B25)&gt;0,COUNTA(AS$7:AS$15),0))</f>
        <v>0</v>
      </c>
      <c r="AT25" s="55">
        <f>IF($B25="","",IF(COUNTIF(AT$16:AT$21,$B25)&gt;0,COUNTA(AT$7:AT$15),0))</f>
        <v>0</v>
      </c>
      <c r="AU25" s="55">
        <f>IF($B25="","",IF(COUNTIF(AU$16:AU$21,$B25)&gt;0,COUNTA(AU$7:AU$15),0))</f>
        <v>0</v>
      </c>
      <c r="AV25" s="55">
        <f>IF($B25="","",IF(COUNTIF(AV$16:AV$21,$B25)&gt;0,COUNTA(AV$7:AV$15),0))</f>
        <v>0</v>
      </c>
      <c r="AW25" s="55">
        <f>IF($B25="","",IF(COUNTIF(AW$16:AW$21,$B25)&gt;0,COUNTA(AW$7:AW$15),0))</f>
        <v>0</v>
      </c>
      <c r="AX25" s="55">
        <f>IF($B25="","",IF(COUNTIF(AX$16:AX$21,$B25)&gt;0,COUNTA(AX$7:AX$15),0))</f>
        <v>0</v>
      </c>
      <c r="AY25" s="55">
        <f>IF($B25="","",IF(COUNTIF(AY$16:AY$21,$B25)&gt;0,COUNTA(AY$7:AY$15),0))</f>
        <v>0</v>
      </c>
      <c r="AZ25" s="55">
        <f>IF($B25="","",IF(COUNTIF(AZ$16:AZ$21,$B25)&gt;0,COUNTA(AZ$7:AZ$15),0))</f>
        <v>0</v>
      </c>
      <c r="BA25" s="55">
        <f>IF($B25="","",IF(COUNTIF(BA$16:BA$21,$B25)&gt;0,COUNTA(BA$7:BA$15),0))</f>
        <v>0</v>
      </c>
      <c r="BB25" s="55">
        <f>IF($B25="","",IF(COUNTIF(BB$16:BB$21,$B25)&gt;0,COUNTA(BB$7:BB$15),0))</f>
        <v>0</v>
      </c>
      <c r="BC25" s="55">
        <f>IF($B25="","",IF(COUNTIF(BC$16:BC$21,$B25)&gt;0,COUNTA(BC$7:BC$15),0))</f>
        <v>0</v>
      </c>
      <c r="BD25" s="55">
        <f>IF($B25="","",IF(COUNTIF(BD$16:BD$21,$B25)&gt;0,COUNTA(BD$7:BD$15),0))</f>
        <v>0</v>
      </c>
      <c r="BE25" s="55">
        <f>IF($B25="","",IF(COUNTIF(BE$16:BE$21,$B25)&gt;0,COUNTA(BE$7:BE$15),0))</f>
        <v>0</v>
      </c>
      <c r="BF25" s="55">
        <f>IF($B25="","",IF(COUNTIF(BF$16:BF$21,$B25)&gt;0,COUNTA(BF$7:BF$15),0))</f>
        <v>0</v>
      </c>
      <c r="BG25" s="55">
        <f>IF($B25="","",IF(COUNTIF(BG$16:BG$21,$B25)&gt;0,COUNTA(BG$7:BG$15),0))</f>
        <v>0</v>
      </c>
      <c r="BH25" s="55">
        <f>IF($B25="","",IF(COUNTIF(BH$16:BH$21,$B25)&gt;0,COUNTA(BH$7:BH$15),0))</f>
        <v>0</v>
      </c>
      <c r="BI25" s="55">
        <f>IF($B25="","",IF(COUNTIF(BI$16:BI$21,$B25)&gt;0,COUNTA(BI$7:BI$15),0))</f>
        <v>0</v>
      </c>
      <c r="BJ25" s="55">
        <f>IF($B25="","",IF(COUNTIF(BJ$16:BJ$21,$B25)&gt;0,COUNTA(BJ$7:BJ$15),0))</f>
        <v>0</v>
      </c>
      <c r="BK25" s="55">
        <f>IF($B25="","",IF(COUNTIF(BK$16:BK$21,$B25)&gt;0,COUNTA(BK$7:BK$15),0))</f>
        <v>0</v>
      </c>
      <c r="BL25" s="55">
        <f>IF($B25="","",IF(COUNTIF(BL$16:BL$21,$B25)&gt;0,COUNTA(BL$7:BL$15),0))</f>
        <v>0</v>
      </c>
      <c r="BM25" s="55">
        <f>IF($B25="","",IF(COUNTIF(BM$16:BM$21,$B25)&gt;0,COUNTA(BM$7:BM$15),0))</f>
        <v>0</v>
      </c>
      <c r="BN25" s="55">
        <f>IF($B25="","",IF(COUNTIF(BN$16:BN$21,$B25)&gt;0,COUNTA(BN$7:BN$15),0))</f>
        <v>0</v>
      </c>
      <c r="BO25" s="55">
        <f>IF($B25="","",IF(COUNTIF(BO$16:BO$21,$B25)&gt;0,COUNTA(BO$7:BO$15),0))</f>
        <v>0</v>
      </c>
      <c r="BP25" s="55">
        <f>IF($B25="","",IF(COUNTIF(BP$16:BP$21,$B25)&gt;0,COUNTA(BP$7:BP$15),0))</f>
        <v>0</v>
      </c>
      <c r="BQ25" s="55">
        <f>IF($B25="","",IF(COUNTIF(BQ$16:BQ$21,$B25)&gt;0,COUNTA(BQ$7:BQ$15),0))</f>
        <v>0</v>
      </c>
      <c r="BR25" s="55">
        <f>IF($B25="","",IF(COUNTIF(BR$16:BR$21,$B25)&gt;0,COUNTA(BR$7:BR$15),0))</f>
        <v>0</v>
      </c>
      <c r="BS25" s="55">
        <f>IF($B25="","",IF(COUNTIF(BS$16:BS$21,$B25)&gt;0,COUNTA(BS$7:BS$15),0))</f>
        <v>0</v>
      </c>
      <c r="BT25" s="55">
        <f>IF($B25="","",IF(COUNTIF(BT$16:BT$21,$B25)&gt;0,COUNTA(BT$7:BT$15),0))</f>
        <v>0</v>
      </c>
      <c r="BU25" s="55">
        <f>IF($B25="","",IF(COUNTIF(BU$16:BU$21,$B25)&gt;0,COUNTA(BU$7:BU$15),0))</f>
        <v>0</v>
      </c>
      <c r="BV25" s="55">
        <f>IF($B25="","",IF(COUNTIF(BV$16:BV$21,$B25)&gt;0,COUNTA(BV$7:BV$15),0))</f>
        <v>0</v>
      </c>
      <c r="BW25" s="55">
        <f>IF($B25="","",IF(COUNTIF(BW$16:BW$21,$B25)&gt;0,COUNTA(BW$7:BW$15),0))</f>
        <v>0</v>
      </c>
      <c r="BX25" s="55">
        <f>IF($B25="","",IF(COUNTIF(BX$16:BX$21,$B25)&gt;0,COUNTA(BX$7:BX$15),0))</f>
        <v>0</v>
      </c>
      <c r="BY25" s="55">
        <f>IF($B25="","",IF(COUNTIF(BY$16:BY$21,$B25)&gt;0,COUNTA(BY$7:BY$15),0))</f>
        <v>0</v>
      </c>
      <c r="BZ25" s="55">
        <f>IF($B25="","",IF(COUNTIF(BZ$16:BZ$21,$B25)&gt;0,COUNTA(BZ$7:BZ$15),0))</f>
        <v>0</v>
      </c>
      <c r="CA25" s="55">
        <f>IF($B25="","",IF(COUNTIF(CA$16:CA$21,$B25)&gt;0,COUNTA(CA$7:CA$15),0))</f>
        <v>0</v>
      </c>
      <c r="CB25" s="55">
        <f>IF($B25="","",IF(COUNTIF(CB$16:CB$21,$B25)&gt;0,COUNTA(CB$7:CB$15),0))</f>
        <v>0</v>
      </c>
      <c r="CC25" s="55">
        <f>IF($B25="","",IF(COUNTIF(CC$16:CC$21,$B25)&gt;0,COUNTA(CC$7:CC$15),0))</f>
        <v>0</v>
      </c>
      <c r="CD25" s="55">
        <f>IF($B25="","",IF(COUNTIF(CD$16:CD$21,$B25)&gt;0,COUNTA(CD$7:CD$15),0))</f>
        <v>0</v>
      </c>
      <c r="CE25" s="55">
        <f>IF($B25="","",IF(COUNTIF(CE$16:CE$21,$B25)&gt;0,COUNTA(CE$7:CE$15),0))</f>
        <v>0</v>
      </c>
      <c r="CF25" s="55">
        <f>IF($B25="","",IF(COUNTIF(CF$16:CF$21,$B25)&gt;0,COUNTA(CF$7:CF$15),0))</f>
        <v>0</v>
      </c>
      <c r="CG25" s="55">
        <f>IF($B25="","",IF(COUNTIF(CG$16:CG$21,$B25)&gt;0,COUNTA(CG$7:CG$15),0))</f>
        <v>0</v>
      </c>
      <c r="CH25" s="55">
        <f>IF($B25="","",IF(COUNTIF(CH$16:CH$21,$B25)&gt;0,COUNTA(CH$7:CH$15),0))</f>
        <v>0</v>
      </c>
      <c r="CI25" s="55">
        <f>IF($B25="","",IF(COUNTIF(CI$16:CI$21,$B25)&gt;0,COUNTA(CI$7:CI$15),0))</f>
        <v>0</v>
      </c>
      <c r="CJ25" s="55">
        <f>IF($B25="","",IF(COUNTIF(CJ$16:CJ$21,$B25)&gt;0,COUNTA(CJ$7:CJ$15),0))</f>
        <v>0</v>
      </c>
      <c r="CK25" s="55">
        <f>IF($B25="","",IF(COUNTIF(CK$16:CK$21,$B25)&gt;0,COUNTA(CK$7:CK$15),0))</f>
        <v>0</v>
      </c>
      <c r="CL25" s="55">
        <f>IF($B25="","",IF(COUNTIF(CL$16:CL$21,$B25)&gt;0,COUNTA(CL$7:CL$15),0))</f>
        <v>0</v>
      </c>
      <c r="CM25" s="55">
        <f>IF($B25="","",IF(COUNTIF(CM$16:CM$21,$B25)&gt;0,COUNTA(CM$7:CM$15),0))</f>
        <v>0</v>
      </c>
      <c r="CN25" s="55">
        <f>IF($B25="","",IF(COUNTIF(CN$16:CN$21,$B25)&gt;0,COUNTA(CN$7:CN$15),0))</f>
        <v>0</v>
      </c>
      <c r="CO25" s="55">
        <f>IF($B25="","",IF(COUNTIF(CO$16:CO$21,$B25)&gt;0,COUNTA(CO$7:CO$15),0))</f>
        <v>0</v>
      </c>
      <c r="CP25" s="55">
        <f>IF($B25="","",IF(COUNTIF(CP$16:CP$21,$B25)&gt;0,COUNTA(CP$7:CP$15),0))</f>
        <v>0</v>
      </c>
      <c r="CQ25" s="55">
        <f>IF($B25="","",IF(COUNTIF(CQ$16:CQ$21,$B25)&gt;0,COUNTA(CQ$7:CQ$15),0))</f>
        <v>0</v>
      </c>
      <c r="CR25" s="55">
        <f>IF($B25="","",IF(COUNTIF(CR$16:CR$21,$B25)&gt;0,COUNTA(CR$7:CR$15),0))</f>
        <v>0</v>
      </c>
      <c r="CS25" s="55">
        <f>IF($B25="","",IF(COUNTIF(CS$16:CS$21,$B25)&gt;0,COUNTA(CS$7:CS$15),0))</f>
        <v>0</v>
      </c>
      <c r="CT25" s="55">
        <f>IF($B25="","",IF(COUNTIF(CT$16:CT$21,$B25)&gt;0,COUNTA(CT$7:CT$15),0))</f>
        <v>0</v>
      </c>
      <c r="CU25" s="55">
        <f>IF($B25="","",IF(COUNTIF(CU$16:CU$21,$B25)&gt;0,COUNTA(CU$7:CU$15),0))</f>
        <v>0</v>
      </c>
      <c r="CV25" s="55">
        <f>IF($B25="","",IF(COUNTIF(CV$16:CV$21,$B25)&gt;0,COUNTA(CV$7:CV$15),0))</f>
        <v>0</v>
      </c>
      <c r="CW25" s="55">
        <f>IF($B25="","",IF(COUNTIF(CW$16:CW$21,$B25)&gt;0,COUNTA(CW$7:CW$15),0))</f>
        <v>0</v>
      </c>
      <c r="CX25" s="55">
        <f>IF($B25="","",IF(COUNTIF(CX$16:CX$21,$B25)&gt;0,COUNTA(CX$7:CX$15),0))</f>
        <v>0</v>
      </c>
      <c r="CY25" s="55">
        <f>IF($B25="","",IF(COUNTIF(CY$16:CY$21,$B25)&gt;0,COUNTA(CY$7:CY$15),0))</f>
        <v>0</v>
      </c>
      <c r="CZ25" s="55">
        <f>IF($B25="","",IF(COUNTIF(CZ$16:CZ$21,$B25)&gt;0,COUNTA(CZ$7:CZ$15),0))</f>
        <v>0</v>
      </c>
      <c r="DA25" s="55">
        <f>IF($B25="","",IF(COUNTIF(DA$16:DA$21,$B25)&gt;0,COUNTA(DA$7:DA$15),0))</f>
        <v>0</v>
      </c>
      <c r="DB25" s="55">
        <f>IF($B25="","",IF(COUNTIF(DB$16:DB$21,$B25)&gt;0,COUNTA(DB$7:DB$15),0))</f>
        <v>0</v>
      </c>
      <c r="DC25" s="55">
        <f>IF($B25="","",IF(COUNTIF(DC$16:DC$21,$B25)&gt;0,COUNTA(DC$7:DC$15),0))</f>
        <v>0</v>
      </c>
      <c r="DD25" s="55">
        <f>IF($B25="","",IF(COUNTIF(DD$16:DD$21,$B25)&gt;0,COUNTA(DD$7:DD$15),0))</f>
        <v>0</v>
      </c>
      <c r="DE25" s="58">
        <f>IF($B25="","",IF(COUNTIF(DE$16:DE$21,$B25)&gt;0,COUNTA(DE$7:DE$15),0))</f>
        <v>0</v>
      </c>
    </row>
    <row r="26" spans="2:109" x14ac:dyDescent="0.2">
      <c r="B26" s="84" t="str">
        <f>IFERROR(INDEX(_xlfn._xlws.FILTER(Ressourcer!$B$1:$X$1,_xlfn.BYCOL(Ressourcer!$B$7:$X$10,_xlfn.LAMBDA(_xlpm.c,COUNTIF(_xlpm.c,"&lt;&gt;" )&gt;0))),ROWS($B$2:B4)),"")</f>
        <v>MDEI</v>
      </c>
      <c r="C26" s="79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)&gt;0))),_xlfn.LAMBDA(_xlpm.col,SUM(INDEX(Ressourcer!$B$7:$X$10,,_xlpm.col-COLUMN(Ressourcer!$B$7:$X$10)+1)))),ROWS($B$2:B4))/2,"")</f>
        <v>37.5</v>
      </c>
      <c r="D26" s="106" t="str">
        <f t="shared" si="22"/>
        <v/>
      </c>
      <c r="E26" s="57">
        <f>IF($B26="","",IF(COUNTIF(E$16:E$21,$B26)&gt;0,COUNTA(E$7:E$15),0))</f>
        <v>0</v>
      </c>
      <c r="F26" s="55">
        <f>IF($B26="","",IF(COUNTIF(F$16:F$21,$B26)&gt;0,COUNTA(F$7:F$15),0))</f>
        <v>0</v>
      </c>
      <c r="G26" s="55">
        <f>IF($B26="","",IF(COUNTIF(G$16:G$21,$B26)&gt;0,COUNTA(G$7:G$15),0))</f>
        <v>0</v>
      </c>
      <c r="H26" s="55">
        <f>IF($B26="","",IF(COUNTIF(H$16:H$21,$B26)&gt;0,COUNTA(H$7:H$15),0))</f>
        <v>0</v>
      </c>
      <c r="I26" s="55">
        <f>IF($B26="","",IF(COUNTIF(I$16:I$21,$B26)&gt;0,COUNTA(I$7:I$15),0))</f>
        <v>0</v>
      </c>
      <c r="J26" s="55">
        <f>IF($B26="","",IF(COUNTIF(J$16:J$21,$B26)&gt;0,COUNTA(J$7:J$15),0))</f>
        <v>0</v>
      </c>
      <c r="K26" s="55">
        <f>IF($B26="","",IF(COUNTIF(K$16:K$21,$B26)&gt;0,COUNTA(K$7:K$15),0))</f>
        <v>0</v>
      </c>
      <c r="L26" s="55">
        <f>IF($B26="","",IF(COUNTIF(L$16:L$21,$B26)&gt;0,COUNTA(L$7:L$15),0))</f>
        <v>0</v>
      </c>
      <c r="M26" s="55">
        <f>IF($B26="","",IF(COUNTIF(M$16:M$21,$B26)&gt;0,COUNTA(M$7:M$15),0))</f>
        <v>0</v>
      </c>
      <c r="N26" s="55">
        <f>IF($B26="","",IF(COUNTIF(N$16:N$21,$B26)&gt;0,COUNTA(N$7:N$15),0))</f>
        <v>0</v>
      </c>
      <c r="O26" s="55">
        <f>IF($B26="","",IF(COUNTIF(O$16:O$21,$B26)&gt;0,COUNTA(O$7:O$15),0))</f>
        <v>0</v>
      </c>
      <c r="P26" s="55">
        <f>IF($B26="","",IF(COUNTIF(P$16:P$21,$B26)&gt;0,COUNTA(P$7:P$15),0))</f>
        <v>0</v>
      </c>
      <c r="Q26" s="55">
        <f>IF($B26="","",IF(COUNTIF(Q$16:Q$21,$B26)&gt;0,COUNTA(Q$7:Q$15),0))</f>
        <v>0</v>
      </c>
      <c r="R26" s="55">
        <f>IF($B26="","",IF(COUNTIF(R$16:R$21,$B26)&gt;0,COUNTA(R$7:R$15),0))</f>
        <v>0</v>
      </c>
      <c r="S26" s="55">
        <f>IF($B26="","",IF(COUNTIF(S$16:S$21,$B26)&gt;0,COUNTA(S$7:S$15),0))</f>
        <v>0</v>
      </c>
      <c r="T26" s="55">
        <f>IF($B26="","",IF(COUNTIF(T$16:T$21,$B26)&gt;0,COUNTA(T$7:T$15),0))</f>
        <v>0</v>
      </c>
      <c r="U26" s="55">
        <f>IF($B26="","",IF(COUNTIF(U$16:U$21,$B26)&gt;0,COUNTA(U$7:U$15),0))</f>
        <v>0</v>
      </c>
      <c r="V26" s="55">
        <f>IF($B26="","",IF(COUNTIF(V$16:V$21,$B26)&gt;0,COUNTA(V$7:V$15),0))</f>
        <v>0</v>
      </c>
      <c r="W26" s="55">
        <f>IF($B26="","",IF(COUNTIF(W$16:W$21,$B26)&gt;0,COUNTA(W$7:W$15),0))</f>
        <v>0</v>
      </c>
      <c r="X26" s="55">
        <f>IF($B26="","",IF(COUNTIF(X$16:X$21,$B26)&gt;0,COUNTA(X$7:X$15),0))</f>
        <v>0</v>
      </c>
      <c r="Y26" s="55">
        <f>IF($B26="","",IF(COUNTIF(Y$16:Y$21,$B26)&gt;0,COUNTA(Y$7:Y$15),0))</f>
        <v>0</v>
      </c>
      <c r="Z26" s="55">
        <f>IF($B26="","",IF(COUNTIF(Z$16:Z$21,$B26)&gt;0,COUNTA(Z$7:Z$15),0))</f>
        <v>0</v>
      </c>
      <c r="AA26" s="55">
        <f>IF($B26="","",IF(COUNTIF(AA$16:AA$21,$B26)&gt;0,COUNTA(AA$7:AA$15),0))</f>
        <v>0</v>
      </c>
      <c r="AB26" s="55">
        <f>IF($B26="","",IF(COUNTIF(AB$16:AB$21,$B26)&gt;0,COUNTA(AB$7:AB$15),0))</f>
        <v>0</v>
      </c>
      <c r="AC26" s="55">
        <f>IF($B26="","",IF(COUNTIF(AC$16:AC$21,$B26)&gt;0,COUNTA(AC$7:AC$15),0))</f>
        <v>0</v>
      </c>
      <c r="AD26" s="55">
        <f>IF($B26="","",IF(COUNTIF(AD$16:AD$21,$B26)&gt;0,COUNTA(AD$7:AD$15),0))</f>
        <v>0</v>
      </c>
      <c r="AE26" s="55">
        <f>IF($B26="","",IF(COUNTIF(AE$16:AE$21,$B26)&gt;0,COUNTA(AE$7:AE$15),0))</f>
        <v>0</v>
      </c>
      <c r="AF26" s="55">
        <f>IF($B26="","",IF(COUNTIF(AF$16:AF$21,$B26)&gt;0,COUNTA(AF$7:AF$15),0))</f>
        <v>0</v>
      </c>
      <c r="AG26" s="55">
        <f>IF($B26="","",IF(COUNTIF(AG$16:AG$21,$B26)&gt;0,COUNTA(AG$7:AG$15),0))</f>
        <v>0</v>
      </c>
      <c r="AH26" s="55">
        <f>IF($B26="","",IF(COUNTIF(AH$16:AH$21,$B26)&gt;0,COUNTA(AH$7:AH$15),0))</f>
        <v>0</v>
      </c>
      <c r="AI26" s="55">
        <f>IF($B26="","",IF(COUNTIF(AI$16:AI$21,$B26)&gt;0,COUNTA(AI$7:AI$15),0))</f>
        <v>0</v>
      </c>
      <c r="AJ26" s="55">
        <f>IF($B26="","",IF(COUNTIF(AJ$16:AJ$21,$B26)&gt;0,COUNTA(AJ$7:AJ$15),0))</f>
        <v>0</v>
      </c>
      <c r="AK26" s="55">
        <f>IF($B26="","",IF(COUNTIF(AK$16:AK$21,$B26)&gt;0,COUNTA(AK$7:AK$15),0))</f>
        <v>0</v>
      </c>
      <c r="AL26" s="55">
        <f>IF($B26="","",IF(COUNTIF(AL$16:AL$21,$B26)&gt;0,COUNTA(AL$7:AL$15),0))</f>
        <v>0</v>
      </c>
      <c r="AM26" s="55">
        <f>IF($B26="","",IF(COUNTIF(AM$16:AM$21,$B26)&gt;0,COUNTA(AM$7:AM$15),0))</f>
        <v>0</v>
      </c>
      <c r="AN26" s="55">
        <f>IF($B26="","",IF(COUNTIF(AN$16:AN$21,$B26)&gt;0,COUNTA(AN$7:AN$15),0))</f>
        <v>0</v>
      </c>
      <c r="AO26" s="55">
        <f>IF($B26="","",IF(COUNTIF(AO$16:AO$21,$B26)&gt;0,COUNTA(AO$7:AO$15),0))</f>
        <v>0</v>
      </c>
      <c r="AP26" s="55">
        <f>IF($B26="","",IF(COUNTIF(AP$16:AP$21,$B26)&gt;0,COUNTA(AP$7:AP$15),0))</f>
        <v>0</v>
      </c>
      <c r="AQ26" s="55">
        <f>IF($B26="","",IF(COUNTIF(AQ$16:AQ$21,$B26)&gt;0,COUNTA(AQ$7:AQ$15),0))</f>
        <v>0</v>
      </c>
      <c r="AR26" s="55">
        <f>IF($B26="","",IF(COUNTIF(AR$16:AR$21,$B26)&gt;0,COUNTA(AR$7:AR$15),0))</f>
        <v>0</v>
      </c>
      <c r="AS26" s="55">
        <f>IF($B26="","",IF(COUNTIF(AS$16:AS$21,$B26)&gt;0,COUNTA(AS$7:AS$15),0))</f>
        <v>0</v>
      </c>
      <c r="AT26" s="55">
        <f>IF($B26="","",IF(COUNTIF(AT$16:AT$21,$B26)&gt;0,COUNTA(AT$7:AT$15),0))</f>
        <v>0</v>
      </c>
      <c r="AU26" s="55">
        <f>IF($B26="","",IF(COUNTIF(AU$16:AU$21,$B26)&gt;0,COUNTA(AU$7:AU$15),0))</f>
        <v>0</v>
      </c>
      <c r="AV26" s="55">
        <f>IF($B26="","",IF(COUNTIF(AV$16:AV$21,$B26)&gt;0,COUNTA(AV$7:AV$15),0))</f>
        <v>0</v>
      </c>
      <c r="AW26" s="55">
        <f>IF($B26="","",IF(COUNTIF(AW$16:AW$21,$B26)&gt;0,COUNTA(AW$7:AW$15),0))</f>
        <v>0</v>
      </c>
      <c r="AX26" s="55">
        <f>IF($B26="","",IF(COUNTIF(AX$16:AX$21,$B26)&gt;0,COUNTA(AX$7:AX$15),0))</f>
        <v>0</v>
      </c>
      <c r="AY26" s="55">
        <f>IF($B26="","",IF(COUNTIF(AY$16:AY$21,$B26)&gt;0,COUNTA(AY$7:AY$15),0))</f>
        <v>0</v>
      </c>
      <c r="AZ26" s="55">
        <f>IF($B26="","",IF(COUNTIF(AZ$16:AZ$21,$B26)&gt;0,COUNTA(AZ$7:AZ$15),0))</f>
        <v>0</v>
      </c>
      <c r="BA26" s="55">
        <f>IF($B26="","",IF(COUNTIF(BA$16:BA$21,$B26)&gt;0,COUNTA(BA$7:BA$15),0))</f>
        <v>0</v>
      </c>
      <c r="BB26" s="55">
        <f>IF($B26="","",IF(COUNTIF(BB$16:BB$21,$B26)&gt;0,COUNTA(BB$7:BB$15),0))</f>
        <v>0</v>
      </c>
      <c r="BC26" s="55">
        <f>IF($B26="","",IF(COUNTIF(BC$16:BC$21,$B26)&gt;0,COUNTA(BC$7:BC$15),0))</f>
        <v>0</v>
      </c>
      <c r="BD26" s="55">
        <f>IF($B26="","",IF(COUNTIF(BD$16:BD$21,$B26)&gt;0,COUNTA(BD$7:BD$15),0))</f>
        <v>0</v>
      </c>
      <c r="BE26" s="55">
        <f>IF($B26="","",IF(COUNTIF(BE$16:BE$21,$B26)&gt;0,COUNTA(BE$7:BE$15),0))</f>
        <v>0</v>
      </c>
      <c r="BF26" s="55">
        <f>IF($B26="","",IF(COUNTIF(BF$16:BF$21,$B26)&gt;0,COUNTA(BF$7:BF$15),0))</f>
        <v>0</v>
      </c>
      <c r="BG26" s="55">
        <f>IF($B26="","",IF(COUNTIF(BG$16:BG$21,$B26)&gt;0,COUNTA(BG$7:BG$15),0))</f>
        <v>0</v>
      </c>
      <c r="BH26" s="55">
        <f>IF($B26="","",IF(COUNTIF(BH$16:BH$21,$B26)&gt;0,COUNTA(BH$7:BH$15),0))</f>
        <v>0</v>
      </c>
      <c r="BI26" s="55">
        <f>IF($B26="","",IF(COUNTIF(BI$16:BI$21,$B26)&gt;0,COUNTA(BI$7:BI$15),0))</f>
        <v>0</v>
      </c>
      <c r="BJ26" s="55">
        <f>IF($B26="","",IF(COUNTIF(BJ$16:BJ$21,$B26)&gt;0,COUNTA(BJ$7:BJ$15),0))</f>
        <v>0</v>
      </c>
      <c r="BK26" s="55">
        <f>IF($B26="","",IF(COUNTIF(BK$16:BK$21,$B26)&gt;0,COUNTA(BK$7:BK$15),0))</f>
        <v>0</v>
      </c>
      <c r="BL26" s="55">
        <f>IF($B26="","",IF(COUNTIF(BL$16:BL$21,$B26)&gt;0,COUNTA(BL$7:BL$15),0))</f>
        <v>0</v>
      </c>
      <c r="BM26" s="55">
        <f>IF($B26="","",IF(COUNTIF(BM$16:BM$21,$B26)&gt;0,COUNTA(BM$7:BM$15),0))</f>
        <v>0</v>
      </c>
      <c r="BN26" s="55">
        <f>IF($B26="","",IF(COUNTIF(BN$16:BN$21,$B26)&gt;0,COUNTA(BN$7:BN$15),0))</f>
        <v>0</v>
      </c>
      <c r="BO26" s="55">
        <f>IF($B26="","",IF(COUNTIF(BO$16:BO$21,$B26)&gt;0,COUNTA(BO$7:BO$15),0))</f>
        <v>0</v>
      </c>
      <c r="BP26" s="55">
        <f>IF($B26="","",IF(COUNTIF(BP$16:BP$21,$B26)&gt;0,COUNTA(BP$7:BP$15),0))</f>
        <v>0</v>
      </c>
      <c r="BQ26" s="55">
        <f>IF($B26="","",IF(COUNTIF(BQ$16:BQ$21,$B26)&gt;0,COUNTA(BQ$7:BQ$15),0))</f>
        <v>0</v>
      </c>
      <c r="BR26" s="55">
        <f>IF($B26="","",IF(COUNTIF(BR$16:BR$21,$B26)&gt;0,COUNTA(BR$7:BR$15),0))</f>
        <v>0</v>
      </c>
      <c r="BS26" s="55">
        <f>IF($B26="","",IF(COUNTIF(BS$16:BS$21,$B26)&gt;0,COUNTA(BS$7:BS$15),0))</f>
        <v>0</v>
      </c>
      <c r="BT26" s="55">
        <f>IF($B26="","",IF(COUNTIF(BT$16:BT$21,$B26)&gt;0,COUNTA(BT$7:BT$15),0))</f>
        <v>0</v>
      </c>
      <c r="BU26" s="55">
        <f>IF($B26="","",IF(COUNTIF(BU$16:BU$21,$B26)&gt;0,COUNTA(BU$7:BU$15),0))</f>
        <v>0</v>
      </c>
      <c r="BV26" s="55">
        <f>IF($B26="","",IF(COUNTIF(BV$16:BV$21,$B26)&gt;0,COUNTA(BV$7:BV$15),0))</f>
        <v>0</v>
      </c>
      <c r="BW26" s="55">
        <f>IF($B26="","",IF(COUNTIF(BW$16:BW$21,$B26)&gt;0,COUNTA(BW$7:BW$15),0))</f>
        <v>0</v>
      </c>
      <c r="BX26" s="55">
        <f>IF($B26="","",IF(COUNTIF(BX$16:BX$21,$B26)&gt;0,COUNTA(BX$7:BX$15),0))</f>
        <v>0</v>
      </c>
      <c r="BY26" s="55">
        <f>IF($B26="","",IF(COUNTIF(BY$16:BY$21,$B26)&gt;0,COUNTA(BY$7:BY$15),0))</f>
        <v>0</v>
      </c>
      <c r="BZ26" s="55">
        <f>IF($B26="","",IF(COUNTIF(BZ$16:BZ$21,$B26)&gt;0,COUNTA(BZ$7:BZ$15),0))</f>
        <v>0</v>
      </c>
      <c r="CA26" s="55">
        <f>IF($B26="","",IF(COUNTIF(CA$16:CA$21,$B26)&gt;0,COUNTA(CA$7:CA$15),0))</f>
        <v>0</v>
      </c>
      <c r="CB26" s="55">
        <f>IF($B26="","",IF(COUNTIF(CB$16:CB$21,$B26)&gt;0,COUNTA(CB$7:CB$15),0))</f>
        <v>0</v>
      </c>
      <c r="CC26" s="55">
        <f>IF($B26="","",IF(COUNTIF(CC$16:CC$21,$B26)&gt;0,COUNTA(CC$7:CC$15),0))</f>
        <v>0</v>
      </c>
      <c r="CD26" s="55">
        <f>IF($B26="","",IF(COUNTIF(CD$16:CD$21,$B26)&gt;0,COUNTA(CD$7:CD$15),0))</f>
        <v>0</v>
      </c>
      <c r="CE26" s="55">
        <f>IF($B26="","",IF(COUNTIF(CE$16:CE$21,$B26)&gt;0,COUNTA(CE$7:CE$15),0))</f>
        <v>0</v>
      </c>
      <c r="CF26" s="55">
        <f>IF($B26="","",IF(COUNTIF(CF$16:CF$21,$B26)&gt;0,COUNTA(CF$7:CF$15),0))</f>
        <v>0</v>
      </c>
      <c r="CG26" s="55">
        <f>IF($B26="","",IF(COUNTIF(CG$16:CG$21,$B26)&gt;0,COUNTA(CG$7:CG$15),0))</f>
        <v>0</v>
      </c>
      <c r="CH26" s="55">
        <f>IF($B26="","",IF(COUNTIF(CH$16:CH$21,$B26)&gt;0,COUNTA(CH$7:CH$15),0))</f>
        <v>0</v>
      </c>
      <c r="CI26" s="55">
        <f>IF($B26="","",IF(COUNTIF(CI$16:CI$21,$B26)&gt;0,COUNTA(CI$7:CI$15),0))</f>
        <v>0</v>
      </c>
      <c r="CJ26" s="55">
        <f>IF($B26="","",IF(COUNTIF(CJ$16:CJ$21,$B26)&gt;0,COUNTA(CJ$7:CJ$15),0))</f>
        <v>0</v>
      </c>
      <c r="CK26" s="55">
        <f>IF($B26="","",IF(COUNTIF(CK$16:CK$21,$B26)&gt;0,COUNTA(CK$7:CK$15),0))</f>
        <v>0</v>
      </c>
      <c r="CL26" s="55">
        <f>IF($B26="","",IF(COUNTIF(CL$16:CL$21,$B26)&gt;0,COUNTA(CL$7:CL$15),0))</f>
        <v>0</v>
      </c>
      <c r="CM26" s="55">
        <f>IF($B26="","",IF(COUNTIF(CM$16:CM$21,$B26)&gt;0,COUNTA(CM$7:CM$15),0))</f>
        <v>0</v>
      </c>
      <c r="CN26" s="55">
        <f>IF($B26="","",IF(COUNTIF(CN$16:CN$21,$B26)&gt;0,COUNTA(CN$7:CN$15),0))</f>
        <v>0</v>
      </c>
      <c r="CO26" s="55">
        <f>IF($B26="","",IF(COUNTIF(CO$16:CO$21,$B26)&gt;0,COUNTA(CO$7:CO$15),0))</f>
        <v>0</v>
      </c>
      <c r="CP26" s="55">
        <f>IF($B26="","",IF(COUNTIF(CP$16:CP$21,$B26)&gt;0,COUNTA(CP$7:CP$15),0))</f>
        <v>0</v>
      </c>
      <c r="CQ26" s="55">
        <f>IF($B26="","",IF(COUNTIF(CQ$16:CQ$21,$B26)&gt;0,COUNTA(CQ$7:CQ$15),0))</f>
        <v>0</v>
      </c>
      <c r="CR26" s="55">
        <f>IF($B26="","",IF(COUNTIF(CR$16:CR$21,$B26)&gt;0,COUNTA(CR$7:CR$15),0))</f>
        <v>0</v>
      </c>
      <c r="CS26" s="55">
        <f>IF($B26="","",IF(COUNTIF(CS$16:CS$21,$B26)&gt;0,COUNTA(CS$7:CS$15),0))</f>
        <v>0</v>
      </c>
      <c r="CT26" s="55">
        <f>IF($B26="","",IF(COUNTIF(CT$16:CT$21,$B26)&gt;0,COUNTA(CT$7:CT$15),0))</f>
        <v>0</v>
      </c>
      <c r="CU26" s="55">
        <f>IF($B26="","",IF(COUNTIF(CU$16:CU$21,$B26)&gt;0,COUNTA(CU$7:CU$15),0))</f>
        <v>0</v>
      </c>
      <c r="CV26" s="55">
        <f>IF($B26="","",IF(COUNTIF(CV$16:CV$21,$B26)&gt;0,COUNTA(CV$7:CV$15),0))</f>
        <v>0</v>
      </c>
      <c r="CW26" s="55">
        <f>IF($B26="","",IF(COUNTIF(CW$16:CW$21,$B26)&gt;0,COUNTA(CW$7:CW$15),0))</f>
        <v>0</v>
      </c>
      <c r="CX26" s="55">
        <f>IF($B26="","",IF(COUNTIF(CX$16:CX$21,$B26)&gt;0,COUNTA(CX$7:CX$15),0))</f>
        <v>0</v>
      </c>
      <c r="CY26" s="55">
        <f>IF($B26="","",IF(COUNTIF(CY$16:CY$21,$B26)&gt;0,COUNTA(CY$7:CY$15),0))</f>
        <v>0</v>
      </c>
      <c r="CZ26" s="55">
        <f>IF($B26="","",IF(COUNTIF(CZ$16:CZ$21,$B26)&gt;0,COUNTA(CZ$7:CZ$15),0))</f>
        <v>0</v>
      </c>
      <c r="DA26" s="55">
        <f>IF($B26="","",IF(COUNTIF(DA$16:DA$21,$B26)&gt;0,COUNTA(DA$7:DA$15),0))</f>
        <v>0</v>
      </c>
      <c r="DB26" s="55">
        <f>IF($B26="","",IF(COUNTIF(DB$16:DB$21,$B26)&gt;0,COUNTA(DB$7:DB$15),0))</f>
        <v>0</v>
      </c>
      <c r="DC26" s="55">
        <f>IF($B26="","",IF(COUNTIF(DC$16:DC$21,$B26)&gt;0,COUNTA(DC$7:DC$15),0))</f>
        <v>0</v>
      </c>
      <c r="DD26" s="55">
        <f>IF($B26="","",IF(COUNTIF(DD$16:DD$21,$B26)&gt;0,COUNTA(DD$7:DD$15),0))</f>
        <v>0</v>
      </c>
      <c r="DE26" s="58">
        <f>IF($B26="","",IF(COUNTIF(DE$16:DE$21,$B26)&gt;0,COUNTA(DE$7:DE$15),0))</f>
        <v>0</v>
      </c>
    </row>
    <row r="27" spans="2:109" x14ac:dyDescent="0.2">
      <c r="B27" s="84" t="str">
        <f>IFERROR(INDEX(_xlfn._xlws.FILTER(Ressourcer!$B$1:$X$1,_xlfn.BYCOL(Ressourcer!$B$7:$X$10,_xlfn.LAMBDA(_xlpm.c,COUNTIF(_xlpm.c,"&lt;&gt;" )&gt;0))),ROWS($B$2:B5)),"")</f>
        <v>MTAL</v>
      </c>
      <c r="C27" s="79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)&gt;0))),_xlfn.LAMBDA(_xlpm.col,SUM(INDEX(Ressourcer!$B$7:$X$10,,_xlpm.col-COLUMN(Ressourcer!$B$7:$X$10)+1)))),ROWS($B$2:B5))/2,"")</f>
        <v>50</v>
      </c>
      <c r="D27" s="106" t="str">
        <f t="shared" si="22"/>
        <v/>
      </c>
      <c r="E27" s="57">
        <f>IF($B27="","",IF(COUNTIF(E$16:E$21,$B27)&gt;0,COUNTA(E$7:E$15),0))</f>
        <v>0</v>
      </c>
      <c r="F27" s="55">
        <f>IF($B27="","",IF(COUNTIF(F$16:F$21,$B27)&gt;0,COUNTA(F$7:F$15),0))</f>
        <v>0</v>
      </c>
      <c r="G27" s="55">
        <f>IF($B27="","",IF(COUNTIF(G$16:G$21,$B27)&gt;0,COUNTA(G$7:G$15),0))</f>
        <v>0</v>
      </c>
      <c r="H27" s="55">
        <f>IF($B27="","",IF(COUNTIF(H$16:H$21,$B27)&gt;0,COUNTA(H$7:H$15),0))</f>
        <v>0</v>
      </c>
      <c r="I27" s="55">
        <f>IF($B27="","",IF(COUNTIF(I$16:I$21,$B27)&gt;0,COUNTA(I$7:I$15),0))</f>
        <v>0</v>
      </c>
      <c r="J27" s="55">
        <f>IF($B27="","",IF(COUNTIF(J$16:J$21,$B27)&gt;0,COUNTA(J$7:J$15),0))</f>
        <v>0</v>
      </c>
      <c r="K27" s="55">
        <f>IF($B27="","",IF(COUNTIF(K$16:K$21,$B27)&gt;0,COUNTA(K$7:K$15),0))</f>
        <v>0</v>
      </c>
      <c r="L27" s="55">
        <f>IF($B27="","",IF(COUNTIF(L$16:L$21,$B27)&gt;0,COUNTA(L$7:L$15),0))</f>
        <v>0</v>
      </c>
      <c r="M27" s="55">
        <f>IF($B27="","",IF(COUNTIF(M$16:M$21,$B27)&gt;0,COUNTA(M$7:M$15),0))</f>
        <v>0</v>
      </c>
      <c r="N27" s="55">
        <f>IF($B27="","",IF(COUNTIF(N$16:N$21,$B27)&gt;0,COUNTA(N$7:N$15),0))</f>
        <v>0</v>
      </c>
      <c r="O27" s="55">
        <f>IF($B27="","",IF(COUNTIF(O$16:O$21,$B27)&gt;0,COUNTA(O$7:O$15),0))</f>
        <v>0</v>
      </c>
      <c r="P27" s="55">
        <f>IF($B27="","",IF(COUNTIF(P$16:P$21,$B27)&gt;0,COUNTA(P$7:P$15),0))</f>
        <v>0</v>
      </c>
      <c r="Q27" s="55">
        <f>IF($B27="","",IF(COUNTIF(Q$16:Q$21,$B27)&gt;0,COUNTA(Q$7:Q$15),0))</f>
        <v>0</v>
      </c>
      <c r="R27" s="55">
        <f>IF($B27="","",IF(COUNTIF(R$16:R$21,$B27)&gt;0,COUNTA(R$7:R$15),0))</f>
        <v>0</v>
      </c>
      <c r="S27" s="55">
        <f>IF($B27="","",IF(COUNTIF(S$16:S$21,$B27)&gt;0,COUNTA(S$7:S$15),0))</f>
        <v>0</v>
      </c>
      <c r="T27" s="55">
        <f>IF($B27="","",IF(COUNTIF(T$16:T$21,$B27)&gt;0,COUNTA(T$7:T$15),0))</f>
        <v>0</v>
      </c>
      <c r="U27" s="55">
        <f>IF($B27="","",IF(COUNTIF(U$16:U$21,$B27)&gt;0,COUNTA(U$7:U$15),0))</f>
        <v>0</v>
      </c>
      <c r="V27" s="55">
        <f>IF($B27="","",IF(COUNTIF(V$16:V$21,$B27)&gt;0,COUNTA(V$7:V$15),0))</f>
        <v>0</v>
      </c>
      <c r="W27" s="55">
        <f>IF($B27="","",IF(COUNTIF(W$16:W$21,$B27)&gt;0,COUNTA(W$7:W$15),0))</f>
        <v>0</v>
      </c>
      <c r="X27" s="55">
        <f>IF($B27="","",IF(COUNTIF(X$16:X$21,$B27)&gt;0,COUNTA(X$7:X$15),0))</f>
        <v>0</v>
      </c>
      <c r="Y27" s="55">
        <f>IF($B27="","",IF(COUNTIF(Y$16:Y$21,$B27)&gt;0,COUNTA(Y$7:Y$15),0))</f>
        <v>0</v>
      </c>
      <c r="Z27" s="55">
        <f>IF($B27="","",IF(COUNTIF(Z$16:Z$21,$B27)&gt;0,COUNTA(Z$7:Z$15),0))</f>
        <v>0</v>
      </c>
      <c r="AA27" s="55">
        <f>IF($B27="","",IF(COUNTIF(AA$16:AA$21,$B27)&gt;0,COUNTA(AA$7:AA$15),0))</f>
        <v>0</v>
      </c>
      <c r="AB27" s="55">
        <f>IF($B27="","",IF(COUNTIF(AB$16:AB$21,$B27)&gt;0,COUNTA(AB$7:AB$15),0))</f>
        <v>0</v>
      </c>
      <c r="AC27" s="55">
        <f>IF($B27="","",IF(COUNTIF(AC$16:AC$21,$B27)&gt;0,COUNTA(AC$7:AC$15),0))</f>
        <v>0</v>
      </c>
      <c r="AD27" s="55">
        <f>IF($B27="","",IF(COUNTIF(AD$16:AD$21,$B27)&gt;0,COUNTA(AD$7:AD$15),0))</f>
        <v>0</v>
      </c>
      <c r="AE27" s="55">
        <f>IF($B27="","",IF(COUNTIF(AE$16:AE$21,$B27)&gt;0,COUNTA(AE$7:AE$15),0))</f>
        <v>0</v>
      </c>
      <c r="AF27" s="55">
        <f>IF($B27="","",IF(COUNTIF(AF$16:AF$21,$B27)&gt;0,COUNTA(AF$7:AF$15),0))</f>
        <v>0</v>
      </c>
      <c r="AG27" s="55">
        <f>IF($B27="","",IF(COUNTIF(AG$16:AG$21,$B27)&gt;0,COUNTA(AG$7:AG$15),0))</f>
        <v>0</v>
      </c>
      <c r="AH27" s="55">
        <f>IF($B27="","",IF(COUNTIF(AH$16:AH$21,$B27)&gt;0,COUNTA(AH$7:AH$15),0))</f>
        <v>0</v>
      </c>
      <c r="AI27" s="55">
        <f>IF($B27="","",IF(COUNTIF(AI$16:AI$21,$B27)&gt;0,COUNTA(AI$7:AI$15),0))</f>
        <v>0</v>
      </c>
      <c r="AJ27" s="55">
        <f>IF($B27="","",IF(COUNTIF(AJ$16:AJ$21,$B27)&gt;0,COUNTA(AJ$7:AJ$15),0))</f>
        <v>0</v>
      </c>
      <c r="AK27" s="55">
        <f>IF($B27="","",IF(COUNTIF(AK$16:AK$21,$B27)&gt;0,COUNTA(AK$7:AK$15),0))</f>
        <v>0</v>
      </c>
      <c r="AL27" s="55">
        <f>IF($B27="","",IF(COUNTIF(AL$16:AL$21,$B27)&gt;0,COUNTA(AL$7:AL$15),0))</f>
        <v>0</v>
      </c>
      <c r="AM27" s="55">
        <f>IF($B27="","",IF(COUNTIF(AM$16:AM$21,$B27)&gt;0,COUNTA(AM$7:AM$15),0))</f>
        <v>0</v>
      </c>
      <c r="AN27" s="55">
        <f>IF($B27="","",IF(COUNTIF(AN$16:AN$21,$B27)&gt;0,COUNTA(AN$7:AN$15),0))</f>
        <v>0</v>
      </c>
      <c r="AO27" s="55">
        <f>IF($B27="","",IF(COUNTIF(AO$16:AO$21,$B27)&gt;0,COUNTA(AO$7:AO$15),0))</f>
        <v>0</v>
      </c>
      <c r="AP27" s="55">
        <f>IF($B27="","",IF(COUNTIF(AP$16:AP$21,$B27)&gt;0,COUNTA(AP$7:AP$15),0))</f>
        <v>0</v>
      </c>
      <c r="AQ27" s="55">
        <f>IF($B27="","",IF(COUNTIF(AQ$16:AQ$21,$B27)&gt;0,COUNTA(AQ$7:AQ$15),0))</f>
        <v>0</v>
      </c>
      <c r="AR27" s="55">
        <f>IF($B27="","",IF(COUNTIF(AR$16:AR$21,$B27)&gt;0,COUNTA(AR$7:AR$15),0))</f>
        <v>0</v>
      </c>
      <c r="AS27" s="55">
        <f>IF($B27="","",IF(COUNTIF(AS$16:AS$21,$B27)&gt;0,COUNTA(AS$7:AS$15),0))</f>
        <v>0</v>
      </c>
      <c r="AT27" s="55">
        <f>IF($B27="","",IF(COUNTIF(AT$16:AT$21,$B27)&gt;0,COUNTA(AT$7:AT$15),0))</f>
        <v>0</v>
      </c>
      <c r="AU27" s="55">
        <f>IF($B27="","",IF(COUNTIF(AU$16:AU$21,$B27)&gt;0,COUNTA(AU$7:AU$15),0))</f>
        <v>0</v>
      </c>
      <c r="AV27" s="55">
        <f>IF($B27="","",IF(COUNTIF(AV$16:AV$21,$B27)&gt;0,COUNTA(AV$7:AV$15),0))</f>
        <v>0</v>
      </c>
      <c r="AW27" s="55">
        <f>IF($B27="","",IF(COUNTIF(AW$16:AW$21,$B27)&gt;0,COUNTA(AW$7:AW$15),0))</f>
        <v>0</v>
      </c>
      <c r="AX27" s="55">
        <f>IF($B27="","",IF(COUNTIF(AX$16:AX$21,$B27)&gt;0,COUNTA(AX$7:AX$15),0))</f>
        <v>0</v>
      </c>
      <c r="AY27" s="55">
        <f>IF($B27="","",IF(COUNTIF(AY$16:AY$21,$B27)&gt;0,COUNTA(AY$7:AY$15),0))</f>
        <v>0</v>
      </c>
      <c r="AZ27" s="55">
        <f>IF($B27="","",IF(COUNTIF(AZ$16:AZ$21,$B27)&gt;0,COUNTA(AZ$7:AZ$15),0))</f>
        <v>0</v>
      </c>
      <c r="BA27" s="55">
        <f>IF($B27="","",IF(COUNTIF(BA$16:BA$21,$B27)&gt;0,COUNTA(BA$7:BA$15),0))</f>
        <v>0</v>
      </c>
      <c r="BB27" s="55">
        <f>IF($B27="","",IF(COUNTIF(BB$16:BB$21,$B27)&gt;0,COUNTA(BB$7:BB$15),0))</f>
        <v>0</v>
      </c>
      <c r="BC27" s="55">
        <f>IF($B27="","",IF(COUNTIF(BC$16:BC$21,$B27)&gt;0,COUNTA(BC$7:BC$15),0))</f>
        <v>0</v>
      </c>
      <c r="BD27" s="55">
        <f>IF($B27="","",IF(COUNTIF(BD$16:BD$21,$B27)&gt;0,COUNTA(BD$7:BD$15),0))</f>
        <v>0</v>
      </c>
      <c r="BE27" s="55">
        <f>IF($B27="","",IF(COUNTIF(BE$16:BE$21,$B27)&gt;0,COUNTA(BE$7:BE$15),0))</f>
        <v>0</v>
      </c>
      <c r="BF27" s="55">
        <f>IF($B27="","",IF(COUNTIF(BF$16:BF$21,$B27)&gt;0,COUNTA(BF$7:BF$15),0))</f>
        <v>0</v>
      </c>
      <c r="BG27" s="55">
        <f>IF($B27="","",IF(COUNTIF(BG$16:BG$21,$B27)&gt;0,COUNTA(BG$7:BG$15),0))</f>
        <v>0</v>
      </c>
      <c r="BH27" s="55">
        <f>IF($B27="","",IF(COUNTIF(BH$16:BH$21,$B27)&gt;0,COUNTA(BH$7:BH$15),0))</f>
        <v>0</v>
      </c>
      <c r="BI27" s="55">
        <f>IF($B27="","",IF(COUNTIF(BI$16:BI$21,$B27)&gt;0,COUNTA(BI$7:BI$15),0))</f>
        <v>0</v>
      </c>
      <c r="BJ27" s="55">
        <f>IF($B27="","",IF(COUNTIF(BJ$16:BJ$21,$B27)&gt;0,COUNTA(BJ$7:BJ$15),0))</f>
        <v>0</v>
      </c>
      <c r="BK27" s="55">
        <f>IF($B27="","",IF(COUNTIF(BK$16:BK$21,$B27)&gt;0,COUNTA(BK$7:BK$15),0))</f>
        <v>0</v>
      </c>
      <c r="BL27" s="55">
        <f>IF($B27="","",IF(COUNTIF(BL$16:BL$21,$B27)&gt;0,COUNTA(BL$7:BL$15),0))</f>
        <v>0</v>
      </c>
      <c r="BM27" s="55">
        <f>IF($B27="","",IF(COUNTIF(BM$16:BM$21,$B27)&gt;0,COUNTA(BM$7:BM$15),0))</f>
        <v>0</v>
      </c>
      <c r="BN27" s="55">
        <f>IF($B27="","",IF(COUNTIF(BN$16:BN$21,$B27)&gt;0,COUNTA(BN$7:BN$15),0))</f>
        <v>0</v>
      </c>
      <c r="BO27" s="55">
        <f>IF($B27="","",IF(COUNTIF(BO$16:BO$21,$B27)&gt;0,COUNTA(BO$7:BO$15),0))</f>
        <v>0</v>
      </c>
      <c r="BP27" s="55">
        <f>IF($B27="","",IF(COUNTIF(BP$16:BP$21,$B27)&gt;0,COUNTA(BP$7:BP$15),0))</f>
        <v>0</v>
      </c>
      <c r="BQ27" s="55">
        <f>IF($B27="","",IF(COUNTIF(BQ$16:BQ$21,$B27)&gt;0,COUNTA(BQ$7:BQ$15),0))</f>
        <v>0</v>
      </c>
      <c r="BR27" s="55">
        <f>IF($B27="","",IF(COUNTIF(BR$16:BR$21,$B27)&gt;0,COUNTA(BR$7:BR$15),0))</f>
        <v>0</v>
      </c>
      <c r="BS27" s="55">
        <f>IF($B27="","",IF(COUNTIF(BS$16:BS$21,$B27)&gt;0,COUNTA(BS$7:BS$15),0))</f>
        <v>0</v>
      </c>
      <c r="BT27" s="55">
        <f>IF($B27="","",IF(COUNTIF(BT$16:BT$21,$B27)&gt;0,COUNTA(BT$7:BT$15),0))</f>
        <v>0</v>
      </c>
      <c r="BU27" s="55">
        <f>IF($B27="","",IF(COUNTIF(BU$16:BU$21,$B27)&gt;0,COUNTA(BU$7:BU$15),0))</f>
        <v>0</v>
      </c>
      <c r="BV27" s="55">
        <f>IF($B27="","",IF(COUNTIF(BV$16:BV$21,$B27)&gt;0,COUNTA(BV$7:BV$15),0))</f>
        <v>0</v>
      </c>
      <c r="BW27" s="55">
        <f>IF($B27="","",IF(COUNTIF(BW$16:BW$21,$B27)&gt;0,COUNTA(BW$7:BW$15),0))</f>
        <v>0</v>
      </c>
      <c r="BX27" s="55">
        <f>IF($B27="","",IF(COUNTIF(BX$16:BX$21,$B27)&gt;0,COUNTA(BX$7:BX$15),0))</f>
        <v>0</v>
      </c>
      <c r="BY27" s="55">
        <f>IF($B27="","",IF(COUNTIF(BY$16:BY$21,$B27)&gt;0,COUNTA(BY$7:BY$15),0))</f>
        <v>0</v>
      </c>
      <c r="BZ27" s="55">
        <f>IF($B27="","",IF(COUNTIF(BZ$16:BZ$21,$B27)&gt;0,COUNTA(BZ$7:BZ$15),0))</f>
        <v>0</v>
      </c>
      <c r="CA27" s="55">
        <f>IF($B27="","",IF(COUNTIF(CA$16:CA$21,$B27)&gt;0,COUNTA(CA$7:CA$15),0))</f>
        <v>0</v>
      </c>
      <c r="CB27" s="55">
        <f>IF($B27="","",IF(COUNTIF(CB$16:CB$21,$B27)&gt;0,COUNTA(CB$7:CB$15),0))</f>
        <v>0</v>
      </c>
      <c r="CC27" s="55">
        <f>IF($B27="","",IF(COUNTIF(CC$16:CC$21,$B27)&gt;0,COUNTA(CC$7:CC$15),0))</f>
        <v>0</v>
      </c>
      <c r="CD27" s="55">
        <f>IF($B27="","",IF(COUNTIF(CD$16:CD$21,$B27)&gt;0,COUNTA(CD$7:CD$15),0))</f>
        <v>0</v>
      </c>
      <c r="CE27" s="55">
        <f>IF($B27="","",IF(COUNTIF(CE$16:CE$21,$B27)&gt;0,COUNTA(CE$7:CE$15),0))</f>
        <v>0</v>
      </c>
      <c r="CF27" s="55">
        <f>IF($B27="","",IF(COUNTIF(CF$16:CF$21,$B27)&gt;0,COUNTA(CF$7:CF$15),0))</f>
        <v>0</v>
      </c>
      <c r="CG27" s="55">
        <f>IF($B27="","",IF(COUNTIF(CG$16:CG$21,$B27)&gt;0,COUNTA(CG$7:CG$15),0))</f>
        <v>0</v>
      </c>
      <c r="CH27" s="55">
        <f>IF($B27="","",IF(COUNTIF(CH$16:CH$21,$B27)&gt;0,COUNTA(CH$7:CH$15),0))</f>
        <v>0</v>
      </c>
      <c r="CI27" s="55">
        <f>IF($B27="","",IF(COUNTIF(CI$16:CI$21,$B27)&gt;0,COUNTA(CI$7:CI$15),0))</f>
        <v>0</v>
      </c>
      <c r="CJ27" s="55">
        <f>IF($B27="","",IF(COUNTIF(CJ$16:CJ$21,$B27)&gt;0,COUNTA(CJ$7:CJ$15),0))</f>
        <v>0</v>
      </c>
      <c r="CK27" s="55">
        <f>IF($B27="","",IF(COUNTIF(CK$16:CK$21,$B27)&gt;0,COUNTA(CK$7:CK$15),0))</f>
        <v>0</v>
      </c>
      <c r="CL27" s="55">
        <f>IF($B27="","",IF(COUNTIF(CL$16:CL$21,$B27)&gt;0,COUNTA(CL$7:CL$15),0))</f>
        <v>0</v>
      </c>
      <c r="CM27" s="55">
        <f>IF($B27="","",IF(COUNTIF(CM$16:CM$21,$B27)&gt;0,COUNTA(CM$7:CM$15),0))</f>
        <v>0</v>
      </c>
      <c r="CN27" s="55">
        <f>IF($B27="","",IF(COUNTIF(CN$16:CN$21,$B27)&gt;0,COUNTA(CN$7:CN$15),0))</f>
        <v>0</v>
      </c>
      <c r="CO27" s="55">
        <f>IF($B27="","",IF(COUNTIF(CO$16:CO$21,$B27)&gt;0,COUNTA(CO$7:CO$15),0))</f>
        <v>0</v>
      </c>
      <c r="CP27" s="55">
        <f>IF($B27="","",IF(COUNTIF(CP$16:CP$21,$B27)&gt;0,COUNTA(CP$7:CP$15),0))</f>
        <v>0</v>
      </c>
      <c r="CQ27" s="55">
        <f>IF($B27="","",IF(COUNTIF(CQ$16:CQ$21,$B27)&gt;0,COUNTA(CQ$7:CQ$15),0))</f>
        <v>0</v>
      </c>
      <c r="CR27" s="55">
        <f>IF($B27="","",IF(COUNTIF(CR$16:CR$21,$B27)&gt;0,COUNTA(CR$7:CR$15),0))</f>
        <v>0</v>
      </c>
      <c r="CS27" s="55">
        <f>IF($B27="","",IF(COUNTIF(CS$16:CS$21,$B27)&gt;0,COUNTA(CS$7:CS$15),0))</f>
        <v>0</v>
      </c>
      <c r="CT27" s="55">
        <f>IF($B27="","",IF(COUNTIF(CT$16:CT$21,$B27)&gt;0,COUNTA(CT$7:CT$15),0))</f>
        <v>0</v>
      </c>
      <c r="CU27" s="55">
        <f>IF($B27="","",IF(COUNTIF(CU$16:CU$21,$B27)&gt;0,COUNTA(CU$7:CU$15),0))</f>
        <v>0</v>
      </c>
      <c r="CV27" s="55">
        <f>IF($B27="","",IF(COUNTIF(CV$16:CV$21,$B27)&gt;0,COUNTA(CV$7:CV$15),0))</f>
        <v>0</v>
      </c>
      <c r="CW27" s="55">
        <f>IF($B27="","",IF(COUNTIF(CW$16:CW$21,$B27)&gt;0,COUNTA(CW$7:CW$15),0))</f>
        <v>0</v>
      </c>
      <c r="CX27" s="55">
        <f>IF($B27="","",IF(COUNTIF(CX$16:CX$21,$B27)&gt;0,COUNTA(CX$7:CX$15),0))</f>
        <v>0</v>
      </c>
      <c r="CY27" s="55">
        <f>IF($B27="","",IF(COUNTIF(CY$16:CY$21,$B27)&gt;0,COUNTA(CY$7:CY$15),0))</f>
        <v>0</v>
      </c>
      <c r="CZ27" s="55">
        <f>IF($B27="","",IF(COUNTIF(CZ$16:CZ$21,$B27)&gt;0,COUNTA(CZ$7:CZ$15),0))</f>
        <v>0</v>
      </c>
      <c r="DA27" s="55">
        <f>IF($B27="","",IF(COUNTIF(DA$16:DA$21,$B27)&gt;0,COUNTA(DA$7:DA$15),0))</f>
        <v>0</v>
      </c>
      <c r="DB27" s="55">
        <f>IF($B27="","",IF(COUNTIF(DB$16:DB$21,$B27)&gt;0,COUNTA(DB$7:DB$15),0))</f>
        <v>0</v>
      </c>
      <c r="DC27" s="55">
        <f>IF($B27="","",IF(COUNTIF(DC$16:DC$21,$B27)&gt;0,COUNTA(DC$7:DC$15),0))</f>
        <v>0</v>
      </c>
      <c r="DD27" s="55">
        <f>IF($B27="","",IF(COUNTIF(DD$16:DD$21,$B27)&gt;0,COUNTA(DD$7:DD$15),0))</f>
        <v>0</v>
      </c>
      <c r="DE27" s="58">
        <f>IF($B27="","",IF(COUNTIF(DE$16:DE$21,$B27)&gt;0,COUNTA(DE$7:DE$15),0))</f>
        <v>0</v>
      </c>
    </row>
    <row r="28" spans="2:109" x14ac:dyDescent="0.2">
      <c r="B28" s="84" t="str">
        <f>IFERROR(INDEX(_xlfn._xlws.FILTER(Ressourcer!$B$1:$X$1,_xlfn.BYCOL(Ressourcer!$B$7:$X$10,_xlfn.LAMBDA(_xlpm.c,COUNTIF(_xlpm.c,"&lt;&gt;" )&gt;0))),ROWS($B$2:B6)),"")</f>
        <v>SERY</v>
      </c>
      <c r="C28" s="79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)&gt;0))),_xlfn.LAMBDA(_xlpm.col,SUM(INDEX(Ressourcer!$B$7:$X$10,,_xlpm.col-COLUMN(Ressourcer!$B$7:$X$10)+1)))),ROWS($B$2:B6))/2,"")</f>
        <v>137.5</v>
      </c>
      <c r="D28" s="106" t="str">
        <f t="shared" si="22"/>
        <v/>
      </c>
      <c r="E28" s="57">
        <f>IF($B28="","",IF(COUNTIF(E$16:E$21,$B28)&gt;0,COUNTA(E$7:E$15),0))</f>
        <v>0</v>
      </c>
      <c r="F28" s="55">
        <f>IF($B28="","",IF(COUNTIF(F$16:F$21,$B28)&gt;0,COUNTA(F$7:F$15),0))</f>
        <v>0</v>
      </c>
      <c r="G28" s="55">
        <f>IF($B28="","",IF(COUNTIF(G$16:G$21,$B28)&gt;0,COUNTA(G$7:G$15),0))</f>
        <v>0</v>
      </c>
      <c r="H28" s="55">
        <f>IF($B28="","",IF(COUNTIF(H$16:H$21,$B28)&gt;0,COUNTA(H$7:H$15),0))</f>
        <v>0</v>
      </c>
      <c r="I28" s="55">
        <f>IF($B28="","",IF(COUNTIF(I$16:I$21,$B28)&gt;0,COUNTA(I$7:I$15),0))</f>
        <v>0</v>
      </c>
      <c r="J28" s="55">
        <f>IF($B28="","",IF(COUNTIF(J$16:J$21,$B28)&gt;0,COUNTA(J$7:J$15),0))</f>
        <v>0</v>
      </c>
      <c r="K28" s="55">
        <f>IF($B28="","",IF(COUNTIF(K$16:K$21,$B28)&gt;0,COUNTA(K$7:K$15),0))</f>
        <v>0</v>
      </c>
      <c r="L28" s="55">
        <f>IF($B28="","",IF(COUNTIF(L$16:L$21,$B28)&gt;0,COUNTA(L$7:L$15),0))</f>
        <v>0</v>
      </c>
      <c r="M28" s="55">
        <f>IF($B28="","",IF(COUNTIF(M$16:M$21,$B28)&gt;0,COUNTA(M$7:M$15),0))</f>
        <v>0</v>
      </c>
      <c r="N28" s="55">
        <f>IF($B28="","",IF(COUNTIF(N$16:N$21,$B28)&gt;0,COUNTA(N$7:N$15),0))</f>
        <v>0</v>
      </c>
      <c r="O28" s="55">
        <f>IF($B28="","",IF(COUNTIF(O$16:O$21,$B28)&gt;0,COUNTA(O$7:O$15),0))</f>
        <v>0</v>
      </c>
      <c r="P28" s="55">
        <f>IF($B28="","",IF(COUNTIF(P$16:P$21,$B28)&gt;0,COUNTA(P$7:P$15),0))</f>
        <v>0</v>
      </c>
      <c r="Q28" s="55">
        <f>IF($B28="","",IF(COUNTIF(Q$16:Q$21,$B28)&gt;0,COUNTA(Q$7:Q$15),0))</f>
        <v>0</v>
      </c>
      <c r="R28" s="55">
        <f>IF($B28="","",IF(COUNTIF(R$16:R$21,$B28)&gt;0,COUNTA(R$7:R$15),0))</f>
        <v>0</v>
      </c>
      <c r="S28" s="55">
        <f>IF($B28="","",IF(COUNTIF(S$16:S$21,$B28)&gt;0,COUNTA(S$7:S$15),0))</f>
        <v>0</v>
      </c>
      <c r="T28" s="55">
        <f>IF($B28="","",IF(COUNTIF(T$16:T$21,$B28)&gt;0,COUNTA(T$7:T$15),0))</f>
        <v>0</v>
      </c>
      <c r="U28" s="55">
        <f>IF($B28="","",IF(COUNTIF(U$16:U$21,$B28)&gt;0,COUNTA(U$7:U$15),0))</f>
        <v>0</v>
      </c>
      <c r="V28" s="55">
        <f>IF($B28="","",IF(COUNTIF(V$16:V$21,$B28)&gt;0,COUNTA(V$7:V$15),0))</f>
        <v>0</v>
      </c>
      <c r="W28" s="55">
        <f>IF($B28="","",IF(COUNTIF(W$16:W$21,$B28)&gt;0,COUNTA(W$7:W$15),0))</f>
        <v>0</v>
      </c>
      <c r="X28" s="55">
        <f>IF($B28="","",IF(COUNTIF(X$16:X$21,$B28)&gt;0,COUNTA(X$7:X$15),0))</f>
        <v>0</v>
      </c>
      <c r="Y28" s="55">
        <f>IF($B28="","",IF(COUNTIF(Y$16:Y$21,$B28)&gt;0,COUNTA(Y$7:Y$15),0))</f>
        <v>0</v>
      </c>
      <c r="Z28" s="55">
        <f>IF($B28="","",IF(COUNTIF(Z$16:Z$21,$B28)&gt;0,COUNTA(Z$7:Z$15),0))</f>
        <v>0</v>
      </c>
      <c r="AA28" s="55">
        <f>IF($B28="","",IF(COUNTIF(AA$16:AA$21,$B28)&gt;0,COUNTA(AA$7:AA$15),0))</f>
        <v>0</v>
      </c>
      <c r="AB28" s="55">
        <f>IF($B28="","",IF(COUNTIF(AB$16:AB$21,$B28)&gt;0,COUNTA(AB$7:AB$15),0))</f>
        <v>0</v>
      </c>
      <c r="AC28" s="55">
        <f>IF($B28="","",IF(COUNTIF(AC$16:AC$21,$B28)&gt;0,COUNTA(AC$7:AC$15),0))</f>
        <v>0</v>
      </c>
      <c r="AD28" s="55">
        <f>IF($B28="","",IF(COUNTIF(AD$16:AD$21,$B28)&gt;0,COUNTA(AD$7:AD$15),0))</f>
        <v>0</v>
      </c>
      <c r="AE28" s="55">
        <f>IF($B28="","",IF(COUNTIF(AE$16:AE$21,$B28)&gt;0,COUNTA(AE$7:AE$15),0))</f>
        <v>0</v>
      </c>
      <c r="AF28" s="55">
        <f>IF($B28="","",IF(COUNTIF(AF$16:AF$21,$B28)&gt;0,COUNTA(AF$7:AF$15),0))</f>
        <v>0</v>
      </c>
      <c r="AG28" s="55">
        <f>IF($B28="","",IF(COUNTIF(AG$16:AG$21,$B28)&gt;0,COUNTA(AG$7:AG$15),0))</f>
        <v>0</v>
      </c>
      <c r="AH28" s="55">
        <f>IF($B28="","",IF(COUNTIF(AH$16:AH$21,$B28)&gt;0,COUNTA(AH$7:AH$15),0))</f>
        <v>0</v>
      </c>
      <c r="AI28" s="55">
        <f>IF($B28="","",IF(COUNTIF(AI$16:AI$21,$B28)&gt;0,COUNTA(AI$7:AI$15),0))</f>
        <v>0</v>
      </c>
      <c r="AJ28" s="55">
        <f>IF($B28="","",IF(COUNTIF(AJ$16:AJ$21,$B28)&gt;0,COUNTA(AJ$7:AJ$15),0))</f>
        <v>0</v>
      </c>
      <c r="AK28" s="55">
        <f>IF($B28="","",IF(COUNTIF(AK$16:AK$21,$B28)&gt;0,COUNTA(AK$7:AK$15),0))</f>
        <v>0</v>
      </c>
      <c r="AL28" s="55">
        <f>IF($B28="","",IF(COUNTIF(AL$16:AL$21,$B28)&gt;0,COUNTA(AL$7:AL$15),0))</f>
        <v>0</v>
      </c>
      <c r="AM28" s="55">
        <f>IF($B28="","",IF(COUNTIF(AM$16:AM$21,$B28)&gt;0,COUNTA(AM$7:AM$15),0))</f>
        <v>0</v>
      </c>
      <c r="AN28" s="55">
        <f>IF($B28="","",IF(COUNTIF(AN$16:AN$21,$B28)&gt;0,COUNTA(AN$7:AN$15),0))</f>
        <v>0</v>
      </c>
      <c r="AO28" s="55">
        <f>IF($B28="","",IF(COUNTIF(AO$16:AO$21,$B28)&gt;0,COUNTA(AO$7:AO$15),0))</f>
        <v>0</v>
      </c>
      <c r="AP28" s="55">
        <f>IF($B28="","",IF(COUNTIF(AP$16:AP$21,$B28)&gt;0,COUNTA(AP$7:AP$15),0))</f>
        <v>0</v>
      </c>
      <c r="AQ28" s="55">
        <f>IF($B28="","",IF(COUNTIF(AQ$16:AQ$21,$B28)&gt;0,COUNTA(AQ$7:AQ$15),0))</f>
        <v>0</v>
      </c>
      <c r="AR28" s="55">
        <f>IF($B28="","",IF(COUNTIF(AR$16:AR$21,$B28)&gt;0,COUNTA(AR$7:AR$15),0))</f>
        <v>0</v>
      </c>
      <c r="AS28" s="55">
        <f>IF($B28="","",IF(COUNTIF(AS$16:AS$21,$B28)&gt;0,COUNTA(AS$7:AS$15),0))</f>
        <v>0</v>
      </c>
      <c r="AT28" s="55">
        <f>IF($B28="","",IF(COUNTIF(AT$16:AT$21,$B28)&gt;0,COUNTA(AT$7:AT$15),0))</f>
        <v>0</v>
      </c>
      <c r="AU28" s="55">
        <f>IF($B28="","",IF(COUNTIF(AU$16:AU$21,$B28)&gt;0,COUNTA(AU$7:AU$15),0))</f>
        <v>0</v>
      </c>
      <c r="AV28" s="55">
        <f>IF($B28="","",IF(COUNTIF(AV$16:AV$21,$B28)&gt;0,COUNTA(AV$7:AV$15),0))</f>
        <v>0</v>
      </c>
      <c r="AW28" s="55">
        <f>IF($B28="","",IF(COUNTIF(AW$16:AW$21,$B28)&gt;0,COUNTA(AW$7:AW$15),0))</f>
        <v>0</v>
      </c>
      <c r="AX28" s="55">
        <f>IF($B28="","",IF(COUNTIF(AX$16:AX$21,$B28)&gt;0,COUNTA(AX$7:AX$15),0))</f>
        <v>0</v>
      </c>
      <c r="AY28" s="55">
        <f>IF($B28="","",IF(COUNTIF(AY$16:AY$21,$B28)&gt;0,COUNTA(AY$7:AY$15),0))</f>
        <v>0</v>
      </c>
      <c r="AZ28" s="55">
        <f>IF($B28="","",IF(COUNTIF(AZ$16:AZ$21,$B28)&gt;0,COUNTA(AZ$7:AZ$15),0))</f>
        <v>0</v>
      </c>
      <c r="BA28" s="55">
        <f>IF($B28="","",IF(COUNTIF(BA$16:BA$21,$B28)&gt;0,COUNTA(BA$7:BA$15),0))</f>
        <v>0</v>
      </c>
      <c r="BB28" s="55">
        <f>IF($B28="","",IF(COUNTIF(BB$16:BB$21,$B28)&gt;0,COUNTA(BB$7:BB$15),0))</f>
        <v>0</v>
      </c>
      <c r="BC28" s="55">
        <f>IF($B28="","",IF(COUNTIF(BC$16:BC$21,$B28)&gt;0,COUNTA(BC$7:BC$15),0))</f>
        <v>0</v>
      </c>
      <c r="BD28" s="55">
        <f>IF($B28="","",IF(COUNTIF(BD$16:BD$21,$B28)&gt;0,COUNTA(BD$7:BD$15),0))</f>
        <v>0</v>
      </c>
      <c r="BE28" s="55">
        <f>IF($B28="","",IF(COUNTIF(BE$16:BE$21,$B28)&gt;0,COUNTA(BE$7:BE$15),0))</f>
        <v>0</v>
      </c>
      <c r="BF28" s="55">
        <f>IF($B28="","",IF(COUNTIF(BF$16:BF$21,$B28)&gt;0,COUNTA(BF$7:BF$15),0))</f>
        <v>0</v>
      </c>
      <c r="BG28" s="55">
        <f>IF($B28="","",IF(COUNTIF(BG$16:BG$21,$B28)&gt;0,COUNTA(BG$7:BG$15),0))</f>
        <v>0</v>
      </c>
      <c r="BH28" s="55">
        <f>IF($B28="","",IF(COUNTIF(BH$16:BH$21,$B28)&gt;0,COUNTA(BH$7:BH$15),0))</f>
        <v>0</v>
      </c>
      <c r="BI28" s="55">
        <f>IF($B28="","",IF(COUNTIF(BI$16:BI$21,$B28)&gt;0,COUNTA(BI$7:BI$15),0))</f>
        <v>0</v>
      </c>
      <c r="BJ28" s="55">
        <f>IF($B28="","",IF(COUNTIF(BJ$16:BJ$21,$B28)&gt;0,COUNTA(BJ$7:BJ$15),0))</f>
        <v>0</v>
      </c>
      <c r="BK28" s="55">
        <f>IF($B28="","",IF(COUNTIF(BK$16:BK$21,$B28)&gt;0,COUNTA(BK$7:BK$15),0))</f>
        <v>0</v>
      </c>
      <c r="BL28" s="55">
        <f>IF($B28="","",IF(COUNTIF(BL$16:BL$21,$B28)&gt;0,COUNTA(BL$7:BL$15),0))</f>
        <v>0</v>
      </c>
      <c r="BM28" s="55">
        <f>IF($B28="","",IF(COUNTIF(BM$16:BM$21,$B28)&gt;0,COUNTA(BM$7:BM$15),0))</f>
        <v>0</v>
      </c>
      <c r="BN28" s="55">
        <f>IF($B28="","",IF(COUNTIF(BN$16:BN$21,$B28)&gt;0,COUNTA(BN$7:BN$15),0))</f>
        <v>0</v>
      </c>
      <c r="BO28" s="55">
        <f>IF($B28="","",IF(COUNTIF(BO$16:BO$21,$B28)&gt;0,COUNTA(BO$7:BO$15),0))</f>
        <v>0</v>
      </c>
      <c r="BP28" s="55">
        <f>IF($B28="","",IF(COUNTIF(BP$16:BP$21,$B28)&gt;0,COUNTA(BP$7:BP$15),0))</f>
        <v>0</v>
      </c>
      <c r="BQ28" s="55">
        <f>IF($B28="","",IF(COUNTIF(BQ$16:BQ$21,$B28)&gt;0,COUNTA(BQ$7:BQ$15),0))</f>
        <v>0</v>
      </c>
      <c r="BR28" s="55">
        <f>IF($B28="","",IF(COUNTIF(BR$16:BR$21,$B28)&gt;0,COUNTA(BR$7:BR$15),0))</f>
        <v>0</v>
      </c>
      <c r="BS28" s="55">
        <f>IF($B28="","",IF(COUNTIF(BS$16:BS$21,$B28)&gt;0,COUNTA(BS$7:BS$15),0))</f>
        <v>0</v>
      </c>
      <c r="BT28" s="55">
        <f>IF($B28="","",IF(COUNTIF(BT$16:BT$21,$B28)&gt;0,COUNTA(BT$7:BT$15),0))</f>
        <v>0</v>
      </c>
      <c r="BU28" s="55">
        <f>IF($B28="","",IF(COUNTIF(BU$16:BU$21,$B28)&gt;0,COUNTA(BU$7:BU$15),0))</f>
        <v>0</v>
      </c>
      <c r="BV28" s="55">
        <f>IF($B28="","",IF(COUNTIF(BV$16:BV$21,$B28)&gt;0,COUNTA(BV$7:BV$15),0))</f>
        <v>0</v>
      </c>
      <c r="BW28" s="55">
        <f>IF($B28="","",IF(COUNTIF(BW$16:BW$21,$B28)&gt;0,COUNTA(BW$7:BW$15),0))</f>
        <v>0</v>
      </c>
      <c r="BX28" s="55">
        <f>IF($B28="","",IF(COUNTIF(BX$16:BX$21,$B28)&gt;0,COUNTA(BX$7:BX$15),0))</f>
        <v>0</v>
      </c>
      <c r="BY28" s="55">
        <f>IF($B28="","",IF(COUNTIF(BY$16:BY$21,$B28)&gt;0,COUNTA(BY$7:BY$15),0))</f>
        <v>0</v>
      </c>
      <c r="BZ28" s="55">
        <f>IF($B28="","",IF(COUNTIF(BZ$16:BZ$21,$B28)&gt;0,COUNTA(BZ$7:BZ$15),0))</f>
        <v>0</v>
      </c>
      <c r="CA28" s="55">
        <f>IF($B28="","",IF(COUNTIF(CA$16:CA$21,$B28)&gt;0,COUNTA(CA$7:CA$15),0))</f>
        <v>0</v>
      </c>
      <c r="CB28" s="55">
        <f>IF($B28="","",IF(COUNTIF(CB$16:CB$21,$B28)&gt;0,COUNTA(CB$7:CB$15),0))</f>
        <v>0</v>
      </c>
      <c r="CC28" s="55">
        <f>IF($B28="","",IF(COUNTIF(CC$16:CC$21,$B28)&gt;0,COUNTA(CC$7:CC$15),0))</f>
        <v>0</v>
      </c>
      <c r="CD28" s="55">
        <f>IF($B28="","",IF(COUNTIF(CD$16:CD$21,$B28)&gt;0,COUNTA(CD$7:CD$15),0))</f>
        <v>0</v>
      </c>
      <c r="CE28" s="55">
        <f>IF($B28="","",IF(COUNTIF(CE$16:CE$21,$B28)&gt;0,COUNTA(CE$7:CE$15),0))</f>
        <v>0</v>
      </c>
      <c r="CF28" s="55">
        <f>IF($B28="","",IF(COUNTIF(CF$16:CF$21,$B28)&gt;0,COUNTA(CF$7:CF$15),0))</f>
        <v>0</v>
      </c>
      <c r="CG28" s="55">
        <f>IF($B28="","",IF(COUNTIF(CG$16:CG$21,$B28)&gt;0,COUNTA(CG$7:CG$15),0))</f>
        <v>0</v>
      </c>
      <c r="CH28" s="55">
        <f>IF($B28="","",IF(COUNTIF(CH$16:CH$21,$B28)&gt;0,COUNTA(CH$7:CH$15),0))</f>
        <v>0</v>
      </c>
      <c r="CI28" s="55">
        <f>IF($B28="","",IF(COUNTIF(CI$16:CI$21,$B28)&gt;0,COUNTA(CI$7:CI$15),0))</f>
        <v>0</v>
      </c>
      <c r="CJ28" s="55">
        <f>IF($B28="","",IF(COUNTIF(CJ$16:CJ$21,$B28)&gt;0,COUNTA(CJ$7:CJ$15),0))</f>
        <v>0</v>
      </c>
      <c r="CK28" s="55">
        <f>IF($B28="","",IF(COUNTIF(CK$16:CK$21,$B28)&gt;0,COUNTA(CK$7:CK$15),0))</f>
        <v>0</v>
      </c>
      <c r="CL28" s="55">
        <f>IF($B28="","",IF(COUNTIF(CL$16:CL$21,$B28)&gt;0,COUNTA(CL$7:CL$15),0))</f>
        <v>0</v>
      </c>
      <c r="CM28" s="55">
        <f>IF($B28="","",IF(COUNTIF(CM$16:CM$21,$B28)&gt;0,COUNTA(CM$7:CM$15),0))</f>
        <v>0</v>
      </c>
      <c r="CN28" s="55">
        <f>IF($B28="","",IF(COUNTIF(CN$16:CN$21,$B28)&gt;0,COUNTA(CN$7:CN$15),0))</f>
        <v>0</v>
      </c>
      <c r="CO28" s="55">
        <f>IF($B28="","",IF(COUNTIF(CO$16:CO$21,$B28)&gt;0,COUNTA(CO$7:CO$15),0))</f>
        <v>0</v>
      </c>
      <c r="CP28" s="55">
        <f>IF($B28="","",IF(COUNTIF(CP$16:CP$21,$B28)&gt;0,COUNTA(CP$7:CP$15),0))</f>
        <v>0</v>
      </c>
      <c r="CQ28" s="55">
        <f>IF($B28="","",IF(COUNTIF(CQ$16:CQ$21,$B28)&gt;0,COUNTA(CQ$7:CQ$15),0))</f>
        <v>0</v>
      </c>
      <c r="CR28" s="55">
        <f>IF($B28="","",IF(COUNTIF(CR$16:CR$21,$B28)&gt;0,COUNTA(CR$7:CR$15),0))</f>
        <v>0</v>
      </c>
      <c r="CS28" s="55">
        <f>IF($B28="","",IF(COUNTIF(CS$16:CS$21,$B28)&gt;0,COUNTA(CS$7:CS$15),0))</f>
        <v>0</v>
      </c>
      <c r="CT28" s="55">
        <f>IF($B28="","",IF(COUNTIF(CT$16:CT$21,$B28)&gt;0,COUNTA(CT$7:CT$15),0))</f>
        <v>0</v>
      </c>
      <c r="CU28" s="55">
        <f>IF($B28="","",IF(COUNTIF(CU$16:CU$21,$B28)&gt;0,COUNTA(CU$7:CU$15),0))</f>
        <v>0</v>
      </c>
      <c r="CV28" s="55">
        <f>IF($B28="","",IF(COUNTIF(CV$16:CV$21,$B28)&gt;0,COUNTA(CV$7:CV$15),0))</f>
        <v>0</v>
      </c>
      <c r="CW28" s="55">
        <f>IF($B28="","",IF(COUNTIF(CW$16:CW$21,$B28)&gt;0,COUNTA(CW$7:CW$15),0))</f>
        <v>0</v>
      </c>
      <c r="CX28" s="55">
        <f>IF($B28="","",IF(COUNTIF(CX$16:CX$21,$B28)&gt;0,COUNTA(CX$7:CX$15),0))</f>
        <v>0</v>
      </c>
      <c r="CY28" s="55">
        <f>IF($B28="","",IF(COUNTIF(CY$16:CY$21,$B28)&gt;0,COUNTA(CY$7:CY$15),0))</f>
        <v>0</v>
      </c>
      <c r="CZ28" s="55">
        <f>IF($B28="","",IF(COUNTIF(CZ$16:CZ$21,$B28)&gt;0,COUNTA(CZ$7:CZ$15),0))</f>
        <v>0</v>
      </c>
      <c r="DA28" s="55">
        <f>IF($B28="","",IF(COUNTIF(DA$16:DA$21,$B28)&gt;0,COUNTA(DA$7:DA$15),0))</f>
        <v>0</v>
      </c>
      <c r="DB28" s="55">
        <f>IF($B28="","",IF(COUNTIF(DB$16:DB$21,$B28)&gt;0,COUNTA(DB$7:DB$15),0))</f>
        <v>0</v>
      </c>
      <c r="DC28" s="55">
        <f>IF($B28="","",IF(COUNTIF(DC$16:DC$21,$B28)&gt;0,COUNTA(DC$7:DC$15),0))</f>
        <v>0</v>
      </c>
      <c r="DD28" s="55">
        <f>IF($B28="","",IF(COUNTIF(DD$16:DD$21,$B28)&gt;0,COUNTA(DD$7:DD$15),0))</f>
        <v>0</v>
      </c>
      <c r="DE28" s="58">
        <f>IF($B28="","",IF(COUNTIF(DE$16:DE$21,$B28)&gt;0,COUNTA(DE$7:DE$15),0))</f>
        <v>0</v>
      </c>
    </row>
    <row r="29" spans="2:109" x14ac:dyDescent="0.2">
      <c r="B29" s="84" t="str">
        <f>IFERROR(INDEX(_xlfn._xlws.FILTER(Ressourcer!$B$1:$X$1,_xlfn.BYCOL(Ressourcer!$B$7:$X$10,_xlfn.LAMBDA(_xlpm.c,COUNTIF(_xlpm.c,"&lt;&gt;" )&gt;0))),ROWS($B$2:B7)),"")</f>
        <v/>
      </c>
      <c r="C29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)&gt;0))),_xlfn.LAMBDA(_xlpm.col,SUM(INDEX(Ressourcer!$B$7:$X$10,,_xlpm.col-COLUMN(Ressourcer!$B$7:$X$10)+1)))),ROWS($B$2:B7))/2,"")</f>
        <v/>
      </c>
      <c r="D29" s="106" t="str">
        <f t="shared" si="22"/>
        <v/>
      </c>
      <c r="E29" s="57" t="str">
        <f>IF($B29="","",IF(COUNTIF(E$16:E$21,$B29)&gt;0,COUNTA(E$7:E$15),0))</f>
        <v/>
      </c>
      <c r="F29" s="55" t="str">
        <f>IF($B29="","",IF(COUNTIF(F$16:F$21,$B29)&gt;0,COUNTA(F$7:F$15),0))</f>
        <v/>
      </c>
      <c r="G29" s="55" t="str">
        <f>IF($B29="","",IF(COUNTIF(G$16:G$21,$B29)&gt;0,COUNTA(G$7:G$15),0))</f>
        <v/>
      </c>
      <c r="H29" s="55" t="str">
        <f>IF($B29="","",IF(COUNTIF(H$16:H$21,$B29)&gt;0,COUNTA(H$7:H$15),0))</f>
        <v/>
      </c>
      <c r="I29" s="55" t="str">
        <f>IF($B29="","",IF(COUNTIF(I$16:I$21,$B29)&gt;0,COUNTA(I$7:I$15),0))</f>
        <v/>
      </c>
      <c r="J29" s="55" t="str">
        <f>IF($B29="","",IF(COUNTIF(J$16:J$21,$B29)&gt;0,COUNTA(J$7:J$15),0))</f>
        <v/>
      </c>
      <c r="K29" s="55" t="str">
        <f>IF($B29="","",IF(COUNTIF(K$16:K$21,$B29)&gt;0,COUNTA(K$7:K$15),0))</f>
        <v/>
      </c>
      <c r="L29" s="55" t="str">
        <f>IF($B29="","",IF(COUNTIF(L$16:L$21,$B29)&gt;0,COUNTA(L$7:L$15),0))</f>
        <v/>
      </c>
      <c r="M29" s="55" t="str">
        <f>IF($B29="","",IF(COUNTIF(M$16:M$21,$B29)&gt;0,COUNTA(M$7:M$15),0))</f>
        <v/>
      </c>
      <c r="N29" s="55" t="str">
        <f>IF($B29="","",IF(COUNTIF(N$16:N$21,$B29)&gt;0,COUNTA(N$7:N$15),0))</f>
        <v/>
      </c>
      <c r="O29" s="55" t="str">
        <f>IF($B29="","",IF(COUNTIF(O$16:O$21,$B29)&gt;0,COUNTA(O$7:O$15),0))</f>
        <v/>
      </c>
      <c r="P29" s="55" t="str">
        <f>IF($B29="","",IF(COUNTIF(P$16:P$21,$B29)&gt;0,COUNTA(P$7:P$15),0))</f>
        <v/>
      </c>
      <c r="Q29" s="55" t="str">
        <f>IF($B29="","",IF(COUNTIF(Q$16:Q$21,$B29)&gt;0,COUNTA(Q$7:Q$15),0))</f>
        <v/>
      </c>
      <c r="R29" s="55" t="str">
        <f>IF($B29="","",IF(COUNTIF(R$16:R$21,$B29)&gt;0,COUNTA(R$7:R$15),0))</f>
        <v/>
      </c>
      <c r="S29" s="55" t="str">
        <f>IF($B29="","",IF(COUNTIF(S$16:S$21,$B29)&gt;0,COUNTA(S$7:S$15),0))</f>
        <v/>
      </c>
      <c r="T29" s="55" t="str">
        <f>IF($B29="","",IF(COUNTIF(T$16:T$21,$B29)&gt;0,COUNTA(T$7:T$15),0))</f>
        <v/>
      </c>
      <c r="U29" s="55" t="str">
        <f>IF($B29="","",IF(COUNTIF(U$16:U$21,$B29)&gt;0,COUNTA(U$7:U$15),0))</f>
        <v/>
      </c>
      <c r="V29" s="55" t="str">
        <f>IF($B29="","",IF(COUNTIF(V$16:V$21,$B29)&gt;0,COUNTA(V$7:V$15),0))</f>
        <v/>
      </c>
      <c r="W29" s="55" t="str">
        <f>IF($B29="","",IF(COUNTIF(W$16:W$21,$B29)&gt;0,COUNTA(W$7:W$15),0))</f>
        <v/>
      </c>
      <c r="X29" s="55" t="str">
        <f>IF($B29="","",IF(COUNTIF(X$16:X$21,$B29)&gt;0,COUNTA(X$7:X$15),0))</f>
        <v/>
      </c>
      <c r="Y29" s="55" t="str">
        <f>IF($B29="","",IF(COUNTIF(Y$16:Y$21,$B29)&gt;0,COUNTA(Y$7:Y$15),0))</f>
        <v/>
      </c>
      <c r="Z29" s="55" t="str">
        <f>IF($B29="","",IF(COUNTIF(Z$16:Z$21,$B29)&gt;0,COUNTA(Z$7:Z$15),0))</f>
        <v/>
      </c>
      <c r="AA29" s="55" t="str">
        <f>IF($B29="","",IF(COUNTIF(AA$16:AA$21,$B29)&gt;0,COUNTA(AA$7:AA$15),0))</f>
        <v/>
      </c>
      <c r="AB29" s="55" t="str">
        <f>IF($B29="","",IF(COUNTIF(AB$16:AB$21,$B29)&gt;0,COUNTA(AB$7:AB$15),0))</f>
        <v/>
      </c>
      <c r="AC29" s="55" t="str">
        <f>IF($B29="","",IF(COUNTIF(AC$16:AC$21,$B29)&gt;0,COUNTA(AC$7:AC$15),0))</f>
        <v/>
      </c>
      <c r="AD29" s="55" t="str">
        <f>IF($B29="","",IF(COUNTIF(AD$16:AD$21,$B29)&gt;0,COUNTA(AD$7:AD$15),0))</f>
        <v/>
      </c>
      <c r="AE29" s="55" t="str">
        <f>IF($B29="","",IF(COUNTIF(AE$16:AE$21,$B29)&gt;0,COUNTA(AE$7:AE$15),0))</f>
        <v/>
      </c>
      <c r="AF29" s="55" t="str">
        <f>IF($B29="","",IF(COUNTIF(AF$16:AF$21,$B29)&gt;0,COUNTA(AF$7:AF$15),0))</f>
        <v/>
      </c>
      <c r="AG29" s="55" t="str">
        <f>IF($B29="","",IF(COUNTIF(AG$16:AG$21,$B29)&gt;0,COUNTA(AG$7:AG$15),0))</f>
        <v/>
      </c>
      <c r="AH29" s="55" t="str">
        <f>IF($B29="","",IF(COUNTIF(AH$16:AH$21,$B29)&gt;0,COUNTA(AH$7:AH$15),0))</f>
        <v/>
      </c>
      <c r="AI29" s="55" t="str">
        <f>IF($B29="","",IF(COUNTIF(AI$16:AI$21,$B29)&gt;0,COUNTA(AI$7:AI$15),0))</f>
        <v/>
      </c>
      <c r="AJ29" s="55" t="str">
        <f>IF($B29="","",IF(COUNTIF(AJ$16:AJ$21,$B29)&gt;0,COUNTA(AJ$7:AJ$15),0))</f>
        <v/>
      </c>
      <c r="AK29" s="55" t="str">
        <f>IF($B29="","",IF(COUNTIF(AK$16:AK$21,$B29)&gt;0,COUNTA(AK$7:AK$15),0))</f>
        <v/>
      </c>
      <c r="AL29" s="55" t="str">
        <f>IF($B29="","",IF(COUNTIF(AL$16:AL$21,$B29)&gt;0,COUNTA(AL$7:AL$15),0))</f>
        <v/>
      </c>
      <c r="AM29" s="55" t="str">
        <f>IF($B29="","",IF(COUNTIF(AM$16:AM$21,$B29)&gt;0,COUNTA(AM$7:AM$15),0))</f>
        <v/>
      </c>
      <c r="AN29" s="55" t="str">
        <f>IF($B29="","",IF(COUNTIF(AN$16:AN$21,$B29)&gt;0,COUNTA(AN$7:AN$15),0))</f>
        <v/>
      </c>
      <c r="AO29" s="55" t="str">
        <f>IF($B29="","",IF(COUNTIF(AO$16:AO$21,$B29)&gt;0,COUNTA(AO$7:AO$15),0))</f>
        <v/>
      </c>
      <c r="AP29" s="55" t="str">
        <f>IF($B29="","",IF(COUNTIF(AP$16:AP$21,$B29)&gt;0,COUNTA(AP$7:AP$15),0))</f>
        <v/>
      </c>
      <c r="AQ29" s="55" t="str">
        <f>IF($B29="","",IF(COUNTIF(AQ$16:AQ$21,$B29)&gt;0,COUNTA(AQ$7:AQ$15),0))</f>
        <v/>
      </c>
      <c r="AR29" s="55" t="str">
        <f>IF($B29="","",IF(COUNTIF(AR$16:AR$21,$B29)&gt;0,COUNTA(AR$7:AR$15),0))</f>
        <v/>
      </c>
      <c r="AS29" s="55" t="str">
        <f>IF($B29="","",IF(COUNTIF(AS$16:AS$21,$B29)&gt;0,COUNTA(AS$7:AS$15),0))</f>
        <v/>
      </c>
      <c r="AT29" s="55" t="str">
        <f>IF($B29="","",IF(COUNTIF(AT$16:AT$21,$B29)&gt;0,COUNTA(AT$7:AT$15),0))</f>
        <v/>
      </c>
      <c r="AU29" s="55" t="str">
        <f>IF($B29="","",IF(COUNTIF(AU$16:AU$21,$B29)&gt;0,COUNTA(AU$7:AU$15),0))</f>
        <v/>
      </c>
      <c r="AV29" s="55" t="str">
        <f>IF($B29="","",IF(COUNTIF(AV$16:AV$21,$B29)&gt;0,COUNTA(AV$7:AV$15),0))</f>
        <v/>
      </c>
      <c r="AW29" s="55" t="str">
        <f>IF($B29="","",IF(COUNTIF(AW$16:AW$21,$B29)&gt;0,COUNTA(AW$7:AW$15),0))</f>
        <v/>
      </c>
      <c r="AX29" s="55" t="str">
        <f>IF($B29="","",IF(COUNTIF(AX$16:AX$21,$B29)&gt;0,COUNTA(AX$7:AX$15),0))</f>
        <v/>
      </c>
      <c r="AY29" s="55" t="str">
        <f>IF($B29="","",IF(COUNTIF(AY$16:AY$21,$B29)&gt;0,COUNTA(AY$7:AY$15),0))</f>
        <v/>
      </c>
      <c r="AZ29" s="55" t="str">
        <f>IF($B29="","",IF(COUNTIF(AZ$16:AZ$21,$B29)&gt;0,COUNTA(AZ$7:AZ$15),0))</f>
        <v/>
      </c>
      <c r="BA29" s="55" t="str">
        <f>IF($B29="","",IF(COUNTIF(BA$16:BA$21,$B29)&gt;0,COUNTA(BA$7:BA$15),0))</f>
        <v/>
      </c>
      <c r="BB29" s="55" t="str">
        <f>IF($B29="","",IF(COUNTIF(BB$16:BB$21,$B29)&gt;0,COUNTA(BB$7:BB$15),0))</f>
        <v/>
      </c>
      <c r="BC29" s="55" t="str">
        <f>IF($B29="","",IF(COUNTIF(BC$16:BC$21,$B29)&gt;0,COUNTA(BC$7:BC$15),0))</f>
        <v/>
      </c>
      <c r="BD29" s="55" t="str">
        <f>IF($B29="","",IF(COUNTIF(BD$16:BD$21,$B29)&gt;0,COUNTA(BD$7:BD$15),0))</f>
        <v/>
      </c>
      <c r="BE29" s="55" t="str">
        <f>IF($B29="","",IF(COUNTIF(BE$16:BE$21,$B29)&gt;0,COUNTA(BE$7:BE$15),0))</f>
        <v/>
      </c>
      <c r="BF29" s="55" t="str">
        <f>IF($B29="","",IF(COUNTIF(BF$16:BF$21,$B29)&gt;0,COUNTA(BF$7:BF$15),0))</f>
        <v/>
      </c>
      <c r="BG29" s="55" t="str">
        <f>IF($B29="","",IF(COUNTIF(BG$16:BG$21,$B29)&gt;0,COUNTA(BG$7:BG$15),0))</f>
        <v/>
      </c>
      <c r="BH29" s="55" t="str">
        <f>IF($B29="","",IF(COUNTIF(BH$16:BH$21,$B29)&gt;0,COUNTA(BH$7:BH$15),0))</f>
        <v/>
      </c>
      <c r="BI29" s="55" t="str">
        <f>IF($B29="","",IF(COUNTIF(BI$16:BI$21,$B29)&gt;0,COUNTA(BI$7:BI$15),0))</f>
        <v/>
      </c>
      <c r="BJ29" s="55" t="str">
        <f>IF($B29="","",IF(COUNTIF(BJ$16:BJ$21,$B29)&gt;0,COUNTA(BJ$7:BJ$15),0))</f>
        <v/>
      </c>
      <c r="BK29" s="55" t="str">
        <f>IF($B29="","",IF(COUNTIF(BK$16:BK$21,$B29)&gt;0,COUNTA(BK$7:BK$15),0))</f>
        <v/>
      </c>
      <c r="BL29" s="55" t="str">
        <f>IF($B29="","",IF(COUNTIF(BL$16:BL$21,$B29)&gt;0,COUNTA(BL$7:BL$15),0))</f>
        <v/>
      </c>
      <c r="BM29" s="55" t="str">
        <f>IF($B29="","",IF(COUNTIF(BM$16:BM$21,$B29)&gt;0,COUNTA(BM$7:BM$15),0))</f>
        <v/>
      </c>
      <c r="BN29" s="55" t="str">
        <f>IF($B29="","",IF(COUNTIF(BN$16:BN$21,$B29)&gt;0,COUNTA(BN$7:BN$15),0))</f>
        <v/>
      </c>
      <c r="BO29" s="55" t="str">
        <f>IF($B29="","",IF(COUNTIF(BO$16:BO$21,$B29)&gt;0,COUNTA(BO$7:BO$15),0))</f>
        <v/>
      </c>
      <c r="BP29" s="55" t="str">
        <f>IF($B29="","",IF(COUNTIF(BP$16:BP$21,$B29)&gt;0,COUNTA(BP$7:BP$15),0))</f>
        <v/>
      </c>
      <c r="BQ29" s="55" t="str">
        <f>IF($B29="","",IF(COUNTIF(BQ$16:BQ$21,$B29)&gt;0,COUNTA(BQ$7:BQ$15),0))</f>
        <v/>
      </c>
      <c r="BR29" s="55" t="str">
        <f>IF($B29="","",IF(COUNTIF(BR$16:BR$21,$B29)&gt;0,COUNTA(BR$7:BR$15),0))</f>
        <v/>
      </c>
      <c r="BS29" s="55" t="str">
        <f>IF($B29="","",IF(COUNTIF(BS$16:BS$21,$B29)&gt;0,COUNTA(BS$7:BS$15),0))</f>
        <v/>
      </c>
      <c r="BT29" s="55" t="str">
        <f>IF($B29="","",IF(COUNTIF(BT$16:BT$21,$B29)&gt;0,COUNTA(BT$7:BT$15),0))</f>
        <v/>
      </c>
      <c r="BU29" s="55" t="str">
        <f>IF($B29="","",IF(COUNTIF(BU$16:BU$21,$B29)&gt;0,COUNTA(BU$7:BU$15),0))</f>
        <v/>
      </c>
      <c r="BV29" s="55" t="str">
        <f>IF($B29="","",IF(COUNTIF(BV$16:BV$21,$B29)&gt;0,COUNTA(BV$7:BV$15),0))</f>
        <v/>
      </c>
      <c r="BW29" s="55" t="str">
        <f>IF($B29="","",IF(COUNTIF(BW$16:BW$21,$B29)&gt;0,COUNTA(BW$7:BW$15),0))</f>
        <v/>
      </c>
      <c r="BX29" s="55" t="str">
        <f>IF($B29="","",IF(COUNTIF(BX$16:BX$21,$B29)&gt;0,COUNTA(BX$7:BX$15),0))</f>
        <v/>
      </c>
      <c r="BY29" s="55" t="str">
        <f>IF($B29="","",IF(COUNTIF(BY$16:BY$21,$B29)&gt;0,COUNTA(BY$7:BY$15),0))</f>
        <v/>
      </c>
      <c r="BZ29" s="55" t="str">
        <f>IF($B29="","",IF(COUNTIF(BZ$16:BZ$21,$B29)&gt;0,COUNTA(BZ$7:BZ$15),0))</f>
        <v/>
      </c>
      <c r="CA29" s="55" t="str">
        <f>IF($B29="","",IF(COUNTIF(CA$16:CA$21,$B29)&gt;0,COUNTA(CA$7:CA$15),0))</f>
        <v/>
      </c>
      <c r="CB29" s="55" t="str">
        <f>IF($B29="","",IF(COUNTIF(CB$16:CB$21,$B29)&gt;0,COUNTA(CB$7:CB$15),0))</f>
        <v/>
      </c>
      <c r="CC29" s="55" t="str">
        <f>IF($B29="","",IF(COUNTIF(CC$16:CC$21,$B29)&gt;0,COUNTA(CC$7:CC$15),0))</f>
        <v/>
      </c>
      <c r="CD29" s="55" t="str">
        <f>IF($B29="","",IF(COUNTIF(CD$16:CD$21,$B29)&gt;0,COUNTA(CD$7:CD$15),0))</f>
        <v/>
      </c>
      <c r="CE29" s="55" t="str">
        <f>IF($B29="","",IF(COUNTIF(CE$16:CE$21,$B29)&gt;0,COUNTA(CE$7:CE$15),0))</f>
        <v/>
      </c>
      <c r="CF29" s="55" t="str">
        <f>IF($B29="","",IF(COUNTIF(CF$16:CF$21,$B29)&gt;0,COUNTA(CF$7:CF$15),0))</f>
        <v/>
      </c>
      <c r="CG29" s="55" t="str">
        <f>IF($B29="","",IF(COUNTIF(CG$16:CG$21,$B29)&gt;0,COUNTA(CG$7:CG$15),0))</f>
        <v/>
      </c>
      <c r="CH29" s="55" t="str">
        <f>IF($B29="","",IF(COUNTIF(CH$16:CH$21,$B29)&gt;0,COUNTA(CH$7:CH$15),0))</f>
        <v/>
      </c>
      <c r="CI29" s="55" t="str">
        <f>IF($B29="","",IF(COUNTIF(CI$16:CI$21,$B29)&gt;0,COUNTA(CI$7:CI$15),0))</f>
        <v/>
      </c>
      <c r="CJ29" s="55" t="str">
        <f>IF($B29="","",IF(COUNTIF(CJ$16:CJ$21,$B29)&gt;0,COUNTA(CJ$7:CJ$15),0))</f>
        <v/>
      </c>
      <c r="CK29" s="55" t="str">
        <f>IF($B29="","",IF(COUNTIF(CK$16:CK$21,$B29)&gt;0,COUNTA(CK$7:CK$15),0))</f>
        <v/>
      </c>
      <c r="CL29" s="55" t="str">
        <f>IF($B29="","",IF(COUNTIF(CL$16:CL$21,$B29)&gt;0,COUNTA(CL$7:CL$15),0))</f>
        <v/>
      </c>
      <c r="CM29" s="55" t="str">
        <f>IF($B29="","",IF(COUNTIF(CM$16:CM$21,$B29)&gt;0,COUNTA(CM$7:CM$15),0))</f>
        <v/>
      </c>
      <c r="CN29" s="55" t="str">
        <f>IF($B29="","",IF(COUNTIF(CN$16:CN$21,$B29)&gt;0,COUNTA(CN$7:CN$15),0))</f>
        <v/>
      </c>
      <c r="CO29" s="55" t="str">
        <f>IF($B29="","",IF(COUNTIF(CO$16:CO$21,$B29)&gt;0,COUNTA(CO$7:CO$15),0))</f>
        <v/>
      </c>
      <c r="CP29" s="55" t="str">
        <f>IF($B29="","",IF(COUNTIF(CP$16:CP$21,$B29)&gt;0,COUNTA(CP$7:CP$15),0))</f>
        <v/>
      </c>
      <c r="CQ29" s="55" t="str">
        <f>IF($B29="","",IF(COUNTIF(CQ$16:CQ$21,$B29)&gt;0,COUNTA(CQ$7:CQ$15),0))</f>
        <v/>
      </c>
      <c r="CR29" s="55" t="str">
        <f>IF($B29="","",IF(COUNTIF(CR$16:CR$21,$B29)&gt;0,COUNTA(CR$7:CR$15),0))</f>
        <v/>
      </c>
      <c r="CS29" s="55" t="str">
        <f>IF($B29="","",IF(COUNTIF(CS$16:CS$21,$B29)&gt;0,COUNTA(CS$7:CS$15),0))</f>
        <v/>
      </c>
      <c r="CT29" s="55" t="str">
        <f>IF($B29="","",IF(COUNTIF(CT$16:CT$21,$B29)&gt;0,COUNTA(CT$7:CT$15),0))</f>
        <v/>
      </c>
      <c r="CU29" s="55" t="str">
        <f>IF($B29="","",IF(COUNTIF(CU$16:CU$21,$B29)&gt;0,COUNTA(CU$7:CU$15),0))</f>
        <v/>
      </c>
      <c r="CV29" s="55" t="str">
        <f>IF($B29="","",IF(COUNTIF(CV$16:CV$21,$B29)&gt;0,COUNTA(CV$7:CV$15),0))</f>
        <v/>
      </c>
      <c r="CW29" s="55" t="str">
        <f>IF($B29="","",IF(COUNTIF(CW$16:CW$21,$B29)&gt;0,COUNTA(CW$7:CW$15),0))</f>
        <v/>
      </c>
      <c r="CX29" s="55" t="str">
        <f>IF($B29="","",IF(COUNTIF(CX$16:CX$21,$B29)&gt;0,COUNTA(CX$7:CX$15),0))</f>
        <v/>
      </c>
      <c r="CY29" s="55" t="str">
        <f>IF($B29="","",IF(COUNTIF(CY$16:CY$21,$B29)&gt;0,COUNTA(CY$7:CY$15),0))</f>
        <v/>
      </c>
      <c r="CZ29" s="55" t="str">
        <f>IF($B29="","",IF(COUNTIF(CZ$16:CZ$21,$B29)&gt;0,COUNTA(CZ$7:CZ$15),0))</f>
        <v/>
      </c>
      <c r="DA29" s="55" t="str">
        <f>IF($B29="","",IF(COUNTIF(DA$16:DA$21,$B29)&gt;0,COUNTA(DA$7:DA$15),0))</f>
        <v/>
      </c>
      <c r="DB29" s="55" t="str">
        <f>IF($B29="","",IF(COUNTIF(DB$16:DB$21,$B29)&gt;0,COUNTA(DB$7:DB$15),0))</f>
        <v/>
      </c>
      <c r="DC29" s="55" t="str">
        <f>IF($B29="","",IF(COUNTIF(DC$16:DC$21,$B29)&gt;0,COUNTA(DC$7:DC$15),0))</f>
        <v/>
      </c>
      <c r="DD29" s="55" t="str">
        <f>IF($B29="","",IF(COUNTIF(DD$16:DD$21,$B29)&gt;0,COUNTA(DD$7:DD$15),0))</f>
        <v/>
      </c>
      <c r="DE29" s="58" t="str">
        <f>IF($B29="","",IF(COUNTIF(DE$16:DE$21,$B29)&gt;0,COUNTA(DE$7:DE$15),0))</f>
        <v/>
      </c>
    </row>
    <row r="30" spans="2:109" x14ac:dyDescent="0.2">
      <c r="B30" s="84" t="str">
        <f>IFERROR(INDEX(_xlfn._xlws.FILTER(Ressourcer!$B$1:$X$1,_xlfn.BYCOL(Ressourcer!$B$7:$X$10,_xlfn.LAMBDA(_xlpm.c,COUNTIF(_xlpm.c,"&lt;&gt;" )&gt;0))),ROWS($B$2:B8)),"")</f>
        <v/>
      </c>
      <c r="C30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)&gt;0))),_xlfn.LAMBDA(_xlpm.col,SUM(INDEX(Ressourcer!$B$7:$X$10,,_xlpm.col-COLUMN(Ressourcer!$B$7:$X$10)+1)))),ROWS($B$2:B8))/2,"")</f>
        <v/>
      </c>
      <c r="D30" s="106" t="str">
        <f t="shared" si="22"/>
        <v/>
      </c>
      <c r="E30" s="57" t="str">
        <f>IF($B30="","",IF(COUNTIF(E$16:E$21,$B30)&gt;0,COUNTA(E$7:E$15),0))</f>
        <v/>
      </c>
      <c r="F30" s="55" t="str">
        <f>IF($B30="","",IF(COUNTIF(F$16:F$21,$B30)&gt;0,COUNTA(F$7:F$15),0))</f>
        <v/>
      </c>
      <c r="G30" s="55" t="str">
        <f>IF($B30="","",IF(COUNTIF(G$16:G$21,$B30)&gt;0,COUNTA(G$7:G$15),0))</f>
        <v/>
      </c>
      <c r="H30" s="55" t="str">
        <f>IF($B30="","",IF(COUNTIF(H$16:H$21,$B30)&gt;0,COUNTA(H$7:H$15),0))</f>
        <v/>
      </c>
      <c r="I30" s="55" t="str">
        <f>IF($B30="","",IF(COUNTIF(I$16:I$21,$B30)&gt;0,COUNTA(I$7:I$15),0))</f>
        <v/>
      </c>
      <c r="J30" s="55" t="str">
        <f>IF($B30="","",IF(COUNTIF(J$16:J$21,$B30)&gt;0,COUNTA(J$7:J$15),0))</f>
        <v/>
      </c>
      <c r="K30" s="55" t="str">
        <f>IF($B30="","",IF(COUNTIF(K$16:K$21,$B30)&gt;0,COUNTA(K$7:K$15),0))</f>
        <v/>
      </c>
      <c r="L30" s="55" t="str">
        <f>IF($B30="","",IF(COUNTIF(L$16:L$21,$B30)&gt;0,COUNTA(L$7:L$15),0))</f>
        <v/>
      </c>
      <c r="M30" s="55" t="str">
        <f>IF($B30="","",IF(COUNTIF(M$16:M$21,$B30)&gt;0,COUNTA(M$7:M$15),0))</f>
        <v/>
      </c>
      <c r="N30" s="55" t="str">
        <f>IF($B30="","",IF(COUNTIF(N$16:N$21,$B30)&gt;0,COUNTA(N$7:N$15),0))</f>
        <v/>
      </c>
      <c r="O30" s="55" t="str">
        <f>IF($B30="","",IF(COUNTIF(O$16:O$21,$B30)&gt;0,COUNTA(O$7:O$15),0))</f>
        <v/>
      </c>
      <c r="P30" s="55" t="str">
        <f>IF($B30="","",IF(COUNTIF(P$16:P$21,$B30)&gt;0,COUNTA(P$7:P$15),0))</f>
        <v/>
      </c>
      <c r="Q30" s="55" t="str">
        <f>IF($B30="","",IF(COUNTIF(Q$16:Q$21,$B30)&gt;0,COUNTA(Q$7:Q$15),0))</f>
        <v/>
      </c>
      <c r="R30" s="55" t="str">
        <f>IF($B30="","",IF(COUNTIF(R$16:R$21,$B30)&gt;0,COUNTA(R$7:R$15),0))</f>
        <v/>
      </c>
      <c r="S30" s="55" t="str">
        <f>IF($B30="","",IF(COUNTIF(S$16:S$21,$B30)&gt;0,COUNTA(S$7:S$15),0))</f>
        <v/>
      </c>
      <c r="T30" s="55" t="str">
        <f>IF($B30="","",IF(COUNTIF(T$16:T$21,$B30)&gt;0,COUNTA(T$7:T$15),0))</f>
        <v/>
      </c>
      <c r="U30" s="55" t="str">
        <f>IF($B30="","",IF(COUNTIF(U$16:U$21,$B30)&gt;0,COUNTA(U$7:U$15),0))</f>
        <v/>
      </c>
      <c r="V30" s="55" t="str">
        <f>IF($B30="","",IF(COUNTIF(V$16:V$21,$B30)&gt;0,COUNTA(V$7:V$15),0))</f>
        <v/>
      </c>
      <c r="W30" s="55" t="str">
        <f>IF($B30="","",IF(COUNTIF(W$16:W$21,$B30)&gt;0,COUNTA(W$7:W$15),0))</f>
        <v/>
      </c>
      <c r="X30" s="55" t="str">
        <f>IF($B30="","",IF(COUNTIF(X$16:X$21,$B30)&gt;0,COUNTA(X$7:X$15),0))</f>
        <v/>
      </c>
      <c r="Y30" s="55" t="str">
        <f>IF($B30="","",IF(COUNTIF(Y$16:Y$21,$B30)&gt;0,COUNTA(Y$7:Y$15),0))</f>
        <v/>
      </c>
      <c r="Z30" s="55" t="str">
        <f>IF($B30="","",IF(COUNTIF(Z$16:Z$21,$B30)&gt;0,COUNTA(Z$7:Z$15),0))</f>
        <v/>
      </c>
      <c r="AA30" s="55" t="str">
        <f>IF($B30="","",IF(COUNTIF(AA$16:AA$21,$B30)&gt;0,COUNTA(AA$7:AA$15),0))</f>
        <v/>
      </c>
      <c r="AB30" s="55" t="str">
        <f>IF($B30="","",IF(COUNTIF(AB$16:AB$21,$B30)&gt;0,COUNTA(AB$7:AB$15),0))</f>
        <v/>
      </c>
      <c r="AC30" s="55" t="str">
        <f>IF($B30="","",IF(COUNTIF(AC$16:AC$21,$B30)&gt;0,COUNTA(AC$7:AC$15),0))</f>
        <v/>
      </c>
      <c r="AD30" s="55" t="str">
        <f>IF($B30="","",IF(COUNTIF(AD$16:AD$21,$B30)&gt;0,COUNTA(AD$7:AD$15),0))</f>
        <v/>
      </c>
      <c r="AE30" s="55" t="str">
        <f>IF($B30="","",IF(COUNTIF(AE$16:AE$21,$B30)&gt;0,COUNTA(AE$7:AE$15),0))</f>
        <v/>
      </c>
      <c r="AF30" s="55" t="str">
        <f>IF($B30="","",IF(COUNTIF(AF$16:AF$21,$B30)&gt;0,COUNTA(AF$7:AF$15),0))</f>
        <v/>
      </c>
      <c r="AG30" s="55" t="str">
        <f>IF($B30="","",IF(COUNTIF(AG$16:AG$21,$B30)&gt;0,COUNTA(AG$7:AG$15),0))</f>
        <v/>
      </c>
      <c r="AH30" s="55" t="str">
        <f>IF($B30="","",IF(COUNTIF(AH$16:AH$21,$B30)&gt;0,COUNTA(AH$7:AH$15),0))</f>
        <v/>
      </c>
      <c r="AI30" s="55" t="str">
        <f>IF($B30="","",IF(COUNTIF(AI$16:AI$21,$B30)&gt;0,COUNTA(AI$7:AI$15),0))</f>
        <v/>
      </c>
      <c r="AJ30" s="55" t="str">
        <f>IF($B30="","",IF(COUNTIF(AJ$16:AJ$21,$B30)&gt;0,COUNTA(AJ$7:AJ$15),0))</f>
        <v/>
      </c>
      <c r="AK30" s="55" t="str">
        <f>IF($B30="","",IF(COUNTIF(AK$16:AK$21,$B30)&gt;0,COUNTA(AK$7:AK$15),0))</f>
        <v/>
      </c>
      <c r="AL30" s="55" t="str">
        <f>IF($B30="","",IF(COUNTIF(AL$16:AL$21,$B30)&gt;0,COUNTA(AL$7:AL$15),0))</f>
        <v/>
      </c>
      <c r="AM30" s="55" t="str">
        <f>IF($B30="","",IF(COUNTIF(AM$16:AM$21,$B30)&gt;0,COUNTA(AM$7:AM$15),0))</f>
        <v/>
      </c>
      <c r="AN30" s="55" t="str">
        <f>IF($B30="","",IF(COUNTIF(AN$16:AN$21,$B30)&gt;0,COUNTA(AN$7:AN$15),0))</f>
        <v/>
      </c>
      <c r="AO30" s="55" t="str">
        <f>IF($B30="","",IF(COUNTIF(AO$16:AO$21,$B30)&gt;0,COUNTA(AO$7:AO$15),0))</f>
        <v/>
      </c>
      <c r="AP30" s="55" t="str">
        <f>IF($B30="","",IF(COUNTIF(AP$16:AP$21,$B30)&gt;0,COUNTA(AP$7:AP$15),0))</f>
        <v/>
      </c>
      <c r="AQ30" s="55" t="str">
        <f>IF($B30="","",IF(COUNTIF(AQ$16:AQ$21,$B30)&gt;0,COUNTA(AQ$7:AQ$15),0))</f>
        <v/>
      </c>
      <c r="AR30" s="55" t="str">
        <f>IF($B30="","",IF(COUNTIF(AR$16:AR$21,$B30)&gt;0,COUNTA(AR$7:AR$15),0))</f>
        <v/>
      </c>
      <c r="AS30" s="55" t="str">
        <f>IF($B30="","",IF(COUNTIF(AS$16:AS$21,$B30)&gt;0,COUNTA(AS$7:AS$15),0))</f>
        <v/>
      </c>
      <c r="AT30" s="55" t="str">
        <f>IF($B30="","",IF(COUNTIF(AT$16:AT$21,$B30)&gt;0,COUNTA(AT$7:AT$15),0))</f>
        <v/>
      </c>
      <c r="AU30" s="55" t="str">
        <f>IF($B30="","",IF(COUNTIF(AU$16:AU$21,$B30)&gt;0,COUNTA(AU$7:AU$15),0))</f>
        <v/>
      </c>
      <c r="AV30" s="55" t="str">
        <f>IF($B30="","",IF(COUNTIF(AV$16:AV$21,$B30)&gt;0,COUNTA(AV$7:AV$15),0))</f>
        <v/>
      </c>
      <c r="AW30" s="55" t="str">
        <f>IF($B30="","",IF(COUNTIF(AW$16:AW$21,$B30)&gt;0,COUNTA(AW$7:AW$15),0))</f>
        <v/>
      </c>
      <c r="AX30" s="55" t="str">
        <f>IF($B30="","",IF(COUNTIF(AX$16:AX$21,$B30)&gt;0,COUNTA(AX$7:AX$15),0))</f>
        <v/>
      </c>
      <c r="AY30" s="55" t="str">
        <f>IF($B30="","",IF(COUNTIF(AY$16:AY$21,$B30)&gt;0,COUNTA(AY$7:AY$15),0))</f>
        <v/>
      </c>
      <c r="AZ30" s="55" t="str">
        <f>IF($B30="","",IF(COUNTIF(AZ$16:AZ$21,$B30)&gt;0,COUNTA(AZ$7:AZ$15),0))</f>
        <v/>
      </c>
      <c r="BA30" s="55" t="str">
        <f>IF($B30="","",IF(COUNTIF(BA$16:BA$21,$B30)&gt;0,COUNTA(BA$7:BA$15),0))</f>
        <v/>
      </c>
      <c r="BB30" s="55" t="str">
        <f>IF($B30="","",IF(COUNTIF(BB$16:BB$21,$B30)&gt;0,COUNTA(BB$7:BB$15),0))</f>
        <v/>
      </c>
      <c r="BC30" s="55" t="str">
        <f>IF($B30="","",IF(COUNTIF(BC$16:BC$21,$B30)&gt;0,COUNTA(BC$7:BC$15),0))</f>
        <v/>
      </c>
      <c r="BD30" s="55" t="str">
        <f>IF($B30="","",IF(COUNTIF(BD$16:BD$21,$B30)&gt;0,COUNTA(BD$7:BD$15),0))</f>
        <v/>
      </c>
      <c r="BE30" s="55" t="str">
        <f>IF($B30="","",IF(COUNTIF(BE$16:BE$21,$B30)&gt;0,COUNTA(BE$7:BE$15),0))</f>
        <v/>
      </c>
      <c r="BF30" s="55" t="str">
        <f>IF($B30="","",IF(COUNTIF(BF$16:BF$21,$B30)&gt;0,COUNTA(BF$7:BF$15),0))</f>
        <v/>
      </c>
      <c r="BG30" s="55" t="str">
        <f>IF($B30="","",IF(COUNTIF(BG$16:BG$21,$B30)&gt;0,COUNTA(BG$7:BG$15),0))</f>
        <v/>
      </c>
      <c r="BH30" s="55" t="str">
        <f>IF($B30="","",IF(COUNTIF(BH$16:BH$21,$B30)&gt;0,COUNTA(BH$7:BH$15),0))</f>
        <v/>
      </c>
      <c r="BI30" s="55" t="str">
        <f>IF($B30="","",IF(COUNTIF(BI$16:BI$21,$B30)&gt;0,COUNTA(BI$7:BI$15),0))</f>
        <v/>
      </c>
      <c r="BJ30" s="55" t="str">
        <f>IF($B30="","",IF(COUNTIF(BJ$16:BJ$21,$B30)&gt;0,COUNTA(BJ$7:BJ$15),0))</f>
        <v/>
      </c>
      <c r="BK30" s="55" t="str">
        <f>IF($B30="","",IF(COUNTIF(BK$16:BK$21,$B30)&gt;0,COUNTA(BK$7:BK$15),0))</f>
        <v/>
      </c>
      <c r="BL30" s="55" t="str">
        <f>IF($B30="","",IF(COUNTIF(BL$16:BL$21,$B30)&gt;0,COUNTA(BL$7:BL$15),0))</f>
        <v/>
      </c>
      <c r="BM30" s="55" t="str">
        <f>IF($B30="","",IF(COUNTIF(BM$16:BM$21,$B30)&gt;0,COUNTA(BM$7:BM$15),0))</f>
        <v/>
      </c>
      <c r="BN30" s="55" t="str">
        <f>IF($B30="","",IF(COUNTIF(BN$16:BN$21,$B30)&gt;0,COUNTA(BN$7:BN$15),0))</f>
        <v/>
      </c>
      <c r="BO30" s="55" t="str">
        <f>IF($B30="","",IF(COUNTIF(BO$16:BO$21,$B30)&gt;0,COUNTA(BO$7:BO$15),0))</f>
        <v/>
      </c>
      <c r="BP30" s="55" t="str">
        <f>IF($B30="","",IF(COUNTIF(BP$16:BP$21,$B30)&gt;0,COUNTA(BP$7:BP$15),0))</f>
        <v/>
      </c>
      <c r="BQ30" s="55" t="str">
        <f>IF($B30="","",IF(COUNTIF(BQ$16:BQ$21,$B30)&gt;0,COUNTA(BQ$7:BQ$15),0))</f>
        <v/>
      </c>
      <c r="BR30" s="55" t="str">
        <f>IF($B30="","",IF(COUNTIF(BR$16:BR$21,$B30)&gt;0,COUNTA(BR$7:BR$15),0))</f>
        <v/>
      </c>
      <c r="BS30" s="55" t="str">
        <f>IF($B30="","",IF(COUNTIF(BS$16:BS$21,$B30)&gt;0,COUNTA(BS$7:BS$15),0))</f>
        <v/>
      </c>
      <c r="BT30" s="55" t="str">
        <f>IF($B30="","",IF(COUNTIF(BT$16:BT$21,$B30)&gt;0,COUNTA(BT$7:BT$15),0))</f>
        <v/>
      </c>
      <c r="BU30" s="55" t="str">
        <f>IF($B30="","",IF(COUNTIF(BU$16:BU$21,$B30)&gt;0,COUNTA(BU$7:BU$15),0))</f>
        <v/>
      </c>
      <c r="BV30" s="55" t="str">
        <f>IF($B30="","",IF(COUNTIF(BV$16:BV$21,$B30)&gt;0,COUNTA(BV$7:BV$15),0))</f>
        <v/>
      </c>
      <c r="BW30" s="55" t="str">
        <f>IF($B30="","",IF(COUNTIF(BW$16:BW$21,$B30)&gt;0,COUNTA(BW$7:BW$15),0))</f>
        <v/>
      </c>
      <c r="BX30" s="55" t="str">
        <f>IF($B30="","",IF(COUNTIF(BX$16:BX$21,$B30)&gt;0,COUNTA(BX$7:BX$15),0))</f>
        <v/>
      </c>
      <c r="BY30" s="55" t="str">
        <f>IF($B30="","",IF(COUNTIF(BY$16:BY$21,$B30)&gt;0,COUNTA(BY$7:BY$15),0))</f>
        <v/>
      </c>
      <c r="BZ30" s="55" t="str">
        <f>IF($B30="","",IF(COUNTIF(BZ$16:BZ$21,$B30)&gt;0,COUNTA(BZ$7:BZ$15),0))</f>
        <v/>
      </c>
      <c r="CA30" s="55" t="str">
        <f>IF($B30="","",IF(COUNTIF(CA$16:CA$21,$B30)&gt;0,COUNTA(CA$7:CA$15),0))</f>
        <v/>
      </c>
      <c r="CB30" s="55" t="str">
        <f>IF($B30="","",IF(COUNTIF(CB$16:CB$21,$B30)&gt;0,COUNTA(CB$7:CB$15),0))</f>
        <v/>
      </c>
      <c r="CC30" s="55" t="str">
        <f>IF($B30="","",IF(COUNTIF(CC$16:CC$21,$B30)&gt;0,COUNTA(CC$7:CC$15),0))</f>
        <v/>
      </c>
      <c r="CD30" s="55" t="str">
        <f>IF($B30="","",IF(COUNTIF(CD$16:CD$21,$B30)&gt;0,COUNTA(CD$7:CD$15),0))</f>
        <v/>
      </c>
      <c r="CE30" s="55" t="str">
        <f>IF($B30="","",IF(COUNTIF(CE$16:CE$21,$B30)&gt;0,COUNTA(CE$7:CE$15),0))</f>
        <v/>
      </c>
      <c r="CF30" s="55" t="str">
        <f>IF($B30="","",IF(COUNTIF(CF$16:CF$21,$B30)&gt;0,COUNTA(CF$7:CF$15),0))</f>
        <v/>
      </c>
      <c r="CG30" s="55" t="str">
        <f>IF($B30="","",IF(COUNTIF(CG$16:CG$21,$B30)&gt;0,COUNTA(CG$7:CG$15),0))</f>
        <v/>
      </c>
      <c r="CH30" s="55" t="str">
        <f>IF($B30="","",IF(COUNTIF(CH$16:CH$21,$B30)&gt;0,COUNTA(CH$7:CH$15),0))</f>
        <v/>
      </c>
      <c r="CI30" s="55" t="str">
        <f>IF($B30="","",IF(COUNTIF(CI$16:CI$21,$B30)&gt;0,COUNTA(CI$7:CI$15),0))</f>
        <v/>
      </c>
      <c r="CJ30" s="55" t="str">
        <f>IF($B30="","",IF(COUNTIF(CJ$16:CJ$21,$B30)&gt;0,COUNTA(CJ$7:CJ$15),0))</f>
        <v/>
      </c>
      <c r="CK30" s="55" t="str">
        <f>IF($B30="","",IF(COUNTIF(CK$16:CK$21,$B30)&gt;0,COUNTA(CK$7:CK$15),0))</f>
        <v/>
      </c>
      <c r="CL30" s="55" t="str">
        <f>IF($B30="","",IF(COUNTIF(CL$16:CL$21,$B30)&gt;0,COUNTA(CL$7:CL$15),0))</f>
        <v/>
      </c>
      <c r="CM30" s="55" t="str">
        <f>IF($B30="","",IF(COUNTIF(CM$16:CM$21,$B30)&gt;0,COUNTA(CM$7:CM$15),0))</f>
        <v/>
      </c>
      <c r="CN30" s="55" t="str">
        <f>IF($B30="","",IF(COUNTIF(CN$16:CN$21,$B30)&gt;0,COUNTA(CN$7:CN$15),0))</f>
        <v/>
      </c>
      <c r="CO30" s="55" t="str">
        <f>IF($B30="","",IF(COUNTIF(CO$16:CO$21,$B30)&gt;0,COUNTA(CO$7:CO$15),0))</f>
        <v/>
      </c>
      <c r="CP30" s="55" t="str">
        <f>IF($B30="","",IF(COUNTIF(CP$16:CP$21,$B30)&gt;0,COUNTA(CP$7:CP$15),0))</f>
        <v/>
      </c>
      <c r="CQ30" s="55" t="str">
        <f>IF($B30="","",IF(COUNTIF(CQ$16:CQ$21,$B30)&gt;0,COUNTA(CQ$7:CQ$15),0))</f>
        <v/>
      </c>
      <c r="CR30" s="55" t="str">
        <f>IF($B30="","",IF(COUNTIF(CR$16:CR$21,$B30)&gt;0,COUNTA(CR$7:CR$15),0))</f>
        <v/>
      </c>
      <c r="CS30" s="55" t="str">
        <f>IF($B30="","",IF(COUNTIF(CS$16:CS$21,$B30)&gt;0,COUNTA(CS$7:CS$15),0))</f>
        <v/>
      </c>
      <c r="CT30" s="55" t="str">
        <f>IF($B30="","",IF(COUNTIF(CT$16:CT$21,$B30)&gt;0,COUNTA(CT$7:CT$15),0))</f>
        <v/>
      </c>
      <c r="CU30" s="55" t="str">
        <f>IF($B30="","",IF(COUNTIF(CU$16:CU$21,$B30)&gt;0,COUNTA(CU$7:CU$15),0))</f>
        <v/>
      </c>
      <c r="CV30" s="55" t="str">
        <f>IF($B30="","",IF(COUNTIF(CV$16:CV$21,$B30)&gt;0,COUNTA(CV$7:CV$15),0))</f>
        <v/>
      </c>
      <c r="CW30" s="55" t="str">
        <f>IF($B30="","",IF(COUNTIF(CW$16:CW$21,$B30)&gt;0,COUNTA(CW$7:CW$15),0))</f>
        <v/>
      </c>
      <c r="CX30" s="55" t="str">
        <f>IF($B30="","",IF(COUNTIF(CX$16:CX$21,$B30)&gt;0,COUNTA(CX$7:CX$15),0))</f>
        <v/>
      </c>
      <c r="CY30" s="55" t="str">
        <f>IF($B30="","",IF(COUNTIF(CY$16:CY$21,$B30)&gt;0,COUNTA(CY$7:CY$15),0))</f>
        <v/>
      </c>
      <c r="CZ30" s="55" t="str">
        <f>IF($B30="","",IF(COUNTIF(CZ$16:CZ$21,$B30)&gt;0,COUNTA(CZ$7:CZ$15),0))</f>
        <v/>
      </c>
      <c r="DA30" s="55" t="str">
        <f>IF($B30="","",IF(COUNTIF(DA$16:DA$21,$B30)&gt;0,COUNTA(DA$7:DA$15),0))</f>
        <v/>
      </c>
      <c r="DB30" s="55" t="str">
        <f>IF($B30="","",IF(COUNTIF(DB$16:DB$21,$B30)&gt;0,COUNTA(DB$7:DB$15),0))</f>
        <v/>
      </c>
      <c r="DC30" s="55" t="str">
        <f>IF($B30="","",IF(COUNTIF(DC$16:DC$21,$B30)&gt;0,COUNTA(DC$7:DC$15),0))</f>
        <v/>
      </c>
      <c r="DD30" s="55" t="str">
        <f>IF($B30="","",IF(COUNTIF(DD$16:DD$21,$B30)&gt;0,COUNTA(DD$7:DD$15),0))</f>
        <v/>
      </c>
      <c r="DE30" s="58" t="str">
        <f>IF($B30="","",IF(COUNTIF(DE$16:DE$21,$B30)&gt;0,COUNTA(DE$7:DE$15),0))</f>
        <v/>
      </c>
    </row>
    <row r="31" spans="2:109" x14ac:dyDescent="0.2">
      <c r="B31" s="84" t="str">
        <f>IFERROR(INDEX(_xlfn._xlws.FILTER(Ressourcer!$B$1:$X$1,_xlfn.BYCOL(Ressourcer!$B$7:$X$10,_xlfn.LAMBDA(_xlpm.c,COUNTIF(_xlpm.c,"&lt;&gt;" )&gt;0))),ROWS($B$2:B9)),"")</f>
        <v/>
      </c>
      <c r="C31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)&gt;0))),_xlfn.LAMBDA(_xlpm.col,SUM(INDEX(Ressourcer!$B$7:$X$10,,_xlpm.col-COLUMN(Ressourcer!$B$7:$X$10)+1)))),ROWS($B$2:B9))/2,"")</f>
        <v/>
      </c>
      <c r="D31" s="106" t="str">
        <f t="shared" si="22"/>
        <v/>
      </c>
      <c r="E31" s="57" t="str">
        <f>IF($B31="","",IF(COUNTIF(E$16:E$21,$B31)&gt;0,COUNTA(E$7:E$15),0))</f>
        <v/>
      </c>
      <c r="F31" s="55" t="str">
        <f>IF($B31="","",IF(COUNTIF(F$16:F$21,$B31)&gt;0,COUNTA(F$7:F$15),0))</f>
        <v/>
      </c>
      <c r="G31" s="55" t="str">
        <f>IF($B31="","",IF(COUNTIF(G$16:G$21,$B31)&gt;0,COUNTA(G$7:G$15),0))</f>
        <v/>
      </c>
      <c r="H31" s="55" t="str">
        <f>IF($B31="","",IF(COUNTIF(H$16:H$21,$B31)&gt;0,COUNTA(H$7:H$15),0))</f>
        <v/>
      </c>
      <c r="I31" s="55" t="str">
        <f>IF($B31="","",IF(COUNTIF(I$16:I$21,$B31)&gt;0,COUNTA(I$7:I$15),0))</f>
        <v/>
      </c>
      <c r="J31" s="55" t="str">
        <f>IF($B31="","",IF(COUNTIF(J$16:J$21,$B31)&gt;0,COUNTA(J$7:J$15),0))</f>
        <v/>
      </c>
      <c r="K31" s="55" t="str">
        <f>IF($B31="","",IF(COUNTIF(K$16:K$21,$B31)&gt;0,COUNTA(K$7:K$15),0))</f>
        <v/>
      </c>
      <c r="L31" s="55" t="str">
        <f>IF($B31="","",IF(COUNTIF(L$16:L$21,$B31)&gt;0,COUNTA(L$7:L$15),0))</f>
        <v/>
      </c>
      <c r="M31" s="55" t="str">
        <f>IF($B31="","",IF(COUNTIF(M$16:M$21,$B31)&gt;0,COUNTA(M$7:M$15),0))</f>
        <v/>
      </c>
      <c r="N31" s="55" t="str">
        <f>IF($B31="","",IF(COUNTIF(N$16:N$21,$B31)&gt;0,COUNTA(N$7:N$15),0))</f>
        <v/>
      </c>
      <c r="O31" s="55" t="str">
        <f>IF($B31="","",IF(COUNTIF(O$16:O$21,$B31)&gt;0,COUNTA(O$7:O$15),0))</f>
        <v/>
      </c>
      <c r="P31" s="55" t="str">
        <f>IF($B31="","",IF(COUNTIF(P$16:P$21,$B31)&gt;0,COUNTA(P$7:P$15),0))</f>
        <v/>
      </c>
      <c r="Q31" s="55" t="str">
        <f>IF($B31="","",IF(COUNTIF(Q$16:Q$21,$B31)&gt;0,COUNTA(Q$7:Q$15),0))</f>
        <v/>
      </c>
      <c r="R31" s="55" t="str">
        <f>IF($B31="","",IF(COUNTIF(R$16:R$21,$B31)&gt;0,COUNTA(R$7:R$15),0))</f>
        <v/>
      </c>
      <c r="S31" s="55" t="str">
        <f>IF($B31="","",IF(COUNTIF(S$16:S$21,$B31)&gt;0,COUNTA(S$7:S$15),0))</f>
        <v/>
      </c>
      <c r="T31" s="55" t="str">
        <f>IF($B31="","",IF(COUNTIF(T$16:T$21,$B31)&gt;0,COUNTA(T$7:T$15),0))</f>
        <v/>
      </c>
      <c r="U31" s="55" t="str">
        <f>IF($B31="","",IF(COUNTIF(U$16:U$21,$B31)&gt;0,COUNTA(U$7:U$15),0))</f>
        <v/>
      </c>
      <c r="V31" s="55" t="str">
        <f>IF($B31="","",IF(COUNTIF(V$16:V$21,$B31)&gt;0,COUNTA(V$7:V$15),0))</f>
        <v/>
      </c>
      <c r="W31" s="55" t="str">
        <f>IF($B31="","",IF(COUNTIF(W$16:W$21,$B31)&gt;0,COUNTA(W$7:W$15),0))</f>
        <v/>
      </c>
      <c r="X31" s="55" t="str">
        <f>IF($B31="","",IF(COUNTIF(X$16:X$21,$B31)&gt;0,COUNTA(X$7:X$15),0))</f>
        <v/>
      </c>
      <c r="Y31" s="55" t="str">
        <f>IF($B31="","",IF(COUNTIF(Y$16:Y$21,$B31)&gt;0,COUNTA(Y$7:Y$15),0))</f>
        <v/>
      </c>
      <c r="Z31" s="55" t="str">
        <f>IF($B31="","",IF(COUNTIF(Z$16:Z$21,$B31)&gt;0,COUNTA(Z$7:Z$15),0))</f>
        <v/>
      </c>
      <c r="AA31" s="55" t="str">
        <f>IF($B31="","",IF(COUNTIF(AA$16:AA$21,$B31)&gt;0,COUNTA(AA$7:AA$15),0))</f>
        <v/>
      </c>
      <c r="AB31" s="55" t="str">
        <f>IF($B31="","",IF(COUNTIF(AB$16:AB$21,$B31)&gt;0,COUNTA(AB$7:AB$15),0))</f>
        <v/>
      </c>
      <c r="AC31" s="55" t="str">
        <f>IF($B31="","",IF(COUNTIF(AC$16:AC$21,$B31)&gt;0,COUNTA(AC$7:AC$15),0))</f>
        <v/>
      </c>
      <c r="AD31" s="55" t="str">
        <f>IF($B31="","",IF(COUNTIF(AD$16:AD$21,$B31)&gt;0,COUNTA(AD$7:AD$15),0))</f>
        <v/>
      </c>
      <c r="AE31" s="55" t="str">
        <f>IF($B31="","",IF(COUNTIF(AE$16:AE$21,$B31)&gt;0,COUNTA(AE$7:AE$15),0))</f>
        <v/>
      </c>
      <c r="AF31" s="55" t="str">
        <f>IF($B31="","",IF(COUNTIF(AF$16:AF$21,$B31)&gt;0,COUNTA(AF$7:AF$15),0))</f>
        <v/>
      </c>
      <c r="AG31" s="55" t="str">
        <f>IF($B31="","",IF(COUNTIF(AG$16:AG$21,$B31)&gt;0,COUNTA(AG$7:AG$15),0))</f>
        <v/>
      </c>
      <c r="AH31" s="55" t="str">
        <f>IF($B31="","",IF(COUNTIF(AH$16:AH$21,$B31)&gt;0,COUNTA(AH$7:AH$15),0))</f>
        <v/>
      </c>
      <c r="AI31" s="55" t="str">
        <f>IF($B31="","",IF(COUNTIF(AI$16:AI$21,$B31)&gt;0,COUNTA(AI$7:AI$15),0))</f>
        <v/>
      </c>
      <c r="AJ31" s="55" t="str">
        <f>IF($B31="","",IF(COUNTIF(AJ$16:AJ$21,$B31)&gt;0,COUNTA(AJ$7:AJ$15),0))</f>
        <v/>
      </c>
      <c r="AK31" s="55" t="str">
        <f>IF($B31="","",IF(COUNTIF(AK$16:AK$21,$B31)&gt;0,COUNTA(AK$7:AK$15),0))</f>
        <v/>
      </c>
      <c r="AL31" s="55" t="str">
        <f>IF($B31="","",IF(COUNTIF(AL$16:AL$21,$B31)&gt;0,COUNTA(AL$7:AL$15),0))</f>
        <v/>
      </c>
      <c r="AM31" s="55" t="str">
        <f>IF($B31="","",IF(COUNTIF(AM$16:AM$21,$B31)&gt;0,COUNTA(AM$7:AM$15),0))</f>
        <v/>
      </c>
      <c r="AN31" s="55" t="str">
        <f>IF($B31="","",IF(COUNTIF(AN$16:AN$21,$B31)&gt;0,COUNTA(AN$7:AN$15),0))</f>
        <v/>
      </c>
      <c r="AO31" s="55" t="str">
        <f>IF($B31="","",IF(COUNTIF(AO$16:AO$21,$B31)&gt;0,COUNTA(AO$7:AO$15),0))</f>
        <v/>
      </c>
      <c r="AP31" s="55" t="str">
        <f>IF($B31="","",IF(COUNTIF(AP$16:AP$21,$B31)&gt;0,COUNTA(AP$7:AP$15),0))</f>
        <v/>
      </c>
      <c r="AQ31" s="55" t="str">
        <f>IF($B31="","",IF(COUNTIF(AQ$16:AQ$21,$B31)&gt;0,COUNTA(AQ$7:AQ$15),0))</f>
        <v/>
      </c>
      <c r="AR31" s="55" t="str">
        <f>IF($B31="","",IF(COUNTIF(AR$16:AR$21,$B31)&gt;0,COUNTA(AR$7:AR$15),0))</f>
        <v/>
      </c>
      <c r="AS31" s="55" t="str">
        <f>IF($B31="","",IF(COUNTIF(AS$16:AS$21,$B31)&gt;0,COUNTA(AS$7:AS$15),0))</f>
        <v/>
      </c>
      <c r="AT31" s="55" t="str">
        <f>IF($B31="","",IF(COUNTIF(AT$16:AT$21,$B31)&gt;0,COUNTA(AT$7:AT$15),0))</f>
        <v/>
      </c>
      <c r="AU31" s="55" t="str">
        <f>IF($B31="","",IF(COUNTIF(AU$16:AU$21,$B31)&gt;0,COUNTA(AU$7:AU$15),0))</f>
        <v/>
      </c>
      <c r="AV31" s="55" t="str">
        <f>IF($B31="","",IF(COUNTIF(AV$16:AV$21,$B31)&gt;0,COUNTA(AV$7:AV$15),0))</f>
        <v/>
      </c>
      <c r="AW31" s="55" t="str">
        <f>IF($B31="","",IF(COUNTIF(AW$16:AW$21,$B31)&gt;0,COUNTA(AW$7:AW$15),0))</f>
        <v/>
      </c>
      <c r="AX31" s="55" t="str">
        <f>IF($B31="","",IF(COUNTIF(AX$16:AX$21,$B31)&gt;0,COUNTA(AX$7:AX$15),0))</f>
        <v/>
      </c>
      <c r="AY31" s="55" t="str">
        <f>IF($B31="","",IF(COUNTIF(AY$16:AY$21,$B31)&gt;0,COUNTA(AY$7:AY$15),0))</f>
        <v/>
      </c>
      <c r="AZ31" s="55" t="str">
        <f>IF($B31="","",IF(COUNTIF(AZ$16:AZ$21,$B31)&gt;0,COUNTA(AZ$7:AZ$15),0))</f>
        <v/>
      </c>
      <c r="BA31" s="55" t="str">
        <f>IF($B31="","",IF(COUNTIF(BA$16:BA$21,$B31)&gt;0,COUNTA(BA$7:BA$15),0))</f>
        <v/>
      </c>
      <c r="BB31" s="55" t="str">
        <f>IF($B31="","",IF(COUNTIF(BB$16:BB$21,$B31)&gt;0,COUNTA(BB$7:BB$15),0))</f>
        <v/>
      </c>
      <c r="BC31" s="55" t="str">
        <f>IF($B31="","",IF(COUNTIF(BC$16:BC$21,$B31)&gt;0,COUNTA(BC$7:BC$15),0))</f>
        <v/>
      </c>
      <c r="BD31" s="55" t="str">
        <f>IF($B31="","",IF(COUNTIF(BD$16:BD$21,$B31)&gt;0,COUNTA(BD$7:BD$15),0))</f>
        <v/>
      </c>
      <c r="BE31" s="55" t="str">
        <f>IF($B31="","",IF(COUNTIF(BE$16:BE$21,$B31)&gt;0,COUNTA(BE$7:BE$15),0))</f>
        <v/>
      </c>
      <c r="BF31" s="55" t="str">
        <f>IF($B31="","",IF(COUNTIF(BF$16:BF$21,$B31)&gt;0,COUNTA(BF$7:BF$15),0))</f>
        <v/>
      </c>
      <c r="BG31" s="55" t="str">
        <f>IF($B31="","",IF(COUNTIF(BG$16:BG$21,$B31)&gt;0,COUNTA(BG$7:BG$15),0))</f>
        <v/>
      </c>
      <c r="BH31" s="55" t="str">
        <f>IF($B31="","",IF(COUNTIF(BH$16:BH$21,$B31)&gt;0,COUNTA(BH$7:BH$15),0))</f>
        <v/>
      </c>
      <c r="BI31" s="55" t="str">
        <f>IF($B31="","",IF(COUNTIF(BI$16:BI$21,$B31)&gt;0,COUNTA(BI$7:BI$15),0))</f>
        <v/>
      </c>
      <c r="BJ31" s="55" t="str">
        <f>IF($B31="","",IF(COUNTIF(BJ$16:BJ$21,$B31)&gt;0,COUNTA(BJ$7:BJ$15),0))</f>
        <v/>
      </c>
      <c r="BK31" s="55" t="str">
        <f>IF($B31="","",IF(COUNTIF(BK$16:BK$21,$B31)&gt;0,COUNTA(BK$7:BK$15),0))</f>
        <v/>
      </c>
      <c r="BL31" s="55" t="str">
        <f>IF($B31="","",IF(COUNTIF(BL$16:BL$21,$B31)&gt;0,COUNTA(BL$7:BL$15),0))</f>
        <v/>
      </c>
      <c r="BM31" s="55" t="str">
        <f>IF($B31="","",IF(COUNTIF(BM$16:BM$21,$B31)&gt;0,COUNTA(BM$7:BM$15),0))</f>
        <v/>
      </c>
      <c r="BN31" s="55" t="str">
        <f>IF($B31="","",IF(COUNTIF(BN$16:BN$21,$B31)&gt;0,COUNTA(BN$7:BN$15),0))</f>
        <v/>
      </c>
      <c r="BO31" s="55" t="str">
        <f>IF($B31="","",IF(COUNTIF(BO$16:BO$21,$B31)&gt;0,COUNTA(BO$7:BO$15),0))</f>
        <v/>
      </c>
      <c r="BP31" s="55" t="str">
        <f>IF($B31="","",IF(COUNTIF(BP$16:BP$21,$B31)&gt;0,COUNTA(BP$7:BP$15),0))</f>
        <v/>
      </c>
      <c r="BQ31" s="55" t="str">
        <f>IF($B31="","",IF(COUNTIF(BQ$16:BQ$21,$B31)&gt;0,COUNTA(BQ$7:BQ$15),0))</f>
        <v/>
      </c>
      <c r="BR31" s="55" t="str">
        <f>IF($B31="","",IF(COUNTIF(BR$16:BR$21,$B31)&gt;0,COUNTA(BR$7:BR$15),0))</f>
        <v/>
      </c>
      <c r="BS31" s="55" t="str">
        <f>IF($B31="","",IF(COUNTIF(BS$16:BS$21,$B31)&gt;0,COUNTA(BS$7:BS$15),0))</f>
        <v/>
      </c>
      <c r="BT31" s="55" t="str">
        <f>IF($B31="","",IF(COUNTIF(BT$16:BT$21,$B31)&gt;0,COUNTA(BT$7:BT$15),0))</f>
        <v/>
      </c>
      <c r="BU31" s="55" t="str">
        <f>IF($B31="","",IF(COUNTIF(BU$16:BU$21,$B31)&gt;0,COUNTA(BU$7:BU$15),0))</f>
        <v/>
      </c>
      <c r="BV31" s="55" t="str">
        <f>IF($B31="","",IF(COUNTIF(BV$16:BV$21,$B31)&gt;0,COUNTA(BV$7:BV$15),0))</f>
        <v/>
      </c>
      <c r="BW31" s="55" t="str">
        <f>IF($B31="","",IF(COUNTIF(BW$16:BW$21,$B31)&gt;0,COUNTA(BW$7:BW$15),0))</f>
        <v/>
      </c>
      <c r="BX31" s="55" t="str">
        <f>IF($B31="","",IF(COUNTIF(BX$16:BX$21,$B31)&gt;0,COUNTA(BX$7:BX$15),0))</f>
        <v/>
      </c>
      <c r="BY31" s="55" t="str">
        <f>IF($B31="","",IF(COUNTIF(BY$16:BY$21,$B31)&gt;0,COUNTA(BY$7:BY$15),0))</f>
        <v/>
      </c>
      <c r="BZ31" s="55" t="str">
        <f>IF($B31="","",IF(COUNTIF(BZ$16:BZ$21,$B31)&gt;0,COUNTA(BZ$7:BZ$15),0))</f>
        <v/>
      </c>
      <c r="CA31" s="55" t="str">
        <f>IF($B31="","",IF(COUNTIF(CA$16:CA$21,$B31)&gt;0,COUNTA(CA$7:CA$15),0))</f>
        <v/>
      </c>
      <c r="CB31" s="55" t="str">
        <f>IF($B31="","",IF(COUNTIF(CB$16:CB$21,$B31)&gt;0,COUNTA(CB$7:CB$15),0))</f>
        <v/>
      </c>
      <c r="CC31" s="55" t="str">
        <f>IF($B31="","",IF(COUNTIF(CC$16:CC$21,$B31)&gt;0,COUNTA(CC$7:CC$15),0))</f>
        <v/>
      </c>
      <c r="CD31" s="55" t="str">
        <f>IF($B31="","",IF(COUNTIF(CD$16:CD$21,$B31)&gt;0,COUNTA(CD$7:CD$15),0))</f>
        <v/>
      </c>
      <c r="CE31" s="55" t="str">
        <f>IF($B31="","",IF(COUNTIF(CE$16:CE$21,$B31)&gt;0,COUNTA(CE$7:CE$15),0))</f>
        <v/>
      </c>
      <c r="CF31" s="55" t="str">
        <f>IF($B31="","",IF(COUNTIF(CF$16:CF$21,$B31)&gt;0,COUNTA(CF$7:CF$15),0))</f>
        <v/>
      </c>
      <c r="CG31" s="55" t="str">
        <f>IF($B31="","",IF(COUNTIF(CG$16:CG$21,$B31)&gt;0,COUNTA(CG$7:CG$15),0))</f>
        <v/>
      </c>
      <c r="CH31" s="55" t="str">
        <f>IF($B31="","",IF(COUNTIF(CH$16:CH$21,$B31)&gt;0,COUNTA(CH$7:CH$15),0))</f>
        <v/>
      </c>
      <c r="CI31" s="55" t="str">
        <f>IF($B31="","",IF(COUNTIF(CI$16:CI$21,$B31)&gt;0,COUNTA(CI$7:CI$15),0))</f>
        <v/>
      </c>
      <c r="CJ31" s="55" t="str">
        <f>IF($B31="","",IF(COUNTIF(CJ$16:CJ$21,$B31)&gt;0,COUNTA(CJ$7:CJ$15),0))</f>
        <v/>
      </c>
      <c r="CK31" s="55" t="str">
        <f>IF($B31="","",IF(COUNTIF(CK$16:CK$21,$B31)&gt;0,COUNTA(CK$7:CK$15),0))</f>
        <v/>
      </c>
      <c r="CL31" s="55" t="str">
        <f>IF($B31="","",IF(COUNTIF(CL$16:CL$21,$B31)&gt;0,COUNTA(CL$7:CL$15),0))</f>
        <v/>
      </c>
      <c r="CM31" s="55" t="str">
        <f>IF($B31="","",IF(COUNTIF(CM$16:CM$21,$B31)&gt;0,COUNTA(CM$7:CM$15),0))</f>
        <v/>
      </c>
      <c r="CN31" s="55" t="str">
        <f>IF($B31="","",IF(COUNTIF(CN$16:CN$21,$B31)&gt;0,COUNTA(CN$7:CN$15),0))</f>
        <v/>
      </c>
      <c r="CO31" s="55" t="str">
        <f>IF($B31="","",IF(COUNTIF(CO$16:CO$21,$B31)&gt;0,COUNTA(CO$7:CO$15),0))</f>
        <v/>
      </c>
      <c r="CP31" s="55" t="str">
        <f>IF($B31="","",IF(COUNTIF(CP$16:CP$21,$B31)&gt;0,COUNTA(CP$7:CP$15),0))</f>
        <v/>
      </c>
      <c r="CQ31" s="55" t="str">
        <f>IF($B31="","",IF(COUNTIF(CQ$16:CQ$21,$B31)&gt;0,COUNTA(CQ$7:CQ$15),0))</f>
        <v/>
      </c>
      <c r="CR31" s="55" t="str">
        <f>IF($B31="","",IF(COUNTIF(CR$16:CR$21,$B31)&gt;0,COUNTA(CR$7:CR$15),0))</f>
        <v/>
      </c>
      <c r="CS31" s="55" t="str">
        <f>IF($B31="","",IF(COUNTIF(CS$16:CS$21,$B31)&gt;0,COUNTA(CS$7:CS$15),0))</f>
        <v/>
      </c>
      <c r="CT31" s="55" t="str">
        <f>IF($B31="","",IF(COUNTIF(CT$16:CT$21,$B31)&gt;0,COUNTA(CT$7:CT$15),0))</f>
        <v/>
      </c>
      <c r="CU31" s="55" t="str">
        <f>IF($B31="","",IF(COUNTIF(CU$16:CU$21,$B31)&gt;0,COUNTA(CU$7:CU$15),0))</f>
        <v/>
      </c>
      <c r="CV31" s="55" t="str">
        <f>IF($B31="","",IF(COUNTIF(CV$16:CV$21,$B31)&gt;0,COUNTA(CV$7:CV$15),0))</f>
        <v/>
      </c>
      <c r="CW31" s="55" t="str">
        <f>IF($B31="","",IF(COUNTIF(CW$16:CW$21,$B31)&gt;0,COUNTA(CW$7:CW$15),0))</f>
        <v/>
      </c>
      <c r="CX31" s="55" t="str">
        <f>IF($B31="","",IF(COUNTIF(CX$16:CX$21,$B31)&gt;0,COUNTA(CX$7:CX$15),0))</f>
        <v/>
      </c>
      <c r="CY31" s="55" t="str">
        <f>IF($B31="","",IF(COUNTIF(CY$16:CY$21,$B31)&gt;0,COUNTA(CY$7:CY$15),0))</f>
        <v/>
      </c>
      <c r="CZ31" s="55" t="str">
        <f>IF($B31="","",IF(COUNTIF(CZ$16:CZ$21,$B31)&gt;0,COUNTA(CZ$7:CZ$15),0))</f>
        <v/>
      </c>
      <c r="DA31" s="55" t="str">
        <f>IF($B31="","",IF(COUNTIF(DA$16:DA$21,$B31)&gt;0,COUNTA(DA$7:DA$15),0))</f>
        <v/>
      </c>
      <c r="DB31" s="55" t="str">
        <f>IF($B31="","",IF(COUNTIF(DB$16:DB$21,$B31)&gt;0,COUNTA(DB$7:DB$15),0))</f>
        <v/>
      </c>
      <c r="DC31" s="55" t="str">
        <f>IF($B31="","",IF(COUNTIF(DC$16:DC$21,$B31)&gt;0,COUNTA(DC$7:DC$15),0))</f>
        <v/>
      </c>
      <c r="DD31" s="55" t="str">
        <f>IF($B31="","",IF(COUNTIF(DD$16:DD$21,$B31)&gt;0,COUNTA(DD$7:DD$15),0))</f>
        <v/>
      </c>
      <c r="DE31" s="58" t="str">
        <f>IF($B31="","",IF(COUNTIF(DE$16:DE$21,$B31)&gt;0,COUNTA(DE$7:DE$15),0))</f>
        <v/>
      </c>
    </row>
    <row r="32" spans="2:109" x14ac:dyDescent="0.2">
      <c r="B32" s="84" t="str">
        <f>IFERROR(INDEX(_xlfn._xlws.FILTER(Ressourcer!$B$1:$X$1,_xlfn.BYCOL(Ressourcer!$B$7:$X$10,_xlfn.LAMBDA(_xlpm.c,COUNTIF(_xlpm.c,"&lt;&gt;" )&gt;0))),ROWS($B$2:B10)),"")</f>
        <v/>
      </c>
      <c r="C32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)&gt;0))),_xlfn.LAMBDA(_xlpm.col,SUM(INDEX(Ressourcer!$B$7:$X$10,,_xlpm.col-COLUMN(Ressourcer!$B$7:$X$10)+1)))),ROWS($B$2:B10))/2,"")</f>
        <v/>
      </c>
      <c r="D32" s="106" t="str">
        <f t="shared" si="22"/>
        <v/>
      </c>
      <c r="E32" s="57" t="str">
        <f>IF($B32="","",IF(COUNTIF(E$16:E$21,$B32)&gt;0,COUNTA(E$7:E$15),0))</f>
        <v/>
      </c>
      <c r="F32" s="55" t="str">
        <f>IF($B32="","",IF(COUNTIF(F$16:F$21,$B32)&gt;0,COUNTA(F$7:F$15),0))</f>
        <v/>
      </c>
      <c r="G32" s="55" t="str">
        <f>IF($B32="","",IF(COUNTIF(G$16:G$21,$B32)&gt;0,COUNTA(G$7:G$15),0))</f>
        <v/>
      </c>
      <c r="H32" s="55" t="str">
        <f>IF($B32="","",IF(COUNTIF(H$16:H$21,$B32)&gt;0,COUNTA(H$7:H$15),0))</f>
        <v/>
      </c>
      <c r="I32" s="55" t="str">
        <f>IF($B32="","",IF(COUNTIF(I$16:I$21,$B32)&gt;0,COUNTA(I$7:I$15),0))</f>
        <v/>
      </c>
      <c r="J32" s="55" t="str">
        <f>IF($B32="","",IF(COUNTIF(J$16:J$21,$B32)&gt;0,COUNTA(J$7:J$15),0))</f>
        <v/>
      </c>
      <c r="K32" s="55" t="str">
        <f>IF($B32="","",IF(COUNTIF(K$16:K$21,$B32)&gt;0,COUNTA(K$7:K$15),0))</f>
        <v/>
      </c>
      <c r="L32" s="55" t="str">
        <f>IF($B32="","",IF(COUNTIF(L$16:L$21,$B32)&gt;0,COUNTA(L$7:L$15),0))</f>
        <v/>
      </c>
      <c r="M32" s="55" t="str">
        <f>IF($B32="","",IF(COUNTIF(M$16:M$21,$B32)&gt;0,COUNTA(M$7:M$15),0))</f>
        <v/>
      </c>
      <c r="N32" s="55" t="str">
        <f>IF($B32="","",IF(COUNTIF(N$16:N$21,$B32)&gt;0,COUNTA(N$7:N$15),0))</f>
        <v/>
      </c>
      <c r="O32" s="55" t="str">
        <f>IF($B32="","",IF(COUNTIF(O$16:O$21,$B32)&gt;0,COUNTA(O$7:O$15),0))</f>
        <v/>
      </c>
      <c r="P32" s="55" t="str">
        <f>IF($B32="","",IF(COUNTIF(P$16:P$21,$B32)&gt;0,COUNTA(P$7:P$15),0))</f>
        <v/>
      </c>
      <c r="Q32" s="55" t="str">
        <f>IF($B32="","",IF(COUNTIF(Q$16:Q$21,$B32)&gt;0,COUNTA(Q$7:Q$15),0))</f>
        <v/>
      </c>
      <c r="R32" s="55" t="str">
        <f>IF($B32="","",IF(COUNTIF(R$16:R$21,$B32)&gt;0,COUNTA(R$7:R$15),0))</f>
        <v/>
      </c>
      <c r="S32" s="55" t="str">
        <f>IF($B32="","",IF(COUNTIF(S$16:S$21,$B32)&gt;0,COUNTA(S$7:S$15),0))</f>
        <v/>
      </c>
      <c r="T32" s="55" t="str">
        <f>IF($B32="","",IF(COUNTIF(T$16:T$21,$B32)&gt;0,COUNTA(T$7:T$15),0))</f>
        <v/>
      </c>
      <c r="U32" s="55" t="str">
        <f>IF($B32="","",IF(COUNTIF(U$16:U$21,$B32)&gt;0,COUNTA(U$7:U$15),0))</f>
        <v/>
      </c>
      <c r="V32" s="55" t="str">
        <f>IF($B32="","",IF(COUNTIF(V$16:V$21,$B32)&gt;0,COUNTA(V$7:V$15),0))</f>
        <v/>
      </c>
      <c r="W32" s="55" t="str">
        <f>IF($B32="","",IF(COUNTIF(W$16:W$21,$B32)&gt;0,COUNTA(W$7:W$15),0))</f>
        <v/>
      </c>
      <c r="X32" s="55" t="str">
        <f>IF($B32="","",IF(COUNTIF(X$16:X$21,$B32)&gt;0,COUNTA(X$7:X$15),0))</f>
        <v/>
      </c>
      <c r="Y32" s="55" t="str">
        <f>IF($B32="","",IF(COUNTIF(Y$16:Y$21,$B32)&gt;0,COUNTA(Y$7:Y$15),0))</f>
        <v/>
      </c>
      <c r="Z32" s="55" t="str">
        <f>IF($B32="","",IF(COUNTIF(Z$16:Z$21,$B32)&gt;0,COUNTA(Z$7:Z$15),0))</f>
        <v/>
      </c>
      <c r="AA32" s="55" t="str">
        <f>IF($B32="","",IF(COUNTIF(AA$16:AA$21,$B32)&gt;0,COUNTA(AA$7:AA$15),0))</f>
        <v/>
      </c>
      <c r="AB32" s="55" t="str">
        <f>IF($B32="","",IF(COUNTIF(AB$16:AB$21,$B32)&gt;0,COUNTA(AB$7:AB$15),0))</f>
        <v/>
      </c>
      <c r="AC32" s="55" t="str">
        <f>IF($B32="","",IF(COUNTIF(AC$16:AC$21,$B32)&gt;0,COUNTA(AC$7:AC$15),0))</f>
        <v/>
      </c>
      <c r="AD32" s="55" t="str">
        <f>IF($B32="","",IF(COUNTIF(AD$16:AD$21,$B32)&gt;0,COUNTA(AD$7:AD$15),0))</f>
        <v/>
      </c>
      <c r="AE32" s="55" t="str">
        <f>IF($B32="","",IF(COUNTIF(AE$16:AE$21,$B32)&gt;0,COUNTA(AE$7:AE$15),0))</f>
        <v/>
      </c>
      <c r="AF32" s="55" t="str">
        <f>IF($B32="","",IF(COUNTIF(AF$16:AF$21,$B32)&gt;0,COUNTA(AF$7:AF$15),0))</f>
        <v/>
      </c>
      <c r="AG32" s="55" t="str">
        <f>IF($B32="","",IF(COUNTIF(AG$16:AG$21,$B32)&gt;0,COUNTA(AG$7:AG$15),0))</f>
        <v/>
      </c>
      <c r="AH32" s="55" t="str">
        <f>IF($B32="","",IF(COUNTIF(AH$16:AH$21,$B32)&gt;0,COUNTA(AH$7:AH$15),0))</f>
        <v/>
      </c>
      <c r="AI32" s="55" t="str">
        <f>IF($B32="","",IF(COUNTIF(AI$16:AI$21,$B32)&gt;0,COUNTA(AI$7:AI$15),0))</f>
        <v/>
      </c>
      <c r="AJ32" s="55" t="str">
        <f>IF($B32="","",IF(COUNTIF(AJ$16:AJ$21,$B32)&gt;0,COUNTA(AJ$7:AJ$15),0))</f>
        <v/>
      </c>
      <c r="AK32" s="55" t="str">
        <f>IF($B32="","",IF(COUNTIF(AK$16:AK$21,$B32)&gt;0,COUNTA(AK$7:AK$15),0))</f>
        <v/>
      </c>
      <c r="AL32" s="55" t="str">
        <f>IF($B32="","",IF(COUNTIF(AL$16:AL$21,$B32)&gt;0,COUNTA(AL$7:AL$15),0))</f>
        <v/>
      </c>
      <c r="AM32" s="55" t="str">
        <f>IF($B32="","",IF(COUNTIF(AM$16:AM$21,$B32)&gt;0,COUNTA(AM$7:AM$15),0))</f>
        <v/>
      </c>
      <c r="AN32" s="55" t="str">
        <f>IF($B32="","",IF(COUNTIF(AN$16:AN$21,$B32)&gt;0,COUNTA(AN$7:AN$15),0))</f>
        <v/>
      </c>
      <c r="AO32" s="55" t="str">
        <f>IF($B32="","",IF(COUNTIF(AO$16:AO$21,$B32)&gt;0,COUNTA(AO$7:AO$15),0))</f>
        <v/>
      </c>
      <c r="AP32" s="55" t="str">
        <f>IF($B32="","",IF(COUNTIF(AP$16:AP$21,$B32)&gt;0,COUNTA(AP$7:AP$15),0))</f>
        <v/>
      </c>
      <c r="AQ32" s="55" t="str">
        <f>IF($B32="","",IF(COUNTIF(AQ$16:AQ$21,$B32)&gt;0,COUNTA(AQ$7:AQ$15),0))</f>
        <v/>
      </c>
      <c r="AR32" s="55" t="str">
        <f>IF($B32="","",IF(COUNTIF(AR$16:AR$21,$B32)&gt;0,COUNTA(AR$7:AR$15),0))</f>
        <v/>
      </c>
      <c r="AS32" s="55" t="str">
        <f>IF($B32="","",IF(COUNTIF(AS$16:AS$21,$B32)&gt;0,COUNTA(AS$7:AS$15),0))</f>
        <v/>
      </c>
      <c r="AT32" s="55" t="str">
        <f>IF($B32="","",IF(COUNTIF(AT$16:AT$21,$B32)&gt;0,COUNTA(AT$7:AT$15),0))</f>
        <v/>
      </c>
      <c r="AU32" s="55" t="str">
        <f>IF($B32="","",IF(COUNTIF(AU$16:AU$21,$B32)&gt;0,COUNTA(AU$7:AU$15),0))</f>
        <v/>
      </c>
      <c r="AV32" s="55" t="str">
        <f>IF($B32="","",IF(COUNTIF(AV$16:AV$21,$B32)&gt;0,COUNTA(AV$7:AV$15),0))</f>
        <v/>
      </c>
      <c r="AW32" s="55" t="str">
        <f>IF($B32="","",IF(COUNTIF(AW$16:AW$21,$B32)&gt;0,COUNTA(AW$7:AW$15),0))</f>
        <v/>
      </c>
      <c r="AX32" s="55" t="str">
        <f>IF($B32="","",IF(COUNTIF(AX$16:AX$21,$B32)&gt;0,COUNTA(AX$7:AX$15),0))</f>
        <v/>
      </c>
      <c r="AY32" s="55" t="str">
        <f>IF($B32="","",IF(COUNTIF(AY$16:AY$21,$B32)&gt;0,COUNTA(AY$7:AY$15),0))</f>
        <v/>
      </c>
      <c r="AZ32" s="55" t="str">
        <f>IF($B32="","",IF(COUNTIF(AZ$16:AZ$21,$B32)&gt;0,COUNTA(AZ$7:AZ$15),0))</f>
        <v/>
      </c>
      <c r="BA32" s="55" t="str">
        <f>IF($B32="","",IF(COUNTIF(BA$16:BA$21,$B32)&gt;0,COUNTA(BA$7:BA$15),0))</f>
        <v/>
      </c>
      <c r="BB32" s="55" t="str">
        <f>IF($B32="","",IF(COUNTIF(BB$16:BB$21,$B32)&gt;0,COUNTA(BB$7:BB$15),0))</f>
        <v/>
      </c>
      <c r="BC32" s="55" t="str">
        <f>IF($B32="","",IF(COUNTIF(BC$16:BC$21,$B32)&gt;0,COUNTA(BC$7:BC$15),0))</f>
        <v/>
      </c>
      <c r="BD32" s="55" t="str">
        <f>IF($B32="","",IF(COUNTIF(BD$16:BD$21,$B32)&gt;0,COUNTA(BD$7:BD$15),0))</f>
        <v/>
      </c>
      <c r="BE32" s="55" t="str">
        <f>IF($B32="","",IF(COUNTIF(BE$16:BE$21,$B32)&gt;0,COUNTA(BE$7:BE$15),0))</f>
        <v/>
      </c>
      <c r="BF32" s="55" t="str">
        <f>IF($B32="","",IF(COUNTIF(BF$16:BF$21,$B32)&gt;0,COUNTA(BF$7:BF$15),0))</f>
        <v/>
      </c>
      <c r="BG32" s="55" t="str">
        <f>IF($B32="","",IF(COUNTIF(BG$16:BG$21,$B32)&gt;0,COUNTA(BG$7:BG$15),0))</f>
        <v/>
      </c>
      <c r="BH32" s="55" t="str">
        <f>IF($B32="","",IF(COUNTIF(BH$16:BH$21,$B32)&gt;0,COUNTA(BH$7:BH$15),0))</f>
        <v/>
      </c>
      <c r="BI32" s="55" t="str">
        <f>IF($B32="","",IF(COUNTIF(BI$16:BI$21,$B32)&gt;0,COUNTA(BI$7:BI$15),0))</f>
        <v/>
      </c>
      <c r="BJ32" s="55" t="str">
        <f>IF($B32="","",IF(COUNTIF(BJ$16:BJ$21,$B32)&gt;0,COUNTA(BJ$7:BJ$15),0))</f>
        <v/>
      </c>
      <c r="BK32" s="55" t="str">
        <f>IF($B32="","",IF(COUNTIF(BK$16:BK$21,$B32)&gt;0,COUNTA(BK$7:BK$15),0))</f>
        <v/>
      </c>
      <c r="BL32" s="55" t="str">
        <f>IF($B32="","",IF(COUNTIF(BL$16:BL$21,$B32)&gt;0,COUNTA(BL$7:BL$15),0))</f>
        <v/>
      </c>
      <c r="BM32" s="55" t="str">
        <f>IF($B32="","",IF(COUNTIF(BM$16:BM$21,$B32)&gt;0,COUNTA(BM$7:BM$15),0))</f>
        <v/>
      </c>
      <c r="BN32" s="55" t="str">
        <f>IF($B32="","",IF(COUNTIF(BN$16:BN$21,$B32)&gt;0,COUNTA(BN$7:BN$15),0))</f>
        <v/>
      </c>
      <c r="BO32" s="55" t="str">
        <f>IF($B32="","",IF(COUNTIF(BO$16:BO$21,$B32)&gt;0,COUNTA(BO$7:BO$15),0))</f>
        <v/>
      </c>
      <c r="BP32" s="55" t="str">
        <f>IF($B32="","",IF(COUNTIF(BP$16:BP$21,$B32)&gt;0,COUNTA(BP$7:BP$15),0))</f>
        <v/>
      </c>
      <c r="BQ32" s="55" t="str">
        <f>IF($B32="","",IF(COUNTIF(BQ$16:BQ$21,$B32)&gt;0,COUNTA(BQ$7:BQ$15),0))</f>
        <v/>
      </c>
      <c r="BR32" s="55" t="str">
        <f>IF($B32="","",IF(COUNTIF(BR$16:BR$21,$B32)&gt;0,COUNTA(BR$7:BR$15),0))</f>
        <v/>
      </c>
      <c r="BS32" s="55" t="str">
        <f>IF($B32="","",IF(COUNTIF(BS$16:BS$21,$B32)&gt;0,COUNTA(BS$7:BS$15),0))</f>
        <v/>
      </c>
      <c r="BT32" s="55" t="str">
        <f>IF($B32="","",IF(COUNTIF(BT$16:BT$21,$B32)&gt;0,COUNTA(BT$7:BT$15),0))</f>
        <v/>
      </c>
      <c r="BU32" s="55" t="str">
        <f>IF($B32="","",IF(COUNTIF(BU$16:BU$21,$B32)&gt;0,COUNTA(BU$7:BU$15),0))</f>
        <v/>
      </c>
      <c r="BV32" s="55" t="str">
        <f>IF($B32="","",IF(COUNTIF(BV$16:BV$21,$B32)&gt;0,COUNTA(BV$7:BV$15),0))</f>
        <v/>
      </c>
      <c r="BW32" s="55" t="str">
        <f>IF($B32="","",IF(COUNTIF(BW$16:BW$21,$B32)&gt;0,COUNTA(BW$7:BW$15),0))</f>
        <v/>
      </c>
      <c r="BX32" s="55" t="str">
        <f>IF($B32="","",IF(COUNTIF(BX$16:BX$21,$B32)&gt;0,COUNTA(BX$7:BX$15),0))</f>
        <v/>
      </c>
      <c r="BY32" s="55" t="str">
        <f>IF($B32="","",IF(COUNTIF(BY$16:BY$21,$B32)&gt;0,COUNTA(BY$7:BY$15),0))</f>
        <v/>
      </c>
      <c r="BZ32" s="55" t="str">
        <f>IF($B32="","",IF(COUNTIF(BZ$16:BZ$21,$B32)&gt;0,COUNTA(BZ$7:BZ$15),0))</f>
        <v/>
      </c>
      <c r="CA32" s="55" t="str">
        <f>IF($B32="","",IF(COUNTIF(CA$16:CA$21,$B32)&gt;0,COUNTA(CA$7:CA$15),0))</f>
        <v/>
      </c>
      <c r="CB32" s="55" t="str">
        <f>IF($B32="","",IF(COUNTIF(CB$16:CB$21,$B32)&gt;0,COUNTA(CB$7:CB$15),0))</f>
        <v/>
      </c>
      <c r="CC32" s="55" t="str">
        <f>IF($B32="","",IF(COUNTIF(CC$16:CC$21,$B32)&gt;0,COUNTA(CC$7:CC$15),0))</f>
        <v/>
      </c>
      <c r="CD32" s="55" t="str">
        <f>IF($B32="","",IF(COUNTIF(CD$16:CD$21,$B32)&gt;0,COUNTA(CD$7:CD$15),0))</f>
        <v/>
      </c>
      <c r="CE32" s="55" t="str">
        <f>IF($B32="","",IF(COUNTIF(CE$16:CE$21,$B32)&gt;0,COUNTA(CE$7:CE$15),0))</f>
        <v/>
      </c>
      <c r="CF32" s="55" t="str">
        <f>IF($B32="","",IF(COUNTIF(CF$16:CF$21,$B32)&gt;0,COUNTA(CF$7:CF$15),0))</f>
        <v/>
      </c>
      <c r="CG32" s="55" t="str">
        <f>IF($B32="","",IF(COUNTIF(CG$16:CG$21,$B32)&gt;0,COUNTA(CG$7:CG$15),0))</f>
        <v/>
      </c>
      <c r="CH32" s="55" t="str">
        <f>IF($B32="","",IF(COUNTIF(CH$16:CH$21,$B32)&gt;0,COUNTA(CH$7:CH$15),0))</f>
        <v/>
      </c>
      <c r="CI32" s="55" t="str">
        <f>IF($B32="","",IF(COUNTIF(CI$16:CI$21,$B32)&gt;0,COUNTA(CI$7:CI$15),0))</f>
        <v/>
      </c>
      <c r="CJ32" s="55" t="str">
        <f>IF($B32="","",IF(COUNTIF(CJ$16:CJ$21,$B32)&gt;0,COUNTA(CJ$7:CJ$15),0))</f>
        <v/>
      </c>
      <c r="CK32" s="55" t="str">
        <f>IF($B32="","",IF(COUNTIF(CK$16:CK$21,$B32)&gt;0,COUNTA(CK$7:CK$15),0))</f>
        <v/>
      </c>
      <c r="CL32" s="55" t="str">
        <f>IF($B32="","",IF(COUNTIF(CL$16:CL$21,$B32)&gt;0,COUNTA(CL$7:CL$15),0))</f>
        <v/>
      </c>
      <c r="CM32" s="55" t="str">
        <f>IF($B32="","",IF(COUNTIF(CM$16:CM$21,$B32)&gt;0,COUNTA(CM$7:CM$15),0))</f>
        <v/>
      </c>
      <c r="CN32" s="55" t="str">
        <f>IF($B32="","",IF(COUNTIF(CN$16:CN$21,$B32)&gt;0,COUNTA(CN$7:CN$15),0))</f>
        <v/>
      </c>
      <c r="CO32" s="55" t="str">
        <f>IF($B32="","",IF(COUNTIF(CO$16:CO$21,$B32)&gt;0,COUNTA(CO$7:CO$15),0))</f>
        <v/>
      </c>
      <c r="CP32" s="55" t="str">
        <f>IF($B32="","",IF(COUNTIF(CP$16:CP$21,$B32)&gt;0,COUNTA(CP$7:CP$15),0))</f>
        <v/>
      </c>
      <c r="CQ32" s="55" t="str">
        <f>IF($B32="","",IF(COUNTIF(CQ$16:CQ$21,$B32)&gt;0,COUNTA(CQ$7:CQ$15),0))</f>
        <v/>
      </c>
      <c r="CR32" s="55" t="str">
        <f>IF($B32="","",IF(COUNTIF(CR$16:CR$21,$B32)&gt;0,COUNTA(CR$7:CR$15),0))</f>
        <v/>
      </c>
      <c r="CS32" s="55" t="str">
        <f>IF($B32="","",IF(COUNTIF(CS$16:CS$21,$B32)&gt;0,COUNTA(CS$7:CS$15),0))</f>
        <v/>
      </c>
      <c r="CT32" s="55" t="str">
        <f>IF($B32="","",IF(COUNTIF(CT$16:CT$21,$B32)&gt;0,COUNTA(CT$7:CT$15),0))</f>
        <v/>
      </c>
      <c r="CU32" s="55" t="str">
        <f>IF($B32="","",IF(COUNTIF(CU$16:CU$21,$B32)&gt;0,COUNTA(CU$7:CU$15),0))</f>
        <v/>
      </c>
      <c r="CV32" s="55" t="str">
        <f>IF($B32="","",IF(COUNTIF(CV$16:CV$21,$B32)&gt;0,COUNTA(CV$7:CV$15),0))</f>
        <v/>
      </c>
      <c r="CW32" s="55" t="str">
        <f>IF($B32="","",IF(COUNTIF(CW$16:CW$21,$B32)&gt;0,COUNTA(CW$7:CW$15),0))</f>
        <v/>
      </c>
      <c r="CX32" s="55" t="str">
        <f>IF($B32="","",IF(COUNTIF(CX$16:CX$21,$B32)&gt;0,COUNTA(CX$7:CX$15),0))</f>
        <v/>
      </c>
      <c r="CY32" s="55" t="str">
        <f>IF($B32="","",IF(COUNTIF(CY$16:CY$21,$B32)&gt;0,COUNTA(CY$7:CY$15),0))</f>
        <v/>
      </c>
      <c r="CZ32" s="55" t="str">
        <f>IF($B32="","",IF(COUNTIF(CZ$16:CZ$21,$B32)&gt;0,COUNTA(CZ$7:CZ$15),0))</f>
        <v/>
      </c>
      <c r="DA32" s="55" t="str">
        <f>IF($B32="","",IF(COUNTIF(DA$16:DA$21,$B32)&gt;0,COUNTA(DA$7:DA$15),0))</f>
        <v/>
      </c>
      <c r="DB32" s="55" t="str">
        <f>IF($B32="","",IF(COUNTIF(DB$16:DB$21,$B32)&gt;0,COUNTA(DB$7:DB$15),0))</f>
        <v/>
      </c>
      <c r="DC32" s="55" t="str">
        <f>IF($B32="","",IF(COUNTIF(DC$16:DC$21,$B32)&gt;0,COUNTA(DC$7:DC$15),0))</f>
        <v/>
      </c>
      <c r="DD32" s="55" t="str">
        <f>IF($B32="","",IF(COUNTIF(DD$16:DD$21,$B32)&gt;0,COUNTA(DD$7:DD$15),0))</f>
        <v/>
      </c>
      <c r="DE32" s="58" t="str">
        <f>IF($B32="","",IF(COUNTIF(DE$16:DE$21,$B32)&gt;0,COUNTA(DE$7:DE$15),0))</f>
        <v/>
      </c>
    </row>
    <row r="33" spans="2:109" x14ac:dyDescent="0.2">
      <c r="B33" s="84" t="str">
        <f>IFERROR(INDEX(_xlfn._xlws.FILTER(Ressourcer!$B$1:$X$1,_xlfn.BYCOL(Ressourcer!$B$7:$X$10,_xlfn.LAMBDA(_xlpm.c,COUNTIF(_xlpm.c,"&lt;&gt;" )&gt;0))),ROWS($B$2:B11)),"")</f>
        <v/>
      </c>
      <c r="C33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)&gt;0))),_xlfn.LAMBDA(_xlpm.col,SUM(INDEX(Ressourcer!$B$7:$X$10,,_xlpm.col-COLUMN(Ressourcer!$B$7:$X$10)+1)))),ROWS($B$2:B11))/2,"")</f>
        <v/>
      </c>
      <c r="D33" s="106" t="str">
        <f t="shared" si="22"/>
        <v/>
      </c>
      <c r="E33" s="57" t="str">
        <f>IF($B33="","",IF(COUNTIF(E$16:E$21,$B33)&gt;0,COUNTA(E$7:E$15),0))</f>
        <v/>
      </c>
      <c r="F33" s="55" t="str">
        <f>IF($B33="","",IF(COUNTIF(F$16:F$21,$B33)&gt;0,COUNTA(F$7:F$15),0))</f>
        <v/>
      </c>
      <c r="G33" s="55" t="str">
        <f>IF($B33="","",IF(COUNTIF(G$16:G$21,$B33)&gt;0,COUNTA(G$7:G$15),0))</f>
        <v/>
      </c>
      <c r="H33" s="55" t="str">
        <f>IF($B33="","",IF(COUNTIF(H$16:H$21,$B33)&gt;0,COUNTA(H$7:H$15),0))</f>
        <v/>
      </c>
      <c r="I33" s="55" t="str">
        <f>IF($B33="","",IF(COUNTIF(I$16:I$21,$B33)&gt;0,COUNTA(I$7:I$15),0))</f>
        <v/>
      </c>
      <c r="J33" s="55" t="str">
        <f>IF($B33="","",IF(COUNTIF(J$16:J$21,$B33)&gt;0,COUNTA(J$7:J$15),0))</f>
        <v/>
      </c>
      <c r="K33" s="55" t="str">
        <f>IF($B33="","",IF(COUNTIF(K$16:K$21,$B33)&gt;0,COUNTA(K$7:K$15),0))</f>
        <v/>
      </c>
      <c r="L33" s="55" t="str">
        <f>IF($B33="","",IF(COUNTIF(L$16:L$21,$B33)&gt;0,COUNTA(L$7:L$15),0))</f>
        <v/>
      </c>
      <c r="M33" s="55" t="str">
        <f>IF($B33="","",IF(COUNTIF(M$16:M$21,$B33)&gt;0,COUNTA(M$7:M$15),0))</f>
        <v/>
      </c>
      <c r="N33" s="55" t="str">
        <f>IF($B33="","",IF(COUNTIF(N$16:N$21,$B33)&gt;0,COUNTA(N$7:N$15),0))</f>
        <v/>
      </c>
      <c r="O33" s="55" t="str">
        <f>IF($B33="","",IF(COUNTIF(O$16:O$21,$B33)&gt;0,COUNTA(O$7:O$15),0))</f>
        <v/>
      </c>
      <c r="P33" s="55" t="str">
        <f>IF($B33="","",IF(COUNTIF(P$16:P$21,$B33)&gt;0,COUNTA(P$7:P$15),0))</f>
        <v/>
      </c>
      <c r="Q33" s="55" t="str">
        <f>IF($B33="","",IF(COUNTIF(Q$16:Q$21,$B33)&gt;0,COUNTA(Q$7:Q$15),0))</f>
        <v/>
      </c>
      <c r="R33" s="55" t="str">
        <f>IF($B33="","",IF(COUNTIF(R$16:R$21,$B33)&gt;0,COUNTA(R$7:R$15),0))</f>
        <v/>
      </c>
      <c r="S33" s="55" t="str">
        <f>IF($B33="","",IF(COUNTIF(S$16:S$21,$B33)&gt;0,COUNTA(S$7:S$15),0))</f>
        <v/>
      </c>
      <c r="T33" s="55" t="str">
        <f>IF($B33="","",IF(COUNTIF(T$16:T$21,$B33)&gt;0,COUNTA(T$7:T$15),0))</f>
        <v/>
      </c>
      <c r="U33" s="55" t="str">
        <f>IF($B33="","",IF(COUNTIF(U$16:U$21,$B33)&gt;0,COUNTA(U$7:U$15),0))</f>
        <v/>
      </c>
      <c r="V33" s="55" t="str">
        <f>IF($B33="","",IF(COUNTIF(V$16:V$21,$B33)&gt;0,COUNTA(V$7:V$15),0))</f>
        <v/>
      </c>
      <c r="W33" s="55" t="str">
        <f>IF($B33="","",IF(COUNTIF(W$16:W$21,$B33)&gt;0,COUNTA(W$7:W$15),0))</f>
        <v/>
      </c>
      <c r="X33" s="55" t="str">
        <f>IF($B33="","",IF(COUNTIF(X$16:X$21,$B33)&gt;0,COUNTA(X$7:X$15),0))</f>
        <v/>
      </c>
      <c r="Y33" s="55" t="str">
        <f>IF($B33="","",IF(COUNTIF(Y$16:Y$21,$B33)&gt;0,COUNTA(Y$7:Y$15),0))</f>
        <v/>
      </c>
      <c r="Z33" s="55" t="str">
        <f>IF($B33="","",IF(COUNTIF(Z$16:Z$21,$B33)&gt;0,COUNTA(Z$7:Z$15),0))</f>
        <v/>
      </c>
      <c r="AA33" s="55" t="str">
        <f>IF($B33="","",IF(COUNTIF(AA$16:AA$21,$B33)&gt;0,COUNTA(AA$7:AA$15),0))</f>
        <v/>
      </c>
      <c r="AB33" s="55" t="str">
        <f>IF($B33="","",IF(COUNTIF(AB$16:AB$21,$B33)&gt;0,COUNTA(AB$7:AB$15),0))</f>
        <v/>
      </c>
      <c r="AC33" s="55" t="str">
        <f>IF($B33="","",IF(COUNTIF(AC$16:AC$21,$B33)&gt;0,COUNTA(AC$7:AC$15),0))</f>
        <v/>
      </c>
      <c r="AD33" s="55" t="str">
        <f>IF($B33="","",IF(COUNTIF(AD$16:AD$21,$B33)&gt;0,COUNTA(AD$7:AD$15),0))</f>
        <v/>
      </c>
      <c r="AE33" s="55" t="str">
        <f>IF($B33="","",IF(COUNTIF(AE$16:AE$21,$B33)&gt;0,COUNTA(AE$7:AE$15),0))</f>
        <v/>
      </c>
      <c r="AF33" s="55" t="str">
        <f>IF($B33="","",IF(COUNTIF(AF$16:AF$21,$B33)&gt;0,COUNTA(AF$7:AF$15),0))</f>
        <v/>
      </c>
      <c r="AG33" s="55" t="str">
        <f>IF($B33="","",IF(COUNTIF(AG$16:AG$21,$B33)&gt;0,COUNTA(AG$7:AG$15),0))</f>
        <v/>
      </c>
      <c r="AH33" s="55" t="str">
        <f>IF($B33="","",IF(COUNTIF(AH$16:AH$21,$B33)&gt;0,COUNTA(AH$7:AH$15),0))</f>
        <v/>
      </c>
      <c r="AI33" s="55" t="str">
        <f>IF($B33="","",IF(COUNTIF(AI$16:AI$21,$B33)&gt;0,COUNTA(AI$7:AI$15),0))</f>
        <v/>
      </c>
      <c r="AJ33" s="55" t="str">
        <f>IF($B33="","",IF(COUNTIF(AJ$16:AJ$21,$B33)&gt;0,COUNTA(AJ$7:AJ$15),0))</f>
        <v/>
      </c>
      <c r="AK33" s="55" t="str">
        <f>IF($B33="","",IF(COUNTIF(AK$16:AK$21,$B33)&gt;0,COUNTA(AK$7:AK$15),0))</f>
        <v/>
      </c>
      <c r="AL33" s="55" t="str">
        <f>IF($B33="","",IF(COUNTIF(AL$16:AL$21,$B33)&gt;0,COUNTA(AL$7:AL$15),0))</f>
        <v/>
      </c>
      <c r="AM33" s="55" t="str">
        <f>IF($B33="","",IF(COUNTIF(AM$16:AM$21,$B33)&gt;0,COUNTA(AM$7:AM$15),0))</f>
        <v/>
      </c>
      <c r="AN33" s="55" t="str">
        <f>IF($B33="","",IF(COUNTIF(AN$16:AN$21,$B33)&gt;0,COUNTA(AN$7:AN$15),0))</f>
        <v/>
      </c>
      <c r="AO33" s="55" t="str">
        <f>IF($B33="","",IF(COUNTIF(AO$16:AO$21,$B33)&gt;0,COUNTA(AO$7:AO$15),0))</f>
        <v/>
      </c>
      <c r="AP33" s="55" t="str">
        <f>IF($B33="","",IF(COUNTIF(AP$16:AP$21,$B33)&gt;0,COUNTA(AP$7:AP$15),0))</f>
        <v/>
      </c>
      <c r="AQ33" s="55" t="str">
        <f>IF($B33="","",IF(COUNTIF(AQ$16:AQ$21,$B33)&gt;0,COUNTA(AQ$7:AQ$15),0))</f>
        <v/>
      </c>
      <c r="AR33" s="55" t="str">
        <f>IF($B33="","",IF(COUNTIF(AR$16:AR$21,$B33)&gt;0,COUNTA(AR$7:AR$15),0))</f>
        <v/>
      </c>
      <c r="AS33" s="55" t="str">
        <f>IF($B33="","",IF(COUNTIF(AS$16:AS$21,$B33)&gt;0,COUNTA(AS$7:AS$15),0))</f>
        <v/>
      </c>
      <c r="AT33" s="55" t="str">
        <f>IF($B33="","",IF(COUNTIF(AT$16:AT$21,$B33)&gt;0,COUNTA(AT$7:AT$15),0))</f>
        <v/>
      </c>
      <c r="AU33" s="55" t="str">
        <f>IF($B33="","",IF(COUNTIF(AU$16:AU$21,$B33)&gt;0,COUNTA(AU$7:AU$15),0))</f>
        <v/>
      </c>
      <c r="AV33" s="55" t="str">
        <f>IF($B33="","",IF(COUNTIF(AV$16:AV$21,$B33)&gt;0,COUNTA(AV$7:AV$15),0))</f>
        <v/>
      </c>
      <c r="AW33" s="55" t="str">
        <f>IF($B33="","",IF(COUNTIF(AW$16:AW$21,$B33)&gt;0,COUNTA(AW$7:AW$15),0))</f>
        <v/>
      </c>
      <c r="AX33" s="55" t="str">
        <f>IF($B33="","",IF(COUNTIF(AX$16:AX$21,$B33)&gt;0,COUNTA(AX$7:AX$15),0))</f>
        <v/>
      </c>
      <c r="AY33" s="55" t="str">
        <f>IF($B33="","",IF(COUNTIF(AY$16:AY$21,$B33)&gt;0,COUNTA(AY$7:AY$15),0))</f>
        <v/>
      </c>
      <c r="AZ33" s="55" t="str">
        <f>IF($B33="","",IF(COUNTIF(AZ$16:AZ$21,$B33)&gt;0,COUNTA(AZ$7:AZ$15),0))</f>
        <v/>
      </c>
      <c r="BA33" s="55" t="str">
        <f>IF($B33="","",IF(COUNTIF(BA$16:BA$21,$B33)&gt;0,COUNTA(BA$7:BA$15),0))</f>
        <v/>
      </c>
      <c r="BB33" s="55" t="str">
        <f>IF($B33="","",IF(COUNTIF(BB$16:BB$21,$B33)&gt;0,COUNTA(BB$7:BB$15),0))</f>
        <v/>
      </c>
      <c r="BC33" s="55" t="str">
        <f>IF($B33="","",IF(COUNTIF(BC$16:BC$21,$B33)&gt;0,COUNTA(BC$7:BC$15),0))</f>
        <v/>
      </c>
      <c r="BD33" s="55" t="str">
        <f>IF($B33="","",IF(COUNTIF(BD$16:BD$21,$B33)&gt;0,COUNTA(BD$7:BD$15),0))</f>
        <v/>
      </c>
      <c r="BE33" s="55" t="str">
        <f>IF($B33="","",IF(COUNTIF(BE$16:BE$21,$B33)&gt;0,COUNTA(BE$7:BE$15),0))</f>
        <v/>
      </c>
      <c r="BF33" s="55" t="str">
        <f>IF($B33="","",IF(COUNTIF(BF$16:BF$21,$B33)&gt;0,COUNTA(BF$7:BF$15),0))</f>
        <v/>
      </c>
      <c r="BG33" s="55" t="str">
        <f>IF($B33="","",IF(COUNTIF(BG$16:BG$21,$B33)&gt;0,COUNTA(BG$7:BG$15),0))</f>
        <v/>
      </c>
      <c r="BH33" s="55" t="str">
        <f>IF($B33="","",IF(COUNTIF(BH$16:BH$21,$B33)&gt;0,COUNTA(BH$7:BH$15),0))</f>
        <v/>
      </c>
      <c r="BI33" s="55" t="str">
        <f>IF($B33="","",IF(COUNTIF(BI$16:BI$21,$B33)&gt;0,COUNTA(BI$7:BI$15),0))</f>
        <v/>
      </c>
      <c r="BJ33" s="55" t="str">
        <f>IF($B33="","",IF(COUNTIF(BJ$16:BJ$21,$B33)&gt;0,COUNTA(BJ$7:BJ$15),0))</f>
        <v/>
      </c>
      <c r="BK33" s="55" t="str">
        <f>IF($B33="","",IF(COUNTIF(BK$16:BK$21,$B33)&gt;0,COUNTA(BK$7:BK$15),0))</f>
        <v/>
      </c>
      <c r="BL33" s="55" t="str">
        <f>IF($B33="","",IF(COUNTIF(BL$16:BL$21,$B33)&gt;0,COUNTA(BL$7:BL$15),0))</f>
        <v/>
      </c>
      <c r="BM33" s="55" t="str">
        <f>IF($B33="","",IF(COUNTIF(BM$16:BM$21,$B33)&gt;0,COUNTA(BM$7:BM$15),0))</f>
        <v/>
      </c>
      <c r="BN33" s="55" t="str">
        <f>IF($B33="","",IF(COUNTIF(BN$16:BN$21,$B33)&gt;0,COUNTA(BN$7:BN$15),0))</f>
        <v/>
      </c>
      <c r="BO33" s="55" t="str">
        <f>IF($B33="","",IF(COUNTIF(BO$16:BO$21,$B33)&gt;0,COUNTA(BO$7:BO$15),0))</f>
        <v/>
      </c>
      <c r="BP33" s="55" t="str">
        <f>IF($B33="","",IF(COUNTIF(BP$16:BP$21,$B33)&gt;0,COUNTA(BP$7:BP$15),0))</f>
        <v/>
      </c>
      <c r="BQ33" s="55" t="str">
        <f>IF($B33="","",IF(COUNTIF(BQ$16:BQ$21,$B33)&gt;0,COUNTA(BQ$7:BQ$15),0))</f>
        <v/>
      </c>
      <c r="BR33" s="55" t="str">
        <f>IF($B33="","",IF(COUNTIF(BR$16:BR$21,$B33)&gt;0,COUNTA(BR$7:BR$15),0))</f>
        <v/>
      </c>
      <c r="BS33" s="55" t="str">
        <f>IF($B33="","",IF(COUNTIF(BS$16:BS$21,$B33)&gt;0,COUNTA(BS$7:BS$15),0))</f>
        <v/>
      </c>
      <c r="BT33" s="55" t="str">
        <f>IF($B33="","",IF(COUNTIF(BT$16:BT$21,$B33)&gt;0,COUNTA(BT$7:BT$15),0))</f>
        <v/>
      </c>
      <c r="BU33" s="55" t="str">
        <f>IF($B33="","",IF(COUNTIF(BU$16:BU$21,$B33)&gt;0,COUNTA(BU$7:BU$15),0))</f>
        <v/>
      </c>
      <c r="BV33" s="55" t="str">
        <f>IF($B33="","",IF(COUNTIF(BV$16:BV$21,$B33)&gt;0,COUNTA(BV$7:BV$15),0))</f>
        <v/>
      </c>
      <c r="BW33" s="55" t="str">
        <f>IF($B33="","",IF(COUNTIF(BW$16:BW$21,$B33)&gt;0,COUNTA(BW$7:BW$15),0))</f>
        <v/>
      </c>
      <c r="BX33" s="55" t="str">
        <f>IF($B33="","",IF(COUNTIF(BX$16:BX$21,$B33)&gt;0,COUNTA(BX$7:BX$15),0))</f>
        <v/>
      </c>
      <c r="BY33" s="55" t="str">
        <f>IF($B33="","",IF(COUNTIF(BY$16:BY$21,$B33)&gt;0,COUNTA(BY$7:BY$15),0))</f>
        <v/>
      </c>
      <c r="BZ33" s="55" t="str">
        <f>IF($B33="","",IF(COUNTIF(BZ$16:BZ$21,$B33)&gt;0,COUNTA(BZ$7:BZ$15),0))</f>
        <v/>
      </c>
      <c r="CA33" s="55" t="str">
        <f>IF($B33="","",IF(COUNTIF(CA$16:CA$21,$B33)&gt;0,COUNTA(CA$7:CA$15),0))</f>
        <v/>
      </c>
      <c r="CB33" s="55" t="str">
        <f>IF($B33="","",IF(COUNTIF(CB$16:CB$21,$B33)&gt;0,COUNTA(CB$7:CB$15),0))</f>
        <v/>
      </c>
      <c r="CC33" s="55" t="str">
        <f>IF($B33="","",IF(COUNTIF(CC$16:CC$21,$B33)&gt;0,COUNTA(CC$7:CC$15),0))</f>
        <v/>
      </c>
      <c r="CD33" s="55" t="str">
        <f>IF($B33="","",IF(COUNTIF(CD$16:CD$21,$B33)&gt;0,COUNTA(CD$7:CD$15),0))</f>
        <v/>
      </c>
      <c r="CE33" s="55" t="str">
        <f>IF($B33="","",IF(COUNTIF(CE$16:CE$21,$B33)&gt;0,COUNTA(CE$7:CE$15),0))</f>
        <v/>
      </c>
      <c r="CF33" s="55" t="str">
        <f>IF($B33="","",IF(COUNTIF(CF$16:CF$21,$B33)&gt;0,COUNTA(CF$7:CF$15),0))</f>
        <v/>
      </c>
      <c r="CG33" s="55" t="str">
        <f>IF($B33="","",IF(COUNTIF(CG$16:CG$21,$B33)&gt;0,COUNTA(CG$7:CG$15),0))</f>
        <v/>
      </c>
      <c r="CH33" s="55" t="str">
        <f>IF($B33="","",IF(COUNTIF(CH$16:CH$21,$B33)&gt;0,COUNTA(CH$7:CH$15),0))</f>
        <v/>
      </c>
      <c r="CI33" s="55" t="str">
        <f>IF($B33="","",IF(COUNTIF(CI$16:CI$21,$B33)&gt;0,COUNTA(CI$7:CI$15),0))</f>
        <v/>
      </c>
      <c r="CJ33" s="55" t="str">
        <f>IF($B33="","",IF(COUNTIF(CJ$16:CJ$21,$B33)&gt;0,COUNTA(CJ$7:CJ$15),0))</f>
        <v/>
      </c>
      <c r="CK33" s="55" t="str">
        <f>IF($B33="","",IF(COUNTIF(CK$16:CK$21,$B33)&gt;0,COUNTA(CK$7:CK$15),0))</f>
        <v/>
      </c>
      <c r="CL33" s="55" t="str">
        <f>IF($B33="","",IF(COUNTIF(CL$16:CL$21,$B33)&gt;0,COUNTA(CL$7:CL$15),0))</f>
        <v/>
      </c>
      <c r="CM33" s="55" t="str">
        <f>IF($B33="","",IF(COUNTIF(CM$16:CM$21,$B33)&gt;0,COUNTA(CM$7:CM$15),0))</f>
        <v/>
      </c>
      <c r="CN33" s="55" t="str">
        <f>IF($B33="","",IF(COUNTIF(CN$16:CN$21,$B33)&gt;0,COUNTA(CN$7:CN$15),0))</f>
        <v/>
      </c>
      <c r="CO33" s="55" t="str">
        <f>IF($B33="","",IF(COUNTIF(CO$16:CO$21,$B33)&gt;0,COUNTA(CO$7:CO$15),0))</f>
        <v/>
      </c>
      <c r="CP33" s="55" t="str">
        <f>IF($B33="","",IF(COUNTIF(CP$16:CP$21,$B33)&gt;0,COUNTA(CP$7:CP$15),0))</f>
        <v/>
      </c>
      <c r="CQ33" s="55" t="str">
        <f>IF($B33="","",IF(COUNTIF(CQ$16:CQ$21,$B33)&gt;0,COUNTA(CQ$7:CQ$15),0))</f>
        <v/>
      </c>
      <c r="CR33" s="55" t="str">
        <f>IF($B33="","",IF(COUNTIF(CR$16:CR$21,$B33)&gt;0,COUNTA(CR$7:CR$15),0))</f>
        <v/>
      </c>
      <c r="CS33" s="55" t="str">
        <f>IF($B33="","",IF(COUNTIF(CS$16:CS$21,$B33)&gt;0,COUNTA(CS$7:CS$15),0))</f>
        <v/>
      </c>
      <c r="CT33" s="55" t="str">
        <f>IF($B33="","",IF(COUNTIF(CT$16:CT$21,$B33)&gt;0,COUNTA(CT$7:CT$15),0))</f>
        <v/>
      </c>
      <c r="CU33" s="55" t="str">
        <f>IF($B33="","",IF(COUNTIF(CU$16:CU$21,$B33)&gt;0,COUNTA(CU$7:CU$15),0))</f>
        <v/>
      </c>
      <c r="CV33" s="55" t="str">
        <f>IF($B33="","",IF(COUNTIF(CV$16:CV$21,$B33)&gt;0,COUNTA(CV$7:CV$15),0))</f>
        <v/>
      </c>
      <c r="CW33" s="55" t="str">
        <f>IF($B33="","",IF(COUNTIF(CW$16:CW$21,$B33)&gt;0,COUNTA(CW$7:CW$15),0))</f>
        <v/>
      </c>
      <c r="CX33" s="55" t="str">
        <f>IF($B33="","",IF(COUNTIF(CX$16:CX$21,$B33)&gt;0,COUNTA(CX$7:CX$15),0))</f>
        <v/>
      </c>
      <c r="CY33" s="55" t="str">
        <f>IF($B33="","",IF(COUNTIF(CY$16:CY$21,$B33)&gt;0,COUNTA(CY$7:CY$15),0))</f>
        <v/>
      </c>
      <c r="CZ33" s="55" t="str">
        <f>IF($B33="","",IF(COUNTIF(CZ$16:CZ$21,$B33)&gt;0,COUNTA(CZ$7:CZ$15),0))</f>
        <v/>
      </c>
      <c r="DA33" s="55" t="str">
        <f>IF($B33="","",IF(COUNTIF(DA$16:DA$21,$B33)&gt;0,COUNTA(DA$7:DA$15),0))</f>
        <v/>
      </c>
      <c r="DB33" s="55" t="str">
        <f>IF($B33="","",IF(COUNTIF(DB$16:DB$21,$B33)&gt;0,COUNTA(DB$7:DB$15),0))</f>
        <v/>
      </c>
      <c r="DC33" s="55" t="str">
        <f>IF($B33="","",IF(COUNTIF(DC$16:DC$21,$B33)&gt;0,COUNTA(DC$7:DC$15),0))</f>
        <v/>
      </c>
      <c r="DD33" s="55" t="str">
        <f>IF($B33="","",IF(COUNTIF(DD$16:DD$21,$B33)&gt;0,COUNTA(DD$7:DD$15),0))</f>
        <v/>
      </c>
      <c r="DE33" s="58" t="str">
        <f>IF($B33="","",IF(COUNTIF(DE$16:DE$21,$B33)&gt;0,COUNTA(DE$7:DE$15),0))</f>
        <v/>
      </c>
    </row>
    <row r="34" spans="2:109" x14ac:dyDescent="0.2">
      <c r="B34" s="84" t="str">
        <f>IFERROR(INDEX(_xlfn._xlws.FILTER(Ressourcer!$B$1:$X$1,_xlfn.BYCOL(Ressourcer!$B$7:$X$10,_xlfn.LAMBDA(_xlpm.c,COUNTIF(_xlpm.c,"&lt;&gt;" )&gt;0))),ROWS($B$2:B12)),"")</f>
        <v/>
      </c>
      <c r="C34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)&gt;0))),_xlfn.LAMBDA(_xlpm.col,SUM(INDEX(Ressourcer!$B$7:$X$10,,_xlpm.col-COLUMN(Ressourcer!$B$7:$X$10)+1)))),ROWS($B$2:B12))/2,"")</f>
        <v/>
      </c>
      <c r="D34" s="106" t="str">
        <f t="shared" si="22"/>
        <v/>
      </c>
      <c r="E34" s="57" t="str">
        <f>IF($B34="","",IF(COUNTIF(E$16:E$21,$B34)&gt;0,COUNTA(E$7:E$15),0))</f>
        <v/>
      </c>
      <c r="F34" s="55" t="str">
        <f>IF($B34="","",IF(COUNTIF(F$16:F$21,$B34)&gt;0,COUNTA(F$7:F$15),0))</f>
        <v/>
      </c>
      <c r="G34" s="55" t="str">
        <f>IF($B34="","",IF(COUNTIF(G$16:G$21,$B34)&gt;0,COUNTA(G$7:G$15),0))</f>
        <v/>
      </c>
      <c r="H34" s="55" t="str">
        <f>IF($B34="","",IF(COUNTIF(H$16:H$21,$B34)&gt;0,COUNTA(H$7:H$15),0))</f>
        <v/>
      </c>
      <c r="I34" s="55" t="str">
        <f>IF($B34="","",IF(COUNTIF(I$16:I$21,$B34)&gt;0,COUNTA(I$7:I$15),0))</f>
        <v/>
      </c>
      <c r="J34" s="55" t="str">
        <f>IF($B34="","",IF(COUNTIF(J$16:J$21,$B34)&gt;0,COUNTA(J$7:J$15),0))</f>
        <v/>
      </c>
      <c r="K34" s="55" t="str">
        <f>IF($B34="","",IF(COUNTIF(K$16:K$21,$B34)&gt;0,COUNTA(K$7:K$15),0))</f>
        <v/>
      </c>
      <c r="L34" s="55" t="str">
        <f>IF($B34="","",IF(COUNTIF(L$16:L$21,$B34)&gt;0,COUNTA(L$7:L$15),0))</f>
        <v/>
      </c>
      <c r="M34" s="55" t="str">
        <f>IF($B34="","",IF(COUNTIF(M$16:M$21,$B34)&gt;0,COUNTA(M$7:M$15),0))</f>
        <v/>
      </c>
      <c r="N34" s="55" t="str">
        <f>IF($B34="","",IF(COUNTIF(N$16:N$21,$B34)&gt;0,COUNTA(N$7:N$15),0))</f>
        <v/>
      </c>
      <c r="O34" s="55" t="str">
        <f>IF($B34="","",IF(COUNTIF(O$16:O$21,$B34)&gt;0,COUNTA(O$7:O$15),0))</f>
        <v/>
      </c>
      <c r="P34" s="55" t="str">
        <f>IF($B34="","",IF(COUNTIF(P$16:P$21,$B34)&gt;0,COUNTA(P$7:P$15),0))</f>
        <v/>
      </c>
      <c r="Q34" s="55" t="str">
        <f>IF($B34="","",IF(COUNTIF(Q$16:Q$21,$B34)&gt;0,COUNTA(Q$7:Q$15),0))</f>
        <v/>
      </c>
      <c r="R34" s="55" t="str">
        <f>IF($B34="","",IF(COUNTIF(R$16:R$21,$B34)&gt;0,COUNTA(R$7:R$15),0))</f>
        <v/>
      </c>
      <c r="S34" s="55" t="str">
        <f>IF($B34="","",IF(COUNTIF(S$16:S$21,$B34)&gt;0,COUNTA(S$7:S$15),0))</f>
        <v/>
      </c>
      <c r="T34" s="55" t="str">
        <f>IF($B34="","",IF(COUNTIF(T$16:T$21,$B34)&gt;0,COUNTA(T$7:T$15),0))</f>
        <v/>
      </c>
      <c r="U34" s="55" t="str">
        <f>IF($B34="","",IF(COUNTIF(U$16:U$21,$B34)&gt;0,COUNTA(U$7:U$15),0))</f>
        <v/>
      </c>
      <c r="V34" s="55" t="str">
        <f>IF($B34="","",IF(COUNTIF(V$16:V$21,$B34)&gt;0,COUNTA(V$7:V$15),0))</f>
        <v/>
      </c>
      <c r="W34" s="55" t="str">
        <f>IF($B34="","",IF(COUNTIF(W$16:W$21,$B34)&gt;0,COUNTA(W$7:W$15),0))</f>
        <v/>
      </c>
      <c r="X34" s="55" t="str">
        <f>IF($B34="","",IF(COUNTIF(X$16:X$21,$B34)&gt;0,COUNTA(X$7:X$15),0))</f>
        <v/>
      </c>
      <c r="Y34" s="55" t="str">
        <f>IF($B34="","",IF(COUNTIF(Y$16:Y$21,$B34)&gt;0,COUNTA(Y$7:Y$15),0))</f>
        <v/>
      </c>
      <c r="Z34" s="55" t="str">
        <f>IF($B34="","",IF(COUNTIF(Z$16:Z$21,$B34)&gt;0,COUNTA(Z$7:Z$15),0))</f>
        <v/>
      </c>
      <c r="AA34" s="55" t="str">
        <f>IF($B34="","",IF(COUNTIF(AA$16:AA$21,$B34)&gt;0,COUNTA(AA$7:AA$15),0))</f>
        <v/>
      </c>
      <c r="AB34" s="55" t="str">
        <f>IF($B34="","",IF(COUNTIF(AB$16:AB$21,$B34)&gt;0,COUNTA(AB$7:AB$15),0))</f>
        <v/>
      </c>
      <c r="AC34" s="55" t="str">
        <f>IF($B34="","",IF(COUNTIF(AC$16:AC$21,$B34)&gt;0,COUNTA(AC$7:AC$15),0))</f>
        <v/>
      </c>
      <c r="AD34" s="55" t="str">
        <f>IF($B34="","",IF(COUNTIF(AD$16:AD$21,$B34)&gt;0,COUNTA(AD$7:AD$15),0))</f>
        <v/>
      </c>
      <c r="AE34" s="55" t="str">
        <f>IF($B34="","",IF(COUNTIF(AE$16:AE$21,$B34)&gt;0,COUNTA(AE$7:AE$15),0))</f>
        <v/>
      </c>
      <c r="AF34" s="55" t="str">
        <f>IF($B34="","",IF(COUNTIF(AF$16:AF$21,$B34)&gt;0,COUNTA(AF$7:AF$15),0))</f>
        <v/>
      </c>
      <c r="AG34" s="55" t="str">
        <f>IF($B34="","",IF(COUNTIF(AG$16:AG$21,$B34)&gt;0,COUNTA(AG$7:AG$15),0))</f>
        <v/>
      </c>
      <c r="AH34" s="55" t="str">
        <f>IF($B34="","",IF(COUNTIF(AH$16:AH$21,$B34)&gt;0,COUNTA(AH$7:AH$15),0))</f>
        <v/>
      </c>
      <c r="AI34" s="55" t="str">
        <f>IF($B34="","",IF(COUNTIF(AI$16:AI$21,$B34)&gt;0,COUNTA(AI$7:AI$15),0))</f>
        <v/>
      </c>
      <c r="AJ34" s="55" t="str">
        <f>IF($B34="","",IF(COUNTIF(AJ$16:AJ$21,$B34)&gt;0,COUNTA(AJ$7:AJ$15),0))</f>
        <v/>
      </c>
      <c r="AK34" s="55" t="str">
        <f>IF($B34="","",IF(COUNTIF(AK$16:AK$21,$B34)&gt;0,COUNTA(AK$7:AK$15),0))</f>
        <v/>
      </c>
      <c r="AL34" s="55" t="str">
        <f>IF($B34="","",IF(COUNTIF(AL$16:AL$21,$B34)&gt;0,COUNTA(AL$7:AL$15),0))</f>
        <v/>
      </c>
      <c r="AM34" s="55" t="str">
        <f>IF($B34="","",IF(COUNTIF(AM$16:AM$21,$B34)&gt;0,COUNTA(AM$7:AM$15),0))</f>
        <v/>
      </c>
      <c r="AN34" s="55" t="str">
        <f>IF($B34="","",IF(COUNTIF(AN$16:AN$21,$B34)&gt;0,COUNTA(AN$7:AN$15),0))</f>
        <v/>
      </c>
      <c r="AO34" s="55" t="str">
        <f>IF($B34="","",IF(COUNTIF(AO$16:AO$21,$B34)&gt;0,COUNTA(AO$7:AO$15),0))</f>
        <v/>
      </c>
      <c r="AP34" s="55" t="str">
        <f>IF($B34="","",IF(COUNTIF(AP$16:AP$21,$B34)&gt;0,COUNTA(AP$7:AP$15),0))</f>
        <v/>
      </c>
      <c r="AQ34" s="55" t="str">
        <f>IF($B34="","",IF(COUNTIF(AQ$16:AQ$21,$B34)&gt;0,COUNTA(AQ$7:AQ$15),0))</f>
        <v/>
      </c>
      <c r="AR34" s="55" t="str">
        <f>IF($B34="","",IF(COUNTIF(AR$16:AR$21,$B34)&gt;0,COUNTA(AR$7:AR$15),0))</f>
        <v/>
      </c>
      <c r="AS34" s="55" t="str">
        <f>IF($B34="","",IF(COUNTIF(AS$16:AS$21,$B34)&gt;0,COUNTA(AS$7:AS$15),0))</f>
        <v/>
      </c>
      <c r="AT34" s="55" t="str">
        <f>IF($B34="","",IF(COUNTIF(AT$16:AT$21,$B34)&gt;0,COUNTA(AT$7:AT$15),0))</f>
        <v/>
      </c>
      <c r="AU34" s="55" t="str">
        <f>IF($B34="","",IF(COUNTIF(AU$16:AU$21,$B34)&gt;0,COUNTA(AU$7:AU$15),0))</f>
        <v/>
      </c>
      <c r="AV34" s="55" t="str">
        <f>IF($B34="","",IF(COUNTIF(AV$16:AV$21,$B34)&gt;0,COUNTA(AV$7:AV$15),0))</f>
        <v/>
      </c>
      <c r="AW34" s="55" t="str">
        <f>IF($B34="","",IF(COUNTIF(AW$16:AW$21,$B34)&gt;0,COUNTA(AW$7:AW$15),0))</f>
        <v/>
      </c>
      <c r="AX34" s="55" t="str">
        <f>IF($B34="","",IF(COUNTIF(AX$16:AX$21,$B34)&gt;0,COUNTA(AX$7:AX$15),0))</f>
        <v/>
      </c>
      <c r="AY34" s="55" t="str">
        <f>IF($B34="","",IF(COUNTIF(AY$16:AY$21,$B34)&gt;0,COUNTA(AY$7:AY$15),0))</f>
        <v/>
      </c>
      <c r="AZ34" s="55" t="str">
        <f>IF($B34="","",IF(COUNTIF(AZ$16:AZ$21,$B34)&gt;0,COUNTA(AZ$7:AZ$15),0))</f>
        <v/>
      </c>
      <c r="BA34" s="55" t="str">
        <f>IF($B34="","",IF(COUNTIF(BA$16:BA$21,$B34)&gt;0,COUNTA(BA$7:BA$15),0))</f>
        <v/>
      </c>
      <c r="BB34" s="55" t="str">
        <f>IF($B34="","",IF(COUNTIF(BB$16:BB$21,$B34)&gt;0,COUNTA(BB$7:BB$15),0))</f>
        <v/>
      </c>
      <c r="BC34" s="55" t="str">
        <f>IF($B34="","",IF(COUNTIF(BC$16:BC$21,$B34)&gt;0,COUNTA(BC$7:BC$15),0))</f>
        <v/>
      </c>
      <c r="BD34" s="55" t="str">
        <f>IF($B34="","",IF(COUNTIF(BD$16:BD$21,$B34)&gt;0,COUNTA(BD$7:BD$15),0))</f>
        <v/>
      </c>
      <c r="BE34" s="55" t="str">
        <f>IF($B34="","",IF(COUNTIF(BE$16:BE$21,$B34)&gt;0,COUNTA(BE$7:BE$15),0))</f>
        <v/>
      </c>
      <c r="BF34" s="55" t="str">
        <f>IF($B34="","",IF(COUNTIF(BF$16:BF$21,$B34)&gt;0,COUNTA(BF$7:BF$15),0))</f>
        <v/>
      </c>
      <c r="BG34" s="55" t="str">
        <f>IF($B34="","",IF(COUNTIF(BG$16:BG$21,$B34)&gt;0,COUNTA(BG$7:BG$15),0))</f>
        <v/>
      </c>
      <c r="BH34" s="55" t="str">
        <f>IF($B34="","",IF(COUNTIF(BH$16:BH$21,$B34)&gt;0,COUNTA(BH$7:BH$15),0))</f>
        <v/>
      </c>
      <c r="BI34" s="55" t="str">
        <f>IF($B34="","",IF(COUNTIF(BI$16:BI$21,$B34)&gt;0,COUNTA(BI$7:BI$15),0))</f>
        <v/>
      </c>
      <c r="BJ34" s="55" t="str">
        <f>IF($B34="","",IF(COUNTIF(BJ$16:BJ$21,$B34)&gt;0,COUNTA(BJ$7:BJ$15),0))</f>
        <v/>
      </c>
      <c r="BK34" s="55" t="str">
        <f>IF($B34="","",IF(COUNTIF(BK$16:BK$21,$B34)&gt;0,COUNTA(BK$7:BK$15),0))</f>
        <v/>
      </c>
      <c r="BL34" s="55" t="str">
        <f>IF($B34="","",IF(COUNTIF(BL$16:BL$21,$B34)&gt;0,COUNTA(BL$7:BL$15),0))</f>
        <v/>
      </c>
      <c r="BM34" s="55" t="str">
        <f>IF($B34="","",IF(COUNTIF(BM$16:BM$21,$B34)&gt;0,COUNTA(BM$7:BM$15),0))</f>
        <v/>
      </c>
      <c r="BN34" s="55" t="str">
        <f>IF($B34="","",IF(COUNTIF(BN$16:BN$21,$B34)&gt;0,COUNTA(BN$7:BN$15),0))</f>
        <v/>
      </c>
      <c r="BO34" s="55" t="str">
        <f>IF($B34="","",IF(COUNTIF(BO$16:BO$21,$B34)&gt;0,COUNTA(BO$7:BO$15),0))</f>
        <v/>
      </c>
      <c r="BP34" s="55" t="str">
        <f>IF($B34="","",IF(COUNTIF(BP$16:BP$21,$B34)&gt;0,COUNTA(BP$7:BP$15),0))</f>
        <v/>
      </c>
      <c r="BQ34" s="55" t="str">
        <f>IF($B34="","",IF(COUNTIF(BQ$16:BQ$21,$B34)&gt;0,COUNTA(BQ$7:BQ$15),0))</f>
        <v/>
      </c>
      <c r="BR34" s="55" t="str">
        <f>IF($B34="","",IF(COUNTIF(BR$16:BR$21,$B34)&gt;0,COUNTA(BR$7:BR$15),0))</f>
        <v/>
      </c>
      <c r="BS34" s="55" t="str">
        <f>IF($B34="","",IF(COUNTIF(BS$16:BS$21,$B34)&gt;0,COUNTA(BS$7:BS$15),0))</f>
        <v/>
      </c>
      <c r="BT34" s="55" t="str">
        <f>IF($B34="","",IF(COUNTIF(BT$16:BT$21,$B34)&gt;0,COUNTA(BT$7:BT$15),0))</f>
        <v/>
      </c>
      <c r="BU34" s="55" t="str">
        <f>IF($B34="","",IF(COUNTIF(BU$16:BU$21,$B34)&gt;0,COUNTA(BU$7:BU$15),0))</f>
        <v/>
      </c>
      <c r="BV34" s="55" t="str">
        <f>IF($B34="","",IF(COUNTIF(BV$16:BV$21,$B34)&gt;0,COUNTA(BV$7:BV$15),0))</f>
        <v/>
      </c>
      <c r="BW34" s="55" t="str">
        <f>IF($B34="","",IF(COUNTIF(BW$16:BW$21,$B34)&gt;0,COUNTA(BW$7:BW$15),0))</f>
        <v/>
      </c>
      <c r="BX34" s="55" t="str">
        <f>IF($B34="","",IF(COUNTIF(BX$16:BX$21,$B34)&gt;0,COUNTA(BX$7:BX$15),0))</f>
        <v/>
      </c>
      <c r="BY34" s="55" t="str">
        <f>IF($B34="","",IF(COUNTIF(BY$16:BY$21,$B34)&gt;0,COUNTA(BY$7:BY$15),0))</f>
        <v/>
      </c>
      <c r="BZ34" s="55" t="str">
        <f>IF($B34="","",IF(COUNTIF(BZ$16:BZ$21,$B34)&gt;0,COUNTA(BZ$7:BZ$15),0))</f>
        <v/>
      </c>
      <c r="CA34" s="55" t="str">
        <f>IF($B34="","",IF(COUNTIF(CA$16:CA$21,$B34)&gt;0,COUNTA(CA$7:CA$15),0))</f>
        <v/>
      </c>
      <c r="CB34" s="55" t="str">
        <f>IF($B34="","",IF(COUNTIF(CB$16:CB$21,$B34)&gt;0,COUNTA(CB$7:CB$15),0))</f>
        <v/>
      </c>
      <c r="CC34" s="55" t="str">
        <f>IF($B34="","",IF(COUNTIF(CC$16:CC$21,$B34)&gt;0,COUNTA(CC$7:CC$15),0))</f>
        <v/>
      </c>
      <c r="CD34" s="55" t="str">
        <f>IF($B34="","",IF(COUNTIF(CD$16:CD$21,$B34)&gt;0,COUNTA(CD$7:CD$15),0))</f>
        <v/>
      </c>
      <c r="CE34" s="55" t="str">
        <f>IF($B34="","",IF(COUNTIF(CE$16:CE$21,$B34)&gt;0,COUNTA(CE$7:CE$15),0))</f>
        <v/>
      </c>
      <c r="CF34" s="55" t="str">
        <f>IF($B34="","",IF(COUNTIF(CF$16:CF$21,$B34)&gt;0,COUNTA(CF$7:CF$15),0))</f>
        <v/>
      </c>
      <c r="CG34" s="55" t="str">
        <f>IF($B34="","",IF(COUNTIF(CG$16:CG$21,$B34)&gt;0,COUNTA(CG$7:CG$15),0))</f>
        <v/>
      </c>
      <c r="CH34" s="55" t="str">
        <f>IF($B34="","",IF(COUNTIF(CH$16:CH$21,$B34)&gt;0,COUNTA(CH$7:CH$15),0))</f>
        <v/>
      </c>
      <c r="CI34" s="55" t="str">
        <f>IF($B34="","",IF(COUNTIF(CI$16:CI$21,$B34)&gt;0,COUNTA(CI$7:CI$15),0))</f>
        <v/>
      </c>
      <c r="CJ34" s="55" t="str">
        <f>IF($B34="","",IF(COUNTIF(CJ$16:CJ$21,$B34)&gt;0,COUNTA(CJ$7:CJ$15),0))</f>
        <v/>
      </c>
      <c r="CK34" s="55" t="str">
        <f>IF($B34="","",IF(COUNTIF(CK$16:CK$21,$B34)&gt;0,COUNTA(CK$7:CK$15),0))</f>
        <v/>
      </c>
      <c r="CL34" s="55" t="str">
        <f>IF($B34="","",IF(COUNTIF(CL$16:CL$21,$B34)&gt;0,COUNTA(CL$7:CL$15),0))</f>
        <v/>
      </c>
      <c r="CM34" s="55" t="str">
        <f>IF($B34="","",IF(COUNTIF(CM$16:CM$21,$B34)&gt;0,COUNTA(CM$7:CM$15),0))</f>
        <v/>
      </c>
      <c r="CN34" s="55" t="str">
        <f>IF($B34="","",IF(COUNTIF(CN$16:CN$21,$B34)&gt;0,COUNTA(CN$7:CN$15),0))</f>
        <v/>
      </c>
      <c r="CO34" s="55" t="str">
        <f>IF($B34="","",IF(COUNTIF(CO$16:CO$21,$B34)&gt;0,COUNTA(CO$7:CO$15),0))</f>
        <v/>
      </c>
      <c r="CP34" s="55" t="str">
        <f>IF($B34="","",IF(COUNTIF(CP$16:CP$21,$B34)&gt;0,COUNTA(CP$7:CP$15),0))</f>
        <v/>
      </c>
      <c r="CQ34" s="55" t="str">
        <f>IF($B34="","",IF(COUNTIF(CQ$16:CQ$21,$B34)&gt;0,COUNTA(CQ$7:CQ$15),0))</f>
        <v/>
      </c>
      <c r="CR34" s="55" t="str">
        <f>IF($B34="","",IF(COUNTIF(CR$16:CR$21,$B34)&gt;0,COUNTA(CR$7:CR$15),0))</f>
        <v/>
      </c>
      <c r="CS34" s="55" t="str">
        <f>IF($B34="","",IF(COUNTIF(CS$16:CS$21,$B34)&gt;0,COUNTA(CS$7:CS$15),0))</f>
        <v/>
      </c>
      <c r="CT34" s="55" t="str">
        <f>IF($B34="","",IF(COUNTIF(CT$16:CT$21,$B34)&gt;0,COUNTA(CT$7:CT$15),0))</f>
        <v/>
      </c>
      <c r="CU34" s="55" t="str">
        <f>IF($B34="","",IF(COUNTIF(CU$16:CU$21,$B34)&gt;0,COUNTA(CU$7:CU$15),0))</f>
        <v/>
      </c>
      <c r="CV34" s="55" t="str">
        <f>IF($B34="","",IF(COUNTIF(CV$16:CV$21,$B34)&gt;0,COUNTA(CV$7:CV$15),0))</f>
        <v/>
      </c>
      <c r="CW34" s="55" t="str">
        <f>IF($B34="","",IF(COUNTIF(CW$16:CW$21,$B34)&gt;0,COUNTA(CW$7:CW$15),0))</f>
        <v/>
      </c>
      <c r="CX34" s="55" t="str">
        <f>IF($B34="","",IF(COUNTIF(CX$16:CX$21,$B34)&gt;0,COUNTA(CX$7:CX$15),0))</f>
        <v/>
      </c>
      <c r="CY34" s="55" t="str">
        <f>IF($B34="","",IF(COUNTIF(CY$16:CY$21,$B34)&gt;0,COUNTA(CY$7:CY$15),0))</f>
        <v/>
      </c>
      <c r="CZ34" s="55" t="str">
        <f>IF($B34="","",IF(COUNTIF(CZ$16:CZ$21,$B34)&gt;0,COUNTA(CZ$7:CZ$15),0))</f>
        <v/>
      </c>
      <c r="DA34" s="55" t="str">
        <f>IF($B34="","",IF(COUNTIF(DA$16:DA$21,$B34)&gt;0,COUNTA(DA$7:DA$15),0))</f>
        <v/>
      </c>
      <c r="DB34" s="55" t="str">
        <f>IF($B34="","",IF(COUNTIF(DB$16:DB$21,$B34)&gt;0,COUNTA(DB$7:DB$15),0))</f>
        <v/>
      </c>
      <c r="DC34" s="55" t="str">
        <f>IF($B34="","",IF(COUNTIF(DC$16:DC$21,$B34)&gt;0,COUNTA(DC$7:DC$15),0))</f>
        <v/>
      </c>
      <c r="DD34" s="55" t="str">
        <f>IF($B34="","",IF(COUNTIF(DD$16:DD$21,$B34)&gt;0,COUNTA(DD$7:DD$15),0))</f>
        <v/>
      </c>
      <c r="DE34" s="58" t="str">
        <f>IF($B34="","",IF(COUNTIF(DE$16:DE$21,$B34)&gt;0,COUNTA(DE$7:DE$15),0))</f>
        <v/>
      </c>
    </row>
    <row r="35" spans="2:109" x14ac:dyDescent="0.2">
      <c r="B35" s="84" t="str">
        <f>IFERROR(INDEX(_xlfn._xlws.FILTER(Ressourcer!$B$1:$X$1,_xlfn.BYCOL(Ressourcer!$B$7:$X$10,_xlfn.LAMBDA(_xlpm.c,COUNTIF(_xlpm.c,"&lt;&gt;" )&gt;0))),ROWS($B$2:B13)),"")</f>
        <v/>
      </c>
      <c r="C35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)&gt;0))),_xlfn.LAMBDA(_xlpm.col,SUM(INDEX(Ressourcer!$B$7:$X$10,,_xlpm.col-COLUMN(Ressourcer!$B$7:$X$10)+1)))),ROWS($B$2:B13))/2,"")</f>
        <v/>
      </c>
      <c r="D35" s="106" t="str">
        <f t="shared" si="22"/>
        <v/>
      </c>
      <c r="E35" s="57" t="str">
        <f>IF($B35="","",IF(COUNTIF(E$16:E$21,$B35)&gt;0,COUNTA(E$7:E$15),0))</f>
        <v/>
      </c>
      <c r="F35" s="55" t="str">
        <f>IF($B35="","",IF(COUNTIF(F$16:F$21,$B35)&gt;0,COUNTA(F$7:F$15),0))</f>
        <v/>
      </c>
      <c r="G35" s="55" t="str">
        <f>IF($B35="","",IF(COUNTIF(G$16:G$21,$B35)&gt;0,COUNTA(G$7:G$15),0))</f>
        <v/>
      </c>
      <c r="H35" s="55" t="str">
        <f>IF($B35="","",IF(COUNTIF(H$16:H$21,$B35)&gt;0,COUNTA(H$7:H$15),0))</f>
        <v/>
      </c>
      <c r="I35" s="55" t="str">
        <f>IF($B35="","",IF(COUNTIF(I$16:I$21,$B35)&gt;0,COUNTA(I$7:I$15),0))</f>
        <v/>
      </c>
      <c r="J35" s="55" t="str">
        <f>IF($B35="","",IF(COUNTIF(J$16:J$21,$B35)&gt;0,COUNTA(J$7:J$15),0))</f>
        <v/>
      </c>
      <c r="K35" s="55" t="str">
        <f>IF($B35="","",IF(COUNTIF(K$16:K$21,$B35)&gt;0,COUNTA(K$7:K$15),0))</f>
        <v/>
      </c>
      <c r="L35" s="55" t="str">
        <f>IF($B35="","",IF(COUNTIF(L$16:L$21,$B35)&gt;0,COUNTA(L$7:L$15),0))</f>
        <v/>
      </c>
      <c r="M35" s="55" t="str">
        <f>IF($B35="","",IF(COUNTIF(M$16:M$21,$B35)&gt;0,COUNTA(M$7:M$15),0))</f>
        <v/>
      </c>
      <c r="N35" s="55" t="str">
        <f>IF($B35="","",IF(COUNTIF(N$16:N$21,$B35)&gt;0,COUNTA(N$7:N$15),0))</f>
        <v/>
      </c>
      <c r="O35" s="55" t="str">
        <f>IF($B35="","",IF(COUNTIF(O$16:O$21,$B35)&gt;0,COUNTA(O$7:O$15),0))</f>
        <v/>
      </c>
      <c r="P35" s="55" t="str">
        <f>IF($B35="","",IF(COUNTIF(P$16:P$21,$B35)&gt;0,COUNTA(P$7:P$15),0))</f>
        <v/>
      </c>
      <c r="Q35" s="55" t="str">
        <f>IF($B35="","",IF(COUNTIF(Q$16:Q$21,$B35)&gt;0,COUNTA(Q$7:Q$15),0))</f>
        <v/>
      </c>
      <c r="R35" s="55" t="str">
        <f>IF($B35="","",IF(COUNTIF(R$16:R$21,$B35)&gt;0,COUNTA(R$7:R$15),0))</f>
        <v/>
      </c>
      <c r="S35" s="55" t="str">
        <f>IF($B35="","",IF(COUNTIF(S$16:S$21,$B35)&gt;0,COUNTA(S$7:S$15),0))</f>
        <v/>
      </c>
      <c r="T35" s="55" t="str">
        <f>IF($B35="","",IF(COUNTIF(T$16:T$21,$B35)&gt;0,COUNTA(T$7:T$15),0))</f>
        <v/>
      </c>
      <c r="U35" s="55" t="str">
        <f>IF($B35="","",IF(COUNTIF(U$16:U$21,$B35)&gt;0,COUNTA(U$7:U$15),0))</f>
        <v/>
      </c>
      <c r="V35" s="55" t="str">
        <f>IF($B35="","",IF(COUNTIF(V$16:V$21,$B35)&gt;0,COUNTA(V$7:V$15),0))</f>
        <v/>
      </c>
      <c r="W35" s="55" t="str">
        <f>IF($B35="","",IF(COUNTIF(W$16:W$21,$B35)&gt;0,COUNTA(W$7:W$15),0))</f>
        <v/>
      </c>
      <c r="X35" s="55" t="str">
        <f>IF($B35="","",IF(COUNTIF(X$16:X$21,$B35)&gt;0,COUNTA(X$7:X$15),0))</f>
        <v/>
      </c>
      <c r="Y35" s="55" t="str">
        <f>IF($B35="","",IF(COUNTIF(Y$16:Y$21,$B35)&gt;0,COUNTA(Y$7:Y$15),0))</f>
        <v/>
      </c>
      <c r="Z35" s="55" t="str">
        <f>IF($B35="","",IF(COUNTIF(Z$16:Z$21,$B35)&gt;0,COUNTA(Z$7:Z$15),0))</f>
        <v/>
      </c>
      <c r="AA35" s="55" t="str">
        <f>IF($B35="","",IF(COUNTIF(AA$16:AA$21,$B35)&gt;0,COUNTA(AA$7:AA$15),0))</f>
        <v/>
      </c>
      <c r="AB35" s="55" t="str">
        <f>IF($B35="","",IF(COUNTIF(AB$16:AB$21,$B35)&gt;0,COUNTA(AB$7:AB$15),0))</f>
        <v/>
      </c>
      <c r="AC35" s="55" t="str">
        <f>IF($B35="","",IF(COUNTIF(AC$16:AC$21,$B35)&gt;0,COUNTA(AC$7:AC$15),0))</f>
        <v/>
      </c>
      <c r="AD35" s="55" t="str">
        <f>IF($B35="","",IF(COUNTIF(AD$16:AD$21,$B35)&gt;0,COUNTA(AD$7:AD$15),0))</f>
        <v/>
      </c>
      <c r="AE35" s="55" t="str">
        <f>IF($B35="","",IF(COUNTIF(AE$16:AE$21,$B35)&gt;0,COUNTA(AE$7:AE$15),0))</f>
        <v/>
      </c>
      <c r="AF35" s="55" t="str">
        <f>IF($B35="","",IF(COUNTIF(AF$16:AF$21,$B35)&gt;0,COUNTA(AF$7:AF$15),0))</f>
        <v/>
      </c>
      <c r="AG35" s="55" t="str">
        <f>IF($B35="","",IF(COUNTIF(AG$16:AG$21,$B35)&gt;0,COUNTA(AG$7:AG$15),0))</f>
        <v/>
      </c>
      <c r="AH35" s="55" t="str">
        <f>IF($B35="","",IF(COUNTIF(AH$16:AH$21,$B35)&gt;0,COUNTA(AH$7:AH$15),0))</f>
        <v/>
      </c>
      <c r="AI35" s="55" t="str">
        <f>IF($B35="","",IF(COUNTIF(AI$16:AI$21,$B35)&gt;0,COUNTA(AI$7:AI$15),0))</f>
        <v/>
      </c>
      <c r="AJ35" s="55" t="str">
        <f>IF($B35="","",IF(COUNTIF(AJ$16:AJ$21,$B35)&gt;0,COUNTA(AJ$7:AJ$15),0))</f>
        <v/>
      </c>
      <c r="AK35" s="55" t="str">
        <f>IF($B35="","",IF(COUNTIF(AK$16:AK$21,$B35)&gt;0,COUNTA(AK$7:AK$15),0))</f>
        <v/>
      </c>
      <c r="AL35" s="55" t="str">
        <f>IF($B35="","",IF(COUNTIF(AL$16:AL$21,$B35)&gt;0,COUNTA(AL$7:AL$15),0))</f>
        <v/>
      </c>
      <c r="AM35" s="55" t="str">
        <f>IF($B35="","",IF(COUNTIF(AM$16:AM$21,$B35)&gt;0,COUNTA(AM$7:AM$15),0))</f>
        <v/>
      </c>
      <c r="AN35" s="55" t="str">
        <f>IF($B35="","",IF(COUNTIF(AN$16:AN$21,$B35)&gt;0,COUNTA(AN$7:AN$15),0))</f>
        <v/>
      </c>
      <c r="AO35" s="55" t="str">
        <f>IF($B35="","",IF(COUNTIF(AO$16:AO$21,$B35)&gt;0,COUNTA(AO$7:AO$15),0))</f>
        <v/>
      </c>
      <c r="AP35" s="55" t="str">
        <f>IF($B35="","",IF(COUNTIF(AP$16:AP$21,$B35)&gt;0,COUNTA(AP$7:AP$15),0))</f>
        <v/>
      </c>
      <c r="AQ35" s="55" t="str">
        <f>IF($B35="","",IF(COUNTIF(AQ$16:AQ$21,$B35)&gt;0,COUNTA(AQ$7:AQ$15),0))</f>
        <v/>
      </c>
      <c r="AR35" s="55" t="str">
        <f>IF($B35="","",IF(COUNTIF(AR$16:AR$21,$B35)&gt;0,COUNTA(AR$7:AR$15),0))</f>
        <v/>
      </c>
      <c r="AS35" s="55" t="str">
        <f>IF($B35="","",IF(COUNTIF(AS$16:AS$21,$B35)&gt;0,COUNTA(AS$7:AS$15),0))</f>
        <v/>
      </c>
      <c r="AT35" s="55" t="str">
        <f>IF($B35="","",IF(COUNTIF(AT$16:AT$21,$B35)&gt;0,COUNTA(AT$7:AT$15),0))</f>
        <v/>
      </c>
      <c r="AU35" s="55" t="str">
        <f>IF($B35="","",IF(COUNTIF(AU$16:AU$21,$B35)&gt;0,COUNTA(AU$7:AU$15),0))</f>
        <v/>
      </c>
      <c r="AV35" s="55" t="str">
        <f>IF($B35="","",IF(COUNTIF(AV$16:AV$21,$B35)&gt;0,COUNTA(AV$7:AV$15),0))</f>
        <v/>
      </c>
      <c r="AW35" s="55" t="str">
        <f>IF($B35="","",IF(COUNTIF(AW$16:AW$21,$B35)&gt;0,COUNTA(AW$7:AW$15),0))</f>
        <v/>
      </c>
      <c r="AX35" s="55" t="str">
        <f>IF($B35="","",IF(COUNTIF(AX$16:AX$21,$B35)&gt;0,COUNTA(AX$7:AX$15),0))</f>
        <v/>
      </c>
      <c r="AY35" s="55" t="str">
        <f>IF($B35="","",IF(COUNTIF(AY$16:AY$21,$B35)&gt;0,COUNTA(AY$7:AY$15),0))</f>
        <v/>
      </c>
      <c r="AZ35" s="55" t="str">
        <f>IF($B35="","",IF(COUNTIF(AZ$16:AZ$21,$B35)&gt;0,COUNTA(AZ$7:AZ$15),0))</f>
        <v/>
      </c>
      <c r="BA35" s="55" t="str">
        <f>IF($B35="","",IF(COUNTIF(BA$16:BA$21,$B35)&gt;0,COUNTA(BA$7:BA$15),0))</f>
        <v/>
      </c>
      <c r="BB35" s="55" t="str">
        <f>IF($B35="","",IF(COUNTIF(BB$16:BB$21,$B35)&gt;0,COUNTA(BB$7:BB$15),0))</f>
        <v/>
      </c>
      <c r="BC35" s="55" t="str">
        <f>IF($B35="","",IF(COUNTIF(BC$16:BC$21,$B35)&gt;0,COUNTA(BC$7:BC$15),0))</f>
        <v/>
      </c>
      <c r="BD35" s="55" t="str">
        <f>IF($B35="","",IF(COUNTIF(BD$16:BD$21,$B35)&gt;0,COUNTA(BD$7:BD$15),0))</f>
        <v/>
      </c>
      <c r="BE35" s="55" t="str">
        <f>IF($B35="","",IF(COUNTIF(BE$16:BE$21,$B35)&gt;0,COUNTA(BE$7:BE$15),0))</f>
        <v/>
      </c>
      <c r="BF35" s="55" t="str">
        <f>IF($B35="","",IF(COUNTIF(BF$16:BF$21,$B35)&gt;0,COUNTA(BF$7:BF$15),0))</f>
        <v/>
      </c>
      <c r="BG35" s="55" t="str">
        <f>IF($B35="","",IF(COUNTIF(BG$16:BG$21,$B35)&gt;0,COUNTA(BG$7:BG$15),0))</f>
        <v/>
      </c>
      <c r="BH35" s="55" t="str">
        <f>IF($B35="","",IF(COUNTIF(BH$16:BH$21,$B35)&gt;0,COUNTA(BH$7:BH$15),0))</f>
        <v/>
      </c>
      <c r="BI35" s="55" t="str">
        <f>IF($B35="","",IF(COUNTIF(BI$16:BI$21,$B35)&gt;0,COUNTA(BI$7:BI$15),0))</f>
        <v/>
      </c>
      <c r="BJ35" s="55" t="str">
        <f>IF($B35="","",IF(COUNTIF(BJ$16:BJ$21,$B35)&gt;0,COUNTA(BJ$7:BJ$15),0))</f>
        <v/>
      </c>
      <c r="BK35" s="55" t="str">
        <f>IF($B35="","",IF(COUNTIF(BK$16:BK$21,$B35)&gt;0,COUNTA(BK$7:BK$15),0))</f>
        <v/>
      </c>
      <c r="BL35" s="55" t="str">
        <f>IF($B35="","",IF(COUNTIF(BL$16:BL$21,$B35)&gt;0,COUNTA(BL$7:BL$15),0))</f>
        <v/>
      </c>
      <c r="BM35" s="55" t="str">
        <f>IF($B35="","",IF(COUNTIF(BM$16:BM$21,$B35)&gt;0,COUNTA(BM$7:BM$15),0))</f>
        <v/>
      </c>
      <c r="BN35" s="55" t="str">
        <f>IF($B35="","",IF(COUNTIF(BN$16:BN$21,$B35)&gt;0,COUNTA(BN$7:BN$15),0))</f>
        <v/>
      </c>
      <c r="BO35" s="55" t="str">
        <f>IF($B35="","",IF(COUNTIF(BO$16:BO$21,$B35)&gt;0,COUNTA(BO$7:BO$15),0))</f>
        <v/>
      </c>
      <c r="BP35" s="55" t="str">
        <f>IF($B35="","",IF(COUNTIF(BP$16:BP$21,$B35)&gt;0,COUNTA(BP$7:BP$15),0))</f>
        <v/>
      </c>
      <c r="BQ35" s="55" t="str">
        <f>IF($B35="","",IF(COUNTIF(BQ$16:BQ$21,$B35)&gt;0,COUNTA(BQ$7:BQ$15),0))</f>
        <v/>
      </c>
      <c r="BR35" s="55" t="str">
        <f>IF($B35="","",IF(COUNTIF(BR$16:BR$21,$B35)&gt;0,COUNTA(BR$7:BR$15),0))</f>
        <v/>
      </c>
      <c r="BS35" s="55" t="str">
        <f>IF($B35="","",IF(COUNTIF(BS$16:BS$21,$B35)&gt;0,COUNTA(BS$7:BS$15),0))</f>
        <v/>
      </c>
      <c r="BT35" s="55" t="str">
        <f>IF($B35="","",IF(COUNTIF(BT$16:BT$21,$B35)&gt;0,COUNTA(BT$7:BT$15),0))</f>
        <v/>
      </c>
      <c r="BU35" s="55" t="str">
        <f>IF($B35="","",IF(COUNTIF(BU$16:BU$21,$B35)&gt;0,COUNTA(BU$7:BU$15),0))</f>
        <v/>
      </c>
      <c r="BV35" s="55" t="str">
        <f>IF($B35="","",IF(COUNTIF(BV$16:BV$21,$B35)&gt;0,COUNTA(BV$7:BV$15),0))</f>
        <v/>
      </c>
      <c r="BW35" s="55" t="str">
        <f>IF($B35="","",IF(COUNTIF(BW$16:BW$21,$B35)&gt;0,COUNTA(BW$7:BW$15),0))</f>
        <v/>
      </c>
      <c r="BX35" s="55" t="str">
        <f>IF($B35="","",IF(COUNTIF(BX$16:BX$21,$B35)&gt;0,COUNTA(BX$7:BX$15),0))</f>
        <v/>
      </c>
      <c r="BY35" s="55" t="str">
        <f>IF($B35="","",IF(COUNTIF(BY$16:BY$21,$B35)&gt;0,COUNTA(BY$7:BY$15),0))</f>
        <v/>
      </c>
      <c r="BZ35" s="55" t="str">
        <f>IF($B35="","",IF(COUNTIF(BZ$16:BZ$21,$B35)&gt;0,COUNTA(BZ$7:BZ$15),0))</f>
        <v/>
      </c>
      <c r="CA35" s="55" t="str">
        <f>IF($B35="","",IF(COUNTIF(CA$16:CA$21,$B35)&gt;0,COUNTA(CA$7:CA$15),0))</f>
        <v/>
      </c>
      <c r="CB35" s="55" t="str">
        <f>IF($B35="","",IF(COUNTIF(CB$16:CB$21,$B35)&gt;0,COUNTA(CB$7:CB$15),0))</f>
        <v/>
      </c>
      <c r="CC35" s="55" t="str">
        <f>IF($B35="","",IF(COUNTIF(CC$16:CC$21,$B35)&gt;0,COUNTA(CC$7:CC$15),0))</f>
        <v/>
      </c>
      <c r="CD35" s="55" t="str">
        <f>IF($B35="","",IF(COUNTIF(CD$16:CD$21,$B35)&gt;0,COUNTA(CD$7:CD$15),0))</f>
        <v/>
      </c>
      <c r="CE35" s="55" t="str">
        <f>IF($B35="","",IF(COUNTIF(CE$16:CE$21,$B35)&gt;0,COUNTA(CE$7:CE$15),0))</f>
        <v/>
      </c>
      <c r="CF35" s="55" t="str">
        <f>IF($B35="","",IF(COUNTIF(CF$16:CF$21,$B35)&gt;0,COUNTA(CF$7:CF$15),0))</f>
        <v/>
      </c>
      <c r="CG35" s="55" t="str">
        <f>IF($B35="","",IF(COUNTIF(CG$16:CG$21,$B35)&gt;0,COUNTA(CG$7:CG$15),0))</f>
        <v/>
      </c>
      <c r="CH35" s="55" t="str">
        <f>IF($B35="","",IF(COUNTIF(CH$16:CH$21,$B35)&gt;0,COUNTA(CH$7:CH$15),0))</f>
        <v/>
      </c>
      <c r="CI35" s="55" t="str">
        <f>IF($B35="","",IF(COUNTIF(CI$16:CI$21,$B35)&gt;0,COUNTA(CI$7:CI$15),0))</f>
        <v/>
      </c>
      <c r="CJ35" s="55" t="str">
        <f>IF($B35="","",IF(COUNTIF(CJ$16:CJ$21,$B35)&gt;0,COUNTA(CJ$7:CJ$15),0))</f>
        <v/>
      </c>
      <c r="CK35" s="55" t="str">
        <f>IF($B35="","",IF(COUNTIF(CK$16:CK$21,$B35)&gt;0,COUNTA(CK$7:CK$15),0))</f>
        <v/>
      </c>
      <c r="CL35" s="55" t="str">
        <f>IF($B35="","",IF(COUNTIF(CL$16:CL$21,$B35)&gt;0,COUNTA(CL$7:CL$15),0))</f>
        <v/>
      </c>
      <c r="CM35" s="55" t="str">
        <f>IF($B35="","",IF(COUNTIF(CM$16:CM$21,$B35)&gt;0,COUNTA(CM$7:CM$15),0))</f>
        <v/>
      </c>
      <c r="CN35" s="55" t="str">
        <f>IF($B35="","",IF(COUNTIF(CN$16:CN$21,$B35)&gt;0,COUNTA(CN$7:CN$15),0))</f>
        <v/>
      </c>
      <c r="CO35" s="55" t="str">
        <f>IF($B35="","",IF(COUNTIF(CO$16:CO$21,$B35)&gt;0,COUNTA(CO$7:CO$15),0))</f>
        <v/>
      </c>
      <c r="CP35" s="55" t="str">
        <f>IF($B35="","",IF(COUNTIF(CP$16:CP$21,$B35)&gt;0,COUNTA(CP$7:CP$15),0))</f>
        <v/>
      </c>
      <c r="CQ35" s="55" t="str">
        <f>IF($B35="","",IF(COUNTIF(CQ$16:CQ$21,$B35)&gt;0,COUNTA(CQ$7:CQ$15),0))</f>
        <v/>
      </c>
      <c r="CR35" s="55" t="str">
        <f>IF($B35="","",IF(COUNTIF(CR$16:CR$21,$B35)&gt;0,COUNTA(CR$7:CR$15),0))</f>
        <v/>
      </c>
      <c r="CS35" s="55" t="str">
        <f>IF($B35="","",IF(COUNTIF(CS$16:CS$21,$B35)&gt;0,COUNTA(CS$7:CS$15),0))</f>
        <v/>
      </c>
      <c r="CT35" s="55" t="str">
        <f>IF($B35="","",IF(COUNTIF(CT$16:CT$21,$B35)&gt;0,COUNTA(CT$7:CT$15),0))</f>
        <v/>
      </c>
      <c r="CU35" s="55" t="str">
        <f>IF($B35="","",IF(COUNTIF(CU$16:CU$21,$B35)&gt;0,COUNTA(CU$7:CU$15),0))</f>
        <v/>
      </c>
      <c r="CV35" s="55" t="str">
        <f>IF($B35="","",IF(COUNTIF(CV$16:CV$21,$B35)&gt;0,COUNTA(CV$7:CV$15),0))</f>
        <v/>
      </c>
      <c r="CW35" s="55" t="str">
        <f>IF($B35="","",IF(COUNTIF(CW$16:CW$21,$B35)&gt;0,COUNTA(CW$7:CW$15),0))</f>
        <v/>
      </c>
      <c r="CX35" s="55" t="str">
        <f>IF($B35="","",IF(COUNTIF(CX$16:CX$21,$B35)&gt;0,COUNTA(CX$7:CX$15),0))</f>
        <v/>
      </c>
      <c r="CY35" s="55" t="str">
        <f>IF($B35="","",IF(COUNTIF(CY$16:CY$21,$B35)&gt;0,COUNTA(CY$7:CY$15),0))</f>
        <v/>
      </c>
      <c r="CZ35" s="55" t="str">
        <f>IF($B35="","",IF(COUNTIF(CZ$16:CZ$21,$B35)&gt;0,COUNTA(CZ$7:CZ$15),0))</f>
        <v/>
      </c>
      <c r="DA35" s="55" t="str">
        <f>IF($B35="","",IF(COUNTIF(DA$16:DA$21,$B35)&gt;0,COUNTA(DA$7:DA$15),0))</f>
        <v/>
      </c>
      <c r="DB35" s="55" t="str">
        <f>IF($B35="","",IF(COUNTIF(DB$16:DB$21,$B35)&gt;0,COUNTA(DB$7:DB$15),0))</f>
        <v/>
      </c>
      <c r="DC35" s="55" t="str">
        <f>IF($B35="","",IF(COUNTIF(DC$16:DC$21,$B35)&gt;0,COUNTA(DC$7:DC$15),0))</f>
        <v/>
      </c>
      <c r="DD35" s="55" t="str">
        <f>IF($B35="","",IF(COUNTIF(DD$16:DD$21,$B35)&gt;0,COUNTA(DD$7:DD$15),0))</f>
        <v/>
      </c>
      <c r="DE35" s="58" t="str">
        <f>IF($B35="","",IF(COUNTIF(DE$16:DE$21,$B35)&gt;0,COUNTA(DE$7:DE$15),0))</f>
        <v/>
      </c>
    </row>
    <row r="36" spans="2:109" x14ac:dyDescent="0.2">
      <c r="B36" s="84" t="str">
        <f>IFERROR(INDEX(_xlfn._xlws.FILTER(Ressourcer!$B$1:$X$1,_xlfn.BYCOL(Ressourcer!$B$7:$X$10,_xlfn.LAMBDA(_xlpm.c,COUNTIF(_xlpm.c,"&lt;&gt;" )&gt;0))),ROWS($B$2:B14)),"")</f>
        <v/>
      </c>
      <c r="C36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)&gt;0))),_xlfn.LAMBDA(_xlpm.col,SUM(INDEX(Ressourcer!$B$7:$X$10,,_xlpm.col-COLUMN(Ressourcer!$B$7:$X$10)+1)))),ROWS($B$2:B14))/2,"")</f>
        <v/>
      </c>
      <c r="D36" s="106" t="str">
        <f t="shared" si="22"/>
        <v/>
      </c>
      <c r="E36" s="57" t="str">
        <f>IF($B36="","",IF(COUNTIF(E$16:E$21,$B36)&gt;0,COUNTA(E$7:E$15),0))</f>
        <v/>
      </c>
      <c r="F36" s="55" t="str">
        <f>IF($B36="","",IF(COUNTIF(F$16:F$21,$B36)&gt;0,COUNTA(F$7:F$15),0))</f>
        <v/>
      </c>
      <c r="G36" s="55" t="str">
        <f>IF($B36="","",IF(COUNTIF(G$16:G$21,$B36)&gt;0,COUNTA(G$7:G$15),0))</f>
        <v/>
      </c>
      <c r="H36" s="55" t="str">
        <f>IF($B36="","",IF(COUNTIF(H$16:H$21,$B36)&gt;0,COUNTA(H$7:H$15),0))</f>
        <v/>
      </c>
      <c r="I36" s="55" t="str">
        <f>IF($B36="","",IF(COUNTIF(I$16:I$21,$B36)&gt;0,COUNTA(I$7:I$15),0))</f>
        <v/>
      </c>
      <c r="J36" s="55" t="str">
        <f>IF($B36="","",IF(COUNTIF(J$16:J$21,$B36)&gt;0,COUNTA(J$7:J$15),0))</f>
        <v/>
      </c>
      <c r="K36" s="55" t="str">
        <f>IF($B36="","",IF(COUNTIF(K$16:K$21,$B36)&gt;0,COUNTA(K$7:K$15),0))</f>
        <v/>
      </c>
      <c r="L36" s="55" t="str">
        <f>IF($B36="","",IF(COUNTIF(L$16:L$21,$B36)&gt;0,COUNTA(L$7:L$15),0))</f>
        <v/>
      </c>
      <c r="M36" s="55" t="str">
        <f>IF($B36="","",IF(COUNTIF(M$16:M$21,$B36)&gt;0,COUNTA(M$7:M$15),0))</f>
        <v/>
      </c>
      <c r="N36" s="55" t="str">
        <f>IF($B36="","",IF(COUNTIF(N$16:N$21,$B36)&gt;0,COUNTA(N$7:N$15),0))</f>
        <v/>
      </c>
      <c r="O36" s="55" t="str">
        <f>IF($B36="","",IF(COUNTIF(O$16:O$21,$B36)&gt;0,COUNTA(O$7:O$15),0))</f>
        <v/>
      </c>
      <c r="P36" s="55" t="str">
        <f>IF($B36="","",IF(COUNTIF(P$16:P$21,$B36)&gt;0,COUNTA(P$7:P$15),0))</f>
        <v/>
      </c>
      <c r="Q36" s="55" t="str">
        <f>IF($B36="","",IF(COUNTIF(Q$16:Q$21,$B36)&gt;0,COUNTA(Q$7:Q$15),0))</f>
        <v/>
      </c>
      <c r="R36" s="55" t="str">
        <f>IF($B36="","",IF(COUNTIF(R$16:R$21,$B36)&gt;0,COUNTA(R$7:R$15),0))</f>
        <v/>
      </c>
      <c r="S36" s="55" t="str">
        <f>IF($B36="","",IF(COUNTIF(S$16:S$21,$B36)&gt;0,COUNTA(S$7:S$15),0))</f>
        <v/>
      </c>
      <c r="T36" s="55" t="str">
        <f>IF($B36="","",IF(COUNTIF(T$16:T$21,$B36)&gt;0,COUNTA(T$7:T$15),0))</f>
        <v/>
      </c>
      <c r="U36" s="55" t="str">
        <f>IF($B36="","",IF(COUNTIF(U$16:U$21,$B36)&gt;0,COUNTA(U$7:U$15),0))</f>
        <v/>
      </c>
      <c r="V36" s="55" t="str">
        <f>IF($B36="","",IF(COUNTIF(V$16:V$21,$B36)&gt;0,COUNTA(V$7:V$15),0))</f>
        <v/>
      </c>
      <c r="W36" s="55" t="str">
        <f>IF($B36="","",IF(COUNTIF(W$16:W$21,$B36)&gt;0,COUNTA(W$7:W$15),0))</f>
        <v/>
      </c>
      <c r="X36" s="55" t="str">
        <f>IF($B36="","",IF(COUNTIF(X$16:X$21,$B36)&gt;0,COUNTA(X$7:X$15),0))</f>
        <v/>
      </c>
      <c r="Y36" s="55" t="str">
        <f>IF($B36="","",IF(COUNTIF(Y$16:Y$21,$B36)&gt;0,COUNTA(Y$7:Y$15),0))</f>
        <v/>
      </c>
      <c r="Z36" s="55" t="str">
        <f>IF($B36="","",IF(COUNTIF(Z$16:Z$21,$B36)&gt;0,COUNTA(Z$7:Z$15),0))</f>
        <v/>
      </c>
      <c r="AA36" s="55" t="str">
        <f>IF($B36="","",IF(COUNTIF(AA$16:AA$21,$B36)&gt;0,COUNTA(AA$7:AA$15),0))</f>
        <v/>
      </c>
      <c r="AB36" s="55" t="str">
        <f>IF($B36="","",IF(COUNTIF(AB$16:AB$21,$B36)&gt;0,COUNTA(AB$7:AB$15),0))</f>
        <v/>
      </c>
      <c r="AC36" s="55" t="str">
        <f>IF($B36="","",IF(COUNTIF(AC$16:AC$21,$B36)&gt;0,COUNTA(AC$7:AC$15),0))</f>
        <v/>
      </c>
      <c r="AD36" s="55" t="str">
        <f>IF($B36="","",IF(COUNTIF(AD$16:AD$21,$B36)&gt;0,COUNTA(AD$7:AD$15),0))</f>
        <v/>
      </c>
      <c r="AE36" s="55" t="str">
        <f>IF($B36="","",IF(COUNTIF(AE$16:AE$21,$B36)&gt;0,COUNTA(AE$7:AE$15),0))</f>
        <v/>
      </c>
      <c r="AF36" s="55" t="str">
        <f>IF($B36="","",IF(COUNTIF(AF$16:AF$21,$B36)&gt;0,COUNTA(AF$7:AF$15),0))</f>
        <v/>
      </c>
      <c r="AG36" s="55" t="str">
        <f>IF($B36="","",IF(COUNTIF(AG$16:AG$21,$B36)&gt;0,COUNTA(AG$7:AG$15),0))</f>
        <v/>
      </c>
      <c r="AH36" s="55" t="str">
        <f>IF($B36="","",IF(COUNTIF(AH$16:AH$21,$B36)&gt;0,COUNTA(AH$7:AH$15),0))</f>
        <v/>
      </c>
      <c r="AI36" s="55" t="str">
        <f>IF($B36="","",IF(COUNTIF(AI$16:AI$21,$B36)&gt;0,COUNTA(AI$7:AI$15),0))</f>
        <v/>
      </c>
      <c r="AJ36" s="55" t="str">
        <f>IF($B36="","",IF(COUNTIF(AJ$16:AJ$21,$B36)&gt;0,COUNTA(AJ$7:AJ$15),0))</f>
        <v/>
      </c>
      <c r="AK36" s="55" t="str">
        <f>IF($B36="","",IF(COUNTIF(AK$16:AK$21,$B36)&gt;0,COUNTA(AK$7:AK$15),0))</f>
        <v/>
      </c>
      <c r="AL36" s="55" t="str">
        <f>IF($B36="","",IF(COUNTIF(AL$16:AL$21,$B36)&gt;0,COUNTA(AL$7:AL$15),0))</f>
        <v/>
      </c>
      <c r="AM36" s="55" t="str">
        <f>IF($B36="","",IF(COUNTIF(AM$16:AM$21,$B36)&gt;0,COUNTA(AM$7:AM$15),0))</f>
        <v/>
      </c>
      <c r="AN36" s="55" t="str">
        <f>IF($B36="","",IF(COUNTIF(AN$16:AN$21,$B36)&gt;0,COUNTA(AN$7:AN$15),0))</f>
        <v/>
      </c>
      <c r="AO36" s="55" t="str">
        <f>IF($B36="","",IF(COUNTIF(AO$16:AO$21,$B36)&gt;0,COUNTA(AO$7:AO$15),0))</f>
        <v/>
      </c>
      <c r="AP36" s="55" t="str">
        <f>IF($B36="","",IF(COUNTIF(AP$16:AP$21,$B36)&gt;0,COUNTA(AP$7:AP$15),0))</f>
        <v/>
      </c>
      <c r="AQ36" s="55" t="str">
        <f>IF($B36="","",IF(COUNTIF(AQ$16:AQ$21,$B36)&gt;0,COUNTA(AQ$7:AQ$15),0))</f>
        <v/>
      </c>
      <c r="AR36" s="55" t="str">
        <f>IF($B36="","",IF(COUNTIF(AR$16:AR$21,$B36)&gt;0,COUNTA(AR$7:AR$15),0))</f>
        <v/>
      </c>
      <c r="AS36" s="55" t="str">
        <f>IF($B36="","",IF(COUNTIF(AS$16:AS$21,$B36)&gt;0,COUNTA(AS$7:AS$15),0))</f>
        <v/>
      </c>
      <c r="AT36" s="55" t="str">
        <f>IF($B36="","",IF(COUNTIF(AT$16:AT$21,$B36)&gt;0,COUNTA(AT$7:AT$15),0))</f>
        <v/>
      </c>
      <c r="AU36" s="55" t="str">
        <f>IF($B36="","",IF(COUNTIF(AU$16:AU$21,$B36)&gt;0,COUNTA(AU$7:AU$15),0))</f>
        <v/>
      </c>
      <c r="AV36" s="55" t="str">
        <f>IF($B36="","",IF(COUNTIF(AV$16:AV$21,$B36)&gt;0,COUNTA(AV$7:AV$15),0))</f>
        <v/>
      </c>
      <c r="AW36" s="55" t="str">
        <f>IF($B36="","",IF(COUNTIF(AW$16:AW$21,$B36)&gt;0,COUNTA(AW$7:AW$15),0))</f>
        <v/>
      </c>
      <c r="AX36" s="55" t="str">
        <f>IF($B36="","",IF(COUNTIF(AX$16:AX$21,$B36)&gt;0,COUNTA(AX$7:AX$15),0))</f>
        <v/>
      </c>
      <c r="AY36" s="55" t="str">
        <f>IF($B36="","",IF(COUNTIF(AY$16:AY$21,$B36)&gt;0,COUNTA(AY$7:AY$15),0))</f>
        <v/>
      </c>
      <c r="AZ36" s="55" t="str">
        <f>IF($B36="","",IF(COUNTIF(AZ$16:AZ$21,$B36)&gt;0,COUNTA(AZ$7:AZ$15),0))</f>
        <v/>
      </c>
      <c r="BA36" s="55" t="str">
        <f>IF($B36="","",IF(COUNTIF(BA$16:BA$21,$B36)&gt;0,COUNTA(BA$7:BA$15),0))</f>
        <v/>
      </c>
      <c r="BB36" s="55" t="str">
        <f>IF($B36="","",IF(COUNTIF(BB$16:BB$21,$B36)&gt;0,COUNTA(BB$7:BB$15),0))</f>
        <v/>
      </c>
      <c r="BC36" s="55" t="str">
        <f>IF($B36="","",IF(COUNTIF(BC$16:BC$21,$B36)&gt;0,COUNTA(BC$7:BC$15),0))</f>
        <v/>
      </c>
      <c r="BD36" s="55" t="str">
        <f>IF($B36="","",IF(COUNTIF(BD$16:BD$21,$B36)&gt;0,COUNTA(BD$7:BD$15),0))</f>
        <v/>
      </c>
      <c r="BE36" s="55" t="str">
        <f>IF($B36="","",IF(COUNTIF(BE$16:BE$21,$B36)&gt;0,COUNTA(BE$7:BE$15),0))</f>
        <v/>
      </c>
      <c r="BF36" s="55" t="str">
        <f>IF($B36="","",IF(COUNTIF(BF$16:BF$21,$B36)&gt;0,COUNTA(BF$7:BF$15),0))</f>
        <v/>
      </c>
      <c r="BG36" s="55" t="str">
        <f>IF($B36="","",IF(COUNTIF(BG$16:BG$21,$B36)&gt;0,COUNTA(BG$7:BG$15),0))</f>
        <v/>
      </c>
      <c r="BH36" s="55" t="str">
        <f>IF($B36="","",IF(COUNTIF(BH$16:BH$21,$B36)&gt;0,COUNTA(BH$7:BH$15),0))</f>
        <v/>
      </c>
      <c r="BI36" s="55" t="str">
        <f>IF($B36="","",IF(COUNTIF(BI$16:BI$21,$B36)&gt;0,COUNTA(BI$7:BI$15),0))</f>
        <v/>
      </c>
      <c r="BJ36" s="55" t="str">
        <f>IF($B36="","",IF(COUNTIF(BJ$16:BJ$21,$B36)&gt;0,COUNTA(BJ$7:BJ$15),0))</f>
        <v/>
      </c>
      <c r="BK36" s="55" t="str">
        <f>IF($B36="","",IF(COUNTIF(BK$16:BK$21,$B36)&gt;0,COUNTA(BK$7:BK$15),0))</f>
        <v/>
      </c>
      <c r="BL36" s="55" t="str">
        <f>IF($B36="","",IF(COUNTIF(BL$16:BL$21,$B36)&gt;0,COUNTA(BL$7:BL$15),0))</f>
        <v/>
      </c>
      <c r="BM36" s="55" t="str">
        <f>IF($B36="","",IF(COUNTIF(BM$16:BM$21,$B36)&gt;0,COUNTA(BM$7:BM$15),0))</f>
        <v/>
      </c>
      <c r="BN36" s="55" t="str">
        <f>IF($B36="","",IF(COUNTIF(BN$16:BN$21,$B36)&gt;0,COUNTA(BN$7:BN$15),0))</f>
        <v/>
      </c>
      <c r="BO36" s="55" t="str">
        <f>IF($B36="","",IF(COUNTIF(BO$16:BO$21,$B36)&gt;0,COUNTA(BO$7:BO$15),0))</f>
        <v/>
      </c>
      <c r="BP36" s="55" t="str">
        <f>IF($B36="","",IF(COUNTIF(BP$16:BP$21,$B36)&gt;0,COUNTA(BP$7:BP$15),0))</f>
        <v/>
      </c>
      <c r="BQ36" s="55" t="str">
        <f>IF($B36="","",IF(COUNTIF(BQ$16:BQ$21,$B36)&gt;0,COUNTA(BQ$7:BQ$15),0))</f>
        <v/>
      </c>
      <c r="BR36" s="55" t="str">
        <f>IF($B36="","",IF(COUNTIF(BR$16:BR$21,$B36)&gt;0,COUNTA(BR$7:BR$15),0))</f>
        <v/>
      </c>
      <c r="BS36" s="55" t="str">
        <f>IF($B36="","",IF(COUNTIF(BS$16:BS$21,$B36)&gt;0,COUNTA(BS$7:BS$15),0))</f>
        <v/>
      </c>
      <c r="BT36" s="55" t="str">
        <f>IF($B36="","",IF(COUNTIF(BT$16:BT$21,$B36)&gt;0,COUNTA(BT$7:BT$15),0))</f>
        <v/>
      </c>
      <c r="BU36" s="55" t="str">
        <f>IF($B36="","",IF(COUNTIF(BU$16:BU$21,$B36)&gt;0,COUNTA(BU$7:BU$15),0))</f>
        <v/>
      </c>
      <c r="BV36" s="55" t="str">
        <f>IF($B36="","",IF(COUNTIF(BV$16:BV$21,$B36)&gt;0,COUNTA(BV$7:BV$15),0))</f>
        <v/>
      </c>
      <c r="BW36" s="55" t="str">
        <f>IF($B36="","",IF(COUNTIF(BW$16:BW$21,$B36)&gt;0,COUNTA(BW$7:BW$15),0))</f>
        <v/>
      </c>
      <c r="BX36" s="55" t="str">
        <f>IF($B36="","",IF(COUNTIF(BX$16:BX$21,$B36)&gt;0,COUNTA(BX$7:BX$15),0))</f>
        <v/>
      </c>
      <c r="BY36" s="55" t="str">
        <f>IF($B36="","",IF(COUNTIF(BY$16:BY$21,$B36)&gt;0,COUNTA(BY$7:BY$15),0))</f>
        <v/>
      </c>
      <c r="BZ36" s="55" t="str">
        <f>IF($B36="","",IF(COUNTIF(BZ$16:BZ$21,$B36)&gt;0,COUNTA(BZ$7:BZ$15),0))</f>
        <v/>
      </c>
      <c r="CA36" s="55" t="str">
        <f>IF($B36="","",IF(COUNTIF(CA$16:CA$21,$B36)&gt;0,COUNTA(CA$7:CA$15),0))</f>
        <v/>
      </c>
      <c r="CB36" s="55" t="str">
        <f>IF($B36="","",IF(COUNTIF(CB$16:CB$21,$B36)&gt;0,COUNTA(CB$7:CB$15),0))</f>
        <v/>
      </c>
      <c r="CC36" s="55" t="str">
        <f>IF($B36="","",IF(COUNTIF(CC$16:CC$21,$B36)&gt;0,COUNTA(CC$7:CC$15),0))</f>
        <v/>
      </c>
      <c r="CD36" s="55" t="str">
        <f>IF($B36="","",IF(COUNTIF(CD$16:CD$21,$B36)&gt;0,COUNTA(CD$7:CD$15),0))</f>
        <v/>
      </c>
      <c r="CE36" s="55" t="str">
        <f>IF($B36="","",IF(COUNTIF(CE$16:CE$21,$B36)&gt;0,COUNTA(CE$7:CE$15),0))</f>
        <v/>
      </c>
      <c r="CF36" s="55" t="str">
        <f>IF($B36="","",IF(COUNTIF(CF$16:CF$21,$B36)&gt;0,COUNTA(CF$7:CF$15),0))</f>
        <v/>
      </c>
      <c r="CG36" s="55" t="str">
        <f>IF($B36="","",IF(COUNTIF(CG$16:CG$21,$B36)&gt;0,COUNTA(CG$7:CG$15),0))</f>
        <v/>
      </c>
      <c r="CH36" s="55" t="str">
        <f>IF($B36="","",IF(COUNTIF(CH$16:CH$21,$B36)&gt;0,COUNTA(CH$7:CH$15),0))</f>
        <v/>
      </c>
      <c r="CI36" s="55" t="str">
        <f>IF($B36="","",IF(COUNTIF(CI$16:CI$21,$B36)&gt;0,COUNTA(CI$7:CI$15),0))</f>
        <v/>
      </c>
      <c r="CJ36" s="55" t="str">
        <f>IF($B36="","",IF(COUNTIF(CJ$16:CJ$21,$B36)&gt;0,COUNTA(CJ$7:CJ$15),0))</f>
        <v/>
      </c>
      <c r="CK36" s="55" t="str">
        <f>IF($B36="","",IF(COUNTIF(CK$16:CK$21,$B36)&gt;0,COUNTA(CK$7:CK$15),0))</f>
        <v/>
      </c>
      <c r="CL36" s="55" t="str">
        <f>IF($B36="","",IF(COUNTIF(CL$16:CL$21,$B36)&gt;0,COUNTA(CL$7:CL$15),0))</f>
        <v/>
      </c>
      <c r="CM36" s="55" t="str">
        <f>IF($B36="","",IF(COUNTIF(CM$16:CM$21,$B36)&gt;0,COUNTA(CM$7:CM$15),0))</f>
        <v/>
      </c>
      <c r="CN36" s="55" t="str">
        <f>IF($B36="","",IF(COUNTIF(CN$16:CN$21,$B36)&gt;0,COUNTA(CN$7:CN$15),0))</f>
        <v/>
      </c>
      <c r="CO36" s="55" t="str">
        <f>IF($B36="","",IF(COUNTIF(CO$16:CO$21,$B36)&gt;0,COUNTA(CO$7:CO$15),0))</f>
        <v/>
      </c>
      <c r="CP36" s="55" t="str">
        <f>IF($B36="","",IF(COUNTIF(CP$16:CP$21,$B36)&gt;0,COUNTA(CP$7:CP$15),0))</f>
        <v/>
      </c>
      <c r="CQ36" s="55" t="str">
        <f>IF($B36="","",IF(COUNTIF(CQ$16:CQ$21,$B36)&gt;0,COUNTA(CQ$7:CQ$15),0))</f>
        <v/>
      </c>
      <c r="CR36" s="55" t="str">
        <f>IF($B36="","",IF(COUNTIF(CR$16:CR$21,$B36)&gt;0,COUNTA(CR$7:CR$15),0))</f>
        <v/>
      </c>
      <c r="CS36" s="55" t="str">
        <f>IF($B36="","",IF(COUNTIF(CS$16:CS$21,$B36)&gt;0,COUNTA(CS$7:CS$15),0))</f>
        <v/>
      </c>
      <c r="CT36" s="55" t="str">
        <f>IF($B36="","",IF(COUNTIF(CT$16:CT$21,$B36)&gt;0,COUNTA(CT$7:CT$15),0))</f>
        <v/>
      </c>
      <c r="CU36" s="55" t="str">
        <f>IF($B36="","",IF(COUNTIF(CU$16:CU$21,$B36)&gt;0,COUNTA(CU$7:CU$15),0))</f>
        <v/>
      </c>
      <c r="CV36" s="55" t="str">
        <f>IF($B36="","",IF(COUNTIF(CV$16:CV$21,$B36)&gt;0,COUNTA(CV$7:CV$15),0))</f>
        <v/>
      </c>
      <c r="CW36" s="55" t="str">
        <f>IF($B36="","",IF(COUNTIF(CW$16:CW$21,$B36)&gt;0,COUNTA(CW$7:CW$15),0))</f>
        <v/>
      </c>
      <c r="CX36" s="55" t="str">
        <f>IF($B36="","",IF(COUNTIF(CX$16:CX$21,$B36)&gt;0,COUNTA(CX$7:CX$15),0))</f>
        <v/>
      </c>
      <c r="CY36" s="55" t="str">
        <f>IF($B36="","",IF(COUNTIF(CY$16:CY$21,$B36)&gt;0,COUNTA(CY$7:CY$15),0))</f>
        <v/>
      </c>
      <c r="CZ36" s="55" t="str">
        <f>IF($B36="","",IF(COUNTIF(CZ$16:CZ$21,$B36)&gt;0,COUNTA(CZ$7:CZ$15),0))</f>
        <v/>
      </c>
      <c r="DA36" s="55" t="str">
        <f>IF($B36="","",IF(COUNTIF(DA$16:DA$21,$B36)&gt;0,COUNTA(DA$7:DA$15),0))</f>
        <v/>
      </c>
      <c r="DB36" s="55" t="str">
        <f>IF($B36="","",IF(COUNTIF(DB$16:DB$21,$B36)&gt;0,COUNTA(DB$7:DB$15),0))</f>
        <v/>
      </c>
      <c r="DC36" s="55" t="str">
        <f>IF($B36="","",IF(COUNTIF(DC$16:DC$21,$B36)&gt;0,COUNTA(DC$7:DC$15),0))</f>
        <v/>
      </c>
      <c r="DD36" s="55" t="str">
        <f>IF($B36="","",IF(COUNTIF(DD$16:DD$21,$B36)&gt;0,COUNTA(DD$7:DD$15),0))</f>
        <v/>
      </c>
      <c r="DE36" s="58" t="str">
        <f>IF($B36="","",IF(COUNTIF(DE$16:DE$21,$B36)&gt;0,COUNTA(DE$7:DE$15),0))</f>
        <v/>
      </c>
    </row>
    <row r="37" spans="2:109" x14ac:dyDescent="0.2">
      <c r="B37" s="84" t="str">
        <f>IFERROR(INDEX(_xlfn._xlws.FILTER(Ressourcer!$B$1:$X$1,_xlfn.BYCOL(Ressourcer!$B$7:$X$10,_xlfn.LAMBDA(_xlpm.c,COUNTIF(_xlpm.c,"&lt;&gt;" )&gt;0))),ROWS($B$2:B15)),"")</f>
        <v/>
      </c>
      <c r="C37" s="79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)&gt;0))),_xlfn.LAMBDA(_xlpm.col,SUM(INDEX(Ressourcer!$B$7:$X$10,,_xlpm.col-COLUMN(Ressourcer!$B$7:$X$10)+1)))),ROWS($B$2:B15))/2,"")</f>
        <v/>
      </c>
      <c r="D37" s="106" t="str">
        <f>IF(SUM(E37:DE37)=0,"",SUM(E37:DE37))</f>
        <v/>
      </c>
      <c r="E37" s="57" t="str">
        <f>IF($B37="","",IF(COUNTIF(E$16:E$21,$B37)&gt;0,COUNTA(E$7:E$15),0))</f>
        <v/>
      </c>
      <c r="F37" s="55" t="str">
        <f>IF($B37="","",IF(COUNTIF(F$16:F$21,$B37)&gt;0,COUNTA(F$7:F$15),0))</f>
        <v/>
      </c>
      <c r="G37" s="55" t="str">
        <f>IF($B37="","",IF(COUNTIF(G$16:G$21,$B37)&gt;0,COUNTA(G$7:G$15),0))</f>
        <v/>
      </c>
      <c r="H37" s="55" t="str">
        <f>IF($B37="","",IF(COUNTIF(H$16:H$21,$B37)&gt;0,COUNTA(H$7:H$15),0))</f>
        <v/>
      </c>
      <c r="I37" s="55" t="str">
        <f>IF($B37="","",IF(COUNTIF(I$16:I$21,$B37)&gt;0,COUNTA(I$7:I$15),0))</f>
        <v/>
      </c>
      <c r="J37" s="55" t="str">
        <f>IF($B37="","",IF(COUNTIF(J$16:J$21,$B37)&gt;0,COUNTA(J$7:J$15),0))</f>
        <v/>
      </c>
      <c r="K37" s="55" t="str">
        <f>IF($B37="","",IF(COUNTIF(K$16:K$21,$B37)&gt;0,COUNTA(K$7:K$15),0))</f>
        <v/>
      </c>
      <c r="L37" s="55" t="str">
        <f>IF($B37="","",IF(COUNTIF(L$16:L$21,$B37)&gt;0,COUNTA(L$7:L$15),0))</f>
        <v/>
      </c>
      <c r="M37" s="55" t="str">
        <f>IF($B37="","",IF(COUNTIF(M$16:M$21,$B37)&gt;0,COUNTA(M$7:M$15),0))</f>
        <v/>
      </c>
      <c r="N37" s="55" t="str">
        <f>IF($B37="","",IF(COUNTIF(N$16:N$21,$B37)&gt;0,COUNTA(N$7:N$15),0))</f>
        <v/>
      </c>
      <c r="O37" s="55" t="str">
        <f>IF($B37="","",IF(COUNTIF(O$16:O$21,$B37)&gt;0,COUNTA(O$7:O$15),0))</f>
        <v/>
      </c>
      <c r="P37" s="55" t="str">
        <f>IF($B37="","",IF(COUNTIF(P$16:P$21,$B37)&gt;0,COUNTA(P$7:P$15),0))</f>
        <v/>
      </c>
      <c r="Q37" s="55" t="str">
        <f>IF($B37="","",IF(COUNTIF(Q$16:Q$21,$B37)&gt;0,COUNTA(Q$7:Q$15),0))</f>
        <v/>
      </c>
      <c r="R37" s="55" t="str">
        <f>IF($B37="","",IF(COUNTIF(R$16:R$21,$B37)&gt;0,COUNTA(R$7:R$15),0))</f>
        <v/>
      </c>
      <c r="S37" s="55" t="str">
        <f>IF($B37="","",IF(COUNTIF(S$16:S$21,$B37)&gt;0,COUNTA(S$7:S$15),0))</f>
        <v/>
      </c>
      <c r="T37" s="55" t="str">
        <f>IF($B37="","",IF(COUNTIF(T$16:T$21,$B37)&gt;0,COUNTA(T$7:T$15),0))</f>
        <v/>
      </c>
      <c r="U37" s="55" t="str">
        <f>IF($B37="","",IF(COUNTIF(U$16:U$21,$B37)&gt;0,COUNTA(U$7:U$15),0))</f>
        <v/>
      </c>
      <c r="V37" s="55" t="str">
        <f>IF($B37="","",IF(COUNTIF(V$16:V$21,$B37)&gt;0,COUNTA(V$7:V$15),0))</f>
        <v/>
      </c>
      <c r="W37" s="55" t="str">
        <f>IF($B37="","",IF(COUNTIF(W$16:W$21,$B37)&gt;0,COUNTA(W$7:W$15),0))</f>
        <v/>
      </c>
      <c r="X37" s="55" t="str">
        <f>IF($B37="","",IF(COUNTIF(X$16:X$21,$B37)&gt;0,COUNTA(X$7:X$15),0))</f>
        <v/>
      </c>
      <c r="Y37" s="55" t="str">
        <f>IF($B37="","",IF(COUNTIF(Y$16:Y$21,$B37)&gt;0,COUNTA(Y$7:Y$15),0))</f>
        <v/>
      </c>
      <c r="Z37" s="55" t="str">
        <f>IF($B37="","",IF(COUNTIF(Z$16:Z$21,$B37)&gt;0,COUNTA(Z$7:Z$15),0))</f>
        <v/>
      </c>
      <c r="AA37" s="55" t="str">
        <f>IF($B37="","",IF(COUNTIF(AA$16:AA$21,$B37)&gt;0,COUNTA(AA$7:AA$15),0))</f>
        <v/>
      </c>
      <c r="AB37" s="55" t="str">
        <f>IF($B37="","",IF(COUNTIF(AB$16:AB$21,$B37)&gt;0,COUNTA(AB$7:AB$15),0))</f>
        <v/>
      </c>
      <c r="AC37" s="55" t="str">
        <f>IF($B37="","",IF(COUNTIF(AC$16:AC$21,$B37)&gt;0,COUNTA(AC$7:AC$15),0))</f>
        <v/>
      </c>
      <c r="AD37" s="55" t="str">
        <f>IF($B37="","",IF(COUNTIF(AD$16:AD$21,$B37)&gt;0,COUNTA(AD$7:AD$15),0))</f>
        <v/>
      </c>
      <c r="AE37" s="55" t="str">
        <f>IF($B37="","",IF(COUNTIF(AE$16:AE$21,$B37)&gt;0,COUNTA(AE$7:AE$15),0))</f>
        <v/>
      </c>
      <c r="AF37" s="55" t="str">
        <f>IF($B37="","",IF(COUNTIF(AF$16:AF$21,$B37)&gt;0,COUNTA(AF$7:AF$15),0))</f>
        <v/>
      </c>
      <c r="AG37" s="55" t="str">
        <f>IF($B37="","",IF(COUNTIF(AG$16:AG$21,$B37)&gt;0,COUNTA(AG$7:AG$15),0))</f>
        <v/>
      </c>
      <c r="AH37" s="55" t="str">
        <f>IF($B37="","",IF(COUNTIF(AH$16:AH$21,$B37)&gt;0,COUNTA(AH$7:AH$15),0))</f>
        <v/>
      </c>
      <c r="AI37" s="55" t="str">
        <f>IF($B37="","",IF(COUNTIF(AI$16:AI$21,$B37)&gt;0,COUNTA(AI$7:AI$15),0))</f>
        <v/>
      </c>
      <c r="AJ37" s="55" t="str">
        <f>IF($B37="","",IF(COUNTIF(AJ$16:AJ$21,$B37)&gt;0,COUNTA(AJ$7:AJ$15),0))</f>
        <v/>
      </c>
      <c r="AK37" s="55" t="str">
        <f>IF($B37="","",IF(COUNTIF(AK$16:AK$21,$B37)&gt;0,COUNTA(AK$7:AK$15),0))</f>
        <v/>
      </c>
      <c r="AL37" s="55" t="str">
        <f>IF($B37="","",IF(COUNTIF(AL$16:AL$21,$B37)&gt;0,COUNTA(AL$7:AL$15),0))</f>
        <v/>
      </c>
      <c r="AM37" s="55" t="str">
        <f>IF($B37="","",IF(COUNTIF(AM$16:AM$21,$B37)&gt;0,COUNTA(AM$7:AM$15),0))</f>
        <v/>
      </c>
      <c r="AN37" s="55" t="str">
        <f>IF($B37="","",IF(COUNTIF(AN$16:AN$21,$B37)&gt;0,COUNTA(AN$7:AN$15),0))</f>
        <v/>
      </c>
      <c r="AO37" s="55" t="str">
        <f>IF($B37="","",IF(COUNTIF(AO$16:AO$21,$B37)&gt;0,COUNTA(AO$7:AO$15),0))</f>
        <v/>
      </c>
      <c r="AP37" s="55" t="str">
        <f>IF($B37="","",IF(COUNTIF(AP$16:AP$21,$B37)&gt;0,COUNTA(AP$7:AP$15),0))</f>
        <v/>
      </c>
      <c r="AQ37" s="55" t="str">
        <f>IF($B37="","",IF(COUNTIF(AQ$16:AQ$21,$B37)&gt;0,COUNTA(AQ$7:AQ$15),0))</f>
        <v/>
      </c>
      <c r="AR37" s="55" t="str">
        <f>IF($B37="","",IF(COUNTIF(AR$16:AR$21,$B37)&gt;0,COUNTA(AR$7:AR$15),0))</f>
        <v/>
      </c>
      <c r="AS37" s="55" t="str">
        <f>IF($B37="","",IF(COUNTIF(AS$16:AS$21,$B37)&gt;0,COUNTA(AS$7:AS$15),0))</f>
        <v/>
      </c>
      <c r="AT37" s="55" t="str">
        <f>IF($B37="","",IF(COUNTIF(AT$16:AT$21,$B37)&gt;0,COUNTA(AT$7:AT$15),0))</f>
        <v/>
      </c>
      <c r="AU37" s="55" t="str">
        <f>IF($B37="","",IF(COUNTIF(AU$16:AU$21,$B37)&gt;0,COUNTA(AU$7:AU$15),0))</f>
        <v/>
      </c>
      <c r="AV37" s="55" t="str">
        <f>IF($B37="","",IF(COUNTIF(AV$16:AV$21,$B37)&gt;0,COUNTA(AV$7:AV$15),0))</f>
        <v/>
      </c>
      <c r="AW37" s="55" t="str">
        <f>IF($B37="","",IF(COUNTIF(AW$16:AW$21,$B37)&gt;0,COUNTA(AW$7:AW$15),0))</f>
        <v/>
      </c>
      <c r="AX37" s="55" t="str">
        <f>IF($B37="","",IF(COUNTIF(AX$16:AX$21,$B37)&gt;0,COUNTA(AX$7:AX$15),0))</f>
        <v/>
      </c>
      <c r="AY37" s="55" t="str">
        <f>IF($B37="","",IF(COUNTIF(AY$16:AY$21,$B37)&gt;0,COUNTA(AY$7:AY$15),0))</f>
        <v/>
      </c>
      <c r="AZ37" s="55" t="str">
        <f>IF($B37="","",IF(COUNTIF(AZ$16:AZ$21,$B37)&gt;0,COUNTA(AZ$7:AZ$15),0))</f>
        <v/>
      </c>
      <c r="BA37" s="55" t="str">
        <f>IF($B37="","",IF(COUNTIF(BA$16:BA$21,$B37)&gt;0,COUNTA(BA$7:BA$15),0))</f>
        <v/>
      </c>
      <c r="BB37" s="55" t="str">
        <f>IF($B37="","",IF(COUNTIF(BB$16:BB$21,$B37)&gt;0,COUNTA(BB$7:BB$15),0))</f>
        <v/>
      </c>
      <c r="BC37" s="55" t="str">
        <f>IF($B37="","",IF(COUNTIF(BC$16:BC$21,$B37)&gt;0,COUNTA(BC$7:BC$15),0))</f>
        <v/>
      </c>
      <c r="BD37" s="55" t="str">
        <f>IF($B37="","",IF(COUNTIF(BD$16:BD$21,$B37)&gt;0,COUNTA(BD$7:BD$15),0))</f>
        <v/>
      </c>
      <c r="BE37" s="55" t="str">
        <f>IF($B37="","",IF(COUNTIF(BE$16:BE$21,$B37)&gt;0,COUNTA(BE$7:BE$15),0))</f>
        <v/>
      </c>
      <c r="BF37" s="55" t="str">
        <f>IF($B37="","",IF(COUNTIF(BF$16:BF$21,$B37)&gt;0,COUNTA(BF$7:BF$15),0))</f>
        <v/>
      </c>
      <c r="BG37" s="55" t="str">
        <f>IF($B37="","",IF(COUNTIF(BG$16:BG$21,$B37)&gt;0,COUNTA(BG$7:BG$15),0))</f>
        <v/>
      </c>
      <c r="BH37" s="55" t="str">
        <f>IF($B37="","",IF(COUNTIF(BH$16:BH$21,$B37)&gt;0,COUNTA(BH$7:BH$15),0))</f>
        <v/>
      </c>
      <c r="BI37" s="55" t="str">
        <f>IF($B37="","",IF(COUNTIF(BI$16:BI$21,$B37)&gt;0,COUNTA(BI$7:BI$15),0))</f>
        <v/>
      </c>
      <c r="BJ37" s="55" t="str">
        <f>IF($B37="","",IF(COUNTIF(BJ$16:BJ$21,$B37)&gt;0,COUNTA(BJ$7:BJ$15),0))</f>
        <v/>
      </c>
      <c r="BK37" s="55" t="str">
        <f>IF($B37="","",IF(COUNTIF(BK$16:BK$21,$B37)&gt;0,COUNTA(BK$7:BK$15),0))</f>
        <v/>
      </c>
      <c r="BL37" s="55" t="str">
        <f>IF($B37="","",IF(COUNTIF(BL$16:BL$21,$B37)&gt;0,COUNTA(BL$7:BL$15),0))</f>
        <v/>
      </c>
      <c r="BM37" s="55" t="str">
        <f>IF($B37="","",IF(COUNTIF(BM$16:BM$21,$B37)&gt;0,COUNTA(BM$7:BM$15),0))</f>
        <v/>
      </c>
      <c r="BN37" s="55" t="str">
        <f>IF($B37="","",IF(COUNTIF(BN$16:BN$21,$B37)&gt;0,COUNTA(BN$7:BN$15),0))</f>
        <v/>
      </c>
      <c r="BO37" s="55" t="str">
        <f>IF($B37="","",IF(COUNTIF(BO$16:BO$21,$B37)&gt;0,COUNTA(BO$7:BO$15),0))</f>
        <v/>
      </c>
      <c r="BP37" s="55" t="str">
        <f>IF($B37="","",IF(COUNTIF(BP$16:BP$21,$B37)&gt;0,COUNTA(BP$7:BP$15),0))</f>
        <v/>
      </c>
      <c r="BQ37" s="55" t="str">
        <f>IF($B37="","",IF(COUNTIF(BQ$16:BQ$21,$B37)&gt;0,COUNTA(BQ$7:BQ$15),0))</f>
        <v/>
      </c>
      <c r="BR37" s="55" t="str">
        <f>IF($B37="","",IF(COUNTIF(BR$16:BR$21,$B37)&gt;0,COUNTA(BR$7:BR$15),0))</f>
        <v/>
      </c>
      <c r="BS37" s="55" t="str">
        <f>IF($B37="","",IF(COUNTIF(BS$16:BS$21,$B37)&gt;0,COUNTA(BS$7:BS$15),0))</f>
        <v/>
      </c>
      <c r="BT37" s="55" t="str">
        <f>IF($B37="","",IF(COUNTIF(BT$16:BT$21,$B37)&gt;0,COUNTA(BT$7:BT$15),0))</f>
        <v/>
      </c>
      <c r="BU37" s="55" t="str">
        <f>IF($B37="","",IF(COUNTIF(BU$16:BU$21,$B37)&gt;0,COUNTA(BU$7:BU$15),0))</f>
        <v/>
      </c>
      <c r="BV37" s="55" t="str">
        <f>IF($B37="","",IF(COUNTIF(BV$16:BV$21,$B37)&gt;0,COUNTA(BV$7:BV$15),0))</f>
        <v/>
      </c>
      <c r="BW37" s="55" t="str">
        <f>IF($B37="","",IF(COUNTIF(BW$16:BW$21,$B37)&gt;0,COUNTA(BW$7:BW$15),0))</f>
        <v/>
      </c>
      <c r="BX37" s="55" t="str">
        <f>IF($B37="","",IF(COUNTIF(BX$16:BX$21,$B37)&gt;0,COUNTA(BX$7:BX$15),0))</f>
        <v/>
      </c>
      <c r="BY37" s="55" t="str">
        <f>IF($B37="","",IF(COUNTIF(BY$16:BY$21,$B37)&gt;0,COUNTA(BY$7:BY$15),0))</f>
        <v/>
      </c>
      <c r="BZ37" s="55" t="str">
        <f>IF($B37="","",IF(COUNTIF(BZ$16:BZ$21,$B37)&gt;0,COUNTA(BZ$7:BZ$15),0))</f>
        <v/>
      </c>
      <c r="CA37" s="55" t="str">
        <f>IF($B37="","",IF(COUNTIF(CA$16:CA$21,$B37)&gt;0,COUNTA(CA$7:CA$15),0))</f>
        <v/>
      </c>
      <c r="CB37" s="55" t="str">
        <f>IF($B37="","",IF(COUNTIF(CB$16:CB$21,$B37)&gt;0,COUNTA(CB$7:CB$15),0))</f>
        <v/>
      </c>
      <c r="CC37" s="55" t="str">
        <f>IF($B37="","",IF(COUNTIF(CC$16:CC$21,$B37)&gt;0,COUNTA(CC$7:CC$15),0))</f>
        <v/>
      </c>
      <c r="CD37" s="55" t="str">
        <f>IF($B37="","",IF(COUNTIF(CD$16:CD$21,$B37)&gt;0,COUNTA(CD$7:CD$15),0))</f>
        <v/>
      </c>
      <c r="CE37" s="55" t="str">
        <f>IF($B37="","",IF(COUNTIF(CE$16:CE$21,$B37)&gt;0,COUNTA(CE$7:CE$15),0))</f>
        <v/>
      </c>
      <c r="CF37" s="55" t="str">
        <f>IF($B37="","",IF(COUNTIF(CF$16:CF$21,$B37)&gt;0,COUNTA(CF$7:CF$15),0))</f>
        <v/>
      </c>
      <c r="CG37" s="55" t="str">
        <f>IF($B37="","",IF(COUNTIF(CG$16:CG$21,$B37)&gt;0,COUNTA(CG$7:CG$15),0))</f>
        <v/>
      </c>
      <c r="CH37" s="55" t="str">
        <f>IF($B37="","",IF(COUNTIF(CH$16:CH$21,$B37)&gt;0,COUNTA(CH$7:CH$15),0))</f>
        <v/>
      </c>
      <c r="CI37" s="55" t="str">
        <f>IF($B37="","",IF(COUNTIF(CI$16:CI$21,$B37)&gt;0,COUNTA(CI$7:CI$15),0))</f>
        <v/>
      </c>
      <c r="CJ37" s="55" t="str">
        <f>IF($B37="","",IF(COUNTIF(CJ$16:CJ$21,$B37)&gt;0,COUNTA(CJ$7:CJ$15),0))</f>
        <v/>
      </c>
      <c r="CK37" s="55" t="str">
        <f>IF($B37="","",IF(COUNTIF(CK$16:CK$21,$B37)&gt;0,COUNTA(CK$7:CK$15),0))</f>
        <v/>
      </c>
      <c r="CL37" s="55" t="str">
        <f>IF($B37="","",IF(COUNTIF(CL$16:CL$21,$B37)&gt;0,COUNTA(CL$7:CL$15),0))</f>
        <v/>
      </c>
      <c r="CM37" s="55" t="str">
        <f>IF($B37="","",IF(COUNTIF(CM$16:CM$21,$B37)&gt;0,COUNTA(CM$7:CM$15),0))</f>
        <v/>
      </c>
      <c r="CN37" s="55" t="str">
        <f>IF($B37="","",IF(COUNTIF(CN$16:CN$21,$B37)&gt;0,COUNTA(CN$7:CN$15),0))</f>
        <v/>
      </c>
      <c r="CO37" s="55" t="str">
        <f>IF($B37="","",IF(COUNTIF(CO$16:CO$21,$B37)&gt;0,COUNTA(CO$7:CO$15),0))</f>
        <v/>
      </c>
      <c r="CP37" s="55" t="str">
        <f>IF($B37="","",IF(COUNTIF(CP$16:CP$21,$B37)&gt;0,COUNTA(CP$7:CP$15),0))</f>
        <v/>
      </c>
      <c r="CQ37" s="55" t="str">
        <f>IF($B37="","",IF(COUNTIF(CQ$16:CQ$21,$B37)&gt;0,COUNTA(CQ$7:CQ$15),0))</f>
        <v/>
      </c>
      <c r="CR37" s="55" t="str">
        <f>IF($B37="","",IF(COUNTIF(CR$16:CR$21,$B37)&gt;0,COUNTA(CR$7:CR$15),0))</f>
        <v/>
      </c>
      <c r="CS37" s="55" t="str">
        <f>IF($B37="","",IF(COUNTIF(CS$16:CS$21,$B37)&gt;0,COUNTA(CS$7:CS$15),0))</f>
        <v/>
      </c>
      <c r="CT37" s="55" t="str">
        <f>IF($B37="","",IF(COUNTIF(CT$16:CT$21,$B37)&gt;0,COUNTA(CT$7:CT$15),0))</f>
        <v/>
      </c>
      <c r="CU37" s="55" t="str">
        <f>IF($B37="","",IF(COUNTIF(CU$16:CU$21,$B37)&gt;0,COUNTA(CU$7:CU$15),0))</f>
        <v/>
      </c>
      <c r="CV37" s="55" t="str">
        <f>IF($B37="","",IF(COUNTIF(CV$16:CV$21,$B37)&gt;0,COUNTA(CV$7:CV$15),0))</f>
        <v/>
      </c>
      <c r="CW37" s="55" t="str">
        <f>IF($B37="","",IF(COUNTIF(CW$16:CW$21,$B37)&gt;0,COUNTA(CW$7:CW$15),0))</f>
        <v/>
      </c>
      <c r="CX37" s="55" t="str">
        <f>IF($B37="","",IF(COUNTIF(CX$16:CX$21,$B37)&gt;0,COUNTA(CX$7:CX$15),0))</f>
        <v/>
      </c>
      <c r="CY37" s="55" t="str">
        <f>IF($B37="","",IF(COUNTIF(CY$16:CY$21,$B37)&gt;0,COUNTA(CY$7:CY$15),0))</f>
        <v/>
      </c>
      <c r="CZ37" s="55" t="str">
        <f>IF($B37="","",IF(COUNTIF(CZ$16:CZ$21,$B37)&gt;0,COUNTA(CZ$7:CZ$15),0))</f>
        <v/>
      </c>
      <c r="DA37" s="55" t="str">
        <f>IF($B37="","",IF(COUNTIF(DA$16:DA$21,$B37)&gt;0,COUNTA(DA$7:DA$15),0))</f>
        <v/>
      </c>
      <c r="DB37" s="55" t="str">
        <f>IF($B37="","",IF(COUNTIF(DB$16:DB$21,$B37)&gt;0,COUNTA(DB$7:DB$15),0))</f>
        <v/>
      </c>
      <c r="DC37" s="55" t="str">
        <f>IF($B37="","",IF(COUNTIF(DC$16:DC$21,$B37)&gt;0,COUNTA(DC$7:DC$15),0))</f>
        <v/>
      </c>
      <c r="DD37" s="55" t="str">
        <f>IF($B37="","",IF(COUNTIF(DD$16:DD$21,$B37)&gt;0,COUNTA(DD$7:DD$15),0))</f>
        <v/>
      </c>
      <c r="DE37" s="58" t="str">
        <f>IF($B37="","",IF(COUNTIF(DE$16:DE$21,$B37)&gt;0,COUNTA(DE$7:DE$15),0))</f>
        <v/>
      </c>
    </row>
    <row r="38" spans="2:109" ht="17" thickBot="1" x14ac:dyDescent="0.25">
      <c r="B38" s="85" t="str">
        <f>IFERROR(INDEX(_xlfn._xlws.FILTER(Ressourcer!$B$1:$X$1,_xlfn.BYCOL(Ressourcer!$B$7:$X$10,_xlfn.LAMBDA(_xlpm.c,COUNTIF(_xlpm.c,"&lt;&gt;" )&gt;0))),ROWS($B$2:B16)),"")</f>
        <v/>
      </c>
      <c r="C38" s="86" t="str">
        <f>IFERROR(INDEX(_xlfn.MAP(_xlfn._xlws.FILTER(COLUMN(Ressourcer!$B$1:$X$1),_xlfn.BYCOL(Ressourcer!$B$7:$X$10,_xlfn.LAMBDA(_xlpm.c,COUNTIF(_xlpm.c,"&lt;&gt;" )&gt;0))),_xlfn.LAMBDA(_xlpm.col,SUM(INDEX(Ressourcer!$B$7:$X$10,,_xlpm.col-COLUMN(Ressourcer!$B$7:$X$10)+1)))),ROWS($B$2:B16))/2,"")</f>
        <v/>
      </c>
      <c r="D38" s="106" t="str">
        <f>IF(SUM(E38:DE38)=0,"",SUM(E38:DE38))</f>
        <v/>
      </c>
      <c r="E38" s="59" t="str">
        <f>IF($B38="","",IF(COUNTIF(E$16:E$21,$B38)&gt;0,COUNTA(E$7:E$15),0))</f>
        <v/>
      </c>
      <c r="F38" s="60" t="str">
        <f>IF($B38="","",IF(COUNTIF(F$16:F$21,$B38)&gt;0,COUNTA(F$7:F$15),0))</f>
        <v/>
      </c>
      <c r="G38" s="60" t="str">
        <f>IF($B38="","",IF(COUNTIF(G$16:G$21,$B38)&gt;0,COUNTA(G$7:G$15),0))</f>
        <v/>
      </c>
      <c r="H38" s="60" t="str">
        <f>IF($B38="","",IF(COUNTIF(H$16:H$21,$B38)&gt;0,COUNTA(H$7:H$15),0))</f>
        <v/>
      </c>
      <c r="I38" s="60" t="str">
        <f>IF($B38="","",IF(COUNTIF(I$16:I$21,$B38)&gt;0,COUNTA(I$7:I$15),0))</f>
        <v/>
      </c>
      <c r="J38" s="60" t="str">
        <f>IF($B38="","",IF(COUNTIF(J$16:J$21,$B38)&gt;0,COUNTA(J$7:J$15),0))</f>
        <v/>
      </c>
      <c r="K38" s="60" t="str">
        <f>IF($B38="","",IF(COUNTIF(K$16:K$21,$B38)&gt;0,COUNTA(K$7:K$15),0))</f>
        <v/>
      </c>
      <c r="L38" s="60" t="str">
        <f>IF($B38="","",IF(COUNTIF(L$16:L$21,$B38)&gt;0,COUNTA(L$7:L$15),0))</f>
        <v/>
      </c>
      <c r="M38" s="60" t="str">
        <f>IF($B38="","",IF(COUNTIF(M$16:M$21,$B38)&gt;0,COUNTA(M$7:M$15),0))</f>
        <v/>
      </c>
      <c r="N38" s="60" t="str">
        <f>IF($B38="","",IF(COUNTIF(N$16:N$21,$B38)&gt;0,COUNTA(N$7:N$15),0))</f>
        <v/>
      </c>
      <c r="O38" s="60" t="str">
        <f>IF($B38="","",IF(COUNTIF(O$16:O$21,$B38)&gt;0,COUNTA(O$7:O$15),0))</f>
        <v/>
      </c>
      <c r="P38" s="60" t="str">
        <f>IF($B38="","",IF(COUNTIF(P$16:P$21,$B38)&gt;0,COUNTA(P$7:P$15),0))</f>
        <v/>
      </c>
      <c r="Q38" s="60" t="str">
        <f>IF($B38="","",IF(COUNTIF(Q$16:Q$21,$B38)&gt;0,COUNTA(Q$7:Q$15),0))</f>
        <v/>
      </c>
      <c r="R38" s="60" t="str">
        <f>IF($B38="","",IF(COUNTIF(R$16:R$21,$B38)&gt;0,COUNTA(R$7:R$15),0))</f>
        <v/>
      </c>
      <c r="S38" s="60" t="str">
        <f>IF($B38="","",IF(COUNTIF(S$16:S$21,$B38)&gt;0,COUNTA(S$7:S$15),0))</f>
        <v/>
      </c>
      <c r="T38" s="60" t="str">
        <f>IF($B38="","",IF(COUNTIF(T$16:T$21,$B38)&gt;0,COUNTA(T$7:T$15),0))</f>
        <v/>
      </c>
      <c r="U38" s="60" t="str">
        <f>IF($B38="","",IF(COUNTIF(U$16:U$21,$B38)&gt;0,COUNTA(U$7:U$15),0))</f>
        <v/>
      </c>
      <c r="V38" s="60" t="str">
        <f>IF($B38="","",IF(COUNTIF(V$16:V$21,$B38)&gt;0,COUNTA(V$7:V$15),0))</f>
        <v/>
      </c>
      <c r="W38" s="60" t="str">
        <f>IF($B38="","",IF(COUNTIF(W$16:W$21,$B38)&gt;0,COUNTA(W$7:W$15),0))</f>
        <v/>
      </c>
      <c r="X38" s="60" t="str">
        <f>IF($B38="","",IF(COUNTIF(X$16:X$21,$B38)&gt;0,COUNTA(X$7:X$15),0))</f>
        <v/>
      </c>
      <c r="Y38" s="60" t="str">
        <f>IF($B38="","",IF(COUNTIF(Y$16:Y$21,$B38)&gt;0,COUNTA(Y$7:Y$15),0))</f>
        <v/>
      </c>
      <c r="Z38" s="60" t="str">
        <f>IF($B38="","",IF(COUNTIF(Z$16:Z$21,$B38)&gt;0,COUNTA(Z$7:Z$15),0))</f>
        <v/>
      </c>
      <c r="AA38" s="60" t="str">
        <f>IF($B38="","",IF(COUNTIF(AA$16:AA$21,$B38)&gt;0,COUNTA(AA$7:AA$15),0))</f>
        <v/>
      </c>
      <c r="AB38" s="60" t="str">
        <f>IF($B38="","",IF(COUNTIF(AB$16:AB$21,$B38)&gt;0,COUNTA(AB$7:AB$15),0))</f>
        <v/>
      </c>
      <c r="AC38" s="60" t="str">
        <f>IF($B38="","",IF(COUNTIF(AC$16:AC$21,$B38)&gt;0,COUNTA(AC$7:AC$15),0))</f>
        <v/>
      </c>
      <c r="AD38" s="60" t="str">
        <f>IF($B38="","",IF(COUNTIF(AD$16:AD$21,$B38)&gt;0,COUNTA(AD$7:AD$15),0))</f>
        <v/>
      </c>
      <c r="AE38" s="60" t="str">
        <f>IF($B38="","",IF(COUNTIF(AE$16:AE$21,$B38)&gt;0,COUNTA(AE$7:AE$15),0))</f>
        <v/>
      </c>
      <c r="AF38" s="60" t="str">
        <f>IF($B38="","",IF(COUNTIF(AF$16:AF$21,$B38)&gt;0,COUNTA(AF$7:AF$15),0))</f>
        <v/>
      </c>
      <c r="AG38" s="60" t="str">
        <f>IF($B38="","",IF(COUNTIF(AG$16:AG$21,$B38)&gt;0,COUNTA(AG$7:AG$15),0))</f>
        <v/>
      </c>
      <c r="AH38" s="60" t="str">
        <f>IF($B38="","",IF(COUNTIF(AH$16:AH$21,$B38)&gt;0,COUNTA(AH$7:AH$15),0))</f>
        <v/>
      </c>
      <c r="AI38" s="60" t="str">
        <f>IF($B38="","",IF(COUNTIF(AI$16:AI$21,$B38)&gt;0,COUNTA(AI$7:AI$15),0))</f>
        <v/>
      </c>
      <c r="AJ38" s="60" t="str">
        <f>IF($B38="","",IF(COUNTIF(AJ$16:AJ$21,$B38)&gt;0,COUNTA(AJ$7:AJ$15),0))</f>
        <v/>
      </c>
      <c r="AK38" s="60" t="str">
        <f>IF($B38="","",IF(COUNTIF(AK$16:AK$21,$B38)&gt;0,COUNTA(AK$7:AK$15),0))</f>
        <v/>
      </c>
      <c r="AL38" s="60" t="str">
        <f>IF($B38="","",IF(COUNTIF(AL$16:AL$21,$B38)&gt;0,COUNTA(AL$7:AL$15),0))</f>
        <v/>
      </c>
      <c r="AM38" s="60" t="str">
        <f>IF($B38="","",IF(COUNTIF(AM$16:AM$21,$B38)&gt;0,COUNTA(AM$7:AM$15),0))</f>
        <v/>
      </c>
      <c r="AN38" s="60" t="str">
        <f>IF($B38="","",IF(COUNTIF(AN$16:AN$21,$B38)&gt;0,COUNTA(AN$7:AN$15),0))</f>
        <v/>
      </c>
      <c r="AO38" s="60" t="str">
        <f>IF($B38="","",IF(COUNTIF(AO$16:AO$21,$B38)&gt;0,COUNTA(AO$7:AO$15),0))</f>
        <v/>
      </c>
      <c r="AP38" s="60" t="str">
        <f>IF($B38="","",IF(COUNTIF(AP$16:AP$21,$B38)&gt;0,COUNTA(AP$7:AP$15),0))</f>
        <v/>
      </c>
      <c r="AQ38" s="60" t="str">
        <f>IF($B38="","",IF(COUNTIF(AQ$16:AQ$21,$B38)&gt;0,COUNTA(AQ$7:AQ$15),0))</f>
        <v/>
      </c>
      <c r="AR38" s="60" t="str">
        <f>IF($B38="","",IF(COUNTIF(AR$16:AR$21,$B38)&gt;0,COUNTA(AR$7:AR$15),0))</f>
        <v/>
      </c>
      <c r="AS38" s="60" t="str">
        <f>IF($B38="","",IF(COUNTIF(AS$16:AS$21,$B38)&gt;0,COUNTA(AS$7:AS$15),0))</f>
        <v/>
      </c>
      <c r="AT38" s="60" t="str">
        <f>IF($B38="","",IF(COUNTIF(AT$16:AT$21,$B38)&gt;0,COUNTA(AT$7:AT$15),0))</f>
        <v/>
      </c>
      <c r="AU38" s="60" t="str">
        <f>IF($B38="","",IF(COUNTIF(AU$16:AU$21,$B38)&gt;0,COUNTA(AU$7:AU$15),0))</f>
        <v/>
      </c>
      <c r="AV38" s="60" t="str">
        <f>IF($B38="","",IF(COUNTIF(AV$16:AV$21,$B38)&gt;0,COUNTA(AV$7:AV$15),0))</f>
        <v/>
      </c>
      <c r="AW38" s="60" t="str">
        <f>IF($B38="","",IF(COUNTIF(AW$16:AW$21,$B38)&gt;0,COUNTA(AW$7:AW$15),0))</f>
        <v/>
      </c>
      <c r="AX38" s="60" t="str">
        <f>IF($B38="","",IF(COUNTIF(AX$16:AX$21,$B38)&gt;0,COUNTA(AX$7:AX$15),0))</f>
        <v/>
      </c>
      <c r="AY38" s="60" t="str">
        <f>IF($B38="","",IF(COUNTIF(AY$16:AY$21,$B38)&gt;0,COUNTA(AY$7:AY$15),0))</f>
        <v/>
      </c>
      <c r="AZ38" s="60" t="str">
        <f>IF($B38="","",IF(COUNTIF(AZ$16:AZ$21,$B38)&gt;0,COUNTA(AZ$7:AZ$15),0))</f>
        <v/>
      </c>
      <c r="BA38" s="60" t="str">
        <f>IF($B38="","",IF(COUNTIF(BA$16:BA$21,$B38)&gt;0,COUNTA(BA$7:BA$15),0))</f>
        <v/>
      </c>
      <c r="BB38" s="60" t="str">
        <f>IF($B38="","",IF(COUNTIF(BB$16:BB$21,$B38)&gt;0,COUNTA(BB$7:BB$15),0))</f>
        <v/>
      </c>
      <c r="BC38" s="60" t="str">
        <f>IF($B38="","",IF(COUNTIF(BC$16:BC$21,$B38)&gt;0,COUNTA(BC$7:BC$15),0))</f>
        <v/>
      </c>
      <c r="BD38" s="60" t="str">
        <f>IF($B38="","",IF(COUNTIF(BD$16:BD$21,$B38)&gt;0,COUNTA(BD$7:BD$15),0))</f>
        <v/>
      </c>
      <c r="BE38" s="60" t="str">
        <f>IF($B38="","",IF(COUNTIF(BE$16:BE$21,$B38)&gt;0,COUNTA(BE$7:BE$15),0))</f>
        <v/>
      </c>
      <c r="BF38" s="60" t="str">
        <f>IF($B38="","",IF(COUNTIF(BF$16:BF$21,$B38)&gt;0,COUNTA(BF$7:BF$15),0))</f>
        <v/>
      </c>
      <c r="BG38" s="60" t="str">
        <f>IF($B38="","",IF(COUNTIF(BG$16:BG$21,$B38)&gt;0,COUNTA(BG$7:BG$15),0))</f>
        <v/>
      </c>
      <c r="BH38" s="60" t="str">
        <f>IF($B38="","",IF(COUNTIF(BH$16:BH$21,$B38)&gt;0,COUNTA(BH$7:BH$15),0))</f>
        <v/>
      </c>
      <c r="BI38" s="60" t="str">
        <f>IF($B38="","",IF(COUNTIF(BI$16:BI$21,$B38)&gt;0,COUNTA(BI$7:BI$15),0))</f>
        <v/>
      </c>
      <c r="BJ38" s="60" t="str">
        <f>IF($B38="","",IF(COUNTIF(BJ$16:BJ$21,$B38)&gt;0,COUNTA(BJ$7:BJ$15),0))</f>
        <v/>
      </c>
      <c r="BK38" s="60" t="str">
        <f>IF($B38="","",IF(COUNTIF(BK$16:BK$21,$B38)&gt;0,COUNTA(BK$7:BK$15),0))</f>
        <v/>
      </c>
      <c r="BL38" s="60" t="str">
        <f>IF($B38="","",IF(COUNTIF(BL$16:BL$21,$B38)&gt;0,COUNTA(BL$7:BL$15),0))</f>
        <v/>
      </c>
      <c r="BM38" s="60" t="str">
        <f>IF($B38="","",IF(COUNTIF(BM$16:BM$21,$B38)&gt;0,COUNTA(BM$7:BM$15),0))</f>
        <v/>
      </c>
      <c r="BN38" s="60" t="str">
        <f>IF($B38="","",IF(COUNTIF(BN$16:BN$21,$B38)&gt;0,COUNTA(BN$7:BN$15),0))</f>
        <v/>
      </c>
      <c r="BO38" s="60" t="str">
        <f>IF($B38="","",IF(COUNTIF(BO$16:BO$21,$B38)&gt;0,COUNTA(BO$7:BO$15),0))</f>
        <v/>
      </c>
      <c r="BP38" s="60" t="str">
        <f>IF($B38="","",IF(COUNTIF(BP$16:BP$21,$B38)&gt;0,COUNTA(BP$7:BP$15),0))</f>
        <v/>
      </c>
      <c r="BQ38" s="60" t="str">
        <f>IF($B38="","",IF(COUNTIF(BQ$16:BQ$21,$B38)&gt;0,COUNTA(BQ$7:BQ$15),0))</f>
        <v/>
      </c>
      <c r="BR38" s="60" t="str">
        <f>IF($B38="","",IF(COUNTIF(BR$16:BR$21,$B38)&gt;0,COUNTA(BR$7:BR$15),0))</f>
        <v/>
      </c>
      <c r="BS38" s="60" t="str">
        <f>IF($B38="","",IF(COUNTIF(BS$16:BS$21,$B38)&gt;0,COUNTA(BS$7:BS$15),0))</f>
        <v/>
      </c>
      <c r="BT38" s="60" t="str">
        <f>IF($B38="","",IF(COUNTIF(BT$16:BT$21,$B38)&gt;0,COUNTA(BT$7:BT$15),0))</f>
        <v/>
      </c>
      <c r="BU38" s="60" t="str">
        <f>IF($B38="","",IF(COUNTIF(BU$16:BU$21,$B38)&gt;0,COUNTA(BU$7:BU$15),0))</f>
        <v/>
      </c>
      <c r="BV38" s="60" t="str">
        <f>IF($B38="","",IF(COUNTIF(BV$16:BV$21,$B38)&gt;0,COUNTA(BV$7:BV$15),0))</f>
        <v/>
      </c>
      <c r="BW38" s="60" t="str">
        <f>IF($B38="","",IF(COUNTIF(BW$16:BW$21,$B38)&gt;0,COUNTA(BW$7:BW$15),0))</f>
        <v/>
      </c>
      <c r="BX38" s="60" t="str">
        <f>IF($B38="","",IF(COUNTIF(BX$16:BX$21,$B38)&gt;0,COUNTA(BX$7:BX$15),0))</f>
        <v/>
      </c>
      <c r="BY38" s="60" t="str">
        <f>IF($B38="","",IF(COUNTIF(BY$16:BY$21,$B38)&gt;0,COUNTA(BY$7:BY$15),0))</f>
        <v/>
      </c>
      <c r="BZ38" s="60" t="str">
        <f>IF($B38="","",IF(COUNTIF(BZ$16:BZ$21,$B38)&gt;0,COUNTA(BZ$7:BZ$15),0))</f>
        <v/>
      </c>
      <c r="CA38" s="60" t="str">
        <f>IF($B38="","",IF(COUNTIF(CA$16:CA$21,$B38)&gt;0,COUNTA(CA$7:CA$15),0))</f>
        <v/>
      </c>
      <c r="CB38" s="60" t="str">
        <f>IF($B38="","",IF(COUNTIF(CB$16:CB$21,$B38)&gt;0,COUNTA(CB$7:CB$15),0))</f>
        <v/>
      </c>
      <c r="CC38" s="60" t="str">
        <f>IF($B38="","",IF(COUNTIF(CC$16:CC$21,$B38)&gt;0,COUNTA(CC$7:CC$15),0))</f>
        <v/>
      </c>
      <c r="CD38" s="60" t="str">
        <f>IF($B38="","",IF(COUNTIF(CD$16:CD$21,$B38)&gt;0,COUNTA(CD$7:CD$15),0))</f>
        <v/>
      </c>
      <c r="CE38" s="60" t="str">
        <f>IF($B38="","",IF(COUNTIF(CE$16:CE$21,$B38)&gt;0,COUNTA(CE$7:CE$15),0))</f>
        <v/>
      </c>
      <c r="CF38" s="60" t="str">
        <f>IF($B38="","",IF(COUNTIF(CF$16:CF$21,$B38)&gt;0,COUNTA(CF$7:CF$15),0))</f>
        <v/>
      </c>
      <c r="CG38" s="60" t="str">
        <f>IF($B38="","",IF(COUNTIF(CG$16:CG$21,$B38)&gt;0,COUNTA(CG$7:CG$15),0))</f>
        <v/>
      </c>
      <c r="CH38" s="60" t="str">
        <f>IF($B38="","",IF(COUNTIF(CH$16:CH$21,$B38)&gt;0,COUNTA(CH$7:CH$15),0))</f>
        <v/>
      </c>
      <c r="CI38" s="60" t="str">
        <f>IF($B38="","",IF(COUNTIF(CI$16:CI$21,$B38)&gt;0,COUNTA(CI$7:CI$15),0))</f>
        <v/>
      </c>
      <c r="CJ38" s="60" t="str">
        <f>IF($B38="","",IF(COUNTIF(CJ$16:CJ$21,$B38)&gt;0,COUNTA(CJ$7:CJ$15),0))</f>
        <v/>
      </c>
      <c r="CK38" s="60" t="str">
        <f>IF($B38="","",IF(COUNTIF(CK$16:CK$21,$B38)&gt;0,COUNTA(CK$7:CK$15),0))</f>
        <v/>
      </c>
      <c r="CL38" s="60" t="str">
        <f>IF($B38="","",IF(COUNTIF(CL$16:CL$21,$B38)&gt;0,COUNTA(CL$7:CL$15),0))</f>
        <v/>
      </c>
      <c r="CM38" s="60" t="str">
        <f>IF($B38="","",IF(COUNTIF(CM$16:CM$21,$B38)&gt;0,COUNTA(CM$7:CM$15),0))</f>
        <v/>
      </c>
      <c r="CN38" s="60" t="str">
        <f>IF($B38="","",IF(COUNTIF(CN$16:CN$21,$B38)&gt;0,COUNTA(CN$7:CN$15),0))</f>
        <v/>
      </c>
      <c r="CO38" s="60" t="str">
        <f>IF($B38="","",IF(COUNTIF(CO$16:CO$21,$B38)&gt;0,COUNTA(CO$7:CO$15),0))</f>
        <v/>
      </c>
      <c r="CP38" s="60" t="str">
        <f>IF($B38="","",IF(COUNTIF(CP$16:CP$21,$B38)&gt;0,COUNTA(CP$7:CP$15),0))</f>
        <v/>
      </c>
      <c r="CQ38" s="60" t="str">
        <f>IF($B38="","",IF(COUNTIF(CQ$16:CQ$21,$B38)&gt;0,COUNTA(CQ$7:CQ$15),0))</f>
        <v/>
      </c>
      <c r="CR38" s="60" t="str">
        <f>IF($B38="","",IF(COUNTIF(CR$16:CR$21,$B38)&gt;0,COUNTA(CR$7:CR$15),0))</f>
        <v/>
      </c>
      <c r="CS38" s="60" t="str">
        <f>IF($B38="","",IF(COUNTIF(CS$16:CS$21,$B38)&gt;0,COUNTA(CS$7:CS$15),0))</f>
        <v/>
      </c>
      <c r="CT38" s="60" t="str">
        <f>IF($B38="","",IF(COUNTIF(CT$16:CT$21,$B38)&gt;0,COUNTA(CT$7:CT$15),0))</f>
        <v/>
      </c>
      <c r="CU38" s="60" t="str">
        <f>IF($B38="","",IF(COUNTIF(CU$16:CU$21,$B38)&gt;0,COUNTA(CU$7:CU$15),0))</f>
        <v/>
      </c>
      <c r="CV38" s="60" t="str">
        <f>IF($B38="","",IF(COUNTIF(CV$16:CV$21,$B38)&gt;0,COUNTA(CV$7:CV$15),0))</f>
        <v/>
      </c>
      <c r="CW38" s="60" t="str">
        <f>IF($B38="","",IF(COUNTIF(CW$16:CW$21,$B38)&gt;0,COUNTA(CW$7:CW$15),0))</f>
        <v/>
      </c>
      <c r="CX38" s="60" t="str">
        <f>IF($B38="","",IF(COUNTIF(CX$16:CX$21,$B38)&gt;0,COUNTA(CX$7:CX$15),0))</f>
        <v/>
      </c>
      <c r="CY38" s="60" t="str">
        <f>IF($B38="","",IF(COUNTIF(CY$16:CY$21,$B38)&gt;0,COUNTA(CY$7:CY$15),0))</f>
        <v/>
      </c>
      <c r="CZ38" s="60" t="str">
        <f>IF($B38="","",IF(COUNTIF(CZ$16:CZ$21,$B38)&gt;0,COUNTA(CZ$7:CZ$15),0))</f>
        <v/>
      </c>
      <c r="DA38" s="60" t="str">
        <f>IF($B38="","",IF(COUNTIF(DA$16:DA$21,$B38)&gt;0,COUNTA(DA$7:DA$15),0))</f>
        <v/>
      </c>
      <c r="DB38" s="60" t="str">
        <f>IF($B38="","",IF(COUNTIF(DB$16:DB$21,$B38)&gt;0,COUNTA(DB$7:DB$15),0))</f>
        <v/>
      </c>
      <c r="DC38" s="60" t="str">
        <f>IF($B38="","",IF(COUNTIF(DC$16:DC$21,$B38)&gt;0,COUNTA(DC$7:DC$15),0))</f>
        <v/>
      </c>
      <c r="DD38" s="60" t="str">
        <f>IF($B38="","",IF(COUNTIF(DD$16:DD$21,$B38)&gt;0,COUNTA(DD$7:DD$15),0))</f>
        <v/>
      </c>
      <c r="DE38" s="61" t="str">
        <f>IF($B38="","",IF(COUNTIF(DE$16:DE$21,$B38)&gt;0,COUNTA(DE$7:DE$15),0))</f>
        <v/>
      </c>
    </row>
    <row r="39" spans="2:109" ht="17" thickBot="1" x14ac:dyDescent="0.25">
      <c r="C39" s="87">
        <f>SUM(C24:C38)</f>
        <v>450</v>
      </c>
      <c r="D39" s="88">
        <f>SUM(D24:D38)</f>
        <v>0</v>
      </c>
      <c r="E39" s="139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</row>
    <row r="40" spans="2:109" x14ac:dyDescent="0.2">
      <c r="E40" s="139"/>
      <c r="F40" s="140"/>
      <c r="G40" s="141"/>
      <c r="H40" s="142"/>
      <c r="I40" s="142"/>
      <c r="J40" s="142"/>
      <c r="K40" s="142"/>
      <c r="L40" s="142"/>
      <c r="M40" s="142"/>
      <c r="N40" s="142"/>
      <c r="O40" s="142"/>
      <c r="P40" s="140"/>
    </row>
  </sheetData>
  <mergeCells count="57">
    <mergeCell ref="B17:D17"/>
    <mergeCell ref="B18:D18"/>
    <mergeCell ref="B19:D19"/>
    <mergeCell ref="B20:D20"/>
    <mergeCell ref="B21:D21"/>
    <mergeCell ref="B9:D9"/>
    <mergeCell ref="B10:D10"/>
    <mergeCell ref="B13:D13"/>
    <mergeCell ref="B14:D14"/>
    <mergeCell ref="B15:D15"/>
    <mergeCell ref="B16:D16"/>
    <mergeCell ref="CL3:CP3"/>
    <mergeCell ref="CQ3:CU3"/>
    <mergeCell ref="CV3:CZ3"/>
    <mergeCell ref="DA3:DE3"/>
    <mergeCell ref="B6:D6"/>
    <mergeCell ref="B7:D7"/>
    <mergeCell ref="BH3:BL3"/>
    <mergeCell ref="BM3:BQ3"/>
    <mergeCell ref="BR3:BV3"/>
    <mergeCell ref="BW3:CA3"/>
    <mergeCell ref="CB3:CF3"/>
    <mergeCell ref="CG3:CK3"/>
    <mergeCell ref="AD3:AH3"/>
    <mergeCell ref="AI3:AM3"/>
    <mergeCell ref="AN3:AR3"/>
    <mergeCell ref="AS3:AW3"/>
    <mergeCell ref="AX3:BB3"/>
    <mergeCell ref="BC3:BG3"/>
    <mergeCell ref="CL2:CP2"/>
    <mergeCell ref="CQ2:CU2"/>
    <mergeCell ref="CV2:CZ2"/>
    <mergeCell ref="DA2:DE2"/>
    <mergeCell ref="B3:D5"/>
    <mergeCell ref="E3:I3"/>
    <mergeCell ref="J3:N3"/>
    <mergeCell ref="O3:S3"/>
    <mergeCell ref="T3:X3"/>
    <mergeCell ref="Y3:AC3"/>
    <mergeCell ref="BH2:BL2"/>
    <mergeCell ref="BM2:BQ2"/>
    <mergeCell ref="BR2:BV2"/>
    <mergeCell ref="BW2:CA2"/>
    <mergeCell ref="CB2:CF2"/>
    <mergeCell ref="CG2:CK2"/>
    <mergeCell ref="AD2:AH2"/>
    <mergeCell ref="AI2:AM2"/>
    <mergeCell ref="AN2:AR2"/>
    <mergeCell ref="AS2:AW2"/>
    <mergeCell ref="AX2:BB2"/>
    <mergeCell ref="BC2:BG2"/>
    <mergeCell ref="B2:D2"/>
    <mergeCell ref="E2:I2"/>
    <mergeCell ref="J2:N2"/>
    <mergeCell ref="O2:S2"/>
    <mergeCell ref="T2:X2"/>
    <mergeCell ref="Y2:AC2"/>
  </mergeCells>
  <conditionalFormatting sqref="E6:BV6">
    <cfRule type="containsText" dxfId="829" priority="56" operator="containsText" text="BLOCKED">
      <formula>NOT(ISERROR(SEARCH("BLOCKED",E6)))</formula>
    </cfRule>
  </conditionalFormatting>
  <conditionalFormatting sqref="BX6:CO6 CQ6:DE6">
    <cfRule type="containsText" dxfId="828" priority="57" operator="containsText" text="BLOCKED">
      <formula>NOT(ISERROR(SEARCH("BLOCKED",BX6)))</formula>
    </cfRule>
  </conditionalFormatting>
  <conditionalFormatting sqref="F11:AJ11 AL11:BD11 BF11:BJ11 BM11:DE11">
    <cfRule type="containsText" dxfId="827" priority="46" operator="containsText" text="BLOCKED">
      <formula>NOT(ISERROR(SEARCH("BLOCKED",F11)))</formula>
    </cfRule>
  </conditionalFormatting>
  <conditionalFormatting sqref="F11:AJ11 AL11:BD11 BF11:BJ11 BM11:DE11">
    <cfRule type="containsText" dxfId="826" priority="47" operator="containsText" text="Eksamen">
      <formula>NOT(ISERROR(SEARCH("Eksamen",F11)))</formula>
    </cfRule>
    <cfRule type="containsText" dxfId="825" priority="48" operator="containsText" text="Øvelser">
      <formula>NOT(ISERROR(SEARCH("Øvelser",F11)))</formula>
    </cfRule>
    <cfRule type="containsText" dxfId="824" priority="49" operator="containsText" text="FORET_ARK">
      <formula>NOT(ISERROR(SEARCH("FORET_ARK",F11)))</formula>
    </cfRule>
    <cfRule type="containsText" dxfId="823" priority="50" operator="containsText" text="DATA_ARK">
      <formula>NOT(ISERROR(SEARCH("DATA_ARK",F11)))</formula>
    </cfRule>
    <cfRule type="containsText" dxfId="822" priority="51" operator="containsText" text="DRIFT ANALYSE">
      <formula>NOT(ISERROR(SEARCH("DRIFT ANALYSE",F11)))</formula>
    </cfRule>
    <cfRule type="containsText" dxfId="821" priority="52" operator="containsText" text="PROJ_STYR">
      <formula>NOT(ISERROR(SEARCH("PROJ_STYR",F11)))</formula>
    </cfRule>
    <cfRule type="containsText" dxfId="820" priority="53" operator="containsText" text="Coaching">
      <formula>NOT(ISERROR(SEARCH("Coaching",F11)))</formula>
    </cfRule>
    <cfRule type="containsText" dxfId="819" priority="54" operator="containsText" text="CasePræs">
      <formula>NOT(ISERROR(SEARCH("CasePræs",F11)))</formula>
    </cfRule>
    <cfRule type="containsText" dxfId="818" priority="55" operator="containsText" text="Feedback">
      <formula>NOT(ISERROR(SEARCH("Feedback",F11)))</formula>
    </cfRule>
  </conditionalFormatting>
  <conditionalFormatting sqref="F11:AJ11 AL11:BD11 BF11:BJ11 BM11:DE11">
    <cfRule type="expression" dxfId="817" priority="45">
      <formula>INDIRECT("R5C" &amp; COLUMN(),FALSE)="BLOCKED"</formula>
    </cfRule>
  </conditionalFormatting>
  <conditionalFormatting sqref="E11">
    <cfRule type="containsText" dxfId="816" priority="35" operator="containsText" text="BLOCKED">
      <formula>NOT(ISERROR(SEARCH("BLOCKED",E11)))</formula>
    </cfRule>
  </conditionalFormatting>
  <conditionalFormatting sqref="E11">
    <cfRule type="containsText" dxfId="815" priority="36" operator="containsText" text="Eksamen">
      <formula>NOT(ISERROR(SEARCH("Eksamen",E11)))</formula>
    </cfRule>
    <cfRule type="containsText" dxfId="814" priority="37" operator="containsText" text="Øvelser">
      <formula>NOT(ISERROR(SEARCH("Øvelser",E11)))</formula>
    </cfRule>
    <cfRule type="containsText" dxfId="813" priority="38" operator="containsText" text="FORET_ARK">
      <formula>NOT(ISERROR(SEARCH("FORET_ARK",E11)))</formula>
    </cfRule>
    <cfRule type="containsText" dxfId="812" priority="39" operator="containsText" text="DATA_ARK">
      <formula>NOT(ISERROR(SEARCH("DATA_ARK",E11)))</formula>
    </cfRule>
    <cfRule type="containsText" dxfId="811" priority="40" operator="containsText" text="DRIFT ANALYSE">
      <formula>NOT(ISERROR(SEARCH("DRIFT ANALYSE",E11)))</formula>
    </cfRule>
    <cfRule type="containsText" dxfId="810" priority="41" operator="containsText" text="PROJ_STYR">
      <formula>NOT(ISERROR(SEARCH("PROJ_STYR",E11)))</formula>
    </cfRule>
    <cfRule type="containsText" dxfId="809" priority="42" operator="containsText" text="Coaching">
      <formula>NOT(ISERROR(SEARCH("Coaching",E11)))</formula>
    </cfRule>
    <cfRule type="containsText" dxfId="808" priority="43" operator="containsText" text="CasePræs">
      <formula>NOT(ISERROR(SEARCH("CasePræs",E11)))</formula>
    </cfRule>
    <cfRule type="containsText" dxfId="807" priority="44" operator="containsText" text="Feedback">
      <formula>NOT(ISERROR(SEARCH("Feedback",E11)))</formula>
    </cfRule>
  </conditionalFormatting>
  <conditionalFormatting sqref="E11">
    <cfRule type="expression" dxfId="806" priority="34">
      <formula>INDIRECT("R5C" &amp; COLUMN(),FALSE)="BLOCKED"</formula>
    </cfRule>
  </conditionalFormatting>
  <conditionalFormatting sqref="AK11">
    <cfRule type="containsText" dxfId="805" priority="24" operator="containsText" text="BLOCKED">
      <formula>NOT(ISERROR(SEARCH("BLOCKED",AK11)))</formula>
    </cfRule>
  </conditionalFormatting>
  <conditionalFormatting sqref="AK11">
    <cfRule type="containsText" dxfId="804" priority="25" operator="containsText" text="Eksamen">
      <formula>NOT(ISERROR(SEARCH("Eksamen",AK11)))</formula>
    </cfRule>
    <cfRule type="containsText" dxfId="803" priority="26" operator="containsText" text="Øvelser">
      <formula>NOT(ISERROR(SEARCH("Øvelser",AK11)))</formula>
    </cfRule>
    <cfRule type="containsText" dxfId="802" priority="27" operator="containsText" text="FORET_ARK">
      <formula>NOT(ISERROR(SEARCH("FORET_ARK",AK11)))</formula>
    </cfRule>
    <cfRule type="containsText" dxfId="801" priority="28" operator="containsText" text="DATA_ARK">
      <formula>NOT(ISERROR(SEARCH("DATA_ARK",AK11)))</formula>
    </cfRule>
    <cfRule type="containsText" dxfId="800" priority="29" operator="containsText" text="DRIFT ANALYSE">
      <formula>NOT(ISERROR(SEARCH("DRIFT ANALYSE",AK11)))</formula>
    </cfRule>
    <cfRule type="containsText" dxfId="799" priority="30" operator="containsText" text="PROJ_STYR">
      <formula>NOT(ISERROR(SEARCH("PROJ_STYR",AK11)))</formula>
    </cfRule>
    <cfRule type="containsText" dxfId="798" priority="31" operator="containsText" text="Coaching">
      <formula>NOT(ISERROR(SEARCH("Coaching",AK11)))</formula>
    </cfRule>
    <cfRule type="containsText" dxfId="797" priority="32" operator="containsText" text="CasePræs">
      <formula>NOT(ISERROR(SEARCH("CasePræs",AK11)))</formula>
    </cfRule>
    <cfRule type="containsText" dxfId="796" priority="33" operator="containsText" text="Feedback">
      <formula>NOT(ISERROR(SEARCH("Feedback",AK11)))</formula>
    </cfRule>
  </conditionalFormatting>
  <conditionalFormatting sqref="AK11">
    <cfRule type="expression" dxfId="795" priority="23">
      <formula>INDIRECT("R5C" &amp; COLUMN(),FALSE)="BLOCKED"</formula>
    </cfRule>
  </conditionalFormatting>
  <conditionalFormatting sqref="BE11">
    <cfRule type="containsText" dxfId="794" priority="13" operator="containsText" text="BLOCKED">
      <formula>NOT(ISERROR(SEARCH("BLOCKED",BE11)))</formula>
    </cfRule>
  </conditionalFormatting>
  <conditionalFormatting sqref="BE11">
    <cfRule type="containsText" dxfId="793" priority="14" operator="containsText" text="Eksamen">
      <formula>NOT(ISERROR(SEARCH("Eksamen",BE11)))</formula>
    </cfRule>
    <cfRule type="containsText" dxfId="792" priority="15" operator="containsText" text="Øvelser">
      <formula>NOT(ISERROR(SEARCH("Øvelser",BE11)))</formula>
    </cfRule>
    <cfRule type="containsText" dxfId="791" priority="16" operator="containsText" text="FORET_ARK">
      <formula>NOT(ISERROR(SEARCH("FORET_ARK",BE11)))</formula>
    </cfRule>
    <cfRule type="containsText" dxfId="790" priority="17" operator="containsText" text="DATA_ARK">
      <formula>NOT(ISERROR(SEARCH("DATA_ARK",BE11)))</formula>
    </cfRule>
    <cfRule type="containsText" dxfId="789" priority="18" operator="containsText" text="DRIFT ANALYSE">
      <formula>NOT(ISERROR(SEARCH("DRIFT ANALYSE",BE11)))</formula>
    </cfRule>
    <cfRule type="containsText" dxfId="788" priority="19" operator="containsText" text="PROJ_STYR">
      <formula>NOT(ISERROR(SEARCH("PROJ_STYR",BE11)))</formula>
    </cfRule>
    <cfRule type="containsText" dxfId="787" priority="20" operator="containsText" text="Coaching">
      <formula>NOT(ISERROR(SEARCH("Coaching",BE11)))</formula>
    </cfRule>
    <cfRule type="containsText" dxfId="786" priority="21" operator="containsText" text="CasePræs">
      <formula>NOT(ISERROR(SEARCH("CasePræs",BE11)))</formula>
    </cfRule>
    <cfRule type="containsText" dxfId="785" priority="22" operator="containsText" text="Feedback">
      <formula>NOT(ISERROR(SEARCH("Feedback",BE11)))</formula>
    </cfRule>
  </conditionalFormatting>
  <conditionalFormatting sqref="BE11">
    <cfRule type="expression" dxfId="784" priority="12">
      <formula>INDIRECT("R5C" &amp; COLUMN(),FALSE)="BLOCKED"</formula>
    </cfRule>
  </conditionalFormatting>
  <conditionalFormatting sqref="BK11:BL11">
    <cfRule type="containsText" dxfId="783" priority="2" operator="containsText" text="BLOCKED">
      <formula>NOT(ISERROR(SEARCH("BLOCKED",BK11)))</formula>
    </cfRule>
  </conditionalFormatting>
  <conditionalFormatting sqref="BK11:BL11">
    <cfRule type="containsText" dxfId="782" priority="3" operator="containsText" text="Eksamen">
      <formula>NOT(ISERROR(SEARCH("Eksamen",BK11)))</formula>
    </cfRule>
    <cfRule type="containsText" dxfId="781" priority="4" operator="containsText" text="Øvelser">
      <formula>NOT(ISERROR(SEARCH("Øvelser",BK11)))</formula>
    </cfRule>
    <cfRule type="containsText" dxfId="780" priority="5" operator="containsText" text="FORET_ARK">
      <formula>NOT(ISERROR(SEARCH("FORET_ARK",BK11)))</formula>
    </cfRule>
    <cfRule type="containsText" dxfId="779" priority="6" operator="containsText" text="DATA_ARK">
      <formula>NOT(ISERROR(SEARCH("DATA_ARK",BK11)))</formula>
    </cfRule>
    <cfRule type="containsText" dxfId="778" priority="7" operator="containsText" text="DRIFT ANALYSE">
      <formula>NOT(ISERROR(SEARCH("DRIFT ANALYSE",BK11)))</formula>
    </cfRule>
    <cfRule type="containsText" dxfId="777" priority="8" operator="containsText" text="PROJ_STYR">
      <formula>NOT(ISERROR(SEARCH("PROJ_STYR",BK11)))</formula>
    </cfRule>
    <cfRule type="containsText" dxfId="776" priority="9" operator="containsText" text="Coaching">
      <formula>NOT(ISERROR(SEARCH("Coaching",BK11)))</formula>
    </cfRule>
    <cfRule type="containsText" dxfId="775" priority="10" operator="containsText" text="CasePræs">
      <formula>NOT(ISERROR(SEARCH("CasePræs",BK11)))</formula>
    </cfRule>
    <cfRule type="containsText" dxfId="774" priority="11" operator="containsText" text="Feedback">
      <formula>NOT(ISERROR(SEARCH("Feedback",BK11)))</formula>
    </cfRule>
  </conditionalFormatting>
  <conditionalFormatting sqref="BK11:BL11">
    <cfRule type="expression" dxfId="773" priority="1">
      <formula>INDIRECT("R5C" &amp; COLUMN(),FALSE)="BLOCKED"</formula>
    </cfRule>
  </conditionalFormatting>
  <conditionalFormatting sqref="E7:DE10 E12:DE15">
    <cfRule type="containsText" dxfId="355" priority="58" stopIfTrue="1" operator="containsText" text="ØKO">
      <formula>NOT(ISERROR(SEARCH("ØKO",E7)))</formula>
    </cfRule>
  </conditionalFormatting>
  <conditionalFormatting sqref="E7:DE10 E12:DE15">
    <cfRule type="containsText" dxfId="354" priority="59" stopIfTrue="1" operator="containsText" text="ANALYSE">
      <formula>NOT(ISERROR(SEARCH("ANALYSE",E7)))</formula>
    </cfRule>
  </conditionalFormatting>
  <conditionalFormatting sqref="E7:DE10 E12:DE15">
    <cfRule type="containsText" dxfId="353" priority="60" stopIfTrue="1" operator="containsText" text="AGILE">
      <formula>NOT(ISERROR(SEARCH("AGILE",E7)))</formula>
    </cfRule>
  </conditionalFormatting>
  <conditionalFormatting sqref="E7:DE10 E12:DE15">
    <cfRule type="containsText" dxfId="352" priority="61" stopIfTrue="1" operator="containsText" text="DATA">
      <formula>NOT(ISERROR(SEARCH("DATA",E7)))</formula>
    </cfRule>
  </conditionalFormatting>
  <conditionalFormatting sqref="E7:DE10 E12:DE15">
    <cfRule type="containsText" dxfId="349" priority="62" stopIfTrue="1" operator="containsText" text="COACH">
      <formula>NOT(ISERROR(SEARCH("COACH",E7)))</formula>
    </cfRule>
    <cfRule type="containsText" dxfId="348" priority="66" stopIfTrue="1" operator="containsText" text="EKSAM">
      <formula>NOT(ISERROR(SEARCH("EKSAM",E7)))</formula>
    </cfRule>
  </conditionalFormatting>
  <conditionalFormatting sqref="E7:DE10 E12:DE15">
    <cfRule type="containsText" dxfId="351" priority="63" stopIfTrue="1" operator="containsText" text="CASEPRÆS">
      <formula>NOT(ISERROR(SEARCH("CASEPRÆS",E7)))</formula>
    </cfRule>
  </conditionalFormatting>
  <conditionalFormatting sqref="E7:DE10 E12:DE15">
    <cfRule type="containsText" dxfId="350" priority="64" stopIfTrue="1" operator="containsText" text="FEEDBACK">
      <formula>NOT(ISERROR(SEARCH("FEEDBACK",E7)))</formula>
    </cfRule>
  </conditionalFormatting>
  <conditionalFormatting sqref="E7:DE10 E12:DE15">
    <cfRule type="containsText" dxfId="347" priority="65" stopIfTrue="1" operator="containsText" text="ØVELSER">
      <formula>NOT(ISERROR(SEARCH("ØVELSER",E7)))</formula>
    </cfRule>
    <cfRule type="containsText" dxfId="346" priority="67" stopIfTrue="1" operator="containsText" text="INTRO">
      <formula>NOT(ISERROR(SEARCH("INTRO",E7)))</formula>
    </cfRule>
  </conditionalFormatting>
  <conditionalFormatting sqref="D24:D38">
    <cfRule type="expression" dxfId="345" priority="68" stopIfTrue="1">
      <formula>ABS($D24-$C24)&lt;=10</formula>
    </cfRule>
  </conditionalFormatting>
  <conditionalFormatting sqref="D24:D38">
    <cfRule type="expression" dxfId="344" priority="69" stopIfTrue="1">
      <formula>ABS($D24-$C24)&gt;10</formula>
    </cfRule>
  </conditionalFormatting>
  <dataValidations count="1">
    <dataValidation type="list" allowBlank="1" showInputMessage="1" showErrorMessage="1" sqref="E16:DE21" xr:uid="{65C5E2E0-911C-4641-832D-D6541F694BD6}">
      <formula1>$B$24:$B$38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EE6F5A2-C6A4-5946-ACDB-C60CAA71A983}">
          <x14:formula1>
            <xm:f>Data!$F$3:$F$40</xm:f>
          </x14:formula1>
          <xm:sqref>E7:DE10 E12:DE15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F95A6-773F-DA44-95CB-78778454209A}">
  <sheetPr codeName="Sheet12"/>
  <dimension ref="A1:FI61"/>
  <sheetViews>
    <sheetView tabSelected="1" workbookViewId="0">
      <pane xSplit="4" topLeftCell="E1" activePane="topRight" state="frozen"/>
      <selection pane="topRight" activeCell="E12" sqref="E12"/>
    </sheetView>
  </sheetViews>
  <sheetFormatPr baseColWidth="10" defaultColWidth="10.83203125" defaultRowHeight="16" x14ac:dyDescent="0.2"/>
  <cols>
    <col min="1" max="1" width="3.83203125" style="134" customWidth="1"/>
    <col min="2" max="25" width="12.83203125" style="134" customWidth="1"/>
    <col min="26" max="26" width="13" style="134" customWidth="1"/>
    <col min="27" max="109" width="12.83203125" style="134" customWidth="1"/>
    <col min="110" max="16384" width="10.83203125" style="134"/>
  </cols>
  <sheetData>
    <row r="1" spans="1:165" ht="17" thickBot="1" x14ac:dyDescent="0.25"/>
    <row r="2" spans="1:165" ht="17" thickBot="1" x14ac:dyDescent="0.25">
      <c r="B2" s="477" t="s">
        <v>369</v>
      </c>
      <c r="C2" s="477"/>
      <c r="D2" s="477"/>
      <c r="E2" s="464" t="str">
        <f>_xlfn.CONCAT("Uge ",_xlfn.ISOWEEKNUM(E5))</f>
        <v>Uge 5</v>
      </c>
      <c r="F2" s="465"/>
      <c r="G2" s="465"/>
      <c r="H2" s="465"/>
      <c r="I2" s="466"/>
      <c r="J2" s="464" t="str">
        <f t="shared" ref="J2" si="0">_xlfn.CONCAT("Uge ",_xlfn.ISOWEEKNUM(J5))</f>
        <v>Uge 6</v>
      </c>
      <c r="K2" s="465"/>
      <c r="L2" s="465"/>
      <c r="M2" s="465"/>
      <c r="N2" s="466"/>
      <c r="O2" s="464" t="str">
        <f t="shared" ref="O2" si="1">_xlfn.CONCAT("Uge ",_xlfn.ISOWEEKNUM(O5))</f>
        <v>Uge 7</v>
      </c>
      <c r="P2" s="465"/>
      <c r="Q2" s="465"/>
      <c r="R2" s="465"/>
      <c r="S2" s="466"/>
      <c r="T2" s="464" t="str">
        <f t="shared" ref="T2" si="2">_xlfn.CONCAT("Uge ",_xlfn.ISOWEEKNUM(T5))</f>
        <v>Uge 8</v>
      </c>
      <c r="U2" s="465"/>
      <c r="V2" s="465"/>
      <c r="W2" s="465"/>
      <c r="X2" s="466"/>
      <c r="Y2" s="464" t="str">
        <f t="shared" ref="Y2:CG2" si="3">_xlfn.CONCAT("Uge ",_xlfn.ISOWEEKNUM(Y5))</f>
        <v>Uge 9</v>
      </c>
      <c r="Z2" s="465"/>
      <c r="AA2" s="465"/>
      <c r="AB2" s="465"/>
      <c r="AC2" s="466"/>
      <c r="AD2" s="464" t="str">
        <f t="shared" ref="AD2:CL2" si="4">_xlfn.CONCAT("Uge ",_xlfn.ISOWEEKNUM(AD5))</f>
        <v>Uge 10</v>
      </c>
      <c r="AE2" s="465"/>
      <c r="AF2" s="465"/>
      <c r="AG2" s="465"/>
      <c r="AH2" s="466"/>
      <c r="AI2" s="464" t="str">
        <f t="shared" ref="AI2" si="5">_xlfn.CONCAT("Uge ",_xlfn.ISOWEEKNUM(AI5))</f>
        <v>Uge 11</v>
      </c>
      <c r="AJ2" s="465"/>
      <c r="AK2" s="465"/>
      <c r="AL2" s="465"/>
      <c r="AM2" s="466"/>
      <c r="AN2" s="464" t="str">
        <f t="shared" si="3"/>
        <v>Uge 12</v>
      </c>
      <c r="AO2" s="465"/>
      <c r="AP2" s="465"/>
      <c r="AQ2" s="465"/>
      <c r="AR2" s="466"/>
      <c r="AS2" s="464" t="str">
        <f t="shared" si="4"/>
        <v>Uge 13</v>
      </c>
      <c r="AT2" s="465"/>
      <c r="AU2" s="465"/>
      <c r="AV2" s="465"/>
      <c r="AW2" s="466"/>
      <c r="AX2" s="464" t="str">
        <f t="shared" ref="AX2" si="6">_xlfn.CONCAT("Uge ",_xlfn.ISOWEEKNUM(AX5))</f>
        <v>Uge 14</v>
      </c>
      <c r="AY2" s="465"/>
      <c r="AZ2" s="465"/>
      <c r="BA2" s="465"/>
      <c r="BB2" s="466"/>
      <c r="BC2" s="464" t="str">
        <f t="shared" si="3"/>
        <v>Uge 15</v>
      </c>
      <c r="BD2" s="465"/>
      <c r="BE2" s="465"/>
      <c r="BF2" s="465"/>
      <c r="BG2" s="466"/>
      <c r="BH2" s="464" t="str">
        <f t="shared" si="4"/>
        <v>Uge 16</v>
      </c>
      <c r="BI2" s="465"/>
      <c r="BJ2" s="465"/>
      <c r="BK2" s="465"/>
      <c r="BL2" s="466"/>
      <c r="BM2" s="464" t="str">
        <f t="shared" ref="BM2" si="7">_xlfn.CONCAT("Uge ",_xlfn.ISOWEEKNUM(BM5))</f>
        <v>Uge 17</v>
      </c>
      <c r="BN2" s="465"/>
      <c r="BO2" s="465"/>
      <c r="BP2" s="465"/>
      <c r="BQ2" s="466"/>
      <c r="BR2" s="464" t="str">
        <f t="shared" si="3"/>
        <v>Uge 18</v>
      </c>
      <c r="BS2" s="465"/>
      <c r="BT2" s="465"/>
      <c r="BU2" s="465"/>
      <c r="BV2" s="466"/>
      <c r="BW2" s="464" t="str">
        <f t="shared" si="4"/>
        <v>Uge 19</v>
      </c>
      <c r="BX2" s="465"/>
      <c r="BY2" s="465"/>
      <c r="BZ2" s="465"/>
      <c r="CA2" s="466"/>
      <c r="CB2" s="464" t="str">
        <f t="shared" ref="CB2" si="8">_xlfn.CONCAT("Uge ",_xlfn.ISOWEEKNUM(CB5))</f>
        <v>Uge 20</v>
      </c>
      <c r="CC2" s="465"/>
      <c r="CD2" s="465"/>
      <c r="CE2" s="465"/>
      <c r="CF2" s="466"/>
      <c r="CG2" s="464" t="str">
        <f t="shared" si="3"/>
        <v>Uge 21</v>
      </c>
      <c r="CH2" s="465"/>
      <c r="CI2" s="465"/>
      <c r="CJ2" s="465"/>
      <c r="CK2" s="466"/>
      <c r="CL2" s="464" t="str">
        <f t="shared" si="4"/>
        <v>Uge 22</v>
      </c>
      <c r="CM2" s="465"/>
      <c r="CN2" s="465"/>
      <c r="CO2" s="465"/>
      <c r="CP2" s="466"/>
      <c r="CQ2" s="464" t="str">
        <f t="shared" ref="CQ2" si="9">_xlfn.CONCAT("Uge ",_xlfn.ISOWEEKNUM(CQ5))</f>
        <v>Uge 23</v>
      </c>
      <c r="CR2" s="465"/>
      <c r="CS2" s="465"/>
      <c r="CT2" s="465"/>
      <c r="CU2" s="466"/>
      <c r="CV2" s="464" t="str">
        <f t="shared" ref="CV2" si="10">_xlfn.CONCAT("Uge ",_xlfn.ISOWEEKNUM(CV5))</f>
        <v>Uge 24</v>
      </c>
      <c r="CW2" s="465"/>
      <c r="CX2" s="465"/>
      <c r="CY2" s="465"/>
      <c r="CZ2" s="466"/>
      <c r="DA2" s="464" t="str">
        <f t="shared" ref="DA2" si="11">_xlfn.CONCAT("Uge ",_xlfn.ISOWEEKNUM(DA5))</f>
        <v>Uge 25</v>
      </c>
      <c r="DB2" s="465"/>
      <c r="DC2" s="465"/>
      <c r="DD2" s="465"/>
      <c r="DE2" s="466"/>
    </row>
    <row r="3" spans="1:165" ht="17" thickBot="1" x14ac:dyDescent="0.25">
      <c r="B3" s="645" t="s">
        <v>391</v>
      </c>
      <c r="C3" s="646"/>
      <c r="D3" s="647"/>
      <c r="E3" s="476" t="s">
        <v>3</v>
      </c>
      <c r="F3" s="532"/>
      <c r="G3" s="532"/>
      <c r="H3" s="532"/>
      <c r="I3" s="533"/>
      <c r="J3" s="476" t="s">
        <v>3</v>
      </c>
      <c r="K3" s="532"/>
      <c r="L3" s="532"/>
      <c r="M3" s="532"/>
      <c r="N3" s="533"/>
      <c r="O3" s="476" t="s">
        <v>3</v>
      </c>
      <c r="P3" s="532"/>
      <c r="Q3" s="532"/>
      <c r="R3" s="532"/>
      <c r="S3" s="533"/>
      <c r="T3" s="463" t="s">
        <v>4</v>
      </c>
      <c r="U3" s="532"/>
      <c r="V3" s="532"/>
      <c r="W3" s="532"/>
      <c r="X3" s="533"/>
      <c r="Y3" s="463" t="s">
        <v>4</v>
      </c>
      <c r="Z3" s="532"/>
      <c r="AA3" s="532"/>
      <c r="AB3" s="532"/>
      <c r="AC3" s="533"/>
      <c r="AD3" s="463" t="s">
        <v>4</v>
      </c>
      <c r="AE3" s="532"/>
      <c r="AF3" s="532"/>
      <c r="AG3" s="532"/>
      <c r="AH3" s="533"/>
      <c r="AI3" s="463" t="s">
        <v>4</v>
      </c>
      <c r="AJ3" s="532"/>
      <c r="AK3" s="532"/>
      <c r="AL3" s="532"/>
      <c r="AM3" s="533"/>
      <c r="AN3" s="463" t="s">
        <v>4</v>
      </c>
      <c r="AO3" s="532"/>
      <c r="AP3" s="532"/>
      <c r="AQ3" s="532"/>
      <c r="AR3" s="533"/>
      <c r="AS3" s="463" t="s">
        <v>4</v>
      </c>
      <c r="AT3" s="532"/>
      <c r="AU3" s="532"/>
      <c r="AV3" s="532"/>
      <c r="AW3" s="533"/>
      <c r="AX3" s="461" t="s">
        <v>5</v>
      </c>
      <c r="AY3" s="532"/>
      <c r="AZ3" s="532"/>
      <c r="BA3" s="532"/>
      <c r="BB3" s="533"/>
      <c r="BC3" s="461" t="s">
        <v>5</v>
      </c>
      <c r="BD3" s="532"/>
      <c r="BE3" s="532"/>
      <c r="BF3" s="532"/>
      <c r="BG3" s="533"/>
      <c r="BH3" s="461" t="s">
        <v>5</v>
      </c>
      <c r="BI3" s="532"/>
      <c r="BJ3" s="532"/>
      <c r="BK3" s="532"/>
      <c r="BL3" s="533"/>
      <c r="BM3" s="461" t="s">
        <v>5</v>
      </c>
      <c r="BN3" s="532"/>
      <c r="BO3" s="532"/>
      <c r="BP3" s="532"/>
      <c r="BQ3" s="533"/>
      <c r="BR3" s="461" t="s">
        <v>5</v>
      </c>
      <c r="BS3" s="532"/>
      <c r="BT3" s="532"/>
      <c r="BU3" s="532"/>
      <c r="BV3" s="533"/>
      <c r="BW3" s="461" t="s">
        <v>5</v>
      </c>
      <c r="BX3" s="532"/>
      <c r="BY3" s="532"/>
      <c r="BZ3" s="532"/>
      <c r="CA3" s="533"/>
      <c r="CB3" s="462" t="s">
        <v>6</v>
      </c>
      <c r="CC3" s="532"/>
      <c r="CD3" s="532"/>
      <c r="CE3" s="532"/>
      <c r="CF3" s="533"/>
      <c r="CG3" s="462" t="s">
        <v>6</v>
      </c>
      <c r="CH3" s="532"/>
      <c r="CI3" s="532"/>
      <c r="CJ3" s="532"/>
      <c r="CK3" s="533"/>
      <c r="CL3" s="462" t="s">
        <v>6</v>
      </c>
      <c r="CM3" s="532"/>
      <c r="CN3" s="532"/>
      <c r="CO3" s="532"/>
      <c r="CP3" s="533"/>
      <c r="CQ3" s="462" t="s">
        <v>6</v>
      </c>
      <c r="CR3" s="532"/>
      <c r="CS3" s="532"/>
      <c r="CT3" s="532"/>
      <c r="CU3" s="533"/>
      <c r="CV3" s="462" t="s">
        <v>6</v>
      </c>
      <c r="CW3" s="532"/>
      <c r="CX3" s="532"/>
      <c r="CY3" s="532"/>
      <c r="CZ3" s="533"/>
      <c r="DA3" s="462" t="s">
        <v>6</v>
      </c>
      <c r="DB3" s="532"/>
      <c r="DC3" s="532"/>
      <c r="DD3" s="532"/>
      <c r="DE3" s="533"/>
    </row>
    <row r="4" spans="1:165" s="135" customFormat="1" x14ac:dyDescent="0.2">
      <c r="B4" s="648"/>
      <c r="C4" s="649"/>
      <c r="D4" s="650"/>
      <c r="E4" s="316">
        <f>E5</f>
        <v>46419</v>
      </c>
      <c r="F4" s="317">
        <f t="shared" ref="F4:BQ4" si="12">F5</f>
        <v>46420</v>
      </c>
      <c r="G4" s="318">
        <f t="shared" si="12"/>
        <v>46421</v>
      </c>
      <c r="H4" s="318">
        <f t="shared" si="12"/>
        <v>46422</v>
      </c>
      <c r="I4" s="319">
        <f t="shared" si="12"/>
        <v>46423</v>
      </c>
      <c r="J4" s="320">
        <f t="shared" si="12"/>
        <v>46426</v>
      </c>
      <c r="K4" s="321">
        <f t="shared" si="12"/>
        <v>46427</v>
      </c>
      <c r="L4" s="322">
        <f t="shared" si="12"/>
        <v>46428</v>
      </c>
      <c r="M4" s="322">
        <f t="shared" si="12"/>
        <v>46429</v>
      </c>
      <c r="N4" s="323">
        <f t="shared" si="12"/>
        <v>46430</v>
      </c>
      <c r="O4" s="316">
        <f t="shared" si="12"/>
        <v>46433</v>
      </c>
      <c r="P4" s="317">
        <f t="shared" si="12"/>
        <v>46434</v>
      </c>
      <c r="Q4" s="318">
        <f t="shared" si="12"/>
        <v>46435</v>
      </c>
      <c r="R4" s="318">
        <f t="shared" si="12"/>
        <v>46436</v>
      </c>
      <c r="S4" s="319">
        <f t="shared" si="12"/>
        <v>46437</v>
      </c>
      <c r="T4" s="320">
        <f t="shared" si="12"/>
        <v>46440</v>
      </c>
      <c r="U4" s="322">
        <f t="shared" si="12"/>
        <v>46441</v>
      </c>
      <c r="V4" s="322">
        <f t="shared" si="12"/>
        <v>46442</v>
      </c>
      <c r="W4" s="322">
        <f t="shared" si="12"/>
        <v>46443</v>
      </c>
      <c r="X4" s="323">
        <f t="shared" si="12"/>
        <v>46444</v>
      </c>
      <c r="Y4" s="316">
        <f t="shared" si="12"/>
        <v>46447</v>
      </c>
      <c r="Z4" s="318">
        <f t="shared" si="12"/>
        <v>46448</v>
      </c>
      <c r="AA4" s="318">
        <f t="shared" si="12"/>
        <v>46449</v>
      </c>
      <c r="AB4" s="318">
        <f t="shared" si="12"/>
        <v>46450</v>
      </c>
      <c r="AC4" s="319">
        <f t="shared" si="12"/>
        <v>46451</v>
      </c>
      <c r="AD4" s="320">
        <f t="shared" si="12"/>
        <v>46454</v>
      </c>
      <c r="AE4" s="322">
        <f t="shared" si="12"/>
        <v>46455</v>
      </c>
      <c r="AF4" s="322">
        <f t="shared" si="12"/>
        <v>46456</v>
      </c>
      <c r="AG4" s="322">
        <f t="shared" si="12"/>
        <v>46457</v>
      </c>
      <c r="AH4" s="323">
        <f t="shared" si="12"/>
        <v>46458</v>
      </c>
      <c r="AI4" s="316">
        <f t="shared" si="12"/>
        <v>46461</v>
      </c>
      <c r="AJ4" s="318">
        <f t="shared" si="12"/>
        <v>46462</v>
      </c>
      <c r="AK4" s="318">
        <f t="shared" si="12"/>
        <v>46463</v>
      </c>
      <c r="AL4" s="318">
        <f t="shared" si="12"/>
        <v>46464</v>
      </c>
      <c r="AM4" s="319">
        <f t="shared" si="12"/>
        <v>46465</v>
      </c>
      <c r="AN4" s="320">
        <f t="shared" si="12"/>
        <v>46468</v>
      </c>
      <c r="AO4" s="322">
        <f t="shared" si="12"/>
        <v>46469</v>
      </c>
      <c r="AP4" s="322">
        <f t="shared" si="12"/>
        <v>46470</v>
      </c>
      <c r="AQ4" s="322">
        <f t="shared" si="12"/>
        <v>46471</v>
      </c>
      <c r="AR4" s="323">
        <f t="shared" si="12"/>
        <v>46472</v>
      </c>
      <c r="AS4" s="316">
        <f t="shared" si="12"/>
        <v>46475</v>
      </c>
      <c r="AT4" s="318">
        <f t="shared" si="12"/>
        <v>46476</v>
      </c>
      <c r="AU4" s="318">
        <f t="shared" si="12"/>
        <v>46477</v>
      </c>
      <c r="AV4" s="318">
        <f t="shared" si="12"/>
        <v>46478</v>
      </c>
      <c r="AW4" s="324">
        <f t="shared" si="12"/>
        <v>46479</v>
      </c>
      <c r="AX4" s="320">
        <f t="shared" si="12"/>
        <v>46482</v>
      </c>
      <c r="AY4" s="322">
        <f t="shared" si="12"/>
        <v>46483</v>
      </c>
      <c r="AZ4" s="322">
        <f t="shared" si="12"/>
        <v>46484</v>
      </c>
      <c r="BA4" s="322">
        <f t="shared" si="12"/>
        <v>46485</v>
      </c>
      <c r="BB4" s="325">
        <f t="shared" si="12"/>
        <v>46486</v>
      </c>
      <c r="BC4" s="316">
        <f t="shared" si="12"/>
        <v>46489</v>
      </c>
      <c r="BD4" s="318">
        <f t="shared" si="12"/>
        <v>46490</v>
      </c>
      <c r="BE4" s="318">
        <f t="shared" si="12"/>
        <v>46491</v>
      </c>
      <c r="BF4" s="318">
        <f t="shared" si="12"/>
        <v>46492</v>
      </c>
      <c r="BG4" s="324">
        <f t="shared" si="12"/>
        <v>46493</v>
      </c>
      <c r="BH4" s="320">
        <f t="shared" si="12"/>
        <v>46496</v>
      </c>
      <c r="BI4" s="322">
        <f t="shared" si="12"/>
        <v>46497</v>
      </c>
      <c r="BJ4" s="322">
        <f t="shared" si="12"/>
        <v>46498</v>
      </c>
      <c r="BK4" s="322">
        <f t="shared" si="12"/>
        <v>46499</v>
      </c>
      <c r="BL4" s="325">
        <f t="shared" si="12"/>
        <v>46500</v>
      </c>
      <c r="BM4" s="316">
        <f t="shared" si="12"/>
        <v>46503</v>
      </c>
      <c r="BN4" s="318">
        <f t="shared" si="12"/>
        <v>46504</v>
      </c>
      <c r="BO4" s="318">
        <f t="shared" si="12"/>
        <v>46505</v>
      </c>
      <c r="BP4" s="318">
        <f t="shared" si="12"/>
        <v>46506</v>
      </c>
      <c r="BQ4" s="324">
        <f t="shared" si="12"/>
        <v>46507</v>
      </c>
      <c r="BR4" s="320">
        <f t="shared" ref="BR4:DE4" si="13">BR5</f>
        <v>46510</v>
      </c>
      <c r="BS4" s="322">
        <f t="shared" si="13"/>
        <v>46511</v>
      </c>
      <c r="BT4" s="322">
        <f t="shared" si="13"/>
        <v>46512</v>
      </c>
      <c r="BU4" s="322">
        <f t="shared" si="13"/>
        <v>46513</v>
      </c>
      <c r="BV4" s="325">
        <f t="shared" si="13"/>
        <v>46514</v>
      </c>
      <c r="BW4" s="316">
        <f t="shared" si="13"/>
        <v>46517</v>
      </c>
      <c r="BX4" s="318">
        <f t="shared" si="13"/>
        <v>46518</v>
      </c>
      <c r="BY4" s="318">
        <f t="shared" si="13"/>
        <v>46519</v>
      </c>
      <c r="BZ4" s="318">
        <f t="shared" si="13"/>
        <v>46520</v>
      </c>
      <c r="CA4" s="324">
        <f t="shared" si="13"/>
        <v>46521</v>
      </c>
      <c r="CB4" s="320">
        <f t="shared" si="13"/>
        <v>46524</v>
      </c>
      <c r="CC4" s="322">
        <f t="shared" si="13"/>
        <v>46525</v>
      </c>
      <c r="CD4" s="322">
        <f t="shared" si="13"/>
        <v>46526</v>
      </c>
      <c r="CE4" s="322">
        <f t="shared" si="13"/>
        <v>46527</v>
      </c>
      <c r="CF4" s="325">
        <f t="shared" si="13"/>
        <v>46528</v>
      </c>
      <c r="CG4" s="316">
        <f t="shared" si="13"/>
        <v>46531</v>
      </c>
      <c r="CH4" s="318">
        <f t="shared" si="13"/>
        <v>46532</v>
      </c>
      <c r="CI4" s="318">
        <f t="shared" si="13"/>
        <v>46533</v>
      </c>
      <c r="CJ4" s="318">
        <f t="shared" si="13"/>
        <v>46534</v>
      </c>
      <c r="CK4" s="324">
        <f t="shared" si="13"/>
        <v>46535</v>
      </c>
      <c r="CL4" s="320">
        <f t="shared" si="13"/>
        <v>46538</v>
      </c>
      <c r="CM4" s="322">
        <f t="shared" si="13"/>
        <v>46539</v>
      </c>
      <c r="CN4" s="322">
        <f t="shared" si="13"/>
        <v>46540</v>
      </c>
      <c r="CO4" s="322">
        <f t="shared" si="13"/>
        <v>46541</v>
      </c>
      <c r="CP4" s="325">
        <f t="shared" si="13"/>
        <v>46542</v>
      </c>
      <c r="CQ4" s="316">
        <f t="shared" si="13"/>
        <v>46545</v>
      </c>
      <c r="CR4" s="318">
        <f t="shared" si="13"/>
        <v>46546</v>
      </c>
      <c r="CS4" s="318">
        <f t="shared" si="13"/>
        <v>46547</v>
      </c>
      <c r="CT4" s="318">
        <f t="shared" si="13"/>
        <v>46548</v>
      </c>
      <c r="CU4" s="319">
        <f t="shared" si="13"/>
        <v>46549</v>
      </c>
      <c r="CV4" s="320">
        <f t="shared" si="13"/>
        <v>46552</v>
      </c>
      <c r="CW4" s="322">
        <f t="shared" si="13"/>
        <v>46553</v>
      </c>
      <c r="CX4" s="322">
        <f t="shared" si="13"/>
        <v>46554</v>
      </c>
      <c r="CY4" s="322">
        <f t="shared" si="13"/>
        <v>46555</v>
      </c>
      <c r="CZ4" s="323">
        <f t="shared" si="13"/>
        <v>46556</v>
      </c>
      <c r="DA4" s="316">
        <f t="shared" si="13"/>
        <v>46559</v>
      </c>
      <c r="DB4" s="318">
        <f t="shared" si="13"/>
        <v>46560</v>
      </c>
      <c r="DC4" s="318">
        <f t="shared" si="13"/>
        <v>46561</v>
      </c>
      <c r="DD4" s="318">
        <f t="shared" si="13"/>
        <v>46562</v>
      </c>
      <c r="DE4" s="319">
        <f t="shared" si="13"/>
        <v>46563</v>
      </c>
    </row>
    <row r="5" spans="1:165" s="135" customFormat="1" ht="17" thickBot="1" x14ac:dyDescent="0.25">
      <c r="B5" s="651"/>
      <c r="C5" s="652"/>
      <c r="D5" s="653"/>
      <c r="E5" s="31">
        <f>Data!M2</f>
        <v>46419</v>
      </c>
      <c r="F5" s="32">
        <f>E5+1</f>
        <v>46420</v>
      </c>
      <c r="G5" s="33">
        <f>F5+1</f>
        <v>46421</v>
      </c>
      <c r="H5" s="33">
        <f>G5+1</f>
        <v>46422</v>
      </c>
      <c r="I5" s="34">
        <f>H5+1</f>
        <v>46423</v>
      </c>
      <c r="J5" s="35">
        <f>I5+3</f>
        <v>46426</v>
      </c>
      <c r="K5" s="36">
        <f>J5+1</f>
        <v>46427</v>
      </c>
      <c r="L5" s="37">
        <f>K5+1</f>
        <v>46428</v>
      </c>
      <c r="M5" s="37">
        <f>L5+1</f>
        <v>46429</v>
      </c>
      <c r="N5" s="38">
        <f>M5+1</f>
        <v>46430</v>
      </c>
      <c r="O5" s="31">
        <f>N5+3</f>
        <v>46433</v>
      </c>
      <c r="P5" s="32">
        <f>O5+1</f>
        <v>46434</v>
      </c>
      <c r="Q5" s="33">
        <f>P5+1</f>
        <v>46435</v>
      </c>
      <c r="R5" s="33">
        <f>Q5+1</f>
        <v>46436</v>
      </c>
      <c r="S5" s="34">
        <f>R5+1</f>
        <v>46437</v>
      </c>
      <c r="T5" s="35">
        <f>S5+3</f>
        <v>46440</v>
      </c>
      <c r="U5" s="37">
        <f>T5+1</f>
        <v>46441</v>
      </c>
      <c r="V5" s="37">
        <f>U5+1</f>
        <v>46442</v>
      </c>
      <c r="W5" s="37">
        <f>V5+1</f>
        <v>46443</v>
      </c>
      <c r="X5" s="38">
        <f>W5+1</f>
        <v>46444</v>
      </c>
      <c r="Y5" s="31">
        <f>X5+3</f>
        <v>46447</v>
      </c>
      <c r="Z5" s="33">
        <f>Y5+1</f>
        <v>46448</v>
      </c>
      <c r="AA5" s="33">
        <f>Z5+1</f>
        <v>46449</v>
      </c>
      <c r="AB5" s="33">
        <f>AA5+1</f>
        <v>46450</v>
      </c>
      <c r="AC5" s="34">
        <f>AB5+1</f>
        <v>46451</v>
      </c>
      <c r="AD5" s="35">
        <f>AC5+3</f>
        <v>46454</v>
      </c>
      <c r="AE5" s="37">
        <f>AD5+1</f>
        <v>46455</v>
      </c>
      <c r="AF5" s="37">
        <f>AE5+1</f>
        <v>46456</v>
      </c>
      <c r="AG5" s="37">
        <f>AF5+1</f>
        <v>46457</v>
      </c>
      <c r="AH5" s="38">
        <f>AG5+1</f>
        <v>46458</v>
      </c>
      <c r="AI5" s="31">
        <f>AH5+3</f>
        <v>46461</v>
      </c>
      <c r="AJ5" s="33">
        <f>AI5+1</f>
        <v>46462</v>
      </c>
      <c r="AK5" s="33">
        <f>AJ5+1</f>
        <v>46463</v>
      </c>
      <c r="AL5" s="33">
        <f>AK5+1</f>
        <v>46464</v>
      </c>
      <c r="AM5" s="34">
        <f>AL5+1</f>
        <v>46465</v>
      </c>
      <c r="AN5" s="35">
        <f>AM5+3</f>
        <v>46468</v>
      </c>
      <c r="AO5" s="37">
        <f>AN5+1</f>
        <v>46469</v>
      </c>
      <c r="AP5" s="37">
        <f>AO5+1</f>
        <v>46470</v>
      </c>
      <c r="AQ5" s="37">
        <f>AP5+1</f>
        <v>46471</v>
      </c>
      <c r="AR5" s="38">
        <f>AQ5+1</f>
        <v>46472</v>
      </c>
      <c r="AS5" s="31">
        <f>AR5+3</f>
        <v>46475</v>
      </c>
      <c r="AT5" s="33">
        <f>AS5+1</f>
        <v>46476</v>
      </c>
      <c r="AU5" s="33">
        <f>AT5+1</f>
        <v>46477</v>
      </c>
      <c r="AV5" s="33">
        <f>AU5+1</f>
        <v>46478</v>
      </c>
      <c r="AW5" s="39">
        <f>AV5+1</f>
        <v>46479</v>
      </c>
      <c r="AX5" s="35">
        <f>AW5+3</f>
        <v>46482</v>
      </c>
      <c r="AY5" s="37">
        <f>AX5+1</f>
        <v>46483</v>
      </c>
      <c r="AZ5" s="37">
        <f>AY5+1</f>
        <v>46484</v>
      </c>
      <c r="BA5" s="37">
        <f>AZ5+1</f>
        <v>46485</v>
      </c>
      <c r="BB5" s="40">
        <f>BA5+1</f>
        <v>46486</v>
      </c>
      <c r="BC5" s="31">
        <f>BB5+3</f>
        <v>46489</v>
      </c>
      <c r="BD5" s="33">
        <f>BC5+1</f>
        <v>46490</v>
      </c>
      <c r="BE5" s="33">
        <f>BD5+1</f>
        <v>46491</v>
      </c>
      <c r="BF5" s="33">
        <f>BE5+1</f>
        <v>46492</v>
      </c>
      <c r="BG5" s="39">
        <f>BF5+1</f>
        <v>46493</v>
      </c>
      <c r="BH5" s="35">
        <f>BG5+3</f>
        <v>46496</v>
      </c>
      <c r="BI5" s="37">
        <f>BH5+1</f>
        <v>46497</v>
      </c>
      <c r="BJ5" s="37">
        <f>BI5+1</f>
        <v>46498</v>
      </c>
      <c r="BK5" s="37">
        <f>BJ5+1</f>
        <v>46499</v>
      </c>
      <c r="BL5" s="40">
        <f>BK5+1</f>
        <v>46500</v>
      </c>
      <c r="BM5" s="31">
        <f>BL5+3</f>
        <v>46503</v>
      </c>
      <c r="BN5" s="33">
        <f>BM5+1</f>
        <v>46504</v>
      </c>
      <c r="BO5" s="33">
        <f>BN5+1</f>
        <v>46505</v>
      </c>
      <c r="BP5" s="33">
        <f>BO5+1</f>
        <v>46506</v>
      </c>
      <c r="BQ5" s="39">
        <f>BP5+1</f>
        <v>46507</v>
      </c>
      <c r="BR5" s="35">
        <f>BQ5+3</f>
        <v>46510</v>
      </c>
      <c r="BS5" s="37">
        <f>BR5+1</f>
        <v>46511</v>
      </c>
      <c r="BT5" s="37">
        <f>BS5+1</f>
        <v>46512</v>
      </c>
      <c r="BU5" s="37">
        <f>BT5+1</f>
        <v>46513</v>
      </c>
      <c r="BV5" s="40">
        <f>BU5+1</f>
        <v>46514</v>
      </c>
      <c r="BW5" s="31">
        <f>BV5+3</f>
        <v>46517</v>
      </c>
      <c r="BX5" s="33">
        <f>BW5+1</f>
        <v>46518</v>
      </c>
      <c r="BY5" s="33">
        <f>BX5+1</f>
        <v>46519</v>
      </c>
      <c r="BZ5" s="33">
        <f>BY5+1</f>
        <v>46520</v>
      </c>
      <c r="CA5" s="39">
        <f>BZ5+1</f>
        <v>46521</v>
      </c>
      <c r="CB5" s="35">
        <f>CA5+3</f>
        <v>46524</v>
      </c>
      <c r="CC5" s="37">
        <f>CB5+1</f>
        <v>46525</v>
      </c>
      <c r="CD5" s="37">
        <f>CC5+1</f>
        <v>46526</v>
      </c>
      <c r="CE5" s="37">
        <f>CD5+1</f>
        <v>46527</v>
      </c>
      <c r="CF5" s="40">
        <f>CE5+1</f>
        <v>46528</v>
      </c>
      <c r="CG5" s="31">
        <f>CF5+3</f>
        <v>46531</v>
      </c>
      <c r="CH5" s="33">
        <f>CG5+1</f>
        <v>46532</v>
      </c>
      <c r="CI5" s="33">
        <f>CH5+1</f>
        <v>46533</v>
      </c>
      <c r="CJ5" s="33">
        <f>CI5+1</f>
        <v>46534</v>
      </c>
      <c r="CK5" s="39">
        <f>CJ5+1</f>
        <v>46535</v>
      </c>
      <c r="CL5" s="35">
        <f>CK5+3</f>
        <v>46538</v>
      </c>
      <c r="CM5" s="37">
        <f>CL5+1</f>
        <v>46539</v>
      </c>
      <c r="CN5" s="37">
        <f>CM5+1</f>
        <v>46540</v>
      </c>
      <c r="CO5" s="37">
        <f>CN5+1</f>
        <v>46541</v>
      </c>
      <c r="CP5" s="40">
        <f>CO5+1</f>
        <v>46542</v>
      </c>
      <c r="CQ5" s="31">
        <f>CP5+3</f>
        <v>46545</v>
      </c>
      <c r="CR5" s="33">
        <f>CQ5+1</f>
        <v>46546</v>
      </c>
      <c r="CS5" s="33">
        <f>CR5+1</f>
        <v>46547</v>
      </c>
      <c r="CT5" s="33">
        <f>CS5+1</f>
        <v>46548</v>
      </c>
      <c r="CU5" s="34">
        <f>CT5+1</f>
        <v>46549</v>
      </c>
      <c r="CV5" s="35">
        <f>CU5+3</f>
        <v>46552</v>
      </c>
      <c r="CW5" s="37">
        <f>CV5+1</f>
        <v>46553</v>
      </c>
      <c r="CX5" s="37">
        <f>CW5+1</f>
        <v>46554</v>
      </c>
      <c r="CY5" s="37">
        <f>CX5+1</f>
        <v>46555</v>
      </c>
      <c r="CZ5" s="38">
        <f>CY5+1</f>
        <v>46556</v>
      </c>
      <c r="DA5" s="31">
        <f>CZ5+3</f>
        <v>46559</v>
      </c>
      <c r="DB5" s="33">
        <f>DA5+1</f>
        <v>46560</v>
      </c>
      <c r="DC5" s="33">
        <f>DB5+1</f>
        <v>46561</v>
      </c>
      <c r="DD5" s="33">
        <f>DC5+1</f>
        <v>46562</v>
      </c>
      <c r="DE5" s="34">
        <f>DD5+1</f>
        <v>46563</v>
      </c>
    </row>
    <row r="6" spans="1:165" s="138" customFormat="1" ht="17" thickBot="1" x14ac:dyDescent="0.25">
      <c r="A6" s="134"/>
      <c r="B6" s="457"/>
      <c r="C6" s="457"/>
      <c r="D6" s="45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6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5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</row>
    <row r="7" spans="1:165" x14ac:dyDescent="0.2">
      <c r="B7" s="458" t="s">
        <v>7</v>
      </c>
      <c r="C7" s="459"/>
      <c r="D7" s="460"/>
      <c r="E7" s="81"/>
      <c r="F7" s="42"/>
      <c r="G7" s="42"/>
      <c r="H7" s="42"/>
      <c r="I7" s="43"/>
      <c r="J7" s="77"/>
      <c r="K7" s="62"/>
      <c r="L7" s="62"/>
      <c r="M7" s="62"/>
      <c r="N7" s="44"/>
      <c r="O7" s="41"/>
      <c r="P7" s="42"/>
      <c r="Q7" s="42"/>
      <c r="R7" s="42"/>
      <c r="S7" s="43"/>
      <c r="T7" s="77"/>
      <c r="U7" s="62"/>
      <c r="V7" s="62"/>
      <c r="W7" s="62"/>
      <c r="X7" s="44"/>
      <c r="Y7" s="41"/>
      <c r="Z7" s="42"/>
      <c r="AA7" s="42"/>
      <c r="AB7" s="42"/>
      <c r="AC7" s="43"/>
      <c r="AD7" s="77"/>
      <c r="AE7" s="62"/>
      <c r="AF7" s="62"/>
      <c r="AG7" s="62"/>
      <c r="AH7" s="44"/>
      <c r="AI7" s="41"/>
      <c r="AJ7" s="42"/>
      <c r="AK7" s="42"/>
      <c r="AL7" s="42"/>
      <c r="AM7" s="43"/>
      <c r="AN7" s="219"/>
      <c r="AO7" s="200"/>
      <c r="AP7" s="200"/>
      <c r="AQ7" s="200"/>
      <c r="AR7" s="209"/>
      <c r="AS7" s="223"/>
      <c r="AT7" s="42"/>
      <c r="AU7" s="42"/>
      <c r="AV7" s="42"/>
      <c r="AW7" s="43"/>
      <c r="AX7" s="77"/>
      <c r="AY7" s="62"/>
      <c r="AZ7" s="62"/>
      <c r="BA7" s="62"/>
      <c r="BB7" s="44"/>
      <c r="BC7" s="41"/>
      <c r="BD7" s="42"/>
      <c r="BE7" s="42"/>
      <c r="BF7" s="42"/>
      <c r="BG7" s="43"/>
      <c r="BH7" s="77"/>
      <c r="BI7" s="62"/>
      <c r="BJ7" s="62"/>
      <c r="BK7" s="62"/>
      <c r="BL7" s="44"/>
      <c r="BM7" s="41"/>
      <c r="BN7" s="42"/>
      <c r="BO7" s="42"/>
      <c r="BP7" s="42"/>
      <c r="BQ7" s="43"/>
      <c r="BR7" s="77"/>
      <c r="BS7" s="62"/>
      <c r="BT7" s="62"/>
      <c r="BU7" s="200"/>
      <c r="BV7" s="209"/>
      <c r="BW7" s="41"/>
      <c r="BX7" s="42"/>
      <c r="BY7" s="42"/>
      <c r="BZ7" s="42"/>
      <c r="CA7" s="43"/>
      <c r="CB7" s="219"/>
      <c r="CC7" s="62"/>
      <c r="CD7" s="62"/>
      <c r="CE7" s="62"/>
      <c r="CF7" s="44"/>
      <c r="CG7" s="41"/>
      <c r="CH7" s="42"/>
      <c r="CI7" s="42"/>
      <c r="CJ7" s="42"/>
      <c r="CK7" s="43"/>
      <c r="CL7" s="77"/>
      <c r="CM7" s="62"/>
      <c r="CN7" s="62"/>
      <c r="CO7" s="62"/>
      <c r="CP7" s="44"/>
      <c r="CQ7" s="41"/>
      <c r="CR7" s="42"/>
      <c r="CS7" s="42"/>
      <c r="CT7" s="42"/>
      <c r="CU7" s="43"/>
      <c r="CV7" s="77"/>
      <c r="CW7" s="62"/>
      <c r="CX7" s="62"/>
      <c r="CY7" s="62"/>
      <c r="CZ7" s="44"/>
      <c r="DA7" s="41"/>
      <c r="DB7" s="42"/>
      <c r="DC7" s="42"/>
      <c r="DD7" s="42"/>
      <c r="DE7" s="43"/>
    </row>
    <row r="8" spans="1:165" x14ac:dyDescent="0.2">
      <c r="B8" s="48" t="s">
        <v>15</v>
      </c>
      <c r="C8" s="82"/>
      <c r="D8" s="49"/>
      <c r="E8" s="214"/>
      <c r="F8" s="51"/>
      <c r="G8" s="51"/>
      <c r="H8" s="51"/>
      <c r="I8" s="52"/>
      <c r="J8" s="69"/>
      <c r="K8" s="64"/>
      <c r="L8" s="64"/>
      <c r="M8" s="64"/>
      <c r="N8" s="53"/>
      <c r="O8" s="50"/>
      <c r="P8" s="51"/>
      <c r="Q8" s="51"/>
      <c r="R8" s="51"/>
      <c r="S8" s="52"/>
      <c r="T8" s="69"/>
      <c r="U8" s="64"/>
      <c r="V8" s="64"/>
      <c r="W8" s="64"/>
      <c r="X8" s="53"/>
      <c r="Y8" s="50"/>
      <c r="Z8" s="51"/>
      <c r="AA8" s="51"/>
      <c r="AB8" s="51"/>
      <c r="AC8" s="52"/>
      <c r="AD8" s="69"/>
      <c r="AE8" s="64"/>
      <c r="AF8" s="64"/>
      <c r="AG8" s="64"/>
      <c r="AH8" s="53"/>
      <c r="AI8" s="50"/>
      <c r="AJ8" s="51"/>
      <c r="AK8" s="51"/>
      <c r="AL8" s="51"/>
      <c r="AM8" s="52"/>
      <c r="AN8" s="220"/>
      <c r="AO8" s="201"/>
      <c r="AP8" s="201"/>
      <c r="AQ8" s="201"/>
      <c r="AR8" s="210"/>
      <c r="AS8" s="225"/>
      <c r="AT8" s="51"/>
      <c r="AU8" s="51"/>
      <c r="AV8" s="51"/>
      <c r="AW8" s="52"/>
      <c r="AX8" s="69"/>
      <c r="AY8" s="64"/>
      <c r="AZ8" s="64"/>
      <c r="BA8" s="64"/>
      <c r="BB8" s="53"/>
      <c r="BC8" s="50"/>
      <c r="BD8" s="51"/>
      <c r="BE8" s="51"/>
      <c r="BF8" s="51"/>
      <c r="BG8" s="52"/>
      <c r="BH8" s="69"/>
      <c r="BI8" s="64"/>
      <c r="BJ8" s="64"/>
      <c r="BK8" s="64"/>
      <c r="BL8" s="53"/>
      <c r="BM8" s="50"/>
      <c r="BN8" s="51"/>
      <c r="BO8" s="51"/>
      <c r="BP8" s="51"/>
      <c r="BQ8" s="52"/>
      <c r="BR8" s="69"/>
      <c r="BS8" s="64"/>
      <c r="BT8" s="64"/>
      <c r="BU8" s="201"/>
      <c r="BV8" s="210"/>
      <c r="BW8" s="50"/>
      <c r="BX8" s="51"/>
      <c r="BY8" s="51"/>
      <c r="BZ8" s="51"/>
      <c r="CA8" s="52"/>
      <c r="CB8" s="220"/>
      <c r="CC8" s="64"/>
      <c r="CD8" s="64"/>
      <c r="CE8" s="64"/>
      <c r="CF8" s="53"/>
      <c r="CG8" s="50"/>
      <c r="CH8" s="51"/>
      <c r="CI8" s="51"/>
      <c r="CJ8" s="51"/>
      <c r="CK8" s="52"/>
      <c r="CL8" s="69"/>
      <c r="CM8" s="64"/>
      <c r="CN8" s="64"/>
      <c r="CO8" s="64"/>
      <c r="CP8" s="53"/>
      <c r="CQ8" s="50"/>
      <c r="CR8" s="51"/>
      <c r="CS8" s="51"/>
      <c r="CT8" s="51"/>
      <c r="CU8" s="52"/>
      <c r="CV8" s="69"/>
      <c r="CW8" s="64"/>
      <c r="CX8" s="64"/>
      <c r="CY8" s="64"/>
      <c r="CZ8" s="53"/>
      <c r="DA8" s="50"/>
      <c r="DB8" s="51"/>
      <c r="DC8" s="51"/>
      <c r="DD8" s="51"/>
      <c r="DE8" s="52"/>
    </row>
    <row r="9" spans="1:165" x14ac:dyDescent="0.2">
      <c r="B9" s="448" t="s">
        <v>16</v>
      </c>
      <c r="C9" s="449"/>
      <c r="D9" s="450"/>
      <c r="E9" s="57"/>
      <c r="F9" s="51"/>
      <c r="G9" s="51"/>
      <c r="H9" s="51"/>
      <c r="I9" s="52"/>
      <c r="J9" s="69"/>
      <c r="K9" s="64"/>
      <c r="L9" s="64"/>
      <c r="M9" s="64"/>
      <c r="N9" s="45"/>
      <c r="O9" s="54"/>
      <c r="P9" s="51"/>
      <c r="Q9" s="51"/>
      <c r="R9" s="51"/>
      <c r="S9" s="52"/>
      <c r="T9" s="69"/>
      <c r="U9" s="64"/>
      <c r="V9" s="64"/>
      <c r="W9" s="64"/>
      <c r="X9" s="45"/>
      <c r="Y9" s="54"/>
      <c r="Z9" s="51"/>
      <c r="AA9" s="51"/>
      <c r="AB9" s="51"/>
      <c r="AC9" s="52"/>
      <c r="AD9" s="69"/>
      <c r="AE9" s="64"/>
      <c r="AF9" s="64"/>
      <c r="AG9" s="64"/>
      <c r="AH9" s="45"/>
      <c r="AI9" s="54"/>
      <c r="AJ9" s="51"/>
      <c r="AK9" s="51"/>
      <c r="AL9" s="51"/>
      <c r="AM9" s="52"/>
      <c r="AN9" s="220"/>
      <c r="AO9" s="201"/>
      <c r="AP9" s="201"/>
      <c r="AQ9" s="201"/>
      <c r="AR9" s="211"/>
      <c r="AS9" s="227"/>
      <c r="AT9" s="51"/>
      <c r="AU9" s="51"/>
      <c r="AV9" s="51"/>
      <c r="AW9" s="52"/>
      <c r="AX9" s="69"/>
      <c r="AY9" s="64"/>
      <c r="AZ9" s="64"/>
      <c r="BA9" s="64"/>
      <c r="BB9" s="45"/>
      <c r="BC9" s="54"/>
      <c r="BD9" s="51"/>
      <c r="BE9" s="51"/>
      <c r="BF9" s="51"/>
      <c r="BG9" s="52"/>
      <c r="BH9" s="69"/>
      <c r="BI9" s="64"/>
      <c r="BJ9" s="64"/>
      <c r="BK9" s="64"/>
      <c r="BL9" s="45"/>
      <c r="BM9" s="54"/>
      <c r="BN9" s="51"/>
      <c r="BO9" s="51"/>
      <c r="BP9" s="51"/>
      <c r="BQ9" s="52"/>
      <c r="BR9" s="69"/>
      <c r="BS9" s="64"/>
      <c r="BT9" s="64"/>
      <c r="BU9" s="201"/>
      <c r="BV9" s="211"/>
      <c r="BW9" s="54"/>
      <c r="BX9" s="51"/>
      <c r="BY9" s="51"/>
      <c r="BZ9" s="51"/>
      <c r="CA9" s="52"/>
      <c r="CB9" s="220"/>
      <c r="CC9" s="64"/>
      <c r="CD9" s="64"/>
      <c r="CE9" s="64"/>
      <c r="CF9" s="45"/>
      <c r="CG9" s="54"/>
      <c r="CH9" s="51"/>
      <c r="CI9" s="51"/>
      <c r="CJ9" s="51"/>
      <c r="CK9" s="52"/>
      <c r="CL9" s="69"/>
      <c r="CM9" s="64"/>
      <c r="CN9" s="64"/>
      <c r="CO9" s="64"/>
      <c r="CP9" s="45"/>
      <c r="CQ9" s="54"/>
      <c r="CR9" s="51"/>
      <c r="CS9" s="51"/>
      <c r="CT9" s="51"/>
      <c r="CU9" s="52"/>
      <c r="CV9" s="69"/>
      <c r="CW9" s="64"/>
      <c r="CX9" s="64"/>
      <c r="CY9" s="64"/>
      <c r="CZ9" s="45"/>
      <c r="DA9" s="54"/>
      <c r="DB9" s="51"/>
      <c r="DC9" s="51"/>
      <c r="DD9" s="51"/>
      <c r="DE9" s="52"/>
    </row>
    <row r="10" spans="1:165" ht="17" thickBot="1" x14ac:dyDescent="0.25">
      <c r="B10" s="448" t="s">
        <v>17</v>
      </c>
      <c r="C10" s="449"/>
      <c r="D10" s="450"/>
      <c r="E10" s="57"/>
      <c r="F10" s="51"/>
      <c r="G10" s="51"/>
      <c r="H10" s="51"/>
      <c r="I10" s="52"/>
      <c r="J10" s="69"/>
      <c r="K10" s="64"/>
      <c r="L10" s="64"/>
      <c r="M10" s="64"/>
      <c r="N10" s="45"/>
      <c r="O10" s="54"/>
      <c r="P10" s="51"/>
      <c r="Q10" s="51"/>
      <c r="R10" s="51"/>
      <c r="S10" s="52"/>
      <c r="T10" s="69"/>
      <c r="U10" s="64"/>
      <c r="V10" s="64"/>
      <c r="W10" s="64"/>
      <c r="X10" s="45"/>
      <c r="Y10" s="54"/>
      <c r="Z10" s="51"/>
      <c r="AA10" s="51"/>
      <c r="AB10" s="51"/>
      <c r="AC10" s="52"/>
      <c r="AD10" s="69"/>
      <c r="AE10" s="64"/>
      <c r="AF10" s="64"/>
      <c r="AG10" s="64"/>
      <c r="AH10" s="45"/>
      <c r="AI10" s="54"/>
      <c r="AJ10" s="51"/>
      <c r="AK10" s="51"/>
      <c r="AL10" s="51"/>
      <c r="AM10" s="52"/>
      <c r="AN10" s="220"/>
      <c r="AO10" s="201"/>
      <c r="AP10" s="201"/>
      <c r="AQ10" s="201"/>
      <c r="AR10" s="211"/>
      <c r="AS10" s="227"/>
      <c r="AT10" s="51"/>
      <c r="AU10" s="51"/>
      <c r="AV10" s="51"/>
      <c r="AW10" s="52"/>
      <c r="AX10" s="69"/>
      <c r="AY10" s="64"/>
      <c r="AZ10" s="64"/>
      <c r="BA10" s="64"/>
      <c r="BB10" s="45"/>
      <c r="BC10" s="54"/>
      <c r="BD10" s="51"/>
      <c r="BE10" s="51"/>
      <c r="BF10" s="51"/>
      <c r="BG10" s="52"/>
      <c r="BH10" s="69"/>
      <c r="BI10" s="64"/>
      <c r="BJ10" s="64"/>
      <c r="BK10" s="64"/>
      <c r="BL10" s="45"/>
      <c r="BM10" s="54"/>
      <c r="BN10" s="51"/>
      <c r="BO10" s="51"/>
      <c r="BP10" s="51"/>
      <c r="BQ10" s="52"/>
      <c r="BR10" s="69"/>
      <c r="BS10" s="64"/>
      <c r="BT10" s="64"/>
      <c r="BU10" s="201"/>
      <c r="BV10" s="211"/>
      <c r="BW10" s="54"/>
      <c r="BX10" s="51"/>
      <c r="BY10" s="51"/>
      <c r="BZ10" s="51"/>
      <c r="CA10" s="52"/>
      <c r="CB10" s="220"/>
      <c r="CC10" s="64"/>
      <c r="CD10" s="64"/>
      <c r="CE10" s="64"/>
      <c r="CF10" s="45"/>
      <c r="CG10" s="54"/>
      <c r="CH10" s="51"/>
      <c r="CI10" s="51"/>
      <c r="CJ10" s="51"/>
      <c r="CK10" s="52"/>
      <c r="CL10" s="69"/>
      <c r="CM10" s="64"/>
      <c r="CN10" s="64"/>
      <c r="CO10" s="64"/>
      <c r="CP10" s="45"/>
      <c r="CQ10" s="54"/>
      <c r="CR10" s="51"/>
      <c r="CS10" s="51"/>
      <c r="CT10" s="51"/>
      <c r="CU10" s="52"/>
      <c r="CV10" s="69"/>
      <c r="CW10" s="64"/>
      <c r="CX10" s="64"/>
      <c r="CY10" s="64"/>
      <c r="CZ10" s="45"/>
      <c r="DA10" s="54"/>
      <c r="DB10" s="51"/>
      <c r="DC10" s="51"/>
      <c r="DD10" s="51"/>
      <c r="DE10" s="52"/>
    </row>
    <row r="11" spans="1:165" ht="17" thickBot="1" x14ac:dyDescent="0.25">
      <c r="B11" s="48" t="s">
        <v>18</v>
      </c>
      <c r="C11" s="82"/>
      <c r="D11" s="49"/>
      <c r="E11" s="100"/>
      <c r="F11" s="101"/>
      <c r="G11" s="101"/>
      <c r="H11" s="101"/>
      <c r="I11" s="102"/>
      <c r="J11" s="103"/>
      <c r="K11" s="104"/>
      <c r="L11" s="104"/>
      <c r="M11" s="104"/>
      <c r="N11" s="105"/>
      <c r="O11" s="100"/>
      <c r="P11" s="101"/>
      <c r="Q11" s="101"/>
      <c r="R11" s="101"/>
      <c r="S11" s="102"/>
      <c r="T11" s="103"/>
      <c r="U11" s="104"/>
      <c r="V11" s="104"/>
      <c r="W11" s="104"/>
      <c r="X11" s="105"/>
      <c r="Y11" s="100"/>
      <c r="Z11" s="101"/>
      <c r="AA11" s="101"/>
      <c r="AB11" s="101"/>
      <c r="AC11" s="102"/>
      <c r="AD11" s="103"/>
      <c r="AE11" s="104"/>
      <c r="AF11" s="104"/>
      <c r="AG11" s="104"/>
      <c r="AH11" s="105"/>
      <c r="AI11" s="100"/>
      <c r="AJ11" s="101"/>
      <c r="AK11" s="101"/>
      <c r="AL11" s="101"/>
      <c r="AM11" s="102"/>
      <c r="AN11" s="221"/>
      <c r="AO11" s="208"/>
      <c r="AP11" s="208"/>
      <c r="AQ11" s="208"/>
      <c r="AR11" s="212"/>
      <c r="AS11" s="228"/>
      <c r="AT11" s="101"/>
      <c r="AU11" s="101"/>
      <c r="AV11" s="101"/>
      <c r="AW11" s="102"/>
      <c r="AX11" s="103"/>
      <c r="AY11" s="104"/>
      <c r="AZ11" s="104"/>
      <c r="BA11" s="104"/>
      <c r="BB11" s="105"/>
      <c r="BC11" s="100"/>
      <c r="BD11" s="101"/>
      <c r="BE11" s="101"/>
      <c r="BF11" s="101"/>
      <c r="BG11" s="102"/>
      <c r="BH11" s="103"/>
      <c r="BI11" s="104"/>
      <c r="BJ11" s="104"/>
      <c r="BK11" s="104"/>
      <c r="BL11" s="105"/>
      <c r="BM11" s="100"/>
      <c r="BN11" s="101"/>
      <c r="BO11" s="101"/>
      <c r="BP11" s="101"/>
      <c r="BQ11" s="102"/>
      <c r="BR11" s="103"/>
      <c r="BS11" s="104"/>
      <c r="BT11" s="104"/>
      <c r="BU11" s="208"/>
      <c r="BV11" s="212"/>
      <c r="BW11" s="100"/>
      <c r="BX11" s="101"/>
      <c r="BY11" s="101"/>
      <c r="BZ11" s="101"/>
      <c r="CA11" s="102"/>
      <c r="CB11" s="221"/>
      <c r="CC11" s="104"/>
      <c r="CD11" s="104"/>
      <c r="CE11" s="104"/>
      <c r="CF11" s="105"/>
      <c r="CG11" s="100"/>
      <c r="CH11" s="101"/>
      <c r="CI11" s="101"/>
      <c r="CJ11" s="101"/>
      <c r="CK11" s="102"/>
      <c r="CL11" s="103"/>
      <c r="CM11" s="104"/>
      <c r="CN11" s="104"/>
      <c r="CO11" s="104"/>
      <c r="CP11" s="105"/>
      <c r="CQ11" s="100"/>
      <c r="CR11" s="101"/>
      <c r="CS11" s="101"/>
      <c r="CT11" s="101"/>
      <c r="CU11" s="102"/>
      <c r="CV11" s="103"/>
      <c r="CW11" s="104"/>
      <c r="CX11" s="104"/>
      <c r="CY11" s="104"/>
      <c r="CZ11" s="105"/>
      <c r="DA11" s="100"/>
      <c r="DB11" s="101"/>
      <c r="DC11" s="101"/>
      <c r="DD11" s="101"/>
      <c r="DE11" s="102"/>
    </row>
    <row r="12" spans="1:165" x14ac:dyDescent="0.2">
      <c r="B12" s="48" t="s">
        <v>19</v>
      </c>
      <c r="C12" s="82"/>
      <c r="D12" s="49"/>
      <c r="E12" s="81"/>
      <c r="F12" s="42"/>
      <c r="G12" s="200"/>
      <c r="H12" s="42"/>
      <c r="I12" s="43"/>
      <c r="J12" s="77"/>
      <c r="K12" s="62"/>
      <c r="L12" s="200"/>
      <c r="M12" s="62"/>
      <c r="N12" s="44"/>
      <c r="O12" s="41"/>
      <c r="P12" s="42"/>
      <c r="Q12" s="200"/>
      <c r="R12" s="42"/>
      <c r="S12" s="43"/>
      <c r="T12" s="77"/>
      <c r="U12" s="62"/>
      <c r="V12" s="200"/>
      <c r="W12" s="62"/>
      <c r="X12" s="44"/>
      <c r="Y12" s="41"/>
      <c r="Z12" s="42"/>
      <c r="AA12" s="200"/>
      <c r="AB12" s="42"/>
      <c r="AC12" s="43"/>
      <c r="AD12" s="77"/>
      <c r="AE12" s="62"/>
      <c r="AF12" s="200"/>
      <c r="AG12" s="62"/>
      <c r="AH12" s="44"/>
      <c r="AI12" s="41"/>
      <c r="AJ12" s="42"/>
      <c r="AK12" s="200"/>
      <c r="AL12" s="42"/>
      <c r="AM12" s="43"/>
      <c r="AN12" s="219"/>
      <c r="AO12" s="200"/>
      <c r="AP12" s="200"/>
      <c r="AQ12" s="200"/>
      <c r="AR12" s="209"/>
      <c r="AS12" s="223"/>
      <c r="AT12" s="42"/>
      <c r="AU12" s="200"/>
      <c r="AV12" s="42"/>
      <c r="AW12" s="43"/>
      <c r="AX12" s="77"/>
      <c r="AY12" s="62"/>
      <c r="AZ12" s="200"/>
      <c r="BA12" s="62"/>
      <c r="BB12" s="44"/>
      <c r="BC12" s="41"/>
      <c r="BD12" s="42"/>
      <c r="BE12" s="200"/>
      <c r="BF12" s="42"/>
      <c r="BG12" s="43"/>
      <c r="BH12" s="77"/>
      <c r="BI12" s="62"/>
      <c r="BJ12" s="200"/>
      <c r="BK12" s="62"/>
      <c r="BL12" s="44"/>
      <c r="BM12" s="41"/>
      <c r="BN12" s="42"/>
      <c r="BO12" s="200"/>
      <c r="BP12" s="42"/>
      <c r="BQ12" s="43"/>
      <c r="BR12" s="77"/>
      <c r="BS12" s="62"/>
      <c r="BT12" s="200"/>
      <c r="BU12" s="200"/>
      <c r="BV12" s="209"/>
      <c r="BW12" s="41"/>
      <c r="BX12" s="42"/>
      <c r="BY12" s="200"/>
      <c r="BZ12" s="42"/>
      <c r="CA12" s="43"/>
      <c r="CB12" s="219"/>
      <c r="CC12" s="62"/>
      <c r="CD12" s="200"/>
      <c r="CE12" s="62"/>
      <c r="CF12" s="44"/>
      <c r="CG12" s="41"/>
      <c r="CH12" s="42"/>
      <c r="CI12" s="200"/>
      <c r="CJ12" s="42"/>
      <c r="CK12" s="43"/>
      <c r="CL12" s="77"/>
      <c r="CM12" s="62"/>
      <c r="CN12" s="200"/>
      <c r="CO12" s="62"/>
      <c r="CP12" s="44"/>
      <c r="CQ12" s="41"/>
      <c r="CR12" s="42"/>
      <c r="CS12" s="200"/>
      <c r="CT12" s="42"/>
      <c r="CU12" s="43"/>
      <c r="CV12" s="77"/>
      <c r="CW12" s="62"/>
      <c r="CX12" s="200"/>
      <c r="CY12" s="62"/>
      <c r="CZ12" s="44"/>
      <c r="DA12" s="41"/>
      <c r="DB12" s="42"/>
      <c r="DC12" s="200"/>
      <c r="DD12" s="42"/>
      <c r="DE12" s="43"/>
    </row>
    <row r="13" spans="1:165" x14ac:dyDescent="0.2">
      <c r="B13" s="448" t="s">
        <v>21</v>
      </c>
      <c r="C13" s="449"/>
      <c r="D13" s="450"/>
      <c r="E13" s="214"/>
      <c r="F13" s="51"/>
      <c r="G13" s="201"/>
      <c r="H13" s="51"/>
      <c r="I13" s="52"/>
      <c r="J13" s="69"/>
      <c r="K13" s="64"/>
      <c r="L13" s="201"/>
      <c r="M13" s="64"/>
      <c r="N13" s="53"/>
      <c r="O13" s="50"/>
      <c r="P13" s="51"/>
      <c r="Q13" s="201"/>
      <c r="R13" s="51"/>
      <c r="S13" s="52"/>
      <c r="T13" s="69"/>
      <c r="U13" s="64"/>
      <c r="V13" s="201"/>
      <c r="W13" s="64"/>
      <c r="X13" s="53"/>
      <c r="Y13" s="50"/>
      <c r="Z13" s="51"/>
      <c r="AA13" s="201"/>
      <c r="AB13" s="51"/>
      <c r="AC13" s="52"/>
      <c r="AD13" s="69"/>
      <c r="AE13" s="64"/>
      <c r="AF13" s="201"/>
      <c r="AG13" s="64"/>
      <c r="AH13" s="53"/>
      <c r="AI13" s="50"/>
      <c r="AJ13" s="51"/>
      <c r="AK13" s="201"/>
      <c r="AL13" s="51"/>
      <c r="AM13" s="52"/>
      <c r="AN13" s="220"/>
      <c r="AO13" s="201"/>
      <c r="AP13" s="201"/>
      <c r="AQ13" s="201"/>
      <c r="AR13" s="210"/>
      <c r="AS13" s="225"/>
      <c r="AT13" s="51"/>
      <c r="AU13" s="201"/>
      <c r="AV13" s="51"/>
      <c r="AW13" s="52"/>
      <c r="AX13" s="69"/>
      <c r="AY13" s="64"/>
      <c r="AZ13" s="201"/>
      <c r="BA13" s="64"/>
      <c r="BB13" s="53"/>
      <c r="BC13" s="50"/>
      <c r="BD13" s="51"/>
      <c r="BE13" s="201"/>
      <c r="BF13" s="51"/>
      <c r="BG13" s="52"/>
      <c r="BH13" s="69"/>
      <c r="BI13" s="64"/>
      <c r="BJ13" s="201"/>
      <c r="BK13" s="64"/>
      <c r="BL13" s="53"/>
      <c r="BM13" s="50"/>
      <c r="BN13" s="51"/>
      <c r="BO13" s="201"/>
      <c r="BP13" s="51"/>
      <c r="BQ13" s="52"/>
      <c r="BR13" s="69"/>
      <c r="BS13" s="64"/>
      <c r="BT13" s="201"/>
      <c r="BU13" s="201"/>
      <c r="BV13" s="210"/>
      <c r="BW13" s="50"/>
      <c r="BX13" s="51"/>
      <c r="BY13" s="201"/>
      <c r="BZ13" s="51"/>
      <c r="CA13" s="52"/>
      <c r="CB13" s="220"/>
      <c r="CC13" s="64"/>
      <c r="CD13" s="201"/>
      <c r="CE13" s="64"/>
      <c r="CF13" s="53"/>
      <c r="CG13" s="50"/>
      <c r="CH13" s="51"/>
      <c r="CI13" s="201"/>
      <c r="CJ13" s="51"/>
      <c r="CK13" s="52"/>
      <c r="CL13" s="69"/>
      <c r="CM13" s="64"/>
      <c r="CN13" s="201"/>
      <c r="CO13" s="64"/>
      <c r="CP13" s="53"/>
      <c r="CQ13" s="50"/>
      <c r="CR13" s="51"/>
      <c r="CS13" s="201"/>
      <c r="CT13" s="51"/>
      <c r="CU13" s="52"/>
      <c r="CV13" s="69"/>
      <c r="CW13" s="64"/>
      <c r="CX13" s="201"/>
      <c r="CY13" s="64"/>
      <c r="CZ13" s="53"/>
      <c r="DA13" s="50"/>
      <c r="DB13" s="51"/>
      <c r="DC13" s="201"/>
      <c r="DD13" s="51"/>
      <c r="DE13" s="52"/>
    </row>
    <row r="14" spans="1:165" x14ac:dyDescent="0.2">
      <c r="B14" s="448" t="s">
        <v>22</v>
      </c>
      <c r="C14" s="449"/>
      <c r="D14" s="450"/>
      <c r="E14" s="57"/>
      <c r="F14" s="51"/>
      <c r="G14" s="201"/>
      <c r="H14" s="51"/>
      <c r="I14" s="52"/>
      <c r="J14" s="69"/>
      <c r="K14" s="64"/>
      <c r="L14" s="201"/>
      <c r="M14" s="64"/>
      <c r="N14" s="45"/>
      <c r="O14" s="54"/>
      <c r="P14" s="51"/>
      <c r="Q14" s="201"/>
      <c r="R14" s="51"/>
      <c r="S14" s="52"/>
      <c r="T14" s="69"/>
      <c r="U14" s="64"/>
      <c r="V14" s="201"/>
      <c r="W14" s="64"/>
      <c r="X14" s="45"/>
      <c r="Y14" s="54"/>
      <c r="Z14" s="51"/>
      <c r="AA14" s="201"/>
      <c r="AB14" s="51"/>
      <c r="AC14" s="52"/>
      <c r="AD14" s="69"/>
      <c r="AE14" s="64"/>
      <c r="AF14" s="201"/>
      <c r="AG14" s="64"/>
      <c r="AH14" s="45"/>
      <c r="AI14" s="54"/>
      <c r="AJ14" s="51"/>
      <c r="AK14" s="201"/>
      <c r="AL14" s="51"/>
      <c r="AM14" s="52"/>
      <c r="AN14" s="220"/>
      <c r="AO14" s="201"/>
      <c r="AP14" s="201"/>
      <c r="AQ14" s="201"/>
      <c r="AR14" s="211"/>
      <c r="AS14" s="227"/>
      <c r="AT14" s="51"/>
      <c r="AU14" s="201"/>
      <c r="AV14" s="51"/>
      <c r="AW14" s="52"/>
      <c r="AX14" s="69"/>
      <c r="AY14" s="64"/>
      <c r="AZ14" s="201"/>
      <c r="BA14" s="64"/>
      <c r="BB14" s="45"/>
      <c r="BC14" s="54"/>
      <c r="BD14" s="51"/>
      <c r="BE14" s="201"/>
      <c r="BF14" s="51"/>
      <c r="BG14" s="52"/>
      <c r="BH14" s="69"/>
      <c r="BI14" s="64"/>
      <c r="BJ14" s="201"/>
      <c r="BK14" s="64"/>
      <c r="BL14" s="45"/>
      <c r="BM14" s="54"/>
      <c r="BN14" s="51"/>
      <c r="BO14" s="201"/>
      <c r="BP14" s="51"/>
      <c r="BQ14" s="52"/>
      <c r="BR14" s="69"/>
      <c r="BS14" s="64"/>
      <c r="BT14" s="201"/>
      <c r="BU14" s="201"/>
      <c r="BV14" s="211"/>
      <c r="BW14" s="54"/>
      <c r="BX14" s="51"/>
      <c r="BY14" s="201"/>
      <c r="BZ14" s="51"/>
      <c r="CA14" s="52"/>
      <c r="CB14" s="220"/>
      <c r="CC14" s="64"/>
      <c r="CD14" s="201"/>
      <c r="CE14" s="64"/>
      <c r="CF14" s="45"/>
      <c r="CG14" s="54"/>
      <c r="CH14" s="51"/>
      <c r="CI14" s="201"/>
      <c r="CJ14" s="51"/>
      <c r="CK14" s="52"/>
      <c r="CL14" s="69"/>
      <c r="CM14" s="64"/>
      <c r="CN14" s="201"/>
      <c r="CO14" s="64"/>
      <c r="CP14" s="45"/>
      <c r="CQ14" s="54"/>
      <c r="CR14" s="51"/>
      <c r="CS14" s="201"/>
      <c r="CT14" s="51"/>
      <c r="CU14" s="52"/>
      <c r="CV14" s="69"/>
      <c r="CW14" s="64"/>
      <c r="CX14" s="201"/>
      <c r="CY14" s="64"/>
      <c r="CZ14" s="45"/>
      <c r="DA14" s="54"/>
      <c r="DB14" s="51"/>
      <c r="DC14" s="201"/>
      <c r="DD14" s="51"/>
      <c r="DE14" s="52"/>
    </row>
    <row r="15" spans="1:165" ht="17" thickBot="1" x14ac:dyDescent="0.25">
      <c r="B15" s="448" t="s">
        <v>23</v>
      </c>
      <c r="C15" s="449"/>
      <c r="D15" s="450"/>
      <c r="E15" s="215"/>
      <c r="F15" s="90"/>
      <c r="G15" s="202"/>
      <c r="H15" s="90"/>
      <c r="I15" s="91"/>
      <c r="J15" s="92"/>
      <c r="K15" s="93"/>
      <c r="L15" s="202"/>
      <c r="M15" s="93"/>
      <c r="N15" s="94"/>
      <c r="O15" s="89"/>
      <c r="P15" s="90"/>
      <c r="Q15" s="202"/>
      <c r="R15" s="90"/>
      <c r="S15" s="91"/>
      <c r="T15" s="92"/>
      <c r="U15" s="93"/>
      <c r="V15" s="202"/>
      <c r="W15" s="93"/>
      <c r="X15" s="94"/>
      <c r="Y15" s="89"/>
      <c r="Z15" s="90"/>
      <c r="AA15" s="202"/>
      <c r="AB15" s="90"/>
      <c r="AC15" s="91"/>
      <c r="AD15" s="92"/>
      <c r="AE15" s="93"/>
      <c r="AF15" s="202"/>
      <c r="AG15" s="93"/>
      <c r="AH15" s="94"/>
      <c r="AI15" s="89"/>
      <c r="AJ15" s="90"/>
      <c r="AK15" s="202"/>
      <c r="AL15" s="90"/>
      <c r="AM15" s="91"/>
      <c r="AN15" s="222"/>
      <c r="AO15" s="202"/>
      <c r="AP15" s="202"/>
      <c r="AQ15" s="202"/>
      <c r="AR15" s="213"/>
      <c r="AS15" s="230"/>
      <c r="AT15" s="90"/>
      <c r="AU15" s="202"/>
      <c r="AV15" s="90"/>
      <c r="AW15" s="91"/>
      <c r="AX15" s="92"/>
      <c r="AY15" s="93"/>
      <c r="AZ15" s="202"/>
      <c r="BA15" s="93"/>
      <c r="BB15" s="94"/>
      <c r="BC15" s="89"/>
      <c r="BD15" s="90"/>
      <c r="BE15" s="202"/>
      <c r="BF15" s="90"/>
      <c r="BG15" s="91"/>
      <c r="BH15" s="92"/>
      <c r="BI15" s="93"/>
      <c r="BJ15" s="202"/>
      <c r="BK15" s="93"/>
      <c r="BL15" s="94"/>
      <c r="BM15" s="89"/>
      <c r="BN15" s="90"/>
      <c r="BO15" s="202"/>
      <c r="BP15" s="90"/>
      <c r="BQ15" s="91"/>
      <c r="BR15" s="92"/>
      <c r="BS15" s="93"/>
      <c r="BT15" s="202"/>
      <c r="BU15" s="202"/>
      <c r="BV15" s="213"/>
      <c r="BW15" s="89"/>
      <c r="BX15" s="90"/>
      <c r="BY15" s="202"/>
      <c r="BZ15" s="90"/>
      <c r="CA15" s="91"/>
      <c r="CB15" s="222"/>
      <c r="CC15" s="93"/>
      <c r="CD15" s="202"/>
      <c r="CE15" s="93"/>
      <c r="CF15" s="94"/>
      <c r="CG15" s="89"/>
      <c r="CH15" s="90"/>
      <c r="CI15" s="202"/>
      <c r="CJ15" s="90"/>
      <c r="CK15" s="91"/>
      <c r="CL15" s="92"/>
      <c r="CM15" s="93"/>
      <c r="CN15" s="202"/>
      <c r="CO15" s="93"/>
      <c r="CP15" s="94"/>
      <c r="CQ15" s="89"/>
      <c r="CR15" s="90"/>
      <c r="CS15" s="202"/>
      <c r="CT15" s="90"/>
      <c r="CU15" s="91"/>
      <c r="CV15" s="92"/>
      <c r="CW15" s="93"/>
      <c r="CX15" s="202"/>
      <c r="CY15" s="93"/>
      <c r="CZ15" s="94"/>
      <c r="DA15" s="89"/>
      <c r="DB15" s="90"/>
      <c r="DC15" s="202"/>
      <c r="DD15" s="90"/>
      <c r="DE15" s="91"/>
    </row>
    <row r="16" spans="1:165" x14ac:dyDescent="0.2">
      <c r="B16" s="448" t="s">
        <v>24</v>
      </c>
      <c r="C16" s="449"/>
      <c r="D16" s="450"/>
      <c r="E16" s="95"/>
      <c r="F16" s="96"/>
      <c r="G16" s="96"/>
      <c r="H16" s="96"/>
      <c r="I16" s="97"/>
      <c r="J16" s="98"/>
      <c r="K16" s="47"/>
      <c r="L16" s="47"/>
      <c r="M16" s="47"/>
      <c r="N16" s="63"/>
      <c r="O16" s="95"/>
      <c r="P16" s="96"/>
      <c r="Q16" s="96"/>
      <c r="R16" s="96"/>
      <c r="S16" s="97"/>
      <c r="T16" s="98"/>
      <c r="U16" s="47"/>
      <c r="V16" s="47"/>
      <c r="W16" s="47"/>
      <c r="X16" s="63"/>
      <c r="Y16" s="95"/>
      <c r="Z16" s="96"/>
      <c r="AA16" s="96"/>
      <c r="AB16" s="96"/>
      <c r="AC16" s="97"/>
      <c r="AD16" s="98"/>
      <c r="AE16" s="47"/>
      <c r="AF16" s="47"/>
      <c r="AG16" s="47"/>
      <c r="AH16" s="63"/>
      <c r="AI16" s="95"/>
      <c r="AJ16" s="96"/>
      <c r="AK16" s="96"/>
      <c r="AL16" s="96"/>
      <c r="AM16" s="97"/>
      <c r="AN16" s="98"/>
      <c r="AO16" s="47"/>
      <c r="AP16" s="47"/>
      <c r="AQ16" s="47"/>
      <c r="AR16" s="63"/>
      <c r="AS16" s="95"/>
      <c r="AT16" s="96"/>
      <c r="AU16" s="96"/>
      <c r="AV16" s="96"/>
      <c r="AW16" s="97"/>
      <c r="AX16" s="98"/>
      <c r="AY16" s="47"/>
      <c r="AZ16" s="47"/>
      <c r="BA16" s="47"/>
      <c r="BB16" s="63"/>
      <c r="BC16" s="95"/>
      <c r="BD16" s="96"/>
      <c r="BE16" s="96"/>
      <c r="BF16" s="96"/>
      <c r="BG16" s="97"/>
      <c r="BH16" s="98"/>
      <c r="BI16" s="47"/>
      <c r="BJ16" s="47"/>
      <c r="BK16" s="47"/>
      <c r="BL16" s="63"/>
      <c r="BM16" s="95"/>
      <c r="BN16" s="96"/>
      <c r="BO16" s="96"/>
      <c r="BP16" s="96"/>
      <c r="BQ16" s="97"/>
      <c r="BR16" s="98"/>
      <c r="BS16" s="47"/>
      <c r="BT16" s="47"/>
      <c r="BU16" s="47"/>
      <c r="BV16" s="63"/>
      <c r="BW16" s="95"/>
      <c r="BX16" s="96"/>
      <c r="BY16" s="96"/>
      <c r="BZ16" s="96"/>
      <c r="CA16" s="97"/>
      <c r="CB16" s="98"/>
      <c r="CC16" s="47"/>
      <c r="CD16" s="47"/>
      <c r="CE16" s="47"/>
      <c r="CF16" s="63"/>
      <c r="CG16" s="95"/>
      <c r="CH16" s="96"/>
      <c r="CI16" s="96"/>
      <c r="CJ16" s="96"/>
      <c r="CK16" s="97"/>
      <c r="CL16" s="98"/>
      <c r="CM16" s="47"/>
      <c r="CN16" s="47"/>
      <c r="CO16" s="47"/>
      <c r="CP16" s="63"/>
      <c r="CQ16" s="95"/>
      <c r="CR16" s="96"/>
      <c r="CS16" s="96"/>
      <c r="CT16" s="96"/>
      <c r="CU16" s="97"/>
      <c r="CV16" s="98"/>
      <c r="CW16" s="47"/>
      <c r="CX16" s="47"/>
      <c r="CY16" s="47"/>
      <c r="CZ16" s="63"/>
      <c r="DA16" s="95"/>
      <c r="DB16" s="96"/>
      <c r="DC16" s="96"/>
      <c r="DD16" s="96"/>
      <c r="DE16" s="97"/>
    </row>
    <row r="17" spans="1:165" x14ac:dyDescent="0.2">
      <c r="B17" s="448" t="s">
        <v>30</v>
      </c>
      <c r="C17" s="449"/>
      <c r="D17" s="450"/>
      <c r="E17" s="68"/>
      <c r="F17" s="65"/>
      <c r="G17" s="65"/>
      <c r="H17" s="65"/>
      <c r="I17" s="70"/>
      <c r="J17" s="67"/>
      <c r="K17" s="56"/>
      <c r="L17" s="56"/>
      <c r="M17" s="56"/>
      <c r="N17" s="66"/>
      <c r="O17" s="68"/>
      <c r="P17" s="65"/>
      <c r="Q17" s="65"/>
      <c r="R17" s="65"/>
      <c r="S17" s="70"/>
      <c r="T17" s="67"/>
      <c r="U17" s="56"/>
      <c r="V17" s="56"/>
      <c r="W17" s="56"/>
      <c r="X17" s="66"/>
      <c r="Y17" s="68"/>
      <c r="Z17" s="65"/>
      <c r="AA17" s="65"/>
      <c r="AB17" s="65"/>
      <c r="AC17" s="70"/>
      <c r="AD17" s="67"/>
      <c r="AE17" s="56"/>
      <c r="AF17" s="56"/>
      <c r="AG17" s="56"/>
      <c r="AH17" s="66"/>
      <c r="AI17" s="68"/>
      <c r="AJ17" s="65"/>
      <c r="AK17" s="65"/>
      <c r="AL17" s="65"/>
      <c r="AM17" s="70"/>
      <c r="AN17" s="67"/>
      <c r="AO17" s="56"/>
      <c r="AP17" s="56"/>
      <c r="AQ17" s="56"/>
      <c r="AR17" s="66"/>
      <c r="AS17" s="68"/>
      <c r="AT17" s="65"/>
      <c r="AU17" s="65"/>
      <c r="AV17" s="65"/>
      <c r="AW17" s="70"/>
      <c r="AX17" s="67"/>
      <c r="AY17" s="56"/>
      <c r="AZ17" s="56"/>
      <c r="BA17" s="56"/>
      <c r="BB17" s="66"/>
      <c r="BC17" s="68"/>
      <c r="BD17" s="65"/>
      <c r="BE17" s="65"/>
      <c r="BF17" s="65"/>
      <c r="BG17" s="70"/>
      <c r="BH17" s="67"/>
      <c r="BI17" s="56"/>
      <c r="BJ17" s="56"/>
      <c r="BK17" s="56"/>
      <c r="BL17" s="66"/>
      <c r="BM17" s="68"/>
      <c r="BN17" s="65"/>
      <c r="BO17" s="65"/>
      <c r="BP17" s="65"/>
      <c r="BQ17" s="70"/>
      <c r="BR17" s="67"/>
      <c r="BS17" s="56"/>
      <c r="BT17" s="56"/>
      <c r="BU17" s="56"/>
      <c r="BV17" s="66"/>
      <c r="BW17" s="68"/>
      <c r="BX17" s="65"/>
      <c r="BY17" s="65"/>
      <c r="BZ17" s="65"/>
      <c r="CA17" s="70"/>
      <c r="CB17" s="67"/>
      <c r="CC17" s="56"/>
      <c r="CD17" s="56"/>
      <c r="CE17" s="56"/>
      <c r="CF17" s="66"/>
      <c r="CG17" s="68"/>
      <c r="CH17" s="65"/>
      <c r="CI17" s="65"/>
      <c r="CJ17" s="65"/>
      <c r="CK17" s="70"/>
      <c r="CL17" s="67"/>
      <c r="CM17" s="56"/>
      <c r="CN17" s="56"/>
      <c r="CO17" s="56"/>
      <c r="CP17" s="66"/>
      <c r="CQ17" s="68"/>
      <c r="CR17" s="65"/>
      <c r="CS17" s="65"/>
      <c r="CT17" s="65"/>
      <c r="CU17" s="70"/>
      <c r="CV17" s="67"/>
      <c r="CW17" s="56"/>
      <c r="CX17" s="56"/>
      <c r="CY17" s="56"/>
      <c r="CZ17" s="66"/>
      <c r="DA17" s="68"/>
      <c r="DB17" s="65"/>
      <c r="DC17" s="65"/>
      <c r="DD17" s="65"/>
      <c r="DE17" s="70"/>
    </row>
    <row r="18" spans="1:165" x14ac:dyDescent="0.2">
      <c r="B18" s="448" t="s">
        <v>31</v>
      </c>
      <c r="C18" s="449"/>
      <c r="D18" s="450"/>
      <c r="E18" s="68"/>
      <c r="F18" s="65"/>
      <c r="G18" s="65"/>
      <c r="H18" s="65"/>
      <c r="I18" s="70"/>
      <c r="J18" s="67"/>
      <c r="K18" s="56"/>
      <c r="L18" s="56"/>
      <c r="M18" s="56"/>
      <c r="N18" s="66"/>
      <c r="O18" s="68"/>
      <c r="P18" s="65"/>
      <c r="Q18" s="65"/>
      <c r="R18" s="65"/>
      <c r="S18" s="70"/>
      <c r="T18" s="67"/>
      <c r="U18" s="56"/>
      <c r="V18" s="56"/>
      <c r="W18" s="56"/>
      <c r="X18" s="66"/>
      <c r="Y18" s="68"/>
      <c r="Z18" s="65"/>
      <c r="AA18" s="65"/>
      <c r="AB18" s="65"/>
      <c r="AC18" s="70"/>
      <c r="AD18" s="67"/>
      <c r="AE18" s="56"/>
      <c r="AF18" s="56"/>
      <c r="AG18" s="56"/>
      <c r="AH18" s="66"/>
      <c r="AI18" s="68"/>
      <c r="AJ18" s="65"/>
      <c r="AK18" s="65"/>
      <c r="AL18" s="65"/>
      <c r="AM18" s="70"/>
      <c r="AN18" s="67"/>
      <c r="AO18" s="56"/>
      <c r="AP18" s="56"/>
      <c r="AQ18" s="56"/>
      <c r="AR18" s="66"/>
      <c r="AS18" s="68"/>
      <c r="AT18" s="65"/>
      <c r="AU18" s="65"/>
      <c r="AV18" s="65"/>
      <c r="AW18" s="70"/>
      <c r="AX18" s="67"/>
      <c r="AY18" s="56"/>
      <c r="AZ18" s="56"/>
      <c r="BA18" s="56"/>
      <c r="BB18" s="66"/>
      <c r="BC18" s="68"/>
      <c r="BD18" s="65"/>
      <c r="BE18" s="65"/>
      <c r="BF18" s="65"/>
      <c r="BG18" s="70"/>
      <c r="BH18" s="67"/>
      <c r="BI18" s="56"/>
      <c r="BJ18" s="56"/>
      <c r="BK18" s="56"/>
      <c r="BL18" s="66"/>
      <c r="BM18" s="68"/>
      <c r="BN18" s="65"/>
      <c r="BO18" s="65"/>
      <c r="BP18" s="65"/>
      <c r="BQ18" s="70"/>
      <c r="BR18" s="67"/>
      <c r="BS18" s="56"/>
      <c r="BT18" s="56"/>
      <c r="BU18" s="56"/>
      <c r="BV18" s="66"/>
      <c r="BW18" s="68"/>
      <c r="BX18" s="65"/>
      <c r="BY18" s="65"/>
      <c r="BZ18" s="65"/>
      <c r="CA18" s="70"/>
      <c r="CB18" s="67"/>
      <c r="CC18" s="56"/>
      <c r="CD18" s="56"/>
      <c r="CE18" s="56"/>
      <c r="CF18" s="66"/>
      <c r="CG18" s="68"/>
      <c r="CH18" s="65"/>
      <c r="CI18" s="65"/>
      <c r="CJ18" s="65"/>
      <c r="CK18" s="70"/>
      <c r="CL18" s="67"/>
      <c r="CM18" s="56"/>
      <c r="CN18" s="56"/>
      <c r="CO18" s="56"/>
      <c r="CP18" s="66"/>
      <c r="CQ18" s="68"/>
      <c r="CR18" s="65"/>
      <c r="CS18" s="65"/>
      <c r="CT18" s="65"/>
      <c r="CU18" s="70"/>
      <c r="CV18" s="67"/>
      <c r="CW18" s="56"/>
      <c r="CX18" s="56"/>
      <c r="CY18" s="56"/>
      <c r="CZ18" s="66"/>
      <c r="DA18" s="68"/>
      <c r="DB18" s="65"/>
      <c r="DC18" s="65"/>
      <c r="DD18" s="65"/>
      <c r="DE18" s="70"/>
    </row>
    <row r="19" spans="1:165" x14ac:dyDescent="0.2">
      <c r="B19" s="448" t="s">
        <v>32</v>
      </c>
      <c r="C19" s="449"/>
      <c r="D19" s="450"/>
      <c r="E19" s="68"/>
      <c r="F19" s="65"/>
      <c r="G19" s="65"/>
      <c r="H19" s="65"/>
      <c r="I19" s="70"/>
      <c r="J19" s="67"/>
      <c r="K19" s="56"/>
      <c r="L19" s="56"/>
      <c r="M19" s="56"/>
      <c r="N19" s="66"/>
      <c r="O19" s="68"/>
      <c r="P19" s="65"/>
      <c r="Q19" s="65"/>
      <c r="R19" s="65"/>
      <c r="S19" s="70"/>
      <c r="T19" s="67"/>
      <c r="U19" s="56"/>
      <c r="V19" s="56"/>
      <c r="W19" s="56"/>
      <c r="X19" s="66"/>
      <c r="Y19" s="68"/>
      <c r="Z19" s="65"/>
      <c r="AA19" s="65"/>
      <c r="AB19" s="65"/>
      <c r="AC19" s="70"/>
      <c r="AD19" s="67"/>
      <c r="AE19" s="56"/>
      <c r="AF19" s="56"/>
      <c r="AG19" s="56"/>
      <c r="AH19" s="66"/>
      <c r="AI19" s="68"/>
      <c r="AJ19" s="65"/>
      <c r="AK19" s="65"/>
      <c r="AL19" s="65"/>
      <c r="AM19" s="70"/>
      <c r="AN19" s="67"/>
      <c r="AO19" s="56"/>
      <c r="AP19" s="56"/>
      <c r="AQ19" s="56"/>
      <c r="AR19" s="66"/>
      <c r="AS19" s="68"/>
      <c r="AT19" s="65"/>
      <c r="AU19" s="65"/>
      <c r="AV19" s="65"/>
      <c r="AW19" s="70"/>
      <c r="AX19" s="67"/>
      <c r="AY19" s="56"/>
      <c r="AZ19" s="56"/>
      <c r="BA19" s="56"/>
      <c r="BB19" s="66"/>
      <c r="BC19" s="68"/>
      <c r="BD19" s="65"/>
      <c r="BE19" s="65"/>
      <c r="BF19" s="65"/>
      <c r="BG19" s="70"/>
      <c r="BH19" s="67"/>
      <c r="BI19" s="56"/>
      <c r="BJ19" s="56"/>
      <c r="BK19" s="56"/>
      <c r="BL19" s="66"/>
      <c r="BM19" s="68"/>
      <c r="BN19" s="65"/>
      <c r="BO19" s="65"/>
      <c r="BP19" s="65"/>
      <c r="BQ19" s="70"/>
      <c r="BR19" s="67"/>
      <c r="BS19" s="56"/>
      <c r="BT19" s="56"/>
      <c r="BU19" s="56"/>
      <c r="BV19" s="66"/>
      <c r="BW19" s="68"/>
      <c r="BX19" s="65"/>
      <c r="BY19" s="65"/>
      <c r="BZ19" s="65"/>
      <c r="CA19" s="70"/>
      <c r="CB19" s="67"/>
      <c r="CC19" s="56"/>
      <c r="CD19" s="56"/>
      <c r="CE19" s="56"/>
      <c r="CF19" s="66"/>
      <c r="CG19" s="68"/>
      <c r="CH19" s="65"/>
      <c r="CI19" s="65"/>
      <c r="CJ19" s="65"/>
      <c r="CK19" s="70"/>
      <c r="CL19" s="67"/>
      <c r="CM19" s="56"/>
      <c r="CN19" s="56"/>
      <c r="CO19" s="56"/>
      <c r="CP19" s="66"/>
      <c r="CQ19" s="68"/>
      <c r="CR19" s="65"/>
      <c r="CS19" s="65"/>
      <c r="CT19" s="65"/>
      <c r="CU19" s="70"/>
      <c r="CV19" s="67"/>
      <c r="CW19" s="56"/>
      <c r="CX19" s="56"/>
      <c r="CY19" s="56"/>
      <c r="CZ19" s="66"/>
      <c r="DA19" s="68"/>
      <c r="DB19" s="65"/>
      <c r="DC19" s="65"/>
      <c r="DD19" s="65"/>
      <c r="DE19" s="70"/>
    </row>
    <row r="20" spans="1:165" x14ac:dyDescent="0.2">
      <c r="B20" s="448" t="s">
        <v>33</v>
      </c>
      <c r="C20" s="449"/>
      <c r="D20" s="450"/>
      <c r="E20" s="68"/>
      <c r="F20" s="65"/>
      <c r="G20" s="65"/>
      <c r="H20" s="65"/>
      <c r="I20" s="70"/>
      <c r="J20" s="67"/>
      <c r="K20" s="56"/>
      <c r="L20" s="56"/>
      <c r="M20" s="56"/>
      <c r="N20" s="66"/>
      <c r="O20" s="68"/>
      <c r="P20" s="65"/>
      <c r="Q20" s="65"/>
      <c r="R20" s="65"/>
      <c r="S20" s="70"/>
      <c r="T20" s="67"/>
      <c r="U20" s="56"/>
      <c r="V20" s="56"/>
      <c r="W20" s="56"/>
      <c r="X20" s="66"/>
      <c r="Y20" s="68"/>
      <c r="Z20" s="65"/>
      <c r="AA20" s="65"/>
      <c r="AB20" s="65"/>
      <c r="AC20" s="70"/>
      <c r="AD20" s="67"/>
      <c r="AE20" s="56"/>
      <c r="AF20" s="56"/>
      <c r="AG20" s="56"/>
      <c r="AH20" s="66"/>
      <c r="AI20" s="68"/>
      <c r="AJ20" s="65"/>
      <c r="AK20" s="65"/>
      <c r="AL20" s="65"/>
      <c r="AM20" s="70"/>
      <c r="AN20" s="67"/>
      <c r="AO20" s="56"/>
      <c r="AP20" s="56"/>
      <c r="AQ20" s="56"/>
      <c r="AR20" s="66"/>
      <c r="AS20" s="68"/>
      <c r="AT20" s="65"/>
      <c r="AU20" s="65"/>
      <c r="AV20" s="65"/>
      <c r="AW20" s="70"/>
      <c r="AX20" s="67"/>
      <c r="AY20" s="56"/>
      <c r="AZ20" s="56"/>
      <c r="BA20" s="56"/>
      <c r="BB20" s="66"/>
      <c r="BC20" s="68"/>
      <c r="BD20" s="65"/>
      <c r="BE20" s="65"/>
      <c r="BF20" s="65"/>
      <c r="BG20" s="70"/>
      <c r="BH20" s="67"/>
      <c r="BI20" s="56"/>
      <c r="BJ20" s="56"/>
      <c r="BK20" s="56"/>
      <c r="BL20" s="66"/>
      <c r="BM20" s="68"/>
      <c r="BN20" s="65"/>
      <c r="BO20" s="65"/>
      <c r="BP20" s="65"/>
      <c r="BQ20" s="70"/>
      <c r="BR20" s="67"/>
      <c r="BS20" s="56"/>
      <c r="BT20" s="56"/>
      <c r="BU20" s="56"/>
      <c r="BV20" s="66"/>
      <c r="BW20" s="68"/>
      <c r="BX20" s="65"/>
      <c r="BY20" s="65"/>
      <c r="BZ20" s="65"/>
      <c r="CA20" s="70"/>
      <c r="CB20" s="67"/>
      <c r="CC20" s="56"/>
      <c r="CD20" s="56"/>
      <c r="CE20" s="56"/>
      <c r="CF20" s="66"/>
      <c r="CG20" s="68"/>
      <c r="CH20" s="65"/>
      <c r="CI20" s="65"/>
      <c r="CJ20" s="65"/>
      <c r="CK20" s="70"/>
      <c r="CL20" s="67"/>
      <c r="CM20" s="56"/>
      <c r="CN20" s="56"/>
      <c r="CO20" s="56"/>
      <c r="CP20" s="66"/>
      <c r="CQ20" s="68"/>
      <c r="CR20" s="65"/>
      <c r="CS20" s="65"/>
      <c r="CT20" s="65"/>
      <c r="CU20" s="70"/>
      <c r="CV20" s="67"/>
      <c r="CW20" s="56"/>
      <c r="CX20" s="56"/>
      <c r="CY20" s="56"/>
      <c r="CZ20" s="66"/>
      <c r="DA20" s="68"/>
      <c r="DB20" s="65"/>
      <c r="DC20" s="65"/>
      <c r="DD20" s="65"/>
      <c r="DE20" s="70"/>
    </row>
    <row r="21" spans="1:165" ht="17" thickBot="1" x14ac:dyDescent="0.25">
      <c r="B21" s="451" t="s">
        <v>34</v>
      </c>
      <c r="C21" s="452"/>
      <c r="D21" s="453"/>
      <c r="E21" s="71"/>
      <c r="F21" s="72"/>
      <c r="G21" s="72"/>
      <c r="H21" s="72"/>
      <c r="I21" s="73"/>
      <c r="J21" s="74"/>
      <c r="K21" s="75"/>
      <c r="L21" s="75"/>
      <c r="M21" s="75"/>
      <c r="N21" s="76"/>
      <c r="O21" s="71"/>
      <c r="P21" s="72"/>
      <c r="Q21" s="72"/>
      <c r="R21" s="72"/>
      <c r="S21" s="73"/>
      <c r="T21" s="74"/>
      <c r="U21" s="75"/>
      <c r="V21" s="75"/>
      <c r="W21" s="75"/>
      <c r="X21" s="76"/>
      <c r="Y21" s="71"/>
      <c r="Z21" s="72"/>
      <c r="AA21" s="72"/>
      <c r="AB21" s="72"/>
      <c r="AC21" s="73"/>
      <c r="AD21" s="74"/>
      <c r="AE21" s="75"/>
      <c r="AF21" s="75"/>
      <c r="AG21" s="75"/>
      <c r="AH21" s="76"/>
      <c r="AI21" s="71"/>
      <c r="AJ21" s="72"/>
      <c r="AK21" s="72"/>
      <c r="AL21" s="72"/>
      <c r="AM21" s="73"/>
      <c r="AN21" s="74"/>
      <c r="AO21" s="75"/>
      <c r="AP21" s="75"/>
      <c r="AQ21" s="75"/>
      <c r="AR21" s="76"/>
      <c r="AS21" s="71"/>
      <c r="AT21" s="72"/>
      <c r="AU21" s="72"/>
      <c r="AV21" s="72"/>
      <c r="AW21" s="73"/>
      <c r="AX21" s="74"/>
      <c r="AY21" s="75"/>
      <c r="AZ21" s="75"/>
      <c r="BA21" s="75"/>
      <c r="BB21" s="76"/>
      <c r="BC21" s="71"/>
      <c r="BD21" s="72"/>
      <c r="BE21" s="72"/>
      <c r="BF21" s="72"/>
      <c r="BG21" s="73"/>
      <c r="BH21" s="74"/>
      <c r="BI21" s="75"/>
      <c r="BJ21" s="75"/>
      <c r="BK21" s="75"/>
      <c r="BL21" s="76"/>
      <c r="BM21" s="71"/>
      <c r="BN21" s="72"/>
      <c r="BO21" s="72"/>
      <c r="BP21" s="72"/>
      <c r="BQ21" s="73"/>
      <c r="BR21" s="74"/>
      <c r="BS21" s="75"/>
      <c r="BT21" s="75"/>
      <c r="BU21" s="75"/>
      <c r="BV21" s="76"/>
      <c r="BW21" s="71"/>
      <c r="BX21" s="72"/>
      <c r="BY21" s="72"/>
      <c r="BZ21" s="72"/>
      <c r="CA21" s="73"/>
      <c r="CB21" s="74"/>
      <c r="CC21" s="75"/>
      <c r="CD21" s="75"/>
      <c r="CE21" s="75"/>
      <c r="CF21" s="76"/>
      <c r="CG21" s="71"/>
      <c r="CH21" s="72"/>
      <c r="CI21" s="72"/>
      <c r="CJ21" s="72"/>
      <c r="CK21" s="73"/>
      <c r="CL21" s="74"/>
      <c r="CM21" s="75"/>
      <c r="CN21" s="75"/>
      <c r="CO21" s="75"/>
      <c r="CP21" s="76"/>
      <c r="CQ21" s="71"/>
      <c r="CR21" s="72"/>
      <c r="CS21" s="72"/>
      <c r="CT21" s="72"/>
      <c r="CU21" s="73"/>
      <c r="CV21" s="74"/>
      <c r="CW21" s="75"/>
      <c r="CX21" s="75"/>
      <c r="CY21" s="75"/>
      <c r="CZ21" s="76"/>
      <c r="DA21" s="71"/>
      <c r="DB21" s="72"/>
      <c r="DC21" s="72"/>
      <c r="DD21" s="72"/>
      <c r="DE21" s="73"/>
    </row>
    <row r="22" spans="1:165" s="136" customFormat="1" ht="17" thickBot="1" x14ac:dyDescent="0.25"/>
    <row r="23" spans="1:165" ht="17" thickBot="1" x14ac:dyDescent="0.25">
      <c r="B23" s="477" t="s">
        <v>370</v>
      </c>
      <c r="C23" s="477"/>
      <c r="D23" s="477"/>
      <c r="E23" s="464" t="str">
        <f>_xlfn.CONCAT("Uge ",WEEKNUM(E26))</f>
        <v>Uge 6</v>
      </c>
      <c r="F23" s="465"/>
      <c r="G23" s="465"/>
      <c r="H23" s="465"/>
      <c r="I23" s="466"/>
      <c r="J23" s="464" t="str">
        <f>_xlfn.CONCAT("Uge ",WEEKNUM(J26))</f>
        <v>Uge 7</v>
      </c>
      <c r="K23" s="465"/>
      <c r="L23" s="465"/>
      <c r="M23" s="465"/>
      <c r="N23" s="466"/>
      <c r="O23" s="464" t="str">
        <f t="shared" ref="O23" si="14">_xlfn.CONCAT("Uge ",WEEKNUM(O26))</f>
        <v>Uge 8</v>
      </c>
      <c r="P23" s="465"/>
      <c r="Q23" s="465"/>
      <c r="R23" s="465"/>
      <c r="S23" s="466"/>
      <c r="T23" s="464" t="str">
        <f t="shared" ref="T23" si="15">_xlfn.CONCAT("Uge ",WEEKNUM(T26))</f>
        <v>Uge 9</v>
      </c>
      <c r="U23" s="465"/>
      <c r="V23" s="465"/>
      <c r="W23" s="465"/>
      <c r="X23" s="466"/>
      <c r="Y23" s="464" t="str">
        <f t="shared" ref="Y23" si="16">_xlfn.CONCAT("Uge ",WEEKNUM(Y26))</f>
        <v>Uge 10</v>
      </c>
      <c r="Z23" s="465"/>
      <c r="AA23" s="465"/>
      <c r="AB23" s="465"/>
      <c r="AC23" s="466"/>
      <c r="AD23" s="464" t="str">
        <f t="shared" ref="AD23" si="17">_xlfn.CONCAT("Uge ",WEEKNUM(AD26))</f>
        <v>Uge 11</v>
      </c>
      <c r="AE23" s="465"/>
      <c r="AF23" s="465"/>
      <c r="AG23" s="465"/>
      <c r="AH23" s="466"/>
      <c r="AI23" s="464" t="str">
        <f t="shared" ref="AI23" si="18">_xlfn.CONCAT("Uge ",WEEKNUM(AI26))</f>
        <v>Uge 12</v>
      </c>
      <c r="AJ23" s="465"/>
      <c r="AK23" s="465"/>
      <c r="AL23" s="465"/>
      <c r="AM23" s="466"/>
      <c r="AN23" s="464" t="str">
        <f t="shared" ref="AN23" si="19">_xlfn.CONCAT("Uge ",WEEKNUM(AN26))</f>
        <v>Uge 13</v>
      </c>
      <c r="AO23" s="465"/>
      <c r="AP23" s="465"/>
      <c r="AQ23" s="465"/>
      <c r="AR23" s="466"/>
      <c r="AS23" s="464" t="str">
        <f t="shared" ref="AS23" si="20">_xlfn.CONCAT("Uge ",WEEKNUM(AS26))</f>
        <v>Uge 14</v>
      </c>
      <c r="AT23" s="465"/>
      <c r="AU23" s="465"/>
      <c r="AV23" s="465"/>
      <c r="AW23" s="466"/>
      <c r="AX23" s="464" t="str">
        <f t="shared" ref="AX23" si="21">_xlfn.CONCAT("Uge ",WEEKNUM(AX26))</f>
        <v>Uge 15</v>
      </c>
      <c r="AY23" s="465"/>
      <c r="AZ23" s="465"/>
      <c r="BA23" s="465"/>
      <c r="BB23" s="466"/>
      <c r="BC23" s="464" t="str">
        <f t="shared" ref="BC23" si="22">_xlfn.CONCAT("Uge ",WEEKNUM(BC26))</f>
        <v>Uge 16</v>
      </c>
      <c r="BD23" s="465"/>
      <c r="BE23" s="465"/>
      <c r="BF23" s="465"/>
      <c r="BG23" s="466"/>
      <c r="BH23" s="464" t="str">
        <f t="shared" ref="BH23" si="23">_xlfn.CONCAT("Uge ",WEEKNUM(BH26))</f>
        <v>Uge 17</v>
      </c>
      <c r="BI23" s="465"/>
      <c r="BJ23" s="465"/>
      <c r="BK23" s="465"/>
      <c r="BL23" s="466"/>
      <c r="BM23" s="464" t="str">
        <f t="shared" ref="BM23" si="24">_xlfn.CONCAT("Uge ",WEEKNUM(BM26))</f>
        <v>Uge 18</v>
      </c>
      <c r="BN23" s="465"/>
      <c r="BO23" s="465"/>
      <c r="BP23" s="465"/>
      <c r="BQ23" s="466"/>
      <c r="BR23" s="464" t="str">
        <f t="shared" ref="BR23" si="25">_xlfn.CONCAT("Uge ",WEEKNUM(BR26))</f>
        <v>Uge 19</v>
      </c>
      <c r="BS23" s="465"/>
      <c r="BT23" s="465"/>
      <c r="BU23" s="465"/>
      <c r="BV23" s="466"/>
      <c r="BW23" s="464" t="str">
        <f t="shared" ref="BW23" si="26">_xlfn.CONCAT("Uge ",WEEKNUM(BW26))</f>
        <v>Uge 20</v>
      </c>
      <c r="BX23" s="465"/>
      <c r="BY23" s="465"/>
      <c r="BZ23" s="465"/>
      <c r="CA23" s="466"/>
      <c r="CB23" s="464" t="str">
        <f t="shared" ref="CB23" si="27">_xlfn.CONCAT("Uge ",WEEKNUM(CB26))</f>
        <v>Uge 21</v>
      </c>
      <c r="CC23" s="465"/>
      <c r="CD23" s="465"/>
      <c r="CE23" s="465"/>
      <c r="CF23" s="466"/>
      <c r="CG23" s="464" t="str">
        <f t="shared" ref="CG23" si="28">_xlfn.CONCAT("Uge ",WEEKNUM(CG26))</f>
        <v>Uge 22</v>
      </c>
      <c r="CH23" s="465"/>
      <c r="CI23" s="465"/>
      <c r="CJ23" s="465"/>
      <c r="CK23" s="466"/>
      <c r="CL23" s="464" t="str">
        <f t="shared" ref="CL23" si="29">_xlfn.CONCAT("Uge ",WEEKNUM(CL26))</f>
        <v>Uge 23</v>
      </c>
      <c r="CM23" s="465"/>
      <c r="CN23" s="465"/>
      <c r="CO23" s="465"/>
      <c r="CP23" s="466"/>
      <c r="CQ23" s="464" t="str">
        <f t="shared" ref="CQ23" si="30">_xlfn.CONCAT("Uge ",WEEKNUM(CQ26))</f>
        <v>Uge 24</v>
      </c>
      <c r="CR23" s="465"/>
      <c r="CS23" s="465"/>
      <c r="CT23" s="465"/>
      <c r="CU23" s="466"/>
      <c r="CV23" s="464" t="str">
        <f t="shared" ref="CV23" si="31">_xlfn.CONCAT("Uge ",WEEKNUM(CV26))</f>
        <v>Uge 25</v>
      </c>
      <c r="CW23" s="465"/>
      <c r="CX23" s="465"/>
      <c r="CY23" s="465"/>
      <c r="CZ23" s="466"/>
      <c r="DA23" s="464" t="str">
        <f t="shared" ref="DA23" si="32">_xlfn.CONCAT("Uge ",WEEKNUM(DA26))</f>
        <v>Uge 26</v>
      </c>
      <c r="DB23" s="465"/>
      <c r="DC23" s="465"/>
      <c r="DD23" s="465"/>
      <c r="DE23" s="466"/>
    </row>
    <row r="24" spans="1:165" ht="17" thickBot="1" x14ac:dyDescent="0.25">
      <c r="B24" s="645" t="s">
        <v>392</v>
      </c>
      <c r="C24" s="646"/>
      <c r="D24" s="647"/>
      <c r="E24" s="476" t="s">
        <v>3</v>
      </c>
      <c r="F24" s="532"/>
      <c r="G24" s="532"/>
      <c r="H24" s="532"/>
      <c r="I24" s="533"/>
      <c r="J24" s="476" t="s">
        <v>3</v>
      </c>
      <c r="K24" s="532"/>
      <c r="L24" s="532"/>
      <c r="M24" s="532"/>
      <c r="N24" s="533"/>
      <c r="O24" s="476" t="s">
        <v>3</v>
      </c>
      <c r="P24" s="532"/>
      <c r="Q24" s="532"/>
      <c r="R24" s="532"/>
      <c r="S24" s="533"/>
      <c r="T24" s="463" t="s">
        <v>4</v>
      </c>
      <c r="U24" s="532"/>
      <c r="V24" s="532"/>
      <c r="W24" s="532"/>
      <c r="X24" s="533"/>
      <c r="Y24" s="463" t="s">
        <v>4</v>
      </c>
      <c r="Z24" s="532"/>
      <c r="AA24" s="532"/>
      <c r="AB24" s="532"/>
      <c r="AC24" s="533"/>
      <c r="AD24" s="463" t="s">
        <v>4</v>
      </c>
      <c r="AE24" s="532"/>
      <c r="AF24" s="532"/>
      <c r="AG24" s="532"/>
      <c r="AH24" s="533"/>
      <c r="AI24" s="463" t="s">
        <v>4</v>
      </c>
      <c r="AJ24" s="532"/>
      <c r="AK24" s="532"/>
      <c r="AL24" s="532"/>
      <c r="AM24" s="533"/>
      <c r="AN24" s="463" t="s">
        <v>4</v>
      </c>
      <c r="AO24" s="532"/>
      <c r="AP24" s="532"/>
      <c r="AQ24" s="532"/>
      <c r="AR24" s="533"/>
      <c r="AS24" s="463" t="s">
        <v>4</v>
      </c>
      <c r="AT24" s="532"/>
      <c r="AU24" s="532"/>
      <c r="AV24" s="532"/>
      <c r="AW24" s="533"/>
      <c r="AX24" s="461" t="s">
        <v>5</v>
      </c>
      <c r="AY24" s="532"/>
      <c r="AZ24" s="532"/>
      <c r="BA24" s="532"/>
      <c r="BB24" s="533"/>
      <c r="BC24" s="461" t="s">
        <v>5</v>
      </c>
      <c r="BD24" s="532"/>
      <c r="BE24" s="532"/>
      <c r="BF24" s="532"/>
      <c r="BG24" s="533"/>
      <c r="BH24" s="461" t="s">
        <v>5</v>
      </c>
      <c r="BI24" s="532"/>
      <c r="BJ24" s="532"/>
      <c r="BK24" s="532"/>
      <c r="BL24" s="533"/>
      <c r="BM24" s="461" t="s">
        <v>5</v>
      </c>
      <c r="BN24" s="532"/>
      <c r="BO24" s="532"/>
      <c r="BP24" s="532"/>
      <c r="BQ24" s="533"/>
      <c r="BR24" s="461" t="s">
        <v>5</v>
      </c>
      <c r="BS24" s="532"/>
      <c r="BT24" s="532"/>
      <c r="BU24" s="532"/>
      <c r="BV24" s="533"/>
      <c r="BW24" s="461" t="s">
        <v>5</v>
      </c>
      <c r="BX24" s="532"/>
      <c r="BY24" s="532"/>
      <c r="BZ24" s="532"/>
      <c r="CA24" s="533"/>
      <c r="CB24" s="462" t="s">
        <v>6</v>
      </c>
      <c r="CC24" s="532"/>
      <c r="CD24" s="532"/>
      <c r="CE24" s="532"/>
      <c r="CF24" s="533"/>
      <c r="CG24" s="462" t="s">
        <v>6</v>
      </c>
      <c r="CH24" s="532"/>
      <c r="CI24" s="532"/>
      <c r="CJ24" s="532"/>
      <c r="CK24" s="533"/>
      <c r="CL24" s="462" t="s">
        <v>6</v>
      </c>
      <c r="CM24" s="532"/>
      <c r="CN24" s="532"/>
      <c r="CO24" s="532"/>
      <c r="CP24" s="533"/>
      <c r="CQ24" s="462" t="s">
        <v>6</v>
      </c>
      <c r="CR24" s="532"/>
      <c r="CS24" s="532"/>
      <c r="CT24" s="532"/>
      <c r="CU24" s="533"/>
      <c r="CV24" s="462" t="s">
        <v>6</v>
      </c>
      <c r="CW24" s="532"/>
      <c r="CX24" s="532"/>
      <c r="CY24" s="532"/>
      <c r="CZ24" s="533"/>
      <c r="DA24" s="462" t="s">
        <v>6</v>
      </c>
      <c r="DB24" s="532"/>
      <c r="DC24" s="532"/>
      <c r="DD24" s="532"/>
      <c r="DE24" s="533"/>
    </row>
    <row r="25" spans="1:165" x14ac:dyDescent="0.2">
      <c r="B25" s="648"/>
      <c r="C25" s="649"/>
      <c r="D25" s="650"/>
      <c r="E25" s="316">
        <f>E26</f>
        <v>46419</v>
      </c>
      <c r="F25" s="317">
        <f t="shared" ref="F25:BQ25" si="33">F26</f>
        <v>46420</v>
      </c>
      <c r="G25" s="318">
        <f t="shared" si="33"/>
        <v>46421</v>
      </c>
      <c r="H25" s="318">
        <f t="shared" si="33"/>
        <v>46422</v>
      </c>
      <c r="I25" s="319">
        <f t="shared" si="33"/>
        <v>46423</v>
      </c>
      <c r="J25" s="320">
        <f t="shared" si="33"/>
        <v>46426</v>
      </c>
      <c r="K25" s="321">
        <f t="shared" si="33"/>
        <v>46427</v>
      </c>
      <c r="L25" s="322">
        <f t="shared" si="33"/>
        <v>46428</v>
      </c>
      <c r="M25" s="322">
        <f t="shared" si="33"/>
        <v>46429</v>
      </c>
      <c r="N25" s="323">
        <f t="shared" si="33"/>
        <v>46430</v>
      </c>
      <c r="O25" s="316">
        <f t="shared" si="33"/>
        <v>46433</v>
      </c>
      <c r="P25" s="317">
        <f t="shared" si="33"/>
        <v>46434</v>
      </c>
      <c r="Q25" s="318">
        <f t="shared" si="33"/>
        <v>46435</v>
      </c>
      <c r="R25" s="318">
        <f t="shared" si="33"/>
        <v>46436</v>
      </c>
      <c r="S25" s="319">
        <f t="shared" si="33"/>
        <v>46437</v>
      </c>
      <c r="T25" s="320">
        <f t="shared" si="33"/>
        <v>46440</v>
      </c>
      <c r="U25" s="322">
        <f t="shared" si="33"/>
        <v>46441</v>
      </c>
      <c r="V25" s="322">
        <f t="shared" si="33"/>
        <v>46442</v>
      </c>
      <c r="W25" s="322">
        <f t="shared" si="33"/>
        <v>46443</v>
      </c>
      <c r="X25" s="323">
        <f t="shared" si="33"/>
        <v>46444</v>
      </c>
      <c r="Y25" s="316">
        <f t="shared" si="33"/>
        <v>46447</v>
      </c>
      <c r="Z25" s="318">
        <f t="shared" si="33"/>
        <v>46448</v>
      </c>
      <c r="AA25" s="318">
        <f t="shared" si="33"/>
        <v>46449</v>
      </c>
      <c r="AB25" s="318">
        <f t="shared" si="33"/>
        <v>46450</v>
      </c>
      <c r="AC25" s="319">
        <f t="shared" si="33"/>
        <v>46451</v>
      </c>
      <c r="AD25" s="320">
        <f t="shared" si="33"/>
        <v>46454</v>
      </c>
      <c r="AE25" s="322">
        <f t="shared" si="33"/>
        <v>46455</v>
      </c>
      <c r="AF25" s="322">
        <f t="shared" si="33"/>
        <v>46456</v>
      </c>
      <c r="AG25" s="322">
        <f t="shared" si="33"/>
        <v>46457</v>
      </c>
      <c r="AH25" s="323">
        <f t="shared" si="33"/>
        <v>46458</v>
      </c>
      <c r="AI25" s="316">
        <f t="shared" si="33"/>
        <v>46461</v>
      </c>
      <c r="AJ25" s="318">
        <f t="shared" si="33"/>
        <v>46462</v>
      </c>
      <c r="AK25" s="318">
        <f t="shared" si="33"/>
        <v>46463</v>
      </c>
      <c r="AL25" s="318">
        <f t="shared" si="33"/>
        <v>46464</v>
      </c>
      <c r="AM25" s="319">
        <f t="shared" si="33"/>
        <v>46465</v>
      </c>
      <c r="AN25" s="320">
        <f t="shared" si="33"/>
        <v>46468</v>
      </c>
      <c r="AO25" s="322">
        <f t="shared" si="33"/>
        <v>46469</v>
      </c>
      <c r="AP25" s="322">
        <f t="shared" si="33"/>
        <v>46470</v>
      </c>
      <c r="AQ25" s="322">
        <f t="shared" si="33"/>
        <v>46471</v>
      </c>
      <c r="AR25" s="323">
        <f t="shared" si="33"/>
        <v>46472</v>
      </c>
      <c r="AS25" s="316">
        <f t="shared" si="33"/>
        <v>46475</v>
      </c>
      <c r="AT25" s="318">
        <f t="shared" si="33"/>
        <v>46476</v>
      </c>
      <c r="AU25" s="318">
        <f t="shared" si="33"/>
        <v>46477</v>
      </c>
      <c r="AV25" s="318">
        <f t="shared" si="33"/>
        <v>46478</v>
      </c>
      <c r="AW25" s="324">
        <f t="shared" si="33"/>
        <v>46479</v>
      </c>
      <c r="AX25" s="320">
        <f t="shared" si="33"/>
        <v>46482</v>
      </c>
      <c r="AY25" s="322">
        <f t="shared" si="33"/>
        <v>46483</v>
      </c>
      <c r="AZ25" s="322">
        <f t="shared" si="33"/>
        <v>46484</v>
      </c>
      <c r="BA25" s="322">
        <f t="shared" si="33"/>
        <v>46485</v>
      </c>
      <c r="BB25" s="325">
        <f t="shared" si="33"/>
        <v>46486</v>
      </c>
      <c r="BC25" s="316">
        <f t="shared" si="33"/>
        <v>46489</v>
      </c>
      <c r="BD25" s="318">
        <f t="shared" si="33"/>
        <v>46490</v>
      </c>
      <c r="BE25" s="318">
        <f t="shared" si="33"/>
        <v>46491</v>
      </c>
      <c r="BF25" s="318">
        <f t="shared" si="33"/>
        <v>46492</v>
      </c>
      <c r="BG25" s="324">
        <f t="shared" si="33"/>
        <v>46493</v>
      </c>
      <c r="BH25" s="320">
        <f t="shared" si="33"/>
        <v>46496</v>
      </c>
      <c r="BI25" s="322">
        <f t="shared" si="33"/>
        <v>46497</v>
      </c>
      <c r="BJ25" s="322">
        <f t="shared" si="33"/>
        <v>46498</v>
      </c>
      <c r="BK25" s="322">
        <f t="shared" si="33"/>
        <v>46499</v>
      </c>
      <c r="BL25" s="325">
        <f t="shared" si="33"/>
        <v>46500</v>
      </c>
      <c r="BM25" s="316">
        <f t="shared" si="33"/>
        <v>46503</v>
      </c>
      <c r="BN25" s="318">
        <f t="shared" si="33"/>
        <v>46504</v>
      </c>
      <c r="BO25" s="318">
        <f t="shared" si="33"/>
        <v>46505</v>
      </c>
      <c r="BP25" s="318">
        <f t="shared" si="33"/>
        <v>46506</v>
      </c>
      <c r="BQ25" s="324">
        <f t="shared" si="33"/>
        <v>46507</v>
      </c>
      <c r="BR25" s="320">
        <f t="shared" ref="BR25:DE25" si="34">BR26</f>
        <v>46510</v>
      </c>
      <c r="BS25" s="322">
        <f t="shared" si="34"/>
        <v>46511</v>
      </c>
      <c r="BT25" s="322">
        <f t="shared" si="34"/>
        <v>46512</v>
      </c>
      <c r="BU25" s="322">
        <f t="shared" si="34"/>
        <v>46513</v>
      </c>
      <c r="BV25" s="325">
        <f t="shared" si="34"/>
        <v>46514</v>
      </c>
      <c r="BW25" s="316">
        <f t="shared" si="34"/>
        <v>46517</v>
      </c>
      <c r="BX25" s="318">
        <f t="shared" si="34"/>
        <v>46518</v>
      </c>
      <c r="BY25" s="318">
        <f t="shared" si="34"/>
        <v>46519</v>
      </c>
      <c r="BZ25" s="318">
        <f t="shared" si="34"/>
        <v>46520</v>
      </c>
      <c r="CA25" s="324">
        <f t="shared" si="34"/>
        <v>46521</v>
      </c>
      <c r="CB25" s="320">
        <f t="shared" si="34"/>
        <v>46524</v>
      </c>
      <c r="CC25" s="322">
        <f t="shared" si="34"/>
        <v>46525</v>
      </c>
      <c r="CD25" s="322">
        <f t="shared" si="34"/>
        <v>46526</v>
      </c>
      <c r="CE25" s="322">
        <f t="shared" si="34"/>
        <v>46527</v>
      </c>
      <c r="CF25" s="325">
        <f t="shared" si="34"/>
        <v>46528</v>
      </c>
      <c r="CG25" s="316">
        <f t="shared" si="34"/>
        <v>46531</v>
      </c>
      <c r="CH25" s="318">
        <f t="shared" si="34"/>
        <v>46532</v>
      </c>
      <c r="CI25" s="318">
        <f t="shared" si="34"/>
        <v>46533</v>
      </c>
      <c r="CJ25" s="318">
        <f t="shared" si="34"/>
        <v>46534</v>
      </c>
      <c r="CK25" s="324">
        <f t="shared" si="34"/>
        <v>46535</v>
      </c>
      <c r="CL25" s="320">
        <f t="shared" si="34"/>
        <v>46538</v>
      </c>
      <c r="CM25" s="322">
        <f t="shared" si="34"/>
        <v>46539</v>
      </c>
      <c r="CN25" s="322">
        <f t="shared" si="34"/>
        <v>46540</v>
      </c>
      <c r="CO25" s="322">
        <f t="shared" si="34"/>
        <v>46541</v>
      </c>
      <c r="CP25" s="325">
        <f t="shared" si="34"/>
        <v>46542</v>
      </c>
      <c r="CQ25" s="316">
        <f t="shared" si="34"/>
        <v>46545</v>
      </c>
      <c r="CR25" s="318">
        <f t="shared" si="34"/>
        <v>46546</v>
      </c>
      <c r="CS25" s="318">
        <f t="shared" si="34"/>
        <v>46547</v>
      </c>
      <c r="CT25" s="318">
        <f t="shared" si="34"/>
        <v>46548</v>
      </c>
      <c r="CU25" s="319">
        <f t="shared" si="34"/>
        <v>46549</v>
      </c>
      <c r="CV25" s="320">
        <f t="shared" si="34"/>
        <v>46552</v>
      </c>
      <c r="CW25" s="322">
        <f t="shared" si="34"/>
        <v>46553</v>
      </c>
      <c r="CX25" s="322">
        <f t="shared" si="34"/>
        <v>46554</v>
      </c>
      <c r="CY25" s="322">
        <f t="shared" si="34"/>
        <v>46555</v>
      </c>
      <c r="CZ25" s="323">
        <f t="shared" si="34"/>
        <v>46556</v>
      </c>
      <c r="DA25" s="316">
        <f t="shared" si="34"/>
        <v>46559</v>
      </c>
      <c r="DB25" s="318">
        <f t="shared" si="34"/>
        <v>46560</v>
      </c>
      <c r="DC25" s="318">
        <f t="shared" si="34"/>
        <v>46561</v>
      </c>
      <c r="DD25" s="318">
        <f t="shared" si="34"/>
        <v>46562</v>
      </c>
      <c r="DE25" s="319">
        <f t="shared" si="34"/>
        <v>46563</v>
      </c>
    </row>
    <row r="26" spans="1:165" ht="17" thickBot="1" x14ac:dyDescent="0.25">
      <c r="B26" s="651"/>
      <c r="C26" s="652"/>
      <c r="D26" s="653"/>
      <c r="E26" s="31">
        <f>E5</f>
        <v>46419</v>
      </c>
      <c r="F26" s="32">
        <f>E26+1</f>
        <v>46420</v>
      </c>
      <c r="G26" s="33">
        <f>F26+1</f>
        <v>46421</v>
      </c>
      <c r="H26" s="33">
        <f>G26+1</f>
        <v>46422</v>
      </c>
      <c r="I26" s="34">
        <f>H26+1</f>
        <v>46423</v>
      </c>
      <c r="J26" s="35">
        <f>I26+3</f>
        <v>46426</v>
      </c>
      <c r="K26" s="36">
        <f>J26+1</f>
        <v>46427</v>
      </c>
      <c r="L26" s="37">
        <f>K26+1</f>
        <v>46428</v>
      </c>
      <c r="M26" s="37">
        <f>L26+1</f>
        <v>46429</v>
      </c>
      <c r="N26" s="38">
        <f>M26+1</f>
        <v>46430</v>
      </c>
      <c r="O26" s="31">
        <f>N26+3</f>
        <v>46433</v>
      </c>
      <c r="P26" s="32">
        <f>O26+1</f>
        <v>46434</v>
      </c>
      <c r="Q26" s="33">
        <f>P26+1</f>
        <v>46435</v>
      </c>
      <c r="R26" s="33">
        <f>Q26+1</f>
        <v>46436</v>
      </c>
      <c r="S26" s="34">
        <f>R26+1</f>
        <v>46437</v>
      </c>
      <c r="T26" s="35">
        <f>S26+3</f>
        <v>46440</v>
      </c>
      <c r="U26" s="37">
        <f>T26+1</f>
        <v>46441</v>
      </c>
      <c r="V26" s="37">
        <f>U26+1</f>
        <v>46442</v>
      </c>
      <c r="W26" s="37">
        <f>V26+1</f>
        <v>46443</v>
      </c>
      <c r="X26" s="38">
        <f>W26+1</f>
        <v>46444</v>
      </c>
      <c r="Y26" s="31">
        <f>X26+3</f>
        <v>46447</v>
      </c>
      <c r="Z26" s="32">
        <f>Y26+1</f>
        <v>46448</v>
      </c>
      <c r="AA26" s="33">
        <f>Z26+1</f>
        <v>46449</v>
      </c>
      <c r="AB26" s="33">
        <f>AA26+1</f>
        <v>46450</v>
      </c>
      <c r="AC26" s="34">
        <f>AB26+1</f>
        <v>46451</v>
      </c>
      <c r="AD26" s="35">
        <f>AC26+3</f>
        <v>46454</v>
      </c>
      <c r="AE26" s="37">
        <f>AD26+1</f>
        <v>46455</v>
      </c>
      <c r="AF26" s="37">
        <f>AE26+1</f>
        <v>46456</v>
      </c>
      <c r="AG26" s="37">
        <f>AF26+1</f>
        <v>46457</v>
      </c>
      <c r="AH26" s="38">
        <f>AG26+1</f>
        <v>46458</v>
      </c>
      <c r="AI26" s="31">
        <f>AH26+3</f>
        <v>46461</v>
      </c>
      <c r="AJ26" s="32">
        <f>AI26+1</f>
        <v>46462</v>
      </c>
      <c r="AK26" s="33">
        <f>AJ26+1</f>
        <v>46463</v>
      </c>
      <c r="AL26" s="33">
        <f>AK26+1</f>
        <v>46464</v>
      </c>
      <c r="AM26" s="34">
        <f>AL26+1</f>
        <v>46465</v>
      </c>
      <c r="AN26" s="35">
        <f>AM26+3</f>
        <v>46468</v>
      </c>
      <c r="AO26" s="37">
        <f>AN26+1</f>
        <v>46469</v>
      </c>
      <c r="AP26" s="37">
        <f>AO26+1</f>
        <v>46470</v>
      </c>
      <c r="AQ26" s="37">
        <f>AP26+1</f>
        <v>46471</v>
      </c>
      <c r="AR26" s="38">
        <f>AQ26+1</f>
        <v>46472</v>
      </c>
      <c r="AS26" s="31">
        <f>AR26+3</f>
        <v>46475</v>
      </c>
      <c r="AT26" s="33">
        <f>AS26+1</f>
        <v>46476</v>
      </c>
      <c r="AU26" s="33">
        <f>AT26+1</f>
        <v>46477</v>
      </c>
      <c r="AV26" s="33">
        <f>AU26+1</f>
        <v>46478</v>
      </c>
      <c r="AW26" s="39">
        <f>AV26+1</f>
        <v>46479</v>
      </c>
      <c r="AX26" s="35">
        <f>AW26+3</f>
        <v>46482</v>
      </c>
      <c r="AY26" s="37">
        <f>AX26+1</f>
        <v>46483</v>
      </c>
      <c r="AZ26" s="37">
        <f>AY26+1</f>
        <v>46484</v>
      </c>
      <c r="BA26" s="37">
        <f>AZ26+1</f>
        <v>46485</v>
      </c>
      <c r="BB26" s="40">
        <f>BA26+1</f>
        <v>46486</v>
      </c>
      <c r="BC26" s="31">
        <f>BB26+3</f>
        <v>46489</v>
      </c>
      <c r="BD26" s="33">
        <f>BC26+1</f>
        <v>46490</v>
      </c>
      <c r="BE26" s="33">
        <f>BD26+1</f>
        <v>46491</v>
      </c>
      <c r="BF26" s="33">
        <f>BE26+1</f>
        <v>46492</v>
      </c>
      <c r="BG26" s="39">
        <f>BF26+1</f>
        <v>46493</v>
      </c>
      <c r="BH26" s="35">
        <f>BG26+3</f>
        <v>46496</v>
      </c>
      <c r="BI26" s="37">
        <f>BH26+1</f>
        <v>46497</v>
      </c>
      <c r="BJ26" s="37">
        <f>BI26+1</f>
        <v>46498</v>
      </c>
      <c r="BK26" s="37">
        <f>BJ26+1</f>
        <v>46499</v>
      </c>
      <c r="BL26" s="40">
        <f>BK26+1</f>
        <v>46500</v>
      </c>
      <c r="BM26" s="31">
        <f>BL26+3</f>
        <v>46503</v>
      </c>
      <c r="BN26" s="33">
        <f>BM26+1</f>
        <v>46504</v>
      </c>
      <c r="BO26" s="33">
        <f>BN26+1</f>
        <v>46505</v>
      </c>
      <c r="BP26" s="33">
        <f>BO26+1</f>
        <v>46506</v>
      </c>
      <c r="BQ26" s="39">
        <f>BP26+1</f>
        <v>46507</v>
      </c>
      <c r="BR26" s="35">
        <f>BQ26+3</f>
        <v>46510</v>
      </c>
      <c r="BS26" s="37">
        <f>BR26+1</f>
        <v>46511</v>
      </c>
      <c r="BT26" s="37">
        <f>BS26+1</f>
        <v>46512</v>
      </c>
      <c r="BU26" s="37">
        <f>BT26+1</f>
        <v>46513</v>
      </c>
      <c r="BV26" s="40">
        <f>BU26+1</f>
        <v>46514</v>
      </c>
      <c r="BW26" s="31">
        <f>BV26+3</f>
        <v>46517</v>
      </c>
      <c r="BX26" s="32">
        <f>BW26+1</f>
        <v>46518</v>
      </c>
      <c r="BY26" s="33">
        <f>BX26+1</f>
        <v>46519</v>
      </c>
      <c r="BZ26" s="33">
        <f>BY26+1</f>
        <v>46520</v>
      </c>
      <c r="CA26" s="34">
        <f>BZ26+1</f>
        <v>46521</v>
      </c>
      <c r="CB26" s="35">
        <f>CA26+3</f>
        <v>46524</v>
      </c>
      <c r="CC26" s="37">
        <f>CB26+1</f>
        <v>46525</v>
      </c>
      <c r="CD26" s="37">
        <f>CC26+1</f>
        <v>46526</v>
      </c>
      <c r="CE26" s="37">
        <f>CD26+1</f>
        <v>46527</v>
      </c>
      <c r="CF26" s="40">
        <f>CE26+1</f>
        <v>46528</v>
      </c>
      <c r="CG26" s="31">
        <f>CF26+3</f>
        <v>46531</v>
      </c>
      <c r="CH26" s="32">
        <f>CG26+1</f>
        <v>46532</v>
      </c>
      <c r="CI26" s="33">
        <f>CH26+1</f>
        <v>46533</v>
      </c>
      <c r="CJ26" s="33">
        <f>CI26+1</f>
        <v>46534</v>
      </c>
      <c r="CK26" s="34">
        <f>CJ26+1</f>
        <v>46535</v>
      </c>
      <c r="CL26" s="35">
        <f>CK26+3</f>
        <v>46538</v>
      </c>
      <c r="CM26" s="37">
        <f>CL26+1</f>
        <v>46539</v>
      </c>
      <c r="CN26" s="37">
        <f>CM26+1</f>
        <v>46540</v>
      </c>
      <c r="CO26" s="37">
        <f>CN26+1</f>
        <v>46541</v>
      </c>
      <c r="CP26" s="40">
        <f>CO26+1</f>
        <v>46542</v>
      </c>
      <c r="CQ26" s="31">
        <f>CP26+3</f>
        <v>46545</v>
      </c>
      <c r="CR26" s="32">
        <f>CQ26+1</f>
        <v>46546</v>
      </c>
      <c r="CS26" s="33">
        <f>CR26+1</f>
        <v>46547</v>
      </c>
      <c r="CT26" s="33">
        <f>CS26+1</f>
        <v>46548</v>
      </c>
      <c r="CU26" s="34">
        <f>CT26+1</f>
        <v>46549</v>
      </c>
      <c r="CV26" s="35">
        <f>CU26+3</f>
        <v>46552</v>
      </c>
      <c r="CW26" s="37">
        <f>CV26+1</f>
        <v>46553</v>
      </c>
      <c r="CX26" s="37">
        <f>CW26+1</f>
        <v>46554</v>
      </c>
      <c r="CY26" s="37">
        <f>CX26+1</f>
        <v>46555</v>
      </c>
      <c r="CZ26" s="38">
        <f>CY26+1</f>
        <v>46556</v>
      </c>
      <c r="DA26" s="31">
        <f>CZ26+3</f>
        <v>46559</v>
      </c>
      <c r="DB26" s="32">
        <f>DA26+1</f>
        <v>46560</v>
      </c>
      <c r="DC26" s="33">
        <f>DB26+1</f>
        <v>46561</v>
      </c>
      <c r="DD26" s="33">
        <f>DC26+1</f>
        <v>46562</v>
      </c>
      <c r="DE26" s="34">
        <f>DD26+1</f>
        <v>46563</v>
      </c>
    </row>
    <row r="27" spans="1:165" s="138" customFormat="1" ht="17" thickBot="1" x14ac:dyDescent="0.25">
      <c r="A27" s="134"/>
      <c r="B27" s="457"/>
      <c r="C27" s="457"/>
      <c r="D27" s="45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6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5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4"/>
      <c r="DG27" s="134"/>
      <c r="DH27" s="134"/>
      <c r="DI27" s="134"/>
      <c r="DJ27" s="134"/>
      <c r="DK27" s="134"/>
      <c r="DL27" s="134"/>
      <c r="DM27" s="134"/>
      <c r="DN27" s="134"/>
      <c r="DO27" s="134"/>
      <c r="DP27" s="134"/>
      <c r="DQ27" s="134"/>
      <c r="DR27" s="134"/>
      <c r="DS27" s="134"/>
      <c r="DT27" s="134"/>
      <c r="DU27" s="134"/>
      <c r="DV27" s="134"/>
      <c r="DW27" s="134"/>
      <c r="DX27" s="134"/>
      <c r="DY27" s="134"/>
      <c r="DZ27" s="134"/>
      <c r="EA27" s="134"/>
      <c r="EB27" s="134"/>
      <c r="EC27" s="134"/>
      <c r="ED27" s="134"/>
      <c r="EE27" s="134"/>
      <c r="EF27" s="134"/>
      <c r="EG27" s="134"/>
      <c r="EH27" s="134"/>
      <c r="EI27" s="134"/>
      <c r="EJ27" s="134"/>
      <c r="EK27" s="134"/>
      <c r="EL27" s="134"/>
      <c r="EM27" s="134"/>
      <c r="EN27" s="134"/>
      <c r="EO27" s="134"/>
      <c r="EP27" s="134"/>
      <c r="EQ27" s="134"/>
      <c r="ER27" s="134"/>
      <c r="ES27" s="134"/>
      <c r="ET27" s="134"/>
      <c r="EU27" s="134"/>
      <c r="EV27" s="134"/>
      <c r="EW27" s="134"/>
      <c r="EX27" s="134"/>
      <c r="EY27" s="134"/>
      <c r="EZ27" s="134"/>
      <c r="FA27" s="134"/>
      <c r="FB27" s="134"/>
      <c r="FC27" s="134"/>
      <c r="FD27" s="134"/>
      <c r="FE27" s="134"/>
      <c r="FF27" s="134"/>
      <c r="FG27" s="134"/>
      <c r="FH27" s="134"/>
      <c r="FI27" s="134"/>
    </row>
    <row r="28" spans="1:165" x14ac:dyDescent="0.2">
      <c r="B28" s="458" t="s">
        <v>7</v>
      </c>
      <c r="C28" s="459"/>
      <c r="D28" s="460"/>
      <c r="E28" s="41"/>
      <c r="F28" s="42"/>
      <c r="G28" s="42"/>
      <c r="H28" s="42"/>
      <c r="I28" s="43"/>
      <c r="J28" s="77"/>
      <c r="K28" s="62"/>
      <c r="L28" s="62"/>
      <c r="M28" s="62"/>
      <c r="N28" s="44"/>
      <c r="O28" s="41"/>
      <c r="P28" s="42"/>
      <c r="Q28" s="42"/>
      <c r="R28" s="42"/>
      <c r="S28" s="43"/>
      <c r="T28" s="77"/>
      <c r="U28" s="62"/>
      <c r="V28" s="62"/>
      <c r="W28" s="62"/>
      <c r="X28" s="44"/>
      <c r="Y28" s="41"/>
      <c r="Z28" s="42"/>
      <c r="AA28" s="42"/>
      <c r="AB28" s="42"/>
      <c r="AC28" s="43"/>
      <c r="AD28" s="77"/>
      <c r="AE28" s="62"/>
      <c r="AF28" s="62"/>
      <c r="AG28" s="62"/>
      <c r="AH28" s="44"/>
      <c r="AI28" s="41"/>
      <c r="AJ28" s="42"/>
      <c r="AK28" s="42"/>
      <c r="AL28" s="42"/>
      <c r="AM28" s="43"/>
      <c r="AN28" s="219"/>
      <c r="AO28" s="200"/>
      <c r="AP28" s="200"/>
      <c r="AQ28" s="200"/>
      <c r="AR28" s="209"/>
      <c r="AS28" s="223"/>
      <c r="AT28" s="42"/>
      <c r="AU28" s="42"/>
      <c r="AV28" s="42"/>
      <c r="AW28" s="43"/>
      <c r="AX28" s="77"/>
      <c r="AY28" s="62"/>
      <c r="AZ28" s="62"/>
      <c r="BA28" s="62"/>
      <c r="BB28" s="44"/>
      <c r="BC28" s="41"/>
      <c r="BD28" s="42"/>
      <c r="BE28" s="42"/>
      <c r="BF28" s="42"/>
      <c r="BG28" s="43"/>
      <c r="BH28" s="77"/>
      <c r="BI28" s="62"/>
      <c r="BJ28" s="62"/>
      <c r="BK28" s="62"/>
      <c r="BL28" s="44"/>
      <c r="BM28" s="41"/>
      <c r="BN28" s="42"/>
      <c r="BO28" s="42"/>
      <c r="BP28" s="42"/>
      <c r="BQ28" s="43"/>
      <c r="BR28" s="77"/>
      <c r="BS28" s="62"/>
      <c r="BT28" s="62"/>
      <c r="BU28" s="200"/>
      <c r="BV28" s="209"/>
      <c r="BW28" s="41"/>
      <c r="BX28" s="42"/>
      <c r="BY28" s="42"/>
      <c r="BZ28" s="42"/>
      <c r="CA28" s="43"/>
      <c r="CB28" s="219"/>
      <c r="CC28" s="62"/>
      <c r="CD28" s="62"/>
      <c r="CE28" s="62"/>
      <c r="CF28" s="44"/>
      <c r="CG28" s="41"/>
      <c r="CH28" s="42"/>
      <c r="CI28" s="42"/>
      <c r="CJ28" s="42"/>
      <c r="CK28" s="43"/>
      <c r="CL28" s="77"/>
      <c r="CM28" s="62"/>
      <c r="CN28" s="62"/>
      <c r="CO28" s="62"/>
      <c r="CP28" s="44"/>
      <c r="CQ28" s="41"/>
      <c r="CR28" s="42"/>
      <c r="CS28" s="42"/>
      <c r="CT28" s="42"/>
      <c r="CU28" s="43"/>
      <c r="CV28" s="77"/>
      <c r="CW28" s="62"/>
      <c r="CX28" s="62"/>
      <c r="CY28" s="62"/>
      <c r="CZ28" s="44"/>
      <c r="DA28" s="41"/>
      <c r="DB28" s="42"/>
      <c r="DC28" s="42"/>
      <c r="DD28" s="42"/>
      <c r="DE28" s="43"/>
    </row>
    <row r="29" spans="1:165" x14ac:dyDescent="0.2">
      <c r="B29" s="48" t="s">
        <v>15</v>
      </c>
      <c r="C29" s="82"/>
      <c r="D29" s="49"/>
      <c r="E29" s="50"/>
      <c r="F29" s="51"/>
      <c r="G29" s="51"/>
      <c r="H29" s="51"/>
      <c r="I29" s="52"/>
      <c r="J29" s="69"/>
      <c r="K29" s="64"/>
      <c r="L29" s="64"/>
      <c r="M29" s="64"/>
      <c r="N29" s="53"/>
      <c r="O29" s="50"/>
      <c r="P29" s="51"/>
      <c r="Q29" s="51"/>
      <c r="R29" s="51"/>
      <c r="S29" s="52"/>
      <c r="T29" s="69"/>
      <c r="U29" s="64"/>
      <c r="V29" s="64"/>
      <c r="W29" s="64"/>
      <c r="X29" s="53"/>
      <c r="Y29" s="50"/>
      <c r="Z29" s="51"/>
      <c r="AA29" s="51"/>
      <c r="AB29" s="51"/>
      <c r="AC29" s="52"/>
      <c r="AD29" s="69"/>
      <c r="AE29" s="64"/>
      <c r="AF29" s="64"/>
      <c r="AG29" s="64"/>
      <c r="AH29" s="53"/>
      <c r="AI29" s="50"/>
      <c r="AJ29" s="51"/>
      <c r="AK29" s="51"/>
      <c r="AL29" s="51"/>
      <c r="AM29" s="52"/>
      <c r="AN29" s="220"/>
      <c r="AO29" s="201"/>
      <c r="AP29" s="201"/>
      <c r="AQ29" s="201"/>
      <c r="AR29" s="210"/>
      <c r="AS29" s="225"/>
      <c r="AT29" s="51"/>
      <c r="AU29" s="51"/>
      <c r="AV29" s="51"/>
      <c r="AW29" s="52"/>
      <c r="AX29" s="69"/>
      <c r="AY29" s="64"/>
      <c r="AZ29" s="64"/>
      <c r="BA29" s="64"/>
      <c r="BB29" s="53"/>
      <c r="BC29" s="50"/>
      <c r="BD29" s="51"/>
      <c r="BE29" s="51"/>
      <c r="BF29" s="51"/>
      <c r="BG29" s="52"/>
      <c r="BH29" s="69"/>
      <c r="BI29" s="64"/>
      <c r="BJ29" s="64"/>
      <c r="BK29" s="64"/>
      <c r="BL29" s="53"/>
      <c r="BM29" s="50"/>
      <c r="BN29" s="51"/>
      <c r="BO29" s="51"/>
      <c r="BP29" s="51"/>
      <c r="BQ29" s="52"/>
      <c r="BR29" s="69"/>
      <c r="BS29" s="64"/>
      <c r="BT29" s="64"/>
      <c r="BU29" s="201"/>
      <c r="BV29" s="210"/>
      <c r="BW29" s="50"/>
      <c r="BX29" s="51"/>
      <c r="BY29" s="51"/>
      <c r="BZ29" s="51"/>
      <c r="CA29" s="52"/>
      <c r="CB29" s="220"/>
      <c r="CC29" s="64"/>
      <c r="CD29" s="64"/>
      <c r="CE29" s="64"/>
      <c r="CF29" s="53"/>
      <c r="CG29" s="50"/>
      <c r="CH29" s="51"/>
      <c r="CI29" s="51"/>
      <c r="CJ29" s="51"/>
      <c r="CK29" s="52"/>
      <c r="CL29" s="69"/>
      <c r="CM29" s="64"/>
      <c r="CN29" s="64"/>
      <c r="CO29" s="64"/>
      <c r="CP29" s="53"/>
      <c r="CQ29" s="50"/>
      <c r="CR29" s="51"/>
      <c r="CS29" s="51"/>
      <c r="CT29" s="51"/>
      <c r="CU29" s="52"/>
      <c r="CV29" s="69"/>
      <c r="CW29" s="64"/>
      <c r="CX29" s="64"/>
      <c r="CY29" s="64"/>
      <c r="CZ29" s="53"/>
      <c r="DA29" s="50"/>
      <c r="DB29" s="51"/>
      <c r="DC29" s="51"/>
      <c r="DD29" s="51"/>
      <c r="DE29" s="52"/>
    </row>
    <row r="30" spans="1:165" x14ac:dyDescent="0.2">
      <c r="B30" s="448" t="s">
        <v>16</v>
      </c>
      <c r="C30" s="449"/>
      <c r="D30" s="450"/>
      <c r="E30" s="54"/>
      <c r="F30" s="51"/>
      <c r="G30" s="51"/>
      <c r="H30" s="51"/>
      <c r="I30" s="52"/>
      <c r="J30" s="69"/>
      <c r="K30" s="64"/>
      <c r="L30" s="64"/>
      <c r="M30" s="64"/>
      <c r="N30" s="45"/>
      <c r="O30" s="54"/>
      <c r="P30" s="51"/>
      <c r="Q30" s="51"/>
      <c r="R30" s="51"/>
      <c r="S30" s="52"/>
      <c r="T30" s="69"/>
      <c r="U30" s="64"/>
      <c r="V30" s="64"/>
      <c r="W30" s="64"/>
      <c r="X30" s="45"/>
      <c r="Y30" s="54"/>
      <c r="Z30" s="51"/>
      <c r="AA30" s="51"/>
      <c r="AB30" s="51"/>
      <c r="AC30" s="52"/>
      <c r="AD30" s="69"/>
      <c r="AE30" s="64"/>
      <c r="AF30" s="64"/>
      <c r="AG30" s="64"/>
      <c r="AH30" s="45"/>
      <c r="AI30" s="54"/>
      <c r="AJ30" s="51"/>
      <c r="AK30" s="51"/>
      <c r="AL30" s="51"/>
      <c r="AM30" s="52"/>
      <c r="AN30" s="220"/>
      <c r="AO30" s="201"/>
      <c r="AP30" s="201"/>
      <c r="AQ30" s="201"/>
      <c r="AR30" s="211"/>
      <c r="AS30" s="227"/>
      <c r="AT30" s="51"/>
      <c r="AU30" s="51"/>
      <c r="AV30" s="51"/>
      <c r="AW30" s="52"/>
      <c r="AX30" s="69"/>
      <c r="AY30" s="64"/>
      <c r="AZ30" s="64"/>
      <c r="BA30" s="64"/>
      <c r="BB30" s="45"/>
      <c r="BC30" s="54"/>
      <c r="BD30" s="51"/>
      <c r="BE30" s="51"/>
      <c r="BF30" s="51"/>
      <c r="BG30" s="52"/>
      <c r="BH30" s="69"/>
      <c r="BI30" s="64"/>
      <c r="BJ30" s="64"/>
      <c r="BK30" s="64"/>
      <c r="BL30" s="45"/>
      <c r="BM30" s="54"/>
      <c r="BN30" s="51"/>
      <c r="BO30" s="51"/>
      <c r="BP30" s="51"/>
      <c r="BQ30" s="52"/>
      <c r="BR30" s="69"/>
      <c r="BS30" s="64"/>
      <c r="BT30" s="64"/>
      <c r="BU30" s="201"/>
      <c r="BV30" s="211"/>
      <c r="BW30" s="54"/>
      <c r="BX30" s="51"/>
      <c r="BY30" s="51"/>
      <c r="BZ30" s="51"/>
      <c r="CA30" s="52"/>
      <c r="CB30" s="220"/>
      <c r="CC30" s="64"/>
      <c r="CD30" s="64"/>
      <c r="CE30" s="64"/>
      <c r="CF30" s="45"/>
      <c r="CG30" s="54"/>
      <c r="CH30" s="51"/>
      <c r="CI30" s="51"/>
      <c r="CJ30" s="51"/>
      <c r="CK30" s="52"/>
      <c r="CL30" s="69"/>
      <c r="CM30" s="64"/>
      <c r="CN30" s="64"/>
      <c r="CO30" s="64"/>
      <c r="CP30" s="45"/>
      <c r="CQ30" s="54"/>
      <c r="CR30" s="51"/>
      <c r="CS30" s="51"/>
      <c r="CT30" s="51"/>
      <c r="CU30" s="52"/>
      <c r="CV30" s="69"/>
      <c r="CW30" s="64"/>
      <c r="CX30" s="64"/>
      <c r="CY30" s="64"/>
      <c r="CZ30" s="45"/>
      <c r="DA30" s="54"/>
      <c r="DB30" s="51"/>
      <c r="DC30" s="51"/>
      <c r="DD30" s="51"/>
      <c r="DE30" s="52"/>
    </row>
    <row r="31" spans="1:165" ht="17" thickBot="1" x14ac:dyDescent="0.25">
      <c r="B31" s="448" t="s">
        <v>17</v>
      </c>
      <c r="C31" s="449"/>
      <c r="D31" s="450"/>
      <c r="E31" s="54"/>
      <c r="F31" s="51"/>
      <c r="G31" s="51"/>
      <c r="H31" s="51"/>
      <c r="I31" s="52"/>
      <c r="J31" s="69"/>
      <c r="K31" s="64"/>
      <c r="L31" s="64"/>
      <c r="M31" s="64"/>
      <c r="N31" s="45"/>
      <c r="O31" s="54"/>
      <c r="P31" s="51"/>
      <c r="Q31" s="51"/>
      <c r="R31" s="51"/>
      <c r="S31" s="52"/>
      <c r="T31" s="69"/>
      <c r="U31" s="64"/>
      <c r="V31" s="64"/>
      <c r="W31" s="64"/>
      <c r="X31" s="45"/>
      <c r="Y31" s="54"/>
      <c r="Z31" s="51"/>
      <c r="AA31" s="51"/>
      <c r="AB31" s="51"/>
      <c r="AC31" s="52"/>
      <c r="AD31" s="69"/>
      <c r="AE31" s="64"/>
      <c r="AF31" s="64"/>
      <c r="AG31" s="64"/>
      <c r="AH31" s="45"/>
      <c r="AI31" s="54"/>
      <c r="AJ31" s="51"/>
      <c r="AK31" s="51"/>
      <c r="AL31" s="51"/>
      <c r="AM31" s="52"/>
      <c r="AN31" s="220"/>
      <c r="AO31" s="201"/>
      <c r="AP31" s="201"/>
      <c r="AQ31" s="201"/>
      <c r="AR31" s="211"/>
      <c r="AS31" s="227"/>
      <c r="AT31" s="51"/>
      <c r="AU31" s="51"/>
      <c r="AV31" s="51"/>
      <c r="AW31" s="52"/>
      <c r="AX31" s="69"/>
      <c r="AY31" s="64"/>
      <c r="AZ31" s="64"/>
      <c r="BA31" s="64"/>
      <c r="BB31" s="45"/>
      <c r="BC31" s="54"/>
      <c r="BD31" s="51"/>
      <c r="BE31" s="51"/>
      <c r="BF31" s="51"/>
      <c r="BG31" s="52"/>
      <c r="BH31" s="69"/>
      <c r="BI31" s="64"/>
      <c r="BJ31" s="64"/>
      <c r="BK31" s="64"/>
      <c r="BL31" s="45"/>
      <c r="BM31" s="54"/>
      <c r="BN31" s="51"/>
      <c r="BO31" s="51"/>
      <c r="BP31" s="51"/>
      <c r="BQ31" s="52"/>
      <c r="BR31" s="69"/>
      <c r="BS31" s="64"/>
      <c r="BT31" s="64"/>
      <c r="BU31" s="201"/>
      <c r="BV31" s="211"/>
      <c r="BW31" s="54"/>
      <c r="BX31" s="51"/>
      <c r="BY31" s="51"/>
      <c r="BZ31" s="51"/>
      <c r="CA31" s="52"/>
      <c r="CB31" s="220"/>
      <c r="CC31" s="64"/>
      <c r="CD31" s="64"/>
      <c r="CE31" s="64"/>
      <c r="CF31" s="45"/>
      <c r="CG31" s="54"/>
      <c r="CH31" s="51"/>
      <c r="CI31" s="51"/>
      <c r="CJ31" s="51"/>
      <c r="CK31" s="52"/>
      <c r="CL31" s="69"/>
      <c r="CM31" s="64"/>
      <c r="CN31" s="64"/>
      <c r="CO31" s="64"/>
      <c r="CP31" s="45"/>
      <c r="CQ31" s="54"/>
      <c r="CR31" s="51"/>
      <c r="CS31" s="51"/>
      <c r="CT31" s="51"/>
      <c r="CU31" s="52"/>
      <c r="CV31" s="69"/>
      <c r="CW31" s="64"/>
      <c r="CX31" s="64"/>
      <c r="CY31" s="64"/>
      <c r="CZ31" s="45"/>
      <c r="DA31" s="54"/>
      <c r="DB31" s="51"/>
      <c r="DC31" s="51"/>
      <c r="DD31" s="51"/>
      <c r="DE31" s="52"/>
    </row>
    <row r="32" spans="1:165" ht="17" thickBot="1" x14ac:dyDescent="0.25">
      <c r="B32" s="48" t="s">
        <v>18</v>
      </c>
      <c r="C32" s="82"/>
      <c r="D32" s="49"/>
      <c r="E32" s="100"/>
      <c r="F32" s="101"/>
      <c r="G32" s="101"/>
      <c r="H32" s="101"/>
      <c r="I32" s="102"/>
      <c r="J32" s="103"/>
      <c r="K32" s="104"/>
      <c r="L32" s="104"/>
      <c r="M32" s="104"/>
      <c r="N32" s="105"/>
      <c r="O32" s="100"/>
      <c r="P32" s="101"/>
      <c r="Q32" s="101"/>
      <c r="R32" s="101"/>
      <c r="S32" s="102"/>
      <c r="T32" s="103"/>
      <c r="U32" s="104"/>
      <c r="V32" s="104"/>
      <c r="W32" s="104"/>
      <c r="X32" s="105"/>
      <c r="Y32" s="100"/>
      <c r="Z32" s="101"/>
      <c r="AA32" s="101"/>
      <c r="AB32" s="101"/>
      <c r="AC32" s="102"/>
      <c r="AD32" s="103"/>
      <c r="AE32" s="104"/>
      <c r="AF32" s="104"/>
      <c r="AG32" s="104"/>
      <c r="AH32" s="105"/>
      <c r="AI32" s="100"/>
      <c r="AJ32" s="101"/>
      <c r="AK32" s="101"/>
      <c r="AL32" s="101"/>
      <c r="AM32" s="102"/>
      <c r="AN32" s="221"/>
      <c r="AO32" s="208"/>
      <c r="AP32" s="208"/>
      <c r="AQ32" s="208"/>
      <c r="AR32" s="212"/>
      <c r="AS32" s="228"/>
      <c r="AT32" s="101"/>
      <c r="AU32" s="101"/>
      <c r="AV32" s="101"/>
      <c r="AW32" s="102"/>
      <c r="AX32" s="103"/>
      <c r="AY32" s="104"/>
      <c r="AZ32" s="104"/>
      <c r="BA32" s="104"/>
      <c r="BB32" s="105"/>
      <c r="BC32" s="100"/>
      <c r="BD32" s="101"/>
      <c r="BE32" s="101"/>
      <c r="BF32" s="101"/>
      <c r="BG32" s="102"/>
      <c r="BH32" s="103"/>
      <c r="BI32" s="104"/>
      <c r="BJ32" s="104"/>
      <c r="BK32" s="104"/>
      <c r="BL32" s="105"/>
      <c r="BM32" s="100"/>
      <c r="BN32" s="101"/>
      <c r="BO32" s="101"/>
      <c r="BP32" s="101"/>
      <c r="BQ32" s="102"/>
      <c r="BR32" s="103"/>
      <c r="BS32" s="104"/>
      <c r="BT32" s="104"/>
      <c r="BU32" s="208"/>
      <c r="BV32" s="212"/>
      <c r="BW32" s="100"/>
      <c r="BX32" s="101"/>
      <c r="BY32" s="101"/>
      <c r="BZ32" s="101"/>
      <c r="CA32" s="102"/>
      <c r="CB32" s="221"/>
      <c r="CC32" s="104"/>
      <c r="CD32" s="104"/>
      <c r="CE32" s="104"/>
      <c r="CF32" s="105"/>
      <c r="CG32" s="100"/>
      <c r="CH32" s="101"/>
      <c r="CI32" s="101"/>
      <c r="CJ32" s="101"/>
      <c r="CK32" s="102"/>
      <c r="CL32" s="103"/>
      <c r="CM32" s="104"/>
      <c r="CN32" s="104"/>
      <c r="CO32" s="104"/>
      <c r="CP32" s="105"/>
      <c r="CQ32" s="100"/>
      <c r="CR32" s="101"/>
      <c r="CS32" s="101"/>
      <c r="CT32" s="101"/>
      <c r="CU32" s="102"/>
      <c r="CV32" s="103"/>
      <c r="CW32" s="104"/>
      <c r="CX32" s="104"/>
      <c r="CY32" s="104"/>
      <c r="CZ32" s="105"/>
      <c r="DA32" s="100"/>
      <c r="DB32" s="101"/>
      <c r="DC32" s="101"/>
      <c r="DD32" s="101"/>
      <c r="DE32" s="102"/>
    </row>
    <row r="33" spans="2:109" x14ac:dyDescent="0.2">
      <c r="B33" s="48" t="s">
        <v>19</v>
      </c>
      <c r="C33" s="82"/>
      <c r="D33" s="49"/>
      <c r="E33" s="41"/>
      <c r="F33" s="42"/>
      <c r="G33" s="200"/>
      <c r="H33" s="42"/>
      <c r="I33" s="43"/>
      <c r="J33" s="77"/>
      <c r="K33" s="62"/>
      <c r="L33" s="200"/>
      <c r="M33" s="62"/>
      <c r="N33" s="44"/>
      <c r="O33" s="41"/>
      <c r="P33" s="42"/>
      <c r="Q33" s="200"/>
      <c r="R33" s="42"/>
      <c r="S33" s="43"/>
      <c r="T33" s="77"/>
      <c r="U33" s="62"/>
      <c r="V33" s="200"/>
      <c r="W33" s="62"/>
      <c r="X33" s="44"/>
      <c r="Y33" s="41"/>
      <c r="Z33" s="42"/>
      <c r="AA33" s="200"/>
      <c r="AB33" s="42"/>
      <c r="AC33" s="43"/>
      <c r="AD33" s="77"/>
      <c r="AE33" s="62"/>
      <c r="AF33" s="200"/>
      <c r="AG33" s="62"/>
      <c r="AH33" s="44"/>
      <c r="AI33" s="41"/>
      <c r="AJ33" s="42"/>
      <c r="AK33" s="200"/>
      <c r="AL33" s="42"/>
      <c r="AM33" s="43"/>
      <c r="AN33" s="219"/>
      <c r="AO33" s="200"/>
      <c r="AP33" s="200"/>
      <c r="AQ33" s="200"/>
      <c r="AR33" s="209"/>
      <c r="AS33" s="223"/>
      <c r="AT33" s="42"/>
      <c r="AU33" s="200"/>
      <c r="AV33" s="42"/>
      <c r="AW33" s="43"/>
      <c r="AX33" s="77"/>
      <c r="AY33" s="62"/>
      <c r="AZ33" s="200"/>
      <c r="BA33" s="62"/>
      <c r="BB33" s="44"/>
      <c r="BC33" s="41"/>
      <c r="BD33" s="42"/>
      <c r="BE33" s="200"/>
      <c r="BF33" s="42"/>
      <c r="BG33" s="43"/>
      <c r="BH33" s="77"/>
      <c r="BI33" s="62"/>
      <c r="BJ33" s="200"/>
      <c r="BK33" s="62"/>
      <c r="BL33" s="44"/>
      <c r="BM33" s="41"/>
      <c r="BN33" s="42"/>
      <c r="BO33" s="200"/>
      <c r="BP33" s="42"/>
      <c r="BQ33" s="43"/>
      <c r="BR33" s="77"/>
      <c r="BS33" s="62"/>
      <c r="BT33" s="200"/>
      <c r="BU33" s="200"/>
      <c r="BV33" s="209"/>
      <c r="BW33" s="41"/>
      <c r="BX33" s="42"/>
      <c r="BY33" s="200"/>
      <c r="BZ33" s="42"/>
      <c r="CA33" s="43"/>
      <c r="CB33" s="219"/>
      <c r="CC33" s="62"/>
      <c r="CD33" s="200"/>
      <c r="CE33" s="62"/>
      <c r="CF33" s="44"/>
      <c r="CG33" s="41"/>
      <c r="CH33" s="42"/>
      <c r="CI33" s="200"/>
      <c r="CJ33" s="42"/>
      <c r="CK33" s="43"/>
      <c r="CL33" s="77"/>
      <c r="CM33" s="62"/>
      <c r="CN33" s="200"/>
      <c r="CO33" s="62"/>
      <c r="CP33" s="44"/>
      <c r="CQ33" s="41"/>
      <c r="CR33" s="42"/>
      <c r="CS33" s="200"/>
      <c r="CT33" s="42"/>
      <c r="CU33" s="43"/>
      <c r="CV33" s="77"/>
      <c r="CW33" s="62"/>
      <c r="CX33" s="200"/>
      <c r="CY33" s="62"/>
      <c r="CZ33" s="44"/>
      <c r="DA33" s="41"/>
      <c r="DB33" s="42"/>
      <c r="DC33" s="200"/>
      <c r="DD33" s="42"/>
      <c r="DE33" s="43"/>
    </row>
    <row r="34" spans="2:109" x14ac:dyDescent="0.2">
      <c r="B34" s="448" t="s">
        <v>21</v>
      </c>
      <c r="C34" s="449"/>
      <c r="D34" s="450"/>
      <c r="E34" s="50"/>
      <c r="F34" s="51"/>
      <c r="G34" s="201"/>
      <c r="H34" s="51"/>
      <c r="I34" s="52"/>
      <c r="J34" s="69"/>
      <c r="K34" s="64"/>
      <c r="L34" s="201"/>
      <c r="M34" s="64"/>
      <c r="N34" s="53"/>
      <c r="O34" s="50"/>
      <c r="P34" s="51"/>
      <c r="Q34" s="201"/>
      <c r="R34" s="51"/>
      <c r="S34" s="52"/>
      <c r="T34" s="69"/>
      <c r="U34" s="64"/>
      <c r="V34" s="201"/>
      <c r="W34" s="64"/>
      <c r="X34" s="53"/>
      <c r="Y34" s="50"/>
      <c r="Z34" s="51"/>
      <c r="AA34" s="201"/>
      <c r="AB34" s="51"/>
      <c r="AC34" s="52"/>
      <c r="AD34" s="69"/>
      <c r="AE34" s="64"/>
      <c r="AF34" s="201"/>
      <c r="AG34" s="64"/>
      <c r="AH34" s="53"/>
      <c r="AI34" s="50"/>
      <c r="AJ34" s="51"/>
      <c r="AK34" s="201"/>
      <c r="AL34" s="51"/>
      <c r="AM34" s="52"/>
      <c r="AN34" s="220"/>
      <c r="AO34" s="201"/>
      <c r="AP34" s="201"/>
      <c r="AQ34" s="201"/>
      <c r="AR34" s="210"/>
      <c r="AS34" s="225"/>
      <c r="AT34" s="51"/>
      <c r="AU34" s="201"/>
      <c r="AV34" s="51"/>
      <c r="AW34" s="52"/>
      <c r="AX34" s="69"/>
      <c r="AY34" s="64"/>
      <c r="AZ34" s="201"/>
      <c r="BA34" s="64"/>
      <c r="BB34" s="53"/>
      <c r="BC34" s="50"/>
      <c r="BD34" s="51"/>
      <c r="BE34" s="201"/>
      <c r="BF34" s="51"/>
      <c r="BG34" s="52"/>
      <c r="BH34" s="69"/>
      <c r="BI34" s="64"/>
      <c r="BJ34" s="201"/>
      <c r="BK34" s="64"/>
      <c r="BL34" s="53"/>
      <c r="BM34" s="50"/>
      <c r="BN34" s="51"/>
      <c r="BO34" s="201"/>
      <c r="BP34" s="51"/>
      <c r="BQ34" s="52"/>
      <c r="BR34" s="69"/>
      <c r="BS34" s="64"/>
      <c r="BT34" s="201"/>
      <c r="BU34" s="201"/>
      <c r="BV34" s="210"/>
      <c r="BW34" s="50"/>
      <c r="BX34" s="51"/>
      <c r="BY34" s="201"/>
      <c r="BZ34" s="51"/>
      <c r="CA34" s="52"/>
      <c r="CB34" s="220"/>
      <c r="CC34" s="64"/>
      <c r="CD34" s="201"/>
      <c r="CE34" s="64"/>
      <c r="CF34" s="53"/>
      <c r="CG34" s="50"/>
      <c r="CH34" s="51"/>
      <c r="CI34" s="201"/>
      <c r="CJ34" s="51"/>
      <c r="CK34" s="52"/>
      <c r="CL34" s="69"/>
      <c r="CM34" s="64"/>
      <c r="CN34" s="201"/>
      <c r="CO34" s="64"/>
      <c r="CP34" s="53"/>
      <c r="CQ34" s="50"/>
      <c r="CR34" s="51"/>
      <c r="CS34" s="201"/>
      <c r="CT34" s="51"/>
      <c r="CU34" s="52"/>
      <c r="CV34" s="69"/>
      <c r="CW34" s="64"/>
      <c r="CX34" s="201"/>
      <c r="CY34" s="64"/>
      <c r="CZ34" s="53"/>
      <c r="DA34" s="50"/>
      <c r="DB34" s="51"/>
      <c r="DC34" s="201"/>
      <c r="DD34" s="51"/>
      <c r="DE34" s="52"/>
    </row>
    <row r="35" spans="2:109" x14ac:dyDescent="0.2">
      <c r="B35" s="448" t="s">
        <v>22</v>
      </c>
      <c r="C35" s="449"/>
      <c r="D35" s="450"/>
      <c r="E35" s="54"/>
      <c r="F35" s="51"/>
      <c r="G35" s="201"/>
      <c r="H35" s="51"/>
      <c r="I35" s="52"/>
      <c r="J35" s="69"/>
      <c r="K35" s="64"/>
      <c r="L35" s="201"/>
      <c r="M35" s="64"/>
      <c r="N35" s="45"/>
      <c r="O35" s="54"/>
      <c r="P35" s="51"/>
      <c r="Q35" s="201"/>
      <c r="R35" s="51"/>
      <c r="S35" s="52"/>
      <c r="T35" s="69"/>
      <c r="U35" s="64"/>
      <c r="V35" s="201"/>
      <c r="W35" s="64"/>
      <c r="X35" s="45"/>
      <c r="Y35" s="54"/>
      <c r="Z35" s="51"/>
      <c r="AA35" s="201"/>
      <c r="AB35" s="51"/>
      <c r="AC35" s="52"/>
      <c r="AD35" s="69"/>
      <c r="AE35" s="64"/>
      <c r="AF35" s="201"/>
      <c r="AG35" s="64"/>
      <c r="AH35" s="45"/>
      <c r="AI35" s="54"/>
      <c r="AJ35" s="51"/>
      <c r="AK35" s="201"/>
      <c r="AL35" s="51"/>
      <c r="AM35" s="52"/>
      <c r="AN35" s="220"/>
      <c r="AO35" s="201"/>
      <c r="AP35" s="201"/>
      <c r="AQ35" s="201"/>
      <c r="AR35" s="211"/>
      <c r="AS35" s="227"/>
      <c r="AT35" s="51"/>
      <c r="AU35" s="201"/>
      <c r="AV35" s="51"/>
      <c r="AW35" s="52"/>
      <c r="AX35" s="69"/>
      <c r="AY35" s="64"/>
      <c r="AZ35" s="201"/>
      <c r="BA35" s="64"/>
      <c r="BB35" s="45"/>
      <c r="BC35" s="54"/>
      <c r="BD35" s="51"/>
      <c r="BE35" s="201"/>
      <c r="BF35" s="51"/>
      <c r="BG35" s="52"/>
      <c r="BH35" s="69"/>
      <c r="BI35" s="64"/>
      <c r="BJ35" s="201"/>
      <c r="BK35" s="64"/>
      <c r="BL35" s="45"/>
      <c r="BM35" s="54"/>
      <c r="BN35" s="51"/>
      <c r="BO35" s="201"/>
      <c r="BP35" s="51"/>
      <c r="BQ35" s="52"/>
      <c r="BR35" s="69"/>
      <c r="BS35" s="64"/>
      <c r="BT35" s="201"/>
      <c r="BU35" s="201"/>
      <c r="BV35" s="211"/>
      <c r="BW35" s="54"/>
      <c r="BX35" s="51"/>
      <c r="BY35" s="201"/>
      <c r="BZ35" s="51"/>
      <c r="CA35" s="52"/>
      <c r="CB35" s="220"/>
      <c r="CC35" s="64"/>
      <c r="CD35" s="201"/>
      <c r="CE35" s="64"/>
      <c r="CF35" s="45"/>
      <c r="CG35" s="54"/>
      <c r="CH35" s="51"/>
      <c r="CI35" s="201"/>
      <c r="CJ35" s="51"/>
      <c r="CK35" s="52"/>
      <c r="CL35" s="69"/>
      <c r="CM35" s="64"/>
      <c r="CN35" s="201"/>
      <c r="CO35" s="64"/>
      <c r="CP35" s="45"/>
      <c r="CQ35" s="54"/>
      <c r="CR35" s="51"/>
      <c r="CS35" s="201"/>
      <c r="CT35" s="51"/>
      <c r="CU35" s="52"/>
      <c r="CV35" s="69"/>
      <c r="CW35" s="64"/>
      <c r="CX35" s="201"/>
      <c r="CY35" s="64"/>
      <c r="CZ35" s="45"/>
      <c r="DA35" s="54"/>
      <c r="DB35" s="51"/>
      <c r="DC35" s="201"/>
      <c r="DD35" s="51"/>
      <c r="DE35" s="52"/>
    </row>
    <row r="36" spans="2:109" ht="17" thickBot="1" x14ac:dyDescent="0.25">
      <c r="B36" s="448" t="s">
        <v>23</v>
      </c>
      <c r="C36" s="449"/>
      <c r="D36" s="450"/>
      <c r="E36" s="89"/>
      <c r="F36" s="90"/>
      <c r="G36" s="202"/>
      <c r="H36" s="90"/>
      <c r="I36" s="91"/>
      <c r="J36" s="92"/>
      <c r="K36" s="93"/>
      <c r="L36" s="202"/>
      <c r="M36" s="93"/>
      <c r="N36" s="94"/>
      <c r="O36" s="89"/>
      <c r="P36" s="90"/>
      <c r="Q36" s="202"/>
      <c r="R36" s="90"/>
      <c r="S36" s="91"/>
      <c r="T36" s="92"/>
      <c r="U36" s="93"/>
      <c r="V36" s="202"/>
      <c r="W36" s="93"/>
      <c r="X36" s="94"/>
      <c r="Y36" s="89"/>
      <c r="Z36" s="90"/>
      <c r="AA36" s="202"/>
      <c r="AB36" s="90"/>
      <c r="AC36" s="91"/>
      <c r="AD36" s="92"/>
      <c r="AE36" s="93"/>
      <c r="AF36" s="202"/>
      <c r="AG36" s="93"/>
      <c r="AH36" s="94"/>
      <c r="AI36" s="89"/>
      <c r="AJ36" s="90"/>
      <c r="AK36" s="202"/>
      <c r="AL36" s="90"/>
      <c r="AM36" s="91"/>
      <c r="AN36" s="222"/>
      <c r="AO36" s="202"/>
      <c r="AP36" s="202"/>
      <c r="AQ36" s="202"/>
      <c r="AR36" s="213"/>
      <c r="AS36" s="230"/>
      <c r="AT36" s="90"/>
      <c r="AU36" s="202"/>
      <c r="AV36" s="90"/>
      <c r="AW36" s="91"/>
      <c r="AX36" s="92"/>
      <c r="AY36" s="93"/>
      <c r="AZ36" s="202"/>
      <c r="BA36" s="93"/>
      <c r="BB36" s="94"/>
      <c r="BC36" s="89"/>
      <c r="BD36" s="90"/>
      <c r="BE36" s="202"/>
      <c r="BF36" s="90"/>
      <c r="BG36" s="91"/>
      <c r="BH36" s="92"/>
      <c r="BI36" s="93"/>
      <c r="BJ36" s="202"/>
      <c r="BK36" s="93"/>
      <c r="BL36" s="94"/>
      <c r="BM36" s="89"/>
      <c r="BN36" s="90"/>
      <c r="BO36" s="202"/>
      <c r="BP36" s="90"/>
      <c r="BQ36" s="91"/>
      <c r="BR36" s="92"/>
      <c r="BS36" s="93"/>
      <c r="BT36" s="202"/>
      <c r="BU36" s="202"/>
      <c r="BV36" s="213"/>
      <c r="BW36" s="89"/>
      <c r="BX36" s="90"/>
      <c r="BY36" s="202"/>
      <c r="BZ36" s="90"/>
      <c r="CA36" s="91"/>
      <c r="CB36" s="222"/>
      <c r="CC36" s="93"/>
      <c r="CD36" s="202"/>
      <c r="CE36" s="93"/>
      <c r="CF36" s="94"/>
      <c r="CG36" s="89"/>
      <c r="CH36" s="90"/>
      <c r="CI36" s="202"/>
      <c r="CJ36" s="90"/>
      <c r="CK36" s="91"/>
      <c r="CL36" s="92"/>
      <c r="CM36" s="93"/>
      <c r="CN36" s="202"/>
      <c r="CO36" s="93"/>
      <c r="CP36" s="94"/>
      <c r="CQ36" s="89"/>
      <c r="CR36" s="90"/>
      <c r="CS36" s="202"/>
      <c r="CT36" s="90"/>
      <c r="CU36" s="91"/>
      <c r="CV36" s="92"/>
      <c r="CW36" s="93"/>
      <c r="CX36" s="202"/>
      <c r="CY36" s="93"/>
      <c r="CZ36" s="94"/>
      <c r="DA36" s="89"/>
      <c r="DB36" s="90"/>
      <c r="DC36" s="202"/>
      <c r="DD36" s="90"/>
      <c r="DE36" s="91"/>
    </row>
    <row r="37" spans="2:109" x14ac:dyDescent="0.2">
      <c r="B37" s="448" t="s">
        <v>24</v>
      </c>
      <c r="C37" s="449"/>
      <c r="D37" s="450"/>
      <c r="E37" s="95"/>
      <c r="F37" s="96"/>
      <c r="G37" s="96"/>
      <c r="H37" s="96"/>
      <c r="I37" s="97"/>
      <c r="J37" s="98"/>
      <c r="K37" s="47"/>
      <c r="L37" s="47"/>
      <c r="M37" s="47"/>
      <c r="N37" s="63"/>
      <c r="O37" s="95"/>
      <c r="P37" s="96"/>
      <c r="Q37" s="96"/>
      <c r="R37" s="96"/>
      <c r="S37" s="97"/>
      <c r="T37" s="98"/>
      <c r="U37" s="47"/>
      <c r="V37" s="47"/>
      <c r="W37" s="47"/>
      <c r="X37" s="63"/>
      <c r="Y37" s="95"/>
      <c r="Z37" s="96"/>
      <c r="AA37" s="96"/>
      <c r="AB37" s="96"/>
      <c r="AC37" s="97"/>
      <c r="AD37" s="98"/>
      <c r="AE37" s="47"/>
      <c r="AF37" s="47"/>
      <c r="AG37" s="47"/>
      <c r="AH37" s="63"/>
      <c r="AI37" s="95"/>
      <c r="AJ37" s="96"/>
      <c r="AK37" s="96"/>
      <c r="AL37" s="96"/>
      <c r="AM37" s="97"/>
      <c r="AN37" s="98"/>
      <c r="AO37" s="47"/>
      <c r="AP37" s="47"/>
      <c r="AQ37" s="47"/>
      <c r="AR37" s="63"/>
      <c r="AS37" s="95"/>
      <c r="AT37" s="96"/>
      <c r="AU37" s="96"/>
      <c r="AV37" s="96"/>
      <c r="AW37" s="97"/>
      <c r="AX37" s="98"/>
      <c r="AY37" s="47"/>
      <c r="AZ37" s="47"/>
      <c r="BA37" s="47"/>
      <c r="BB37" s="63"/>
      <c r="BC37" s="95"/>
      <c r="BD37" s="96"/>
      <c r="BE37" s="96"/>
      <c r="BF37" s="96"/>
      <c r="BG37" s="97"/>
      <c r="BH37" s="98"/>
      <c r="BI37" s="47"/>
      <c r="BJ37" s="47"/>
      <c r="BK37" s="47"/>
      <c r="BL37" s="63"/>
      <c r="BM37" s="95"/>
      <c r="BN37" s="96"/>
      <c r="BO37" s="96"/>
      <c r="BP37" s="96"/>
      <c r="BQ37" s="97"/>
      <c r="BR37" s="98"/>
      <c r="BS37" s="47"/>
      <c r="BT37" s="47"/>
      <c r="BU37" s="47"/>
      <c r="BV37" s="63"/>
      <c r="BW37" s="95"/>
      <c r="BX37" s="96"/>
      <c r="BY37" s="96"/>
      <c r="BZ37" s="96"/>
      <c r="CA37" s="97"/>
      <c r="CB37" s="98"/>
      <c r="CC37" s="47"/>
      <c r="CD37" s="47"/>
      <c r="CE37" s="47"/>
      <c r="CF37" s="63"/>
      <c r="CG37" s="95"/>
      <c r="CH37" s="96"/>
      <c r="CI37" s="96"/>
      <c r="CJ37" s="96"/>
      <c r="CK37" s="97"/>
      <c r="CL37" s="98"/>
      <c r="CM37" s="47"/>
      <c r="CN37" s="47"/>
      <c r="CO37" s="47"/>
      <c r="CP37" s="63"/>
      <c r="CQ37" s="95"/>
      <c r="CR37" s="96"/>
      <c r="CS37" s="96"/>
      <c r="CT37" s="96"/>
      <c r="CU37" s="97"/>
      <c r="CV37" s="98"/>
      <c r="CW37" s="47"/>
      <c r="CX37" s="47"/>
      <c r="CY37" s="47"/>
      <c r="CZ37" s="63"/>
      <c r="DA37" s="95"/>
      <c r="DB37" s="96"/>
      <c r="DC37" s="96"/>
      <c r="DD37" s="96"/>
      <c r="DE37" s="97"/>
    </row>
    <row r="38" spans="2:109" x14ac:dyDescent="0.2">
      <c r="B38" s="448" t="s">
        <v>30</v>
      </c>
      <c r="C38" s="449"/>
      <c r="D38" s="450"/>
      <c r="E38" s="68"/>
      <c r="F38" s="65"/>
      <c r="G38" s="65"/>
      <c r="H38" s="65"/>
      <c r="I38" s="70"/>
      <c r="J38" s="67"/>
      <c r="K38" s="56"/>
      <c r="L38" s="56"/>
      <c r="M38" s="56"/>
      <c r="N38" s="66"/>
      <c r="O38" s="68"/>
      <c r="P38" s="65"/>
      <c r="Q38" s="65"/>
      <c r="R38" s="65"/>
      <c r="S38" s="70"/>
      <c r="T38" s="67"/>
      <c r="U38" s="56"/>
      <c r="V38" s="56"/>
      <c r="W38" s="56"/>
      <c r="X38" s="66"/>
      <c r="Y38" s="68"/>
      <c r="Z38" s="65"/>
      <c r="AA38" s="65"/>
      <c r="AB38" s="65"/>
      <c r="AC38" s="70"/>
      <c r="AD38" s="67"/>
      <c r="AE38" s="56"/>
      <c r="AF38" s="56"/>
      <c r="AG38" s="56"/>
      <c r="AH38" s="66"/>
      <c r="AI38" s="68"/>
      <c r="AJ38" s="65"/>
      <c r="AK38" s="65"/>
      <c r="AL38" s="65"/>
      <c r="AM38" s="70"/>
      <c r="AN38" s="67"/>
      <c r="AO38" s="56"/>
      <c r="AP38" s="56"/>
      <c r="AQ38" s="56"/>
      <c r="AR38" s="66"/>
      <c r="AS38" s="68"/>
      <c r="AT38" s="65"/>
      <c r="AU38" s="65"/>
      <c r="AV38" s="65"/>
      <c r="AW38" s="70"/>
      <c r="AX38" s="67"/>
      <c r="AY38" s="56"/>
      <c r="AZ38" s="56"/>
      <c r="BA38" s="56"/>
      <c r="BB38" s="66"/>
      <c r="BC38" s="68"/>
      <c r="BD38" s="65"/>
      <c r="BE38" s="65"/>
      <c r="BF38" s="65"/>
      <c r="BG38" s="70"/>
      <c r="BH38" s="67"/>
      <c r="BI38" s="56"/>
      <c r="BJ38" s="56"/>
      <c r="BK38" s="56"/>
      <c r="BL38" s="66"/>
      <c r="BM38" s="68"/>
      <c r="BN38" s="65"/>
      <c r="BO38" s="65"/>
      <c r="BP38" s="65"/>
      <c r="BQ38" s="70"/>
      <c r="BR38" s="67"/>
      <c r="BS38" s="56"/>
      <c r="BT38" s="56"/>
      <c r="BU38" s="56"/>
      <c r="BV38" s="66"/>
      <c r="BW38" s="68"/>
      <c r="BX38" s="65"/>
      <c r="BY38" s="65"/>
      <c r="BZ38" s="65"/>
      <c r="CA38" s="70"/>
      <c r="CB38" s="67"/>
      <c r="CC38" s="56"/>
      <c r="CD38" s="56"/>
      <c r="CE38" s="56"/>
      <c r="CF38" s="66"/>
      <c r="CG38" s="68"/>
      <c r="CH38" s="65"/>
      <c r="CI38" s="65"/>
      <c r="CJ38" s="65"/>
      <c r="CK38" s="70"/>
      <c r="CL38" s="67"/>
      <c r="CM38" s="56"/>
      <c r="CN38" s="56"/>
      <c r="CO38" s="56"/>
      <c r="CP38" s="66"/>
      <c r="CQ38" s="68"/>
      <c r="CR38" s="65"/>
      <c r="CS38" s="65"/>
      <c r="CT38" s="65"/>
      <c r="CU38" s="70"/>
      <c r="CV38" s="67"/>
      <c r="CW38" s="56"/>
      <c r="CX38" s="56"/>
      <c r="CY38" s="56"/>
      <c r="CZ38" s="66"/>
      <c r="DA38" s="68"/>
      <c r="DB38" s="65"/>
      <c r="DC38" s="65"/>
      <c r="DD38" s="65"/>
      <c r="DE38" s="70"/>
    </row>
    <row r="39" spans="2:109" x14ac:dyDescent="0.2">
      <c r="B39" s="448" t="s">
        <v>31</v>
      </c>
      <c r="C39" s="449"/>
      <c r="D39" s="450"/>
      <c r="E39" s="68"/>
      <c r="F39" s="65"/>
      <c r="G39" s="65"/>
      <c r="H39" s="65"/>
      <c r="I39" s="70"/>
      <c r="J39" s="67"/>
      <c r="K39" s="56"/>
      <c r="L39" s="56"/>
      <c r="M39" s="56"/>
      <c r="N39" s="66"/>
      <c r="O39" s="68"/>
      <c r="P39" s="65"/>
      <c r="Q39" s="65"/>
      <c r="R39" s="65"/>
      <c r="S39" s="70"/>
      <c r="T39" s="67"/>
      <c r="U39" s="56"/>
      <c r="V39" s="56"/>
      <c r="W39" s="56"/>
      <c r="X39" s="66"/>
      <c r="Y39" s="68"/>
      <c r="Z39" s="65"/>
      <c r="AA39" s="65"/>
      <c r="AB39" s="65"/>
      <c r="AC39" s="70"/>
      <c r="AD39" s="67"/>
      <c r="AE39" s="56"/>
      <c r="AF39" s="56"/>
      <c r="AG39" s="56"/>
      <c r="AH39" s="66"/>
      <c r="AI39" s="68"/>
      <c r="AJ39" s="65"/>
      <c r="AK39" s="65"/>
      <c r="AL39" s="65"/>
      <c r="AM39" s="70"/>
      <c r="AN39" s="67"/>
      <c r="AO39" s="56"/>
      <c r="AP39" s="56"/>
      <c r="AQ39" s="56"/>
      <c r="AR39" s="66"/>
      <c r="AS39" s="68"/>
      <c r="AT39" s="65"/>
      <c r="AU39" s="65"/>
      <c r="AV39" s="65"/>
      <c r="AW39" s="70"/>
      <c r="AX39" s="67"/>
      <c r="AY39" s="56"/>
      <c r="AZ39" s="56"/>
      <c r="BA39" s="56"/>
      <c r="BB39" s="66"/>
      <c r="BC39" s="68"/>
      <c r="BD39" s="65"/>
      <c r="BE39" s="65"/>
      <c r="BF39" s="65"/>
      <c r="BG39" s="70"/>
      <c r="BH39" s="67"/>
      <c r="BI39" s="56"/>
      <c r="BJ39" s="56"/>
      <c r="BK39" s="56"/>
      <c r="BL39" s="66"/>
      <c r="BM39" s="68"/>
      <c r="BN39" s="65"/>
      <c r="BO39" s="65"/>
      <c r="BP39" s="65"/>
      <c r="BQ39" s="70"/>
      <c r="BR39" s="67"/>
      <c r="BS39" s="56"/>
      <c r="BT39" s="56"/>
      <c r="BU39" s="56"/>
      <c r="BV39" s="66"/>
      <c r="BW39" s="68"/>
      <c r="BX39" s="65"/>
      <c r="BY39" s="65"/>
      <c r="BZ39" s="65"/>
      <c r="CA39" s="70"/>
      <c r="CB39" s="67"/>
      <c r="CC39" s="56"/>
      <c r="CD39" s="56"/>
      <c r="CE39" s="56"/>
      <c r="CF39" s="66"/>
      <c r="CG39" s="68"/>
      <c r="CH39" s="65"/>
      <c r="CI39" s="65"/>
      <c r="CJ39" s="65"/>
      <c r="CK39" s="70"/>
      <c r="CL39" s="67"/>
      <c r="CM39" s="56"/>
      <c r="CN39" s="56"/>
      <c r="CO39" s="56"/>
      <c r="CP39" s="66"/>
      <c r="CQ39" s="68"/>
      <c r="CR39" s="65"/>
      <c r="CS39" s="65"/>
      <c r="CT39" s="65"/>
      <c r="CU39" s="70"/>
      <c r="CV39" s="67"/>
      <c r="CW39" s="56"/>
      <c r="CX39" s="56"/>
      <c r="CY39" s="56"/>
      <c r="CZ39" s="66"/>
      <c r="DA39" s="68"/>
      <c r="DB39" s="65"/>
      <c r="DC39" s="65"/>
      <c r="DD39" s="65"/>
      <c r="DE39" s="70"/>
    </row>
    <row r="40" spans="2:109" x14ac:dyDescent="0.2">
      <c r="B40" s="448" t="s">
        <v>32</v>
      </c>
      <c r="C40" s="449"/>
      <c r="D40" s="450"/>
      <c r="E40" s="68"/>
      <c r="F40" s="65"/>
      <c r="G40" s="65"/>
      <c r="H40" s="65"/>
      <c r="I40" s="70"/>
      <c r="J40" s="67"/>
      <c r="K40" s="56"/>
      <c r="L40" s="56"/>
      <c r="M40" s="56"/>
      <c r="N40" s="66"/>
      <c r="O40" s="68"/>
      <c r="P40" s="65"/>
      <c r="Q40" s="65"/>
      <c r="R40" s="65"/>
      <c r="S40" s="70"/>
      <c r="T40" s="67"/>
      <c r="U40" s="56"/>
      <c r="V40" s="56"/>
      <c r="W40" s="56"/>
      <c r="X40" s="66"/>
      <c r="Y40" s="68"/>
      <c r="Z40" s="65"/>
      <c r="AA40" s="65"/>
      <c r="AB40" s="65"/>
      <c r="AC40" s="70"/>
      <c r="AD40" s="67"/>
      <c r="AE40" s="56"/>
      <c r="AF40" s="56"/>
      <c r="AG40" s="56"/>
      <c r="AH40" s="66"/>
      <c r="AI40" s="68"/>
      <c r="AJ40" s="65"/>
      <c r="AK40" s="65"/>
      <c r="AL40" s="65"/>
      <c r="AM40" s="70"/>
      <c r="AN40" s="67"/>
      <c r="AO40" s="56"/>
      <c r="AP40" s="56"/>
      <c r="AQ40" s="56"/>
      <c r="AR40" s="66"/>
      <c r="AS40" s="68"/>
      <c r="AT40" s="65"/>
      <c r="AU40" s="65"/>
      <c r="AV40" s="65"/>
      <c r="AW40" s="70"/>
      <c r="AX40" s="67"/>
      <c r="AY40" s="56"/>
      <c r="AZ40" s="56"/>
      <c r="BA40" s="56"/>
      <c r="BB40" s="66"/>
      <c r="BC40" s="68"/>
      <c r="BD40" s="65"/>
      <c r="BE40" s="65"/>
      <c r="BF40" s="65"/>
      <c r="BG40" s="70"/>
      <c r="BH40" s="67"/>
      <c r="BI40" s="56"/>
      <c r="BJ40" s="56"/>
      <c r="BK40" s="56"/>
      <c r="BL40" s="66"/>
      <c r="BM40" s="68"/>
      <c r="BN40" s="65"/>
      <c r="BO40" s="65"/>
      <c r="BP40" s="65"/>
      <c r="BQ40" s="70"/>
      <c r="BR40" s="67"/>
      <c r="BS40" s="56"/>
      <c r="BT40" s="56"/>
      <c r="BU40" s="56"/>
      <c r="BV40" s="66"/>
      <c r="BW40" s="68"/>
      <c r="BX40" s="65"/>
      <c r="BY40" s="65"/>
      <c r="BZ40" s="65"/>
      <c r="CA40" s="70"/>
      <c r="CB40" s="67"/>
      <c r="CC40" s="56"/>
      <c r="CD40" s="56"/>
      <c r="CE40" s="56"/>
      <c r="CF40" s="66"/>
      <c r="CG40" s="68"/>
      <c r="CH40" s="65"/>
      <c r="CI40" s="65"/>
      <c r="CJ40" s="65"/>
      <c r="CK40" s="70"/>
      <c r="CL40" s="67"/>
      <c r="CM40" s="56"/>
      <c r="CN40" s="56"/>
      <c r="CO40" s="56"/>
      <c r="CP40" s="66"/>
      <c r="CQ40" s="68"/>
      <c r="CR40" s="65"/>
      <c r="CS40" s="65"/>
      <c r="CT40" s="65"/>
      <c r="CU40" s="70"/>
      <c r="CV40" s="67"/>
      <c r="CW40" s="56"/>
      <c r="CX40" s="56"/>
      <c r="CY40" s="56"/>
      <c r="CZ40" s="66"/>
      <c r="DA40" s="68"/>
      <c r="DB40" s="65"/>
      <c r="DC40" s="65"/>
      <c r="DD40" s="65"/>
      <c r="DE40" s="70"/>
    </row>
    <row r="41" spans="2:109" x14ac:dyDescent="0.2">
      <c r="B41" s="448" t="s">
        <v>33</v>
      </c>
      <c r="C41" s="449"/>
      <c r="D41" s="450"/>
      <c r="E41" s="68"/>
      <c r="F41" s="65"/>
      <c r="G41" s="65"/>
      <c r="H41" s="65"/>
      <c r="I41" s="70"/>
      <c r="J41" s="67"/>
      <c r="K41" s="56"/>
      <c r="L41" s="56"/>
      <c r="M41" s="56"/>
      <c r="N41" s="66"/>
      <c r="O41" s="68"/>
      <c r="P41" s="65"/>
      <c r="Q41" s="65"/>
      <c r="R41" s="65"/>
      <c r="S41" s="70"/>
      <c r="T41" s="67"/>
      <c r="U41" s="56"/>
      <c r="V41" s="56"/>
      <c r="W41" s="56"/>
      <c r="X41" s="66"/>
      <c r="Y41" s="68"/>
      <c r="Z41" s="65"/>
      <c r="AA41" s="65"/>
      <c r="AB41" s="65"/>
      <c r="AC41" s="70"/>
      <c r="AD41" s="67"/>
      <c r="AE41" s="56"/>
      <c r="AF41" s="56"/>
      <c r="AG41" s="56"/>
      <c r="AH41" s="66"/>
      <c r="AI41" s="68"/>
      <c r="AJ41" s="65"/>
      <c r="AK41" s="65"/>
      <c r="AL41" s="65"/>
      <c r="AM41" s="70"/>
      <c r="AN41" s="67"/>
      <c r="AO41" s="56"/>
      <c r="AP41" s="56"/>
      <c r="AQ41" s="56"/>
      <c r="AR41" s="66"/>
      <c r="AS41" s="68"/>
      <c r="AT41" s="65"/>
      <c r="AU41" s="65"/>
      <c r="AV41" s="65"/>
      <c r="AW41" s="70"/>
      <c r="AX41" s="67"/>
      <c r="AY41" s="56"/>
      <c r="AZ41" s="56"/>
      <c r="BA41" s="56"/>
      <c r="BB41" s="66"/>
      <c r="BC41" s="68"/>
      <c r="BD41" s="65"/>
      <c r="BE41" s="65"/>
      <c r="BF41" s="65"/>
      <c r="BG41" s="70"/>
      <c r="BH41" s="67"/>
      <c r="BI41" s="56"/>
      <c r="BJ41" s="56"/>
      <c r="BK41" s="56"/>
      <c r="BL41" s="66"/>
      <c r="BM41" s="68"/>
      <c r="BN41" s="65"/>
      <c r="BO41" s="65"/>
      <c r="BP41" s="65"/>
      <c r="BQ41" s="70"/>
      <c r="BR41" s="67"/>
      <c r="BS41" s="56"/>
      <c r="BT41" s="56"/>
      <c r="BU41" s="56"/>
      <c r="BV41" s="66"/>
      <c r="BW41" s="68"/>
      <c r="BX41" s="65"/>
      <c r="BY41" s="65"/>
      <c r="BZ41" s="65"/>
      <c r="CA41" s="70"/>
      <c r="CB41" s="67"/>
      <c r="CC41" s="56"/>
      <c r="CD41" s="56"/>
      <c r="CE41" s="56"/>
      <c r="CF41" s="66"/>
      <c r="CG41" s="68"/>
      <c r="CH41" s="65"/>
      <c r="CI41" s="65"/>
      <c r="CJ41" s="65"/>
      <c r="CK41" s="70"/>
      <c r="CL41" s="67"/>
      <c r="CM41" s="56"/>
      <c r="CN41" s="56"/>
      <c r="CO41" s="56"/>
      <c r="CP41" s="66"/>
      <c r="CQ41" s="68"/>
      <c r="CR41" s="65"/>
      <c r="CS41" s="65"/>
      <c r="CT41" s="65"/>
      <c r="CU41" s="70"/>
      <c r="CV41" s="67"/>
      <c r="CW41" s="56"/>
      <c r="CX41" s="56"/>
      <c r="CY41" s="56"/>
      <c r="CZ41" s="66"/>
      <c r="DA41" s="68"/>
      <c r="DB41" s="65"/>
      <c r="DC41" s="65"/>
      <c r="DD41" s="65"/>
      <c r="DE41" s="70"/>
    </row>
    <row r="42" spans="2:109" ht="17" thickBot="1" x14ac:dyDescent="0.25">
      <c r="B42" s="451" t="s">
        <v>34</v>
      </c>
      <c r="C42" s="452"/>
      <c r="D42" s="453"/>
      <c r="E42" s="71"/>
      <c r="F42" s="72"/>
      <c r="G42" s="72"/>
      <c r="H42" s="72"/>
      <c r="I42" s="73"/>
      <c r="J42" s="74"/>
      <c r="K42" s="75"/>
      <c r="L42" s="75"/>
      <c r="M42" s="75"/>
      <c r="N42" s="76"/>
      <c r="O42" s="71"/>
      <c r="P42" s="72"/>
      <c r="Q42" s="72"/>
      <c r="R42" s="72"/>
      <c r="S42" s="73"/>
      <c r="T42" s="74"/>
      <c r="U42" s="75"/>
      <c r="V42" s="75"/>
      <c r="W42" s="75"/>
      <c r="X42" s="76"/>
      <c r="Y42" s="71"/>
      <c r="Z42" s="72"/>
      <c r="AA42" s="72"/>
      <c r="AB42" s="72"/>
      <c r="AC42" s="73"/>
      <c r="AD42" s="74"/>
      <c r="AE42" s="75"/>
      <c r="AF42" s="75"/>
      <c r="AG42" s="75"/>
      <c r="AH42" s="76"/>
      <c r="AI42" s="71"/>
      <c r="AJ42" s="72"/>
      <c r="AK42" s="72"/>
      <c r="AL42" s="72"/>
      <c r="AM42" s="73"/>
      <c r="AN42" s="74"/>
      <c r="AO42" s="75"/>
      <c r="AP42" s="75"/>
      <c r="AQ42" s="75"/>
      <c r="AR42" s="76"/>
      <c r="AS42" s="71"/>
      <c r="AT42" s="72"/>
      <c r="AU42" s="72"/>
      <c r="AV42" s="72"/>
      <c r="AW42" s="73"/>
      <c r="AX42" s="74"/>
      <c r="AY42" s="75"/>
      <c r="AZ42" s="75"/>
      <c r="BA42" s="75"/>
      <c r="BB42" s="76"/>
      <c r="BC42" s="71"/>
      <c r="BD42" s="72"/>
      <c r="BE42" s="72"/>
      <c r="BF42" s="72"/>
      <c r="BG42" s="73"/>
      <c r="BH42" s="74"/>
      <c r="BI42" s="75"/>
      <c r="BJ42" s="75"/>
      <c r="BK42" s="75"/>
      <c r="BL42" s="76"/>
      <c r="BM42" s="71"/>
      <c r="BN42" s="72"/>
      <c r="BO42" s="72"/>
      <c r="BP42" s="72"/>
      <c r="BQ42" s="73"/>
      <c r="BR42" s="74"/>
      <c r="BS42" s="75"/>
      <c r="BT42" s="75"/>
      <c r="BU42" s="75"/>
      <c r="BV42" s="76"/>
      <c r="BW42" s="71"/>
      <c r="BX42" s="72"/>
      <c r="BY42" s="72"/>
      <c r="BZ42" s="72"/>
      <c r="CA42" s="73"/>
      <c r="CB42" s="74"/>
      <c r="CC42" s="75"/>
      <c r="CD42" s="75"/>
      <c r="CE42" s="75"/>
      <c r="CF42" s="76"/>
      <c r="CG42" s="71"/>
      <c r="CH42" s="72"/>
      <c r="CI42" s="72"/>
      <c r="CJ42" s="72"/>
      <c r="CK42" s="73"/>
      <c r="CL42" s="74"/>
      <c r="CM42" s="75"/>
      <c r="CN42" s="75"/>
      <c r="CO42" s="75"/>
      <c r="CP42" s="76"/>
      <c r="CQ42" s="71"/>
      <c r="CR42" s="72"/>
      <c r="CS42" s="72"/>
      <c r="CT42" s="72"/>
      <c r="CU42" s="73"/>
      <c r="CV42" s="74"/>
      <c r="CW42" s="75"/>
      <c r="CX42" s="75"/>
      <c r="CY42" s="75"/>
      <c r="CZ42" s="76"/>
      <c r="DA42" s="71"/>
      <c r="DB42" s="72"/>
      <c r="DC42" s="72"/>
      <c r="DD42" s="72"/>
      <c r="DE42" s="73"/>
    </row>
    <row r="43" spans="2:109" s="136" customFormat="1" ht="17" thickBot="1" x14ac:dyDescent="0.25"/>
    <row r="44" spans="2:109" ht="17" thickBot="1" x14ac:dyDescent="0.25">
      <c r="C44" s="198" t="s">
        <v>37</v>
      </c>
      <c r="D44" s="199" t="s">
        <v>38</v>
      </c>
    </row>
    <row r="45" spans="2:109" x14ac:dyDescent="0.2">
      <c r="B45" s="83" t="str">
        <f>IFERROR(INDEX(_xlfn._xlws.FILTER(Ressourcer!$B$1:$X$1,_xlfn.BYCOL(Ressourcer!$B$12:$X$15,_xlfn.LAMBDA(_xlpm.c,COUNTIF(_xlpm.c,"&lt;&gt;" )&gt;0))),ROWS($B$2:B2)),"")</f>
        <v>CLLJ</v>
      </c>
      <c r="C45" s="80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)&gt;0))),_xlfn.LAMBDA(_xlpm.col,SUM(INDEX(Ressourcer!$B$12:$X$15,,_xlpm.col-COLUMN(Ressourcer!$B$12:$X$15)+1)))),ROWS($B$2:B2))/2,"")</f>
        <v>125</v>
      </c>
      <c r="D45" s="106" t="str">
        <f t="shared" ref="D45:D57" si="35">IF(SUM(E45:DE45)=0,"",SUM(E45:DE45))</f>
        <v/>
      </c>
      <c r="E45" s="81">
        <f>IF($B45="","",IF(COUNTIF(E$16:E$21,$B45)&gt;0,COUNTA(E$7:E$15),0)+IF(COUNTIF(E$37:E$42,$B45)&gt;0,COUNTA(E$27:E$35),0))</f>
        <v>0</v>
      </c>
      <c r="F45" s="46">
        <f>IF($B45="","",IF(COUNTIF(F$16:F$21,$B45)&gt;0,COUNTA(F$7:F$15),0)+IF(COUNTIF(F$37:F$42,$B45)&gt;0,COUNTA(F$27:F$35),0))</f>
        <v>0</v>
      </c>
      <c r="G45" s="46">
        <f>IF($B45="","",IF(COUNTIF(G$16:G$21,$B45)&gt;0,COUNTA(G$7:G$15),0)+IF(COUNTIF(G$37:G$42,$B45)&gt;0,COUNTA(G$27:G$35),0))</f>
        <v>0</v>
      </c>
      <c r="H45" s="46">
        <f>IF($B45="","",IF(COUNTIF(H$16:H$21,$B45)&gt;0,COUNTA(H$7:H$15),0)+IF(COUNTIF(H$37:H$42,$B45)&gt;0,COUNTA(H$27:H$35),0))</f>
        <v>0</v>
      </c>
      <c r="I45" s="46">
        <f>IF($B45="","",IF(COUNTIF(I$16:I$21,$B45)&gt;0,COUNTA(I$7:I$15),0)+IF(COUNTIF(I$37:I$42,$B45)&gt;0,COUNTA(I$27:I$35),0))</f>
        <v>0</v>
      </c>
      <c r="J45" s="46">
        <f>IF($B45="","",IF(COUNTIF(J$16:J$21,$B45)&gt;0,COUNTA(J$7:J$15),0)+IF(COUNTIF(J$37:J$42,$B45)&gt;0,COUNTA(J$27:J$35),0))</f>
        <v>0</v>
      </c>
      <c r="K45" s="46">
        <f>IF($B45="","",IF(COUNTIF(K$16:K$21,$B45)&gt;0,COUNTA(K$7:K$15),0)+IF(COUNTIF(K$37:K$42,$B45)&gt;0,COUNTA(K$27:K$35),0))</f>
        <v>0</v>
      </c>
      <c r="L45" s="46">
        <f>IF($B45="","",IF(COUNTIF(L$16:L$21,$B45)&gt;0,COUNTA(L$7:L$15),0)+IF(COUNTIF(L$37:L$42,$B45)&gt;0,COUNTA(L$27:L$35),0))</f>
        <v>0</v>
      </c>
      <c r="M45" s="46">
        <f>IF($B45="","",IF(COUNTIF(M$16:M$21,$B45)&gt;0,COUNTA(M$7:M$15),0)+IF(COUNTIF(M$37:M$42,$B45)&gt;0,COUNTA(M$27:M$35),0))</f>
        <v>0</v>
      </c>
      <c r="N45" s="46">
        <f>IF($B45="","",IF(COUNTIF(N$16:N$21,$B45)&gt;0,COUNTA(N$7:N$15),0)+IF(COUNTIF(N$37:N$42,$B45)&gt;0,COUNTA(N$27:N$35),0))</f>
        <v>0</v>
      </c>
      <c r="O45" s="46">
        <f>IF($B45="","",IF(COUNTIF(O$16:O$21,$B45)&gt;0,COUNTA(O$7:O$15),0)+IF(COUNTIF(O$37:O$42,$B45)&gt;0,COUNTA(O$27:O$35),0))</f>
        <v>0</v>
      </c>
      <c r="P45" s="46">
        <f>IF($B45="","",IF(COUNTIF(P$16:P$21,$B45)&gt;0,COUNTA(P$7:P$15),0)+IF(COUNTIF(P$37:P$42,$B45)&gt;0,COUNTA(P$27:P$35),0))</f>
        <v>0</v>
      </c>
      <c r="Q45" s="46">
        <f>IF($B45="","",IF(COUNTIF(Q$16:Q$21,$B45)&gt;0,COUNTA(Q$7:Q$15),0)+IF(COUNTIF(Q$37:Q$42,$B45)&gt;0,COUNTA(Q$27:Q$35),0))</f>
        <v>0</v>
      </c>
      <c r="R45" s="46">
        <f>IF($B45="","",IF(COUNTIF(R$16:R$21,$B45)&gt;0,COUNTA(R$7:R$15),0)+IF(COUNTIF(R$37:R$42,$B45)&gt;0,COUNTA(R$27:R$35),0))</f>
        <v>0</v>
      </c>
      <c r="S45" s="46">
        <f>IF($B45="","",IF(COUNTIF(S$16:S$21,$B45)&gt;0,COUNTA(S$7:S$15),0)+IF(COUNTIF(S$37:S$42,$B45)&gt;0,COUNTA(S$27:S$35),0))</f>
        <v>0</v>
      </c>
      <c r="T45" s="46">
        <f>IF($B45="","",IF(COUNTIF(T$16:T$21,$B45)&gt;0,COUNTA(T$7:T$15),0)+IF(COUNTIF(T$37:T$42,$B45)&gt;0,COUNTA(T$27:T$35),0))</f>
        <v>0</v>
      </c>
      <c r="U45" s="46">
        <f>IF($B45="","",IF(COUNTIF(U$16:U$21,$B45)&gt;0,COUNTA(U$7:U$15),0)+IF(COUNTIF(U$37:U$42,$B45)&gt;0,COUNTA(U$27:U$35),0))</f>
        <v>0</v>
      </c>
      <c r="V45" s="46">
        <f>IF($B45="","",IF(COUNTIF(V$16:V$21,$B45)&gt;0,COUNTA(V$7:V$15),0)+IF(COUNTIF(V$37:V$42,$B45)&gt;0,COUNTA(V$27:V$35),0))</f>
        <v>0</v>
      </c>
      <c r="W45" s="46">
        <f>IF($B45="","",IF(COUNTIF(W$16:W$21,$B45)&gt;0,COUNTA(W$7:W$15),0)+IF(COUNTIF(W$37:W$42,$B45)&gt;0,COUNTA(W$27:W$35),0))</f>
        <v>0</v>
      </c>
      <c r="X45" s="46">
        <f>IF($B45="","",IF(COUNTIF(X$16:X$21,$B45)&gt;0,COUNTA(X$7:X$15),0)+IF(COUNTIF(X$37:X$42,$B45)&gt;0,COUNTA(X$27:X$35),0))</f>
        <v>0</v>
      </c>
      <c r="Y45" s="46">
        <f>IF($B45="","",IF(COUNTIF(Y$16:Y$21,$B45)&gt;0,COUNTA(Y$7:Y$15),0)+IF(COUNTIF(Y$37:Y$42,$B45)&gt;0,COUNTA(Y$27:Y$35),0))</f>
        <v>0</v>
      </c>
      <c r="Z45" s="46">
        <f>IF($B45="","",IF(COUNTIF(Z$16:Z$21,$B45)&gt;0,COUNTA(Z$7:Z$15),0)+IF(COUNTIF(Z$37:Z$42,$B45)&gt;0,COUNTA(Z$27:Z$35),0))</f>
        <v>0</v>
      </c>
      <c r="AA45" s="46">
        <f>IF($B45="","",IF(COUNTIF(AA$16:AA$21,$B45)&gt;0,COUNTA(AA$7:AA$15),0)+IF(COUNTIF(AA$37:AA$42,$B45)&gt;0,COUNTA(AA$27:AA$35),0))</f>
        <v>0</v>
      </c>
      <c r="AB45" s="46">
        <f>IF($B45="","",IF(COUNTIF(AB$16:AB$21,$B45)&gt;0,COUNTA(AB$7:AB$15),0)+IF(COUNTIF(AB$37:AB$42,$B45)&gt;0,COUNTA(AB$27:AB$35),0))</f>
        <v>0</v>
      </c>
      <c r="AC45" s="46">
        <f>IF($B45="","",IF(COUNTIF(AC$16:AC$21,$B45)&gt;0,COUNTA(AC$7:AC$15),0)+IF(COUNTIF(AC$37:AC$42,$B45)&gt;0,COUNTA(AC$27:AC$35),0))</f>
        <v>0</v>
      </c>
      <c r="AD45" s="46">
        <f>IF($B45="","",IF(COUNTIF(AD$16:AD$21,$B45)&gt;0,COUNTA(AD$7:AD$15),0)+IF(COUNTIF(AD$37:AD$42,$B45)&gt;0,COUNTA(AD$27:AD$35),0))</f>
        <v>0</v>
      </c>
      <c r="AE45" s="46">
        <f>IF($B45="","",IF(COUNTIF(AE$16:AE$21,$B45)&gt;0,COUNTA(AE$7:AE$15),0)+IF(COUNTIF(AE$37:AE$42,$B45)&gt;0,COUNTA(AE$27:AE$35),0))</f>
        <v>0</v>
      </c>
      <c r="AF45" s="46">
        <f>IF($B45="","",IF(COUNTIF(AF$16:AF$21,$B45)&gt;0,COUNTA(AF$7:AF$15),0)+IF(COUNTIF(AF$37:AF$42,$B45)&gt;0,COUNTA(AF$27:AF$35),0))</f>
        <v>0</v>
      </c>
      <c r="AG45" s="46">
        <f>IF($B45="","",IF(COUNTIF(AG$16:AG$21,$B45)&gt;0,COUNTA(AG$7:AG$15),0)+IF(COUNTIF(AG$37:AG$42,$B45)&gt;0,COUNTA(AG$27:AG$35),0))</f>
        <v>0</v>
      </c>
      <c r="AH45" s="46">
        <f>IF($B45="","",IF(COUNTIF(AH$16:AH$21,$B45)&gt;0,COUNTA(AH$7:AH$15),0)+IF(COUNTIF(AH$37:AH$42,$B45)&gt;0,COUNTA(AH$27:AH$35),0))</f>
        <v>0</v>
      </c>
      <c r="AI45" s="46">
        <f>IF($B45="","",IF(COUNTIF(AI$16:AI$21,$B45)&gt;0,COUNTA(AI$7:AI$15),0)+IF(COUNTIF(AI$37:AI$42,$B45)&gt;0,COUNTA(AI$27:AI$35),0))</f>
        <v>0</v>
      </c>
      <c r="AJ45" s="46">
        <f>IF($B45="","",IF(COUNTIF(AJ$16:AJ$21,$B45)&gt;0,COUNTA(AJ$7:AJ$15),0)+IF(COUNTIF(AJ$37:AJ$42,$B45)&gt;0,COUNTA(AJ$27:AJ$35),0))</f>
        <v>0</v>
      </c>
      <c r="AK45" s="46">
        <f>IF($B45="","",IF(COUNTIF(AK$16:AK$21,$B45)&gt;0,COUNTA(AK$7:AK$15),0)+IF(COUNTIF(AK$37:AK$42,$B45)&gt;0,COUNTA(AK$27:AK$35),0))</f>
        <v>0</v>
      </c>
      <c r="AL45" s="46">
        <f>IF($B45="","",IF(COUNTIF(AL$16:AL$21,$B45)&gt;0,COUNTA(AL$7:AL$15),0)+IF(COUNTIF(AL$37:AL$42,$B45)&gt;0,COUNTA(AL$27:AL$35),0))</f>
        <v>0</v>
      </c>
      <c r="AM45" s="46">
        <f>IF($B45="","",IF(COUNTIF(AM$16:AM$21,$B45)&gt;0,COUNTA(AM$7:AM$15),0)+IF(COUNTIF(AM$37:AM$42,$B45)&gt;0,COUNTA(AM$27:AM$35),0))</f>
        <v>0</v>
      </c>
      <c r="AN45" s="46">
        <f>IF($B45="","",IF(COUNTIF(AN$16:AN$21,$B45)&gt;0,COUNTA(AN$7:AN$15),0)+IF(COUNTIF(AN$37:AN$42,$B45)&gt;0,COUNTA(AN$27:AN$35),0))</f>
        <v>0</v>
      </c>
      <c r="AO45" s="46">
        <f>IF($B45="","",IF(COUNTIF(AO$16:AO$21,$B45)&gt;0,COUNTA(AO$7:AO$15),0)+IF(COUNTIF(AO$37:AO$42,$B45)&gt;0,COUNTA(AO$27:AO$35),0))</f>
        <v>0</v>
      </c>
      <c r="AP45" s="46">
        <f>IF($B45="","",IF(COUNTIF(AP$16:AP$21,$B45)&gt;0,COUNTA(AP$7:AP$15),0)+IF(COUNTIF(AP$37:AP$42,$B45)&gt;0,COUNTA(AP$27:AP$35),0))</f>
        <v>0</v>
      </c>
      <c r="AQ45" s="46">
        <f>IF($B45="","",IF(COUNTIF(AQ$16:AQ$21,$B45)&gt;0,COUNTA(AQ$7:AQ$15),0)+IF(COUNTIF(AQ$37:AQ$42,$B45)&gt;0,COUNTA(AQ$27:AQ$35),0))</f>
        <v>0</v>
      </c>
      <c r="AR45" s="46">
        <f>IF($B45="","",IF(COUNTIF(AR$16:AR$21,$B45)&gt;0,COUNTA(AR$7:AR$15),0)+IF(COUNTIF(AR$37:AR$42,$B45)&gt;0,COUNTA(AR$27:AR$35),0))</f>
        <v>0</v>
      </c>
      <c r="AS45" s="46">
        <f>IF($B45="","",IF(COUNTIF(AS$16:AS$21,$B45)&gt;0,COUNTA(AS$7:AS$15),0)+IF(COUNTIF(AS$37:AS$42,$B45)&gt;0,COUNTA(AS$27:AS$35),0))</f>
        <v>0</v>
      </c>
      <c r="AT45" s="46">
        <f>IF($B45="","",IF(COUNTIF(AT$16:AT$21,$B45)&gt;0,COUNTA(AT$7:AT$15),0)+IF(COUNTIF(AT$37:AT$42,$B45)&gt;0,COUNTA(AT$27:AT$35),0))</f>
        <v>0</v>
      </c>
      <c r="AU45" s="46">
        <f>IF($B45="","",IF(COUNTIF(AU$16:AU$21,$B45)&gt;0,COUNTA(AU$7:AU$15),0)+IF(COUNTIF(AU$37:AU$42,$B45)&gt;0,COUNTA(AU$27:AU$35),0))</f>
        <v>0</v>
      </c>
      <c r="AV45" s="46">
        <f>IF($B45="","",IF(COUNTIF(AV$16:AV$21,$B45)&gt;0,COUNTA(AV$7:AV$15),0)+IF(COUNTIF(AV$37:AV$42,$B45)&gt;0,COUNTA(AV$27:AV$35),0))</f>
        <v>0</v>
      </c>
      <c r="AW45" s="46">
        <f>IF($B45="","",IF(COUNTIF(AW$16:AW$21,$B45)&gt;0,COUNTA(AW$7:AW$15),0)+IF(COUNTIF(AW$37:AW$42,$B45)&gt;0,COUNTA(AW$27:AW$35),0))</f>
        <v>0</v>
      </c>
      <c r="AX45" s="46">
        <f>IF($B45="","",IF(COUNTIF(AX$16:AX$21,$B45)&gt;0,COUNTA(AX$7:AX$15),0)+IF(COUNTIF(AX$37:AX$42,$B45)&gt;0,COUNTA(AX$27:AX$35),0))</f>
        <v>0</v>
      </c>
      <c r="AY45" s="46">
        <f>IF($B45="","",IF(COUNTIF(AY$16:AY$21,$B45)&gt;0,COUNTA(AY$7:AY$15),0)+IF(COUNTIF(AY$37:AY$42,$B45)&gt;0,COUNTA(AY$27:AY$35),0))</f>
        <v>0</v>
      </c>
      <c r="AZ45" s="46">
        <f>IF($B45="","",IF(COUNTIF(AZ$16:AZ$21,$B45)&gt;0,COUNTA(AZ$7:AZ$15),0)+IF(COUNTIF(AZ$37:AZ$42,$B45)&gt;0,COUNTA(AZ$27:AZ$35),0))</f>
        <v>0</v>
      </c>
      <c r="BA45" s="46">
        <f>IF($B45="","",IF(COUNTIF(BA$16:BA$21,$B45)&gt;0,COUNTA(BA$7:BA$15),0)+IF(COUNTIF(BA$37:BA$42,$B45)&gt;0,COUNTA(BA$27:BA$35),0))</f>
        <v>0</v>
      </c>
      <c r="BB45" s="46">
        <f>IF($B45="","",IF(COUNTIF(BB$16:BB$21,$B45)&gt;0,COUNTA(BB$7:BB$15),0)+IF(COUNTIF(BB$37:BB$42,$B45)&gt;0,COUNTA(BB$27:BB$35),0))</f>
        <v>0</v>
      </c>
      <c r="BC45" s="46">
        <f>IF($B45="","",IF(COUNTIF(BC$16:BC$21,$B45)&gt;0,COUNTA(BC$7:BC$15),0)+IF(COUNTIF(BC$37:BC$42,$B45)&gt;0,COUNTA(BC$27:BC$35),0))</f>
        <v>0</v>
      </c>
      <c r="BD45" s="46">
        <f>IF($B45="","",IF(COUNTIF(BD$16:BD$21,$B45)&gt;0,COUNTA(BD$7:BD$15),0)+IF(COUNTIF(BD$37:BD$42,$B45)&gt;0,COUNTA(BD$27:BD$35),0))</f>
        <v>0</v>
      </c>
      <c r="BE45" s="46">
        <f>IF($B45="","",IF(COUNTIF(BE$16:BE$21,$B45)&gt;0,COUNTA(BE$7:BE$15),0)+IF(COUNTIF(BE$37:BE$42,$B45)&gt;0,COUNTA(BE$27:BE$35),0))</f>
        <v>0</v>
      </c>
      <c r="BF45" s="46">
        <f>IF($B45="","",IF(COUNTIF(BF$16:BF$21,$B45)&gt;0,COUNTA(BF$7:BF$15),0)+IF(COUNTIF(BF$37:BF$42,$B45)&gt;0,COUNTA(BF$27:BF$35),0))</f>
        <v>0</v>
      </c>
      <c r="BG45" s="46">
        <f>IF($B45="","",IF(COUNTIF(BG$16:BG$21,$B45)&gt;0,COUNTA(BG$7:BG$15),0)+IF(COUNTIF(BG$37:BG$42,$B45)&gt;0,COUNTA(BG$27:BG$35),0))</f>
        <v>0</v>
      </c>
      <c r="BH45" s="46">
        <f>IF($B45="","",IF(COUNTIF(BH$16:BH$21,$B45)&gt;0,COUNTA(BH$7:BH$15),0)+IF(COUNTIF(BH$37:BH$42,$B45)&gt;0,COUNTA(BH$27:BH$35),0))</f>
        <v>0</v>
      </c>
      <c r="BI45" s="46">
        <f>IF($B45="","",IF(COUNTIF(BI$16:BI$21,$B45)&gt;0,COUNTA(BI$7:BI$15),0)+IF(COUNTIF(BI$37:BI$42,$B45)&gt;0,COUNTA(BI$27:BI$35),0))</f>
        <v>0</v>
      </c>
      <c r="BJ45" s="46">
        <f>IF($B45="","",IF(COUNTIF(BJ$16:BJ$21,$B45)&gt;0,COUNTA(BJ$7:BJ$15),0)+IF(COUNTIF(BJ$37:BJ$42,$B45)&gt;0,COUNTA(BJ$27:BJ$35),0))</f>
        <v>0</v>
      </c>
      <c r="BK45" s="46">
        <f>IF($B45="","",IF(COUNTIF(BK$16:BK$21,$B45)&gt;0,COUNTA(BK$7:BK$15),0)+IF(COUNTIF(BK$37:BK$42,$B45)&gt;0,COUNTA(BK$27:BK$35),0))</f>
        <v>0</v>
      </c>
      <c r="BL45" s="46">
        <f>IF($B45="","",IF(COUNTIF(BL$16:BL$21,$B45)&gt;0,COUNTA(BL$7:BL$15),0)+IF(COUNTIF(BL$37:BL$42,$B45)&gt;0,COUNTA(BL$27:BL$35),0))</f>
        <v>0</v>
      </c>
      <c r="BM45" s="46">
        <f>IF($B45="","",IF(COUNTIF(BM$16:BM$21,$B45)&gt;0,COUNTA(BM$7:BM$15),0)+IF(COUNTIF(BM$37:BM$42,$B45)&gt;0,COUNTA(BM$27:BM$35),0))</f>
        <v>0</v>
      </c>
      <c r="BN45" s="46">
        <f>IF($B45="","",IF(COUNTIF(BN$16:BN$21,$B45)&gt;0,COUNTA(BN$7:BN$15),0)+IF(COUNTIF(BN$37:BN$42,$B45)&gt;0,COUNTA(BN$27:BN$35),0))</f>
        <v>0</v>
      </c>
      <c r="BO45" s="46">
        <f>IF($B45="","",IF(COUNTIF(BO$16:BO$21,$B45)&gt;0,COUNTA(BO$7:BO$15),0)+IF(COUNTIF(BO$37:BO$42,$B45)&gt;0,COUNTA(BO$27:BO$35),0))</f>
        <v>0</v>
      </c>
      <c r="BP45" s="46">
        <f>IF($B45="","",IF(COUNTIF(BP$16:BP$21,$B45)&gt;0,COUNTA(BP$7:BP$15),0)+IF(COUNTIF(BP$37:BP$42,$B45)&gt;0,COUNTA(BP$27:BP$35),0))</f>
        <v>0</v>
      </c>
      <c r="BQ45" s="46">
        <f>IF($B45="","",IF(COUNTIF(BQ$16:BQ$21,$B45)&gt;0,COUNTA(BQ$7:BQ$15),0)+IF(COUNTIF(BQ$37:BQ$42,$B45)&gt;0,COUNTA(BQ$27:BQ$35),0))</f>
        <v>0</v>
      </c>
      <c r="BR45" s="46">
        <f>IF($B45="","",IF(COUNTIF(BR$16:BR$21,$B45)&gt;0,COUNTA(BR$7:BR$15),0)+IF(COUNTIF(BR$37:BR$42,$B45)&gt;0,COUNTA(BR$27:BR$35),0))</f>
        <v>0</v>
      </c>
      <c r="BS45" s="46">
        <f>IF($B45="","",IF(COUNTIF(BS$16:BS$21,$B45)&gt;0,COUNTA(BS$7:BS$15),0)+IF(COUNTIF(BS$37:BS$42,$B45)&gt;0,COUNTA(BS$27:BS$35),0))</f>
        <v>0</v>
      </c>
      <c r="BT45" s="46">
        <f>IF($B45="","",IF(COUNTIF(BT$16:BT$21,$B45)&gt;0,COUNTA(BT$7:BT$15),0)+IF(COUNTIF(BT$37:BT$42,$B45)&gt;0,COUNTA(BT$27:BT$35),0))</f>
        <v>0</v>
      </c>
      <c r="BU45" s="46">
        <f>IF($B45="","",IF(COUNTIF(BU$16:BU$21,$B45)&gt;0,COUNTA(BU$7:BU$15),0)+IF(COUNTIF(BU$37:BU$42,$B45)&gt;0,COUNTA(BU$27:BU$35),0))</f>
        <v>0</v>
      </c>
      <c r="BV45" s="46">
        <f>IF($B45="","",IF(COUNTIF(BV$16:BV$21,$B45)&gt;0,COUNTA(BV$7:BV$15),0)+IF(COUNTIF(BV$37:BV$42,$B45)&gt;0,COUNTA(BV$27:BV$35),0))</f>
        <v>0</v>
      </c>
      <c r="BW45" s="46">
        <f>IF($B45="","",IF(COUNTIF(BW$16:BW$21,$B45)&gt;0,COUNTA(BW$7:BW$15),0)+IF(COUNTIF(BW$37:BW$42,$B45)&gt;0,COUNTA(BW$27:BW$35),0))</f>
        <v>0</v>
      </c>
      <c r="BX45" s="46">
        <f>IF($B45="","",IF(COUNTIF(BX$16:BX$21,$B45)&gt;0,COUNTA(BX$7:BX$15),0)+IF(COUNTIF(BX$37:BX$42,$B45)&gt;0,COUNTA(BX$27:BX$35),0))</f>
        <v>0</v>
      </c>
      <c r="BY45" s="46">
        <f>IF($B45="","",IF(COUNTIF(BY$16:BY$21,$B45)&gt;0,COUNTA(BY$7:BY$15),0)+IF(COUNTIF(BY$37:BY$42,$B45)&gt;0,COUNTA(BY$27:BY$35),0))</f>
        <v>0</v>
      </c>
      <c r="BZ45" s="46">
        <f>IF($B45="","",IF(COUNTIF(BZ$16:BZ$21,$B45)&gt;0,COUNTA(BZ$7:BZ$15),0)+IF(COUNTIF(BZ$37:BZ$42,$B45)&gt;0,COUNTA(BZ$27:BZ$35),0))</f>
        <v>0</v>
      </c>
      <c r="CA45" s="46">
        <f>IF($B45="","",IF(COUNTIF(CA$16:CA$21,$B45)&gt;0,COUNTA(CA$7:CA$15),0)+IF(COUNTIF(CA$37:CA$42,$B45)&gt;0,COUNTA(CA$27:CA$35),0))</f>
        <v>0</v>
      </c>
      <c r="CB45" s="46">
        <f>IF($B45="","",IF(COUNTIF(CB$16:CB$21,$B45)&gt;0,COUNTA(CB$7:CB$15),0)+IF(COUNTIF(CB$37:CB$42,$B45)&gt;0,COUNTA(CB$27:CB$35),0))</f>
        <v>0</v>
      </c>
      <c r="CC45" s="46">
        <f>IF($B45="","",IF(COUNTIF(CC$16:CC$21,$B45)&gt;0,COUNTA(CC$7:CC$15),0)+IF(COUNTIF(CC$37:CC$42,$B45)&gt;0,COUNTA(CC$27:CC$35),0))</f>
        <v>0</v>
      </c>
      <c r="CD45" s="46">
        <f>IF($B45="","",IF(COUNTIF(CD$16:CD$21,$B45)&gt;0,COUNTA(CD$7:CD$15),0)+IF(COUNTIF(CD$37:CD$42,$B45)&gt;0,COUNTA(CD$27:CD$35),0))</f>
        <v>0</v>
      </c>
      <c r="CE45" s="46">
        <f>IF($B45="","",IF(COUNTIF(CE$16:CE$21,$B45)&gt;0,COUNTA(CE$7:CE$15),0)+IF(COUNTIF(CE$37:CE$42,$B45)&gt;0,COUNTA(CE$27:CE$35),0))</f>
        <v>0</v>
      </c>
      <c r="CF45" s="46">
        <f>IF($B45="","",IF(COUNTIF(CF$16:CF$21,$B45)&gt;0,COUNTA(CF$7:CF$15),0)+IF(COUNTIF(CF$37:CF$42,$B45)&gt;0,COUNTA(CF$27:CF$35),0))</f>
        <v>0</v>
      </c>
      <c r="CG45" s="46">
        <f>IF($B45="","",IF(COUNTIF(CG$16:CG$21,$B45)&gt;0,COUNTA(CG$7:CG$15),0)+IF(COUNTIF(CG$37:CG$42,$B45)&gt;0,COUNTA(CG$27:CG$35),0))</f>
        <v>0</v>
      </c>
      <c r="CH45" s="46">
        <f>IF($B45="","",IF(COUNTIF(CH$16:CH$21,$B45)&gt;0,COUNTA(CH$7:CH$15),0)+IF(COUNTIF(CH$37:CH$42,$B45)&gt;0,COUNTA(CH$27:CH$35),0))</f>
        <v>0</v>
      </c>
      <c r="CI45" s="46">
        <f>IF($B45="","",IF(COUNTIF(CI$16:CI$21,$B45)&gt;0,COUNTA(CI$7:CI$15),0)+IF(COUNTIF(CI$37:CI$42,$B45)&gt;0,COUNTA(CI$27:CI$35),0))</f>
        <v>0</v>
      </c>
      <c r="CJ45" s="46">
        <f>IF($B45="","",IF(COUNTIF(CJ$16:CJ$21,$B45)&gt;0,COUNTA(CJ$7:CJ$15),0)+IF(COUNTIF(CJ$37:CJ$42,$B45)&gt;0,COUNTA(CJ$27:CJ$35),0))</f>
        <v>0</v>
      </c>
      <c r="CK45" s="46">
        <f>IF($B45="","",IF(COUNTIF(CK$16:CK$21,$B45)&gt;0,COUNTA(CK$7:CK$15),0)+IF(COUNTIF(CK$37:CK$42,$B45)&gt;0,COUNTA(CK$27:CK$35),0))</f>
        <v>0</v>
      </c>
      <c r="CL45" s="46">
        <f>IF($B45="","",IF(COUNTIF(CL$16:CL$21,$B45)&gt;0,COUNTA(CL$7:CL$15),0)+IF(COUNTIF(CL$37:CL$42,$B45)&gt;0,COUNTA(CL$27:CL$35),0))</f>
        <v>0</v>
      </c>
      <c r="CM45" s="46">
        <f>IF($B45="","",IF(COUNTIF(CM$16:CM$21,$B45)&gt;0,COUNTA(CM$7:CM$15),0)+IF(COUNTIF(CM$37:CM$42,$B45)&gt;0,COUNTA(CM$27:CM$35),0))</f>
        <v>0</v>
      </c>
      <c r="CN45" s="46">
        <f>IF($B45="","",IF(COUNTIF(CN$16:CN$21,$B45)&gt;0,COUNTA(CN$7:CN$15),0)+IF(COUNTIF(CN$37:CN$42,$B45)&gt;0,COUNTA(CN$27:CN$35),0))</f>
        <v>0</v>
      </c>
      <c r="CO45" s="46">
        <f>IF($B45="","",IF(COUNTIF(CO$16:CO$21,$B45)&gt;0,COUNTA(CO$7:CO$15),0)+IF(COUNTIF(CO$37:CO$42,$B45)&gt;0,COUNTA(CO$27:CO$35),0))</f>
        <v>0</v>
      </c>
      <c r="CP45" s="46">
        <f>IF($B45="","",IF(COUNTIF(CP$16:CP$21,$B45)&gt;0,COUNTA(CP$7:CP$15),0)+IF(COUNTIF(CP$37:CP$42,$B45)&gt;0,COUNTA(CP$27:CP$35),0))</f>
        <v>0</v>
      </c>
      <c r="CQ45" s="46">
        <f>IF($B45="","",IF(COUNTIF(CQ$16:CQ$21,$B45)&gt;0,COUNTA(CQ$7:CQ$15),0)+IF(COUNTIF(CQ$37:CQ$42,$B45)&gt;0,COUNTA(CQ$27:CQ$35),0))</f>
        <v>0</v>
      </c>
      <c r="CR45" s="46">
        <f>IF($B45="","",IF(COUNTIF(CR$16:CR$21,$B45)&gt;0,COUNTA(CR$7:CR$15),0)+IF(COUNTIF(CR$37:CR$42,$B45)&gt;0,COUNTA(CR$27:CR$35),0))</f>
        <v>0</v>
      </c>
      <c r="CS45" s="46">
        <f>IF($B45="","",IF(COUNTIF(CS$16:CS$21,$B45)&gt;0,COUNTA(CS$7:CS$15),0)+IF(COUNTIF(CS$37:CS$42,$B45)&gt;0,COUNTA(CS$27:CS$35),0))</f>
        <v>0</v>
      </c>
      <c r="CT45" s="46">
        <f>IF($B45="","",IF(COUNTIF(CT$16:CT$21,$B45)&gt;0,COUNTA(CT$7:CT$15),0)+IF(COUNTIF(CT$37:CT$42,$B45)&gt;0,COUNTA(CT$27:CT$35),0))</f>
        <v>0</v>
      </c>
      <c r="CU45" s="46">
        <f>IF($B45="","",IF(COUNTIF(CU$16:CU$21,$B45)&gt;0,COUNTA(CU$7:CU$15),0)+IF(COUNTIF(CU$37:CU$42,$B45)&gt;0,COUNTA(CU$27:CU$35),0))</f>
        <v>0</v>
      </c>
      <c r="CV45" s="46">
        <f>IF($B45="","",IF(COUNTIF(CV$16:CV$21,$B45)&gt;0,COUNTA(CV$7:CV$15),0)+IF(COUNTIF(CV$37:CV$42,$B45)&gt;0,COUNTA(CV$27:CV$35),0))</f>
        <v>0</v>
      </c>
      <c r="CW45" s="46">
        <f>IF($B45="","",IF(COUNTIF(CW$16:CW$21,$B45)&gt;0,COUNTA(CW$7:CW$15),0)+IF(COUNTIF(CW$37:CW$42,$B45)&gt;0,COUNTA(CW$27:CW$35),0))</f>
        <v>0</v>
      </c>
      <c r="CX45" s="46">
        <f>IF($B45="","",IF(COUNTIF(CX$16:CX$21,$B45)&gt;0,COUNTA(CX$7:CX$15),0)+IF(COUNTIF(CX$37:CX$42,$B45)&gt;0,COUNTA(CX$27:CX$35),0))</f>
        <v>0</v>
      </c>
      <c r="CY45" s="46">
        <f>IF($B45="","",IF(COUNTIF(CY$16:CY$21,$B45)&gt;0,COUNTA(CY$7:CY$15),0)+IF(COUNTIF(CY$37:CY$42,$B45)&gt;0,COUNTA(CY$27:CY$35),0))</f>
        <v>0</v>
      </c>
      <c r="CZ45" s="46">
        <f>IF($B45="","",IF(COUNTIF(CZ$16:CZ$21,$B45)&gt;0,COUNTA(CZ$7:CZ$15),0)+IF(COUNTIF(CZ$37:CZ$42,$B45)&gt;0,COUNTA(CZ$27:CZ$35),0))</f>
        <v>0</v>
      </c>
      <c r="DA45" s="46">
        <f>IF($B45="","",IF(COUNTIF(DA$16:DA$21,$B45)&gt;0,COUNTA(DA$7:DA$15),0)+IF(COUNTIF(DA$37:DA$42,$B45)&gt;0,COUNTA(DA$27:DA$35),0))</f>
        <v>0</v>
      </c>
      <c r="DB45" s="46">
        <f>IF($B45="","",IF(COUNTIF(DB$16:DB$21,$B45)&gt;0,COUNTA(DB$7:DB$15),0)+IF(COUNTIF(DB$37:DB$42,$B45)&gt;0,COUNTA(DB$27:DB$35),0))</f>
        <v>0</v>
      </c>
      <c r="DC45" s="46">
        <f>IF($B45="","",IF(COUNTIF(DC$16:DC$21,$B45)&gt;0,COUNTA(DC$7:DC$15),0)+IF(COUNTIF(DC$37:DC$42,$B45)&gt;0,COUNTA(DC$27:DC$35),0))</f>
        <v>0</v>
      </c>
      <c r="DD45" s="46">
        <f>IF($B45="","",IF(COUNTIF(DD$16:DD$21,$B45)&gt;0,COUNTA(DD$7:DD$15),0)+IF(COUNTIF(DD$37:DD$42,$B45)&gt;0,COUNTA(DD$27:DD$35),0))</f>
        <v>0</v>
      </c>
      <c r="DE45" s="78">
        <f>IF($B45="","",IF(COUNTIF(DE$16:DE$21,$B45)&gt;0,COUNTA(DE$7:DE$15),0)+IF(COUNTIF(DE$37:DE$42,$B45)&gt;0,COUNTA(DE$27:DE$35),0))</f>
        <v>0</v>
      </c>
    </row>
    <row r="46" spans="2:109" x14ac:dyDescent="0.2">
      <c r="B46" s="84" t="str">
        <f>IFERROR(INDEX(_xlfn._xlws.FILTER(Ressourcer!$B$1:$X$1,_xlfn.BYCOL(Ressourcer!$B$12:$X$15,_xlfn.LAMBDA(_xlpm.c,COUNTIF(_xlpm.c,"&lt;&gt;" )&gt;0))),ROWS($B$2:B3)),"")</f>
        <v>GUIN</v>
      </c>
      <c r="C46" s="79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)&gt;0))),_xlfn.LAMBDA(_xlpm.col,SUM(INDEX(Ressourcer!$B$12:$X$15,,_xlpm.col-COLUMN(Ressourcer!$B$12:$X$15)+1)))),ROWS($B$2:B3))/2,"")</f>
        <v>125</v>
      </c>
      <c r="D46" s="106" t="str">
        <f t="shared" si="35"/>
        <v/>
      </c>
      <c r="E46" s="57">
        <f>IF($B46="","",IF(COUNTIF(E$16:E$21,$B46)&gt;0,COUNTA(E$7:E$15),0)+IF(COUNTIF(E$37:E$42,$B46)&gt;0,COUNTA(E$27:E$35),0))</f>
        <v>0</v>
      </c>
      <c r="F46" s="55">
        <f>IF($B46="","",IF(COUNTIF(F$16:F$21,$B46)&gt;0,COUNTA(F$7:F$15),0)+IF(COUNTIF(F$37:F$42,$B46)&gt;0,COUNTA(F$27:F$35),0))</f>
        <v>0</v>
      </c>
      <c r="G46" s="55">
        <f>IF($B46="","",IF(COUNTIF(G$16:G$21,$B46)&gt;0,COUNTA(G$7:G$15),0)+IF(COUNTIF(G$37:G$42,$B46)&gt;0,COUNTA(G$27:G$35),0))</f>
        <v>0</v>
      </c>
      <c r="H46" s="55">
        <f>IF($B46="","",IF(COUNTIF(H$16:H$21,$B46)&gt;0,COUNTA(H$7:H$15),0)+IF(COUNTIF(H$37:H$42,$B46)&gt;0,COUNTA(H$27:H$35),0))</f>
        <v>0</v>
      </c>
      <c r="I46" s="55">
        <f>IF($B46="","",IF(COUNTIF(I$16:I$21,$B46)&gt;0,COUNTA(I$7:I$15),0)+IF(COUNTIF(I$37:I$42,$B46)&gt;0,COUNTA(I$27:I$35),0))</f>
        <v>0</v>
      </c>
      <c r="J46" s="55">
        <f>IF($B46="","",IF(COUNTIF(J$16:J$21,$B46)&gt;0,COUNTA(J$7:J$15),0)+IF(COUNTIF(J$37:J$42,$B46)&gt;0,COUNTA(J$27:J$35),0))</f>
        <v>0</v>
      </c>
      <c r="K46" s="55">
        <f>IF($B46="","",IF(COUNTIF(K$16:K$21,$B46)&gt;0,COUNTA(K$7:K$15),0)+IF(COUNTIF(K$37:K$42,$B46)&gt;0,COUNTA(K$27:K$35),0))</f>
        <v>0</v>
      </c>
      <c r="L46" s="55">
        <f>IF($B46="","",IF(COUNTIF(L$16:L$21,$B46)&gt;0,COUNTA(L$7:L$15),0)+IF(COUNTIF(L$37:L$42,$B46)&gt;0,COUNTA(L$27:L$35),0))</f>
        <v>0</v>
      </c>
      <c r="M46" s="55">
        <f>IF($B46="","",IF(COUNTIF(M$16:M$21,$B46)&gt;0,COUNTA(M$7:M$15),0)+IF(COUNTIF(M$37:M$42,$B46)&gt;0,COUNTA(M$27:M$35),0))</f>
        <v>0</v>
      </c>
      <c r="N46" s="55">
        <f>IF($B46="","",IF(COUNTIF(N$16:N$21,$B46)&gt;0,COUNTA(N$7:N$15),0)+IF(COUNTIF(N$37:N$42,$B46)&gt;0,COUNTA(N$27:N$35),0))</f>
        <v>0</v>
      </c>
      <c r="O46" s="55">
        <f>IF($B46="","",IF(COUNTIF(O$16:O$21,$B46)&gt;0,COUNTA(O$7:O$15),0)+IF(COUNTIF(O$37:O$42,$B46)&gt;0,COUNTA(O$27:O$35),0))</f>
        <v>0</v>
      </c>
      <c r="P46" s="55">
        <f>IF($B46="","",IF(COUNTIF(P$16:P$21,$B46)&gt;0,COUNTA(P$7:P$15),0)+IF(COUNTIF(P$37:P$42,$B46)&gt;0,COUNTA(P$27:P$35),0))</f>
        <v>0</v>
      </c>
      <c r="Q46" s="55">
        <f>IF($B46="","",IF(COUNTIF(Q$16:Q$21,$B46)&gt;0,COUNTA(Q$7:Q$15),0)+IF(COUNTIF(Q$37:Q$42,$B46)&gt;0,COUNTA(Q$27:Q$35),0))</f>
        <v>0</v>
      </c>
      <c r="R46" s="55">
        <f>IF($B46="","",IF(COUNTIF(R$16:R$21,$B46)&gt;0,COUNTA(R$7:R$15),0)+IF(COUNTIF(R$37:R$42,$B46)&gt;0,COUNTA(R$27:R$35),0))</f>
        <v>0</v>
      </c>
      <c r="S46" s="55">
        <f>IF($B46="","",IF(COUNTIF(S$16:S$21,$B46)&gt;0,COUNTA(S$7:S$15),0)+IF(COUNTIF(S$37:S$42,$B46)&gt;0,COUNTA(S$27:S$35),0))</f>
        <v>0</v>
      </c>
      <c r="T46" s="55">
        <f>IF($B46="","",IF(COUNTIF(T$16:T$21,$B46)&gt;0,COUNTA(T$7:T$15),0)+IF(COUNTIF(T$37:T$42,$B46)&gt;0,COUNTA(T$27:T$35),0))</f>
        <v>0</v>
      </c>
      <c r="U46" s="55">
        <f>IF($B46="","",IF(COUNTIF(U$16:U$21,$B46)&gt;0,COUNTA(U$7:U$15),0)+IF(COUNTIF(U$37:U$42,$B46)&gt;0,COUNTA(U$27:U$35),0))</f>
        <v>0</v>
      </c>
      <c r="V46" s="55">
        <f>IF($B46="","",IF(COUNTIF(V$16:V$21,$B46)&gt;0,COUNTA(V$7:V$15),0)+IF(COUNTIF(V$37:V$42,$B46)&gt;0,COUNTA(V$27:V$35),0))</f>
        <v>0</v>
      </c>
      <c r="W46" s="55">
        <f>IF($B46="","",IF(COUNTIF(W$16:W$21,$B46)&gt;0,COUNTA(W$7:W$15),0)+IF(COUNTIF(W$37:W$42,$B46)&gt;0,COUNTA(W$27:W$35),0))</f>
        <v>0</v>
      </c>
      <c r="X46" s="55">
        <f>IF($B46="","",IF(COUNTIF(X$16:X$21,$B46)&gt;0,COUNTA(X$7:X$15),0)+IF(COUNTIF(X$37:X$42,$B46)&gt;0,COUNTA(X$27:X$35),0))</f>
        <v>0</v>
      </c>
      <c r="Y46" s="55">
        <f>IF($B46="","",IF(COUNTIF(Y$16:Y$21,$B46)&gt;0,COUNTA(Y$7:Y$15),0)+IF(COUNTIF(Y$37:Y$42,$B46)&gt;0,COUNTA(Y$27:Y$35),0))</f>
        <v>0</v>
      </c>
      <c r="Z46" s="55">
        <f>IF($B46="","",IF(COUNTIF(Z$16:Z$21,$B46)&gt;0,COUNTA(Z$7:Z$15),0)+IF(COUNTIF(Z$37:Z$42,$B46)&gt;0,COUNTA(Z$27:Z$35),0))</f>
        <v>0</v>
      </c>
      <c r="AA46" s="55">
        <f>IF($B46="","",IF(COUNTIF(AA$16:AA$21,$B46)&gt;0,COUNTA(AA$7:AA$15),0)+IF(COUNTIF(AA$37:AA$42,$B46)&gt;0,COUNTA(AA$27:AA$35),0))</f>
        <v>0</v>
      </c>
      <c r="AB46" s="55">
        <f>IF($B46="","",IF(COUNTIF(AB$16:AB$21,$B46)&gt;0,COUNTA(AB$7:AB$15),0)+IF(COUNTIF(AB$37:AB$42,$B46)&gt;0,COUNTA(AB$27:AB$35),0))</f>
        <v>0</v>
      </c>
      <c r="AC46" s="55">
        <f>IF($B46="","",IF(COUNTIF(AC$16:AC$21,$B46)&gt;0,COUNTA(AC$7:AC$15),0)+IF(COUNTIF(AC$37:AC$42,$B46)&gt;0,COUNTA(AC$27:AC$35),0))</f>
        <v>0</v>
      </c>
      <c r="AD46" s="55">
        <f>IF($B46="","",IF(COUNTIF(AD$16:AD$21,$B46)&gt;0,COUNTA(AD$7:AD$15),0)+IF(COUNTIF(AD$37:AD$42,$B46)&gt;0,COUNTA(AD$27:AD$35),0))</f>
        <v>0</v>
      </c>
      <c r="AE46" s="55">
        <f>IF($B46="","",IF(COUNTIF(AE$16:AE$21,$B46)&gt;0,COUNTA(AE$7:AE$15),0)+IF(COUNTIF(AE$37:AE$42,$B46)&gt;0,COUNTA(AE$27:AE$35),0))</f>
        <v>0</v>
      </c>
      <c r="AF46" s="55">
        <f>IF($B46="","",IF(COUNTIF(AF$16:AF$21,$B46)&gt;0,COUNTA(AF$7:AF$15),0)+IF(COUNTIF(AF$37:AF$42,$B46)&gt;0,COUNTA(AF$27:AF$35),0))</f>
        <v>0</v>
      </c>
      <c r="AG46" s="55">
        <f>IF($B46="","",IF(COUNTIF(AG$16:AG$21,$B46)&gt;0,COUNTA(AG$7:AG$15),0)+IF(COUNTIF(AG$37:AG$42,$B46)&gt;0,COUNTA(AG$27:AG$35),0))</f>
        <v>0</v>
      </c>
      <c r="AH46" s="55">
        <f>IF($B46="","",IF(COUNTIF(AH$16:AH$21,$B46)&gt;0,COUNTA(AH$7:AH$15),0)+IF(COUNTIF(AH$37:AH$42,$B46)&gt;0,COUNTA(AH$27:AH$35),0))</f>
        <v>0</v>
      </c>
      <c r="AI46" s="55">
        <f>IF($B46="","",IF(COUNTIF(AI$16:AI$21,$B46)&gt;0,COUNTA(AI$7:AI$15),0)+IF(COUNTIF(AI$37:AI$42,$B46)&gt;0,COUNTA(AI$27:AI$35),0))</f>
        <v>0</v>
      </c>
      <c r="AJ46" s="55">
        <f>IF($B46="","",IF(COUNTIF(AJ$16:AJ$21,$B46)&gt;0,COUNTA(AJ$7:AJ$15),0)+IF(COUNTIF(AJ$37:AJ$42,$B46)&gt;0,COUNTA(AJ$27:AJ$35),0))</f>
        <v>0</v>
      </c>
      <c r="AK46" s="55">
        <f>IF($B46="","",IF(COUNTIF(AK$16:AK$21,$B46)&gt;0,COUNTA(AK$7:AK$15),0)+IF(COUNTIF(AK$37:AK$42,$B46)&gt;0,COUNTA(AK$27:AK$35),0))</f>
        <v>0</v>
      </c>
      <c r="AL46" s="55">
        <f>IF($B46="","",IF(COUNTIF(AL$16:AL$21,$B46)&gt;0,COUNTA(AL$7:AL$15),0)+IF(COUNTIF(AL$37:AL$42,$B46)&gt;0,COUNTA(AL$27:AL$35),0))</f>
        <v>0</v>
      </c>
      <c r="AM46" s="55">
        <f>IF($B46="","",IF(COUNTIF(AM$16:AM$21,$B46)&gt;0,COUNTA(AM$7:AM$15),0)+IF(COUNTIF(AM$37:AM$42,$B46)&gt;0,COUNTA(AM$27:AM$35),0))</f>
        <v>0</v>
      </c>
      <c r="AN46" s="55">
        <f>IF($B46="","",IF(COUNTIF(AN$16:AN$21,$B46)&gt;0,COUNTA(AN$7:AN$15),0)+IF(COUNTIF(AN$37:AN$42,$B46)&gt;0,COUNTA(AN$27:AN$35),0))</f>
        <v>0</v>
      </c>
      <c r="AO46" s="55">
        <f>IF($B46="","",IF(COUNTIF(AO$16:AO$21,$B46)&gt;0,COUNTA(AO$7:AO$15),0)+IF(COUNTIF(AO$37:AO$42,$B46)&gt;0,COUNTA(AO$27:AO$35),0))</f>
        <v>0</v>
      </c>
      <c r="AP46" s="55">
        <f>IF($B46="","",IF(COUNTIF(AP$16:AP$21,$B46)&gt;0,COUNTA(AP$7:AP$15),0)+IF(COUNTIF(AP$37:AP$42,$B46)&gt;0,COUNTA(AP$27:AP$35),0))</f>
        <v>0</v>
      </c>
      <c r="AQ46" s="55">
        <f>IF($B46="","",IF(COUNTIF(AQ$16:AQ$21,$B46)&gt;0,COUNTA(AQ$7:AQ$15),0)+IF(COUNTIF(AQ$37:AQ$42,$B46)&gt;0,COUNTA(AQ$27:AQ$35),0))</f>
        <v>0</v>
      </c>
      <c r="AR46" s="55">
        <f>IF($B46="","",IF(COUNTIF(AR$16:AR$21,$B46)&gt;0,COUNTA(AR$7:AR$15),0)+IF(COUNTIF(AR$37:AR$42,$B46)&gt;0,COUNTA(AR$27:AR$35),0))</f>
        <v>0</v>
      </c>
      <c r="AS46" s="55">
        <f>IF($B46="","",IF(COUNTIF(AS$16:AS$21,$B46)&gt;0,COUNTA(AS$7:AS$15),0)+IF(COUNTIF(AS$37:AS$42,$B46)&gt;0,COUNTA(AS$27:AS$35),0))</f>
        <v>0</v>
      </c>
      <c r="AT46" s="55">
        <f>IF($B46="","",IF(COUNTIF(AT$16:AT$21,$B46)&gt;0,COUNTA(AT$7:AT$15),0)+IF(COUNTIF(AT$37:AT$42,$B46)&gt;0,COUNTA(AT$27:AT$35),0))</f>
        <v>0</v>
      </c>
      <c r="AU46" s="55">
        <f>IF($B46="","",IF(COUNTIF(AU$16:AU$21,$B46)&gt;0,COUNTA(AU$7:AU$15),0)+IF(COUNTIF(AU$37:AU$42,$B46)&gt;0,COUNTA(AU$27:AU$35),0))</f>
        <v>0</v>
      </c>
      <c r="AV46" s="55">
        <f>IF($B46="","",IF(COUNTIF(AV$16:AV$21,$B46)&gt;0,COUNTA(AV$7:AV$15),0)+IF(COUNTIF(AV$37:AV$42,$B46)&gt;0,COUNTA(AV$27:AV$35),0))</f>
        <v>0</v>
      </c>
      <c r="AW46" s="55">
        <f>IF($B46="","",IF(COUNTIF(AW$16:AW$21,$B46)&gt;0,COUNTA(AW$7:AW$15),0)+IF(COUNTIF(AW$37:AW$42,$B46)&gt;0,COUNTA(AW$27:AW$35),0))</f>
        <v>0</v>
      </c>
      <c r="AX46" s="55">
        <f>IF($B46="","",IF(COUNTIF(AX$16:AX$21,$B46)&gt;0,COUNTA(AX$7:AX$15),0)+IF(COUNTIF(AX$37:AX$42,$B46)&gt;0,COUNTA(AX$27:AX$35),0))</f>
        <v>0</v>
      </c>
      <c r="AY46" s="55">
        <f>IF($B46="","",IF(COUNTIF(AY$16:AY$21,$B46)&gt;0,COUNTA(AY$7:AY$15),0)+IF(COUNTIF(AY$37:AY$42,$B46)&gt;0,COUNTA(AY$27:AY$35),0))</f>
        <v>0</v>
      </c>
      <c r="AZ46" s="55">
        <f>IF($B46="","",IF(COUNTIF(AZ$16:AZ$21,$B46)&gt;0,COUNTA(AZ$7:AZ$15),0)+IF(COUNTIF(AZ$37:AZ$42,$B46)&gt;0,COUNTA(AZ$27:AZ$35),0))</f>
        <v>0</v>
      </c>
      <c r="BA46" s="55">
        <f>IF($B46="","",IF(COUNTIF(BA$16:BA$21,$B46)&gt;0,COUNTA(BA$7:BA$15),0)+IF(COUNTIF(BA$37:BA$42,$B46)&gt;0,COUNTA(BA$27:BA$35),0))</f>
        <v>0</v>
      </c>
      <c r="BB46" s="55">
        <f>IF($B46="","",IF(COUNTIF(BB$16:BB$21,$B46)&gt;0,COUNTA(BB$7:BB$15),0)+IF(COUNTIF(BB$37:BB$42,$B46)&gt;0,COUNTA(BB$27:BB$35),0))</f>
        <v>0</v>
      </c>
      <c r="BC46" s="55">
        <f>IF($B46="","",IF(COUNTIF(BC$16:BC$21,$B46)&gt;0,COUNTA(BC$7:BC$15),0)+IF(COUNTIF(BC$37:BC$42,$B46)&gt;0,COUNTA(BC$27:BC$35),0))</f>
        <v>0</v>
      </c>
      <c r="BD46" s="55">
        <f>IF($B46="","",IF(COUNTIF(BD$16:BD$21,$B46)&gt;0,COUNTA(BD$7:BD$15),0)+IF(COUNTIF(BD$37:BD$42,$B46)&gt;0,COUNTA(BD$27:BD$35),0))</f>
        <v>0</v>
      </c>
      <c r="BE46" s="55">
        <f>IF($B46="","",IF(COUNTIF(BE$16:BE$21,$B46)&gt;0,COUNTA(BE$7:BE$15),0)+IF(COUNTIF(BE$37:BE$42,$B46)&gt;0,COUNTA(BE$27:BE$35),0))</f>
        <v>0</v>
      </c>
      <c r="BF46" s="55">
        <f>IF($B46="","",IF(COUNTIF(BF$16:BF$21,$B46)&gt;0,COUNTA(BF$7:BF$15),0)+IF(COUNTIF(BF$37:BF$42,$B46)&gt;0,COUNTA(BF$27:BF$35),0))</f>
        <v>0</v>
      </c>
      <c r="BG46" s="55">
        <f>IF($B46="","",IF(COUNTIF(BG$16:BG$21,$B46)&gt;0,COUNTA(BG$7:BG$15),0)+IF(COUNTIF(BG$37:BG$42,$B46)&gt;0,COUNTA(BG$27:BG$35),0))</f>
        <v>0</v>
      </c>
      <c r="BH46" s="55">
        <f>IF($B46="","",IF(COUNTIF(BH$16:BH$21,$B46)&gt;0,COUNTA(BH$7:BH$15),0)+IF(COUNTIF(BH$37:BH$42,$B46)&gt;0,COUNTA(BH$27:BH$35),0))</f>
        <v>0</v>
      </c>
      <c r="BI46" s="55">
        <f>IF($B46="","",IF(COUNTIF(BI$16:BI$21,$B46)&gt;0,COUNTA(BI$7:BI$15),0)+IF(COUNTIF(BI$37:BI$42,$B46)&gt;0,COUNTA(BI$27:BI$35),0))</f>
        <v>0</v>
      </c>
      <c r="BJ46" s="55">
        <f>IF($B46="","",IF(COUNTIF(BJ$16:BJ$21,$B46)&gt;0,COUNTA(BJ$7:BJ$15),0)+IF(COUNTIF(BJ$37:BJ$42,$B46)&gt;0,COUNTA(BJ$27:BJ$35),0))</f>
        <v>0</v>
      </c>
      <c r="BK46" s="55">
        <f>IF($B46="","",IF(COUNTIF(BK$16:BK$21,$B46)&gt;0,COUNTA(BK$7:BK$15),0)+IF(COUNTIF(BK$37:BK$42,$B46)&gt;0,COUNTA(BK$27:BK$35),0))</f>
        <v>0</v>
      </c>
      <c r="BL46" s="55">
        <f>IF($B46="","",IF(COUNTIF(BL$16:BL$21,$B46)&gt;0,COUNTA(BL$7:BL$15),0)+IF(COUNTIF(BL$37:BL$42,$B46)&gt;0,COUNTA(BL$27:BL$35),0))</f>
        <v>0</v>
      </c>
      <c r="BM46" s="55">
        <f>IF($B46="","",IF(COUNTIF(BM$16:BM$21,$B46)&gt;0,COUNTA(BM$7:BM$15),0)+IF(COUNTIF(BM$37:BM$42,$B46)&gt;0,COUNTA(BM$27:BM$35),0))</f>
        <v>0</v>
      </c>
      <c r="BN46" s="55">
        <f>IF($B46="","",IF(COUNTIF(BN$16:BN$21,$B46)&gt;0,COUNTA(BN$7:BN$15),0)+IF(COUNTIF(BN$37:BN$42,$B46)&gt;0,COUNTA(BN$27:BN$35),0))</f>
        <v>0</v>
      </c>
      <c r="BO46" s="55">
        <f>IF($B46="","",IF(COUNTIF(BO$16:BO$21,$B46)&gt;0,COUNTA(BO$7:BO$15),0)+IF(COUNTIF(BO$37:BO$42,$B46)&gt;0,COUNTA(BO$27:BO$35),0))</f>
        <v>0</v>
      </c>
      <c r="BP46" s="55">
        <f>IF($B46="","",IF(COUNTIF(BP$16:BP$21,$B46)&gt;0,COUNTA(BP$7:BP$15),0)+IF(COUNTIF(BP$37:BP$42,$B46)&gt;0,COUNTA(BP$27:BP$35),0))</f>
        <v>0</v>
      </c>
      <c r="BQ46" s="55">
        <f>IF($B46="","",IF(COUNTIF(BQ$16:BQ$21,$B46)&gt;0,COUNTA(BQ$7:BQ$15),0)+IF(COUNTIF(BQ$37:BQ$42,$B46)&gt;0,COUNTA(BQ$27:BQ$35),0))</f>
        <v>0</v>
      </c>
      <c r="BR46" s="55">
        <f>IF($B46="","",IF(COUNTIF(BR$16:BR$21,$B46)&gt;0,COUNTA(BR$7:BR$15),0)+IF(COUNTIF(BR$37:BR$42,$B46)&gt;0,COUNTA(BR$27:BR$35),0))</f>
        <v>0</v>
      </c>
      <c r="BS46" s="55">
        <f>IF($B46="","",IF(COUNTIF(BS$16:BS$21,$B46)&gt;0,COUNTA(BS$7:BS$15),0)+IF(COUNTIF(BS$37:BS$42,$B46)&gt;0,COUNTA(BS$27:BS$35),0))</f>
        <v>0</v>
      </c>
      <c r="BT46" s="55">
        <f>IF($B46="","",IF(COUNTIF(BT$16:BT$21,$B46)&gt;0,COUNTA(BT$7:BT$15),0)+IF(COUNTIF(BT$37:BT$42,$B46)&gt;0,COUNTA(BT$27:BT$35),0))</f>
        <v>0</v>
      </c>
      <c r="BU46" s="55">
        <f>IF($B46="","",IF(COUNTIF(BU$16:BU$21,$B46)&gt;0,COUNTA(BU$7:BU$15),0)+IF(COUNTIF(BU$37:BU$42,$B46)&gt;0,COUNTA(BU$27:BU$35),0))</f>
        <v>0</v>
      </c>
      <c r="BV46" s="55">
        <f>IF($B46="","",IF(COUNTIF(BV$16:BV$21,$B46)&gt;0,COUNTA(BV$7:BV$15),0)+IF(COUNTIF(BV$37:BV$42,$B46)&gt;0,COUNTA(BV$27:BV$35),0))</f>
        <v>0</v>
      </c>
      <c r="BW46" s="55">
        <f>IF($B46="","",IF(COUNTIF(BW$16:BW$21,$B46)&gt;0,COUNTA(BW$7:BW$15),0)+IF(COUNTIF(BW$37:BW$42,$B46)&gt;0,COUNTA(BW$27:BW$35),0))</f>
        <v>0</v>
      </c>
      <c r="BX46" s="55">
        <f>IF($B46="","",IF(COUNTIF(BX$16:BX$21,$B46)&gt;0,COUNTA(BX$7:BX$15),0)+IF(COUNTIF(BX$37:BX$42,$B46)&gt;0,COUNTA(BX$27:BX$35),0))</f>
        <v>0</v>
      </c>
      <c r="BY46" s="55">
        <f>IF($B46="","",IF(COUNTIF(BY$16:BY$21,$B46)&gt;0,COUNTA(BY$7:BY$15),0)+IF(COUNTIF(BY$37:BY$42,$B46)&gt;0,COUNTA(BY$27:BY$35),0))</f>
        <v>0</v>
      </c>
      <c r="BZ46" s="55">
        <f>IF($B46="","",IF(COUNTIF(BZ$16:BZ$21,$B46)&gt;0,COUNTA(BZ$7:BZ$15),0)+IF(COUNTIF(BZ$37:BZ$42,$B46)&gt;0,COUNTA(BZ$27:BZ$35),0))</f>
        <v>0</v>
      </c>
      <c r="CA46" s="55">
        <f>IF($B46="","",IF(COUNTIF(CA$16:CA$21,$B46)&gt;0,COUNTA(CA$7:CA$15),0)+IF(COUNTIF(CA$37:CA$42,$B46)&gt;0,COUNTA(CA$27:CA$35),0))</f>
        <v>0</v>
      </c>
      <c r="CB46" s="55">
        <f>IF($B46="","",IF(COUNTIF(CB$16:CB$21,$B46)&gt;0,COUNTA(CB$7:CB$15),0)+IF(COUNTIF(CB$37:CB$42,$B46)&gt;0,COUNTA(CB$27:CB$35),0))</f>
        <v>0</v>
      </c>
      <c r="CC46" s="55">
        <f>IF($B46="","",IF(COUNTIF(CC$16:CC$21,$B46)&gt;0,COUNTA(CC$7:CC$15),0)+IF(COUNTIF(CC$37:CC$42,$B46)&gt;0,COUNTA(CC$27:CC$35),0))</f>
        <v>0</v>
      </c>
      <c r="CD46" s="55">
        <f>IF($B46="","",IF(COUNTIF(CD$16:CD$21,$B46)&gt;0,COUNTA(CD$7:CD$15),0)+IF(COUNTIF(CD$37:CD$42,$B46)&gt;0,COUNTA(CD$27:CD$35),0))</f>
        <v>0</v>
      </c>
      <c r="CE46" s="55">
        <f>IF($B46="","",IF(COUNTIF(CE$16:CE$21,$B46)&gt;0,COUNTA(CE$7:CE$15),0)+IF(COUNTIF(CE$37:CE$42,$B46)&gt;0,COUNTA(CE$27:CE$35),0))</f>
        <v>0</v>
      </c>
      <c r="CF46" s="55">
        <f>IF($B46="","",IF(COUNTIF(CF$16:CF$21,$B46)&gt;0,COUNTA(CF$7:CF$15),0)+IF(COUNTIF(CF$37:CF$42,$B46)&gt;0,COUNTA(CF$27:CF$35),0))</f>
        <v>0</v>
      </c>
      <c r="CG46" s="55">
        <f>IF($B46="","",IF(COUNTIF(CG$16:CG$21,$B46)&gt;0,COUNTA(CG$7:CG$15),0)+IF(COUNTIF(CG$37:CG$42,$B46)&gt;0,COUNTA(CG$27:CG$35),0))</f>
        <v>0</v>
      </c>
      <c r="CH46" s="55">
        <f>IF($B46="","",IF(COUNTIF(CH$16:CH$21,$B46)&gt;0,COUNTA(CH$7:CH$15),0)+IF(COUNTIF(CH$37:CH$42,$B46)&gt;0,COUNTA(CH$27:CH$35),0))</f>
        <v>0</v>
      </c>
      <c r="CI46" s="55">
        <f>IF($B46="","",IF(COUNTIF(CI$16:CI$21,$B46)&gt;0,COUNTA(CI$7:CI$15),0)+IF(COUNTIF(CI$37:CI$42,$B46)&gt;0,COUNTA(CI$27:CI$35),0))</f>
        <v>0</v>
      </c>
      <c r="CJ46" s="55">
        <f>IF($B46="","",IF(COUNTIF(CJ$16:CJ$21,$B46)&gt;0,COUNTA(CJ$7:CJ$15),0)+IF(COUNTIF(CJ$37:CJ$42,$B46)&gt;0,COUNTA(CJ$27:CJ$35),0))</f>
        <v>0</v>
      </c>
      <c r="CK46" s="55">
        <f>IF($B46="","",IF(COUNTIF(CK$16:CK$21,$B46)&gt;0,COUNTA(CK$7:CK$15),0)+IF(COUNTIF(CK$37:CK$42,$B46)&gt;0,COUNTA(CK$27:CK$35),0))</f>
        <v>0</v>
      </c>
      <c r="CL46" s="55">
        <f>IF($B46="","",IF(COUNTIF(CL$16:CL$21,$B46)&gt;0,COUNTA(CL$7:CL$15),0)+IF(COUNTIF(CL$37:CL$42,$B46)&gt;0,COUNTA(CL$27:CL$35),0))</f>
        <v>0</v>
      </c>
      <c r="CM46" s="55">
        <f>IF($B46="","",IF(COUNTIF(CM$16:CM$21,$B46)&gt;0,COUNTA(CM$7:CM$15),0)+IF(COUNTIF(CM$37:CM$42,$B46)&gt;0,COUNTA(CM$27:CM$35),0))</f>
        <v>0</v>
      </c>
      <c r="CN46" s="55">
        <f>IF($B46="","",IF(COUNTIF(CN$16:CN$21,$B46)&gt;0,COUNTA(CN$7:CN$15),0)+IF(COUNTIF(CN$37:CN$42,$B46)&gt;0,COUNTA(CN$27:CN$35),0))</f>
        <v>0</v>
      </c>
      <c r="CO46" s="55">
        <f>IF($B46="","",IF(COUNTIF(CO$16:CO$21,$B46)&gt;0,COUNTA(CO$7:CO$15),0)+IF(COUNTIF(CO$37:CO$42,$B46)&gt;0,COUNTA(CO$27:CO$35),0))</f>
        <v>0</v>
      </c>
      <c r="CP46" s="55">
        <f>IF($B46="","",IF(COUNTIF(CP$16:CP$21,$B46)&gt;0,COUNTA(CP$7:CP$15),0)+IF(COUNTIF(CP$37:CP$42,$B46)&gt;0,COUNTA(CP$27:CP$35),0))</f>
        <v>0</v>
      </c>
      <c r="CQ46" s="55">
        <f>IF($B46="","",IF(COUNTIF(CQ$16:CQ$21,$B46)&gt;0,COUNTA(CQ$7:CQ$15),0)+IF(COUNTIF(CQ$37:CQ$42,$B46)&gt;0,COUNTA(CQ$27:CQ$35),0))</f>
        <v>0</v>
      </c>
      <c r="CR46" s="55">
        <f>IF($B46="","",IF(COUNTIF(CR$16:CR$21,$B46)&gt;0,COUNTA(CR$7:CR$15),0)+IF(COUNTIF(CR$37:CR$42,$B46)&gt;0,COUNTA(CR$27:CR$35),0))</f>
        <v>0</v>
      </c>
      <c r="CS46" s="55">
        <f>IF($B46="","",IF(COUNTIF(CS$16:CS$21,$B46)&gt;0,COUNTA(CS$7:CS$15),0)+IF(COUNTIF(CS$37:CS$42,$B46)&gt;0,COUNTA(CS$27:CS$35),0))</f>
        <v>0</v>
      </c>
      <c r="CT46" s="55">
        <f>IF($B46="","",IF(COUNTIF(CT$16:CT$21,$B46)&gt;0,COUNTA(CT$7:CT$15),0)+IF(COUNTIF(CT$37:CT$42,$B46)&gt;0,COUNTA(CT$27:CT$35),0))</f>
        <v>0</v>
      </c>
      <c r="CU46" s="55">
        <f>IF($B46="","",IF(COUNTIF(CU$16:CU$21,$B46)&gt;0,COUNTA(CU$7:CU$15),0)+IF(COUNTIF(CU$37:CU$42,$B46)&gt;0,COUNTA(CU$27:CU$35),0))</f>
        <v>0</v>
      </c>
      <c r="CV46" s="55">
        <f>IF($B46="","",IF(COUNTIF(CV$16:CV$21,$B46)&gt;0,COUNTA(CV$7:CV$15),0)+IF(COUNTIF(CV$37:CV$42,$B46)&gt;0,COUNTA(CV$27:CV$35),0))</f>
        <v>0</v>
      </c>
      <c r="CW46" s="55">
        <f>IF($B46="","",IF(COUNTIF(CW$16:CW$21,$B46)&gt;0,COUNTA(CW$7:CW$15),0)+IF(COUNTIF(CW$37:CW$42,$B46)&gt;0,COUNTA(CW$27:CW$35),0))</f>
        <v>0</v>
      </c>
      <c r="CX46" s="55">
        <f>IF($B46="","",IF(COUNTIF(CX$16:CX$21,$B46)&gt;0,COUNTA(CX$7:CX$15),0)+IF(COUNTIF(CX$37:CX$42,$B46)&gt;0,COUNTA(CX$27:CX$35),0))</f>
        <v>0</v>
      </c>
      <c r="CY46" s="55">
        <f>IF($B46="","",IF(COUNTIF(CY$16:CY$21,$B46)&gt;0,COUNTA(CY$7:CY$15),0)+IF(COUNTIF(CY$37:CY$42,$B46)&gt;0,COUNTA(CY$27:CY$35),0))</f>
        <v>0</v>
      </c>
      <c r="CZ46" s="55">
        <f>IF($B46="","",IF(COUNTIF(CZ$16:CZ$21,$B46)&gt;0,COUNTA(CZ$7:CZ$15),0)+IF(COUNTIF(CZ$37:CZ$42,$B46)&gt;0,COUNTA(CZ$27:CZ$35),0))</f>
        <v>0</v>
      </c>
      <c r="DA46" s="55">
        <f>IF($B46="","",IF(COUNTIF(DA$16:DA$21,$B46)&gt;0,COUNTA(DA$7:DA$15),0)+IF(COUNTIF(DA$37:DA$42,$B46)&gt;0,COUNTA(DA$27:DA$35),0))</f>
        <v>0</v>
      </c>
      <c r="DB46" s="55">
        <f>IF($B46="","",IF(COUNTIF(DB$16:DB$21,$B46)&gt;0,COUNTA(DB$7:DB$15),0)+IF(COUNTIF(DB$37:DB$42,$B46)&gt;0,COUNTA(DB$27:DB$35),0))</f>
        <v>0</v>
      </c>
      <c r="DC46" s="55">
        <f>IF($B46="","",IF(COUNTIF(DC$16:DC$21,$B46)&gt;0,COUNTA(DC$7:DC$15),0)+IF(COUNTIF(DC$37:DC$42,$B46)&gt;0,COUNTA(DC$27:DC$35),0))</f>
        <v>0</v>
      </c>
      <c r="DD46" s="55">
        <f>IF($B46="","",IF(COUNTIF(DD$16:DD$21,$B46)&gt;0,COUNTA(DD$7:DD$15),0)+IF(COUNTIF(DD$37:DD$42,$B46)&gt;0,COUNTA(DD$27:DD$35),0))</f>
        <v>0</v>
      </c>
      <c r="DE46" s="58">
        <f>IF($B46="","",IF(COUNTIF(DE$16:DE$21,$B46)&gt;0,COUNTA(DE$7:DE$15),0)+IF(COUNTIF(DE$37:DE$42,$B46)&gt;0,COUNTA(DE$27:DE$35),0))</f>
        <v>0</v>
      </c>
    </row>
    <row r="47" spans="2:109" x14ac:dyDescent="0.2">
      <c r="B47" s="84" t="str">
        <f>IFERROR(INDEX(_xlfn._xlws.FILTER(Ressourcer!$B$1:$X$1,_xlfn.BYCOL(Ressourcer!$B$12:$X$15,_xlfn.LAMBDA(_xlpm.c,COUNTIF(_xlpm.c,"&lt;&gt;" )&gt;0))),ROWS($B$2:B4)),"")</f>
        <v>JEAN</v>
      </c>
      <c r="C47" s="79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)&gt;0))),_xlfn.LAMBDA(_xlpm.col,SUM(INDEX(Ressourcer!$B$12:$X$15,,_xlpm.col-COLUMN(Ressourcer!$B$12:$X$15)+1)))),ROWS($B$2:B4))/2,"")</f>
        <v>100</v>
      </c>
      <c r="D47" s="106" t="str">
        <f t="shared" si="35"/>
        <v/>
      </c>
      <c r="E47" s="57">
        <f>IF($B47="","",IF(COUNTIF(E$16:E$21,$B47)&gt;0,COUNTA(E$7:E$15),0)+IF(COUNTIF(E$37:E$42,$B47)&gt;0,COUNTA(E$27:E$35),0))</f>
        <v>0</v>
      </c>
      <c r="F47" s="55">
        <f>IF($B47="","",IF(COUNTIF(F$16:F$21,$B47)&gt;0,COUNTA(F$7:F$15),0)+IF(COUNTIF(F$37:F$42,$B47)&gt;0,COUNTA(F$27:F$35),0))</f>
        <v>0</v>
      </c>
      <c r="G47" s="55">
        <f>IF($B47="","",IF(COUNTIF(G$16:G$21,$B47)&gt;0,COUNTA(G$7:G$15),0)+IF(COUNTIF(G$37:G$42,$B47)&gt;0,COUNTA(G$27:G$35),0))</f>
        <v>0</v>
      </c>
      <c r="H47" s="55">
        <f>IF($B47="","",IF(COUNTIF(H$16:H$21,$B47)&gt;0,COUNTA(H$7:H$15),0)+IF(COUNTIF(H$37:H$42,$B47)&gt;0,COUNTA(H$27:H$35),0))</f>
        <v>0</v>
      </c>
      <c r="I47" s="55">
        <f>IF($B47="","",IF(COUNTIF(I$16:I$21,$B47)&gt;0,COUNTA(I$7:I$15),0)+IF(COUNTIF(I$37:I$42,$B47)&gt;0,COUNTA(I$27:I$35),0))</f>
        <v>0</v>
      </c>
      <c r="J47" s="55">
        <f>IF($B47="","",IF(COUNTIF(J$16:J$21,$B47)&gt;0,COUNTA(J$7:J$15),0)+IF(COUNTIF(J$37:J$42,$B47)&gt;0,COUNTA(J$27:J$35),0))</f>
        <v>0</v>
      </c>
      <c r="K47" s="55">
        <f>IF($B47="","",IF(COUNTIF(K$16:K$21,$B47)&gt;0,COUNTA(K$7:K$15),0)+IF(COUNTIF(K$37:K$42,$B47)&gt;0,COUNTA(K$27:K$35),0))</f>
        <v>0</v>
      </c>
      <c r="L47" s="55">
        <f>IF($B47="","",IF(COUNTIF(L$16:L$21,$B47)&gt;0,COUNTA(L$7:L$15),0)+IF(COUNTIF(L$37:L$42,$B47)&gt;0,COUNTA(L$27:L$35),0))</f>
        <v>0</v>
      </c>
      <c r="M47" s="55">
        <f>IF($B47="","",IF(COUNTIF(M$16:M$21,$B47)&gt;0,COUNTA(M$7:M$15),0)+IF(COUNTIF(M$37:M$42,$B47)&gt;0,COUNTA(M$27:M$35),0))</f>
        <v>0</v>
      </c>
      <c r="N47" s="55">
        <f>IF($B47="","",IF(COUNTIF(N$16:N$21,$B47)&gt;0,COUNTA(N$7:N$15),0)+IF(COUNTIF(N$37:N$42,$B47)&gt;0,COUNTA(N$27:N$35),0))</f>
        <v>0</v>
      </c>
      <c r="O47" s="55">
        <f>IF($B47="","",IF(COUNTIF(O$16:O$21,$B47)&gt;0,COUNTA(O$7:O$15),0)+IF(COUNTIF(O$37:O$42,$B47)&gt;0,COUNTA(O$27:O$35),0))</f>
        <v>0</v>
      </c>
      <c r="P47" s="55">
        <f>IF($B47="","",IF(COUNTIF(P$16:P$21,$B47)&gt;0,COUNTA(P$7:P$15),0)+IF(COUNTIF(P$37:P$42,$B47)&gt;0,COUNTA(P$27:P$35),0))</f>
        <v>0</v>
      </c>
      <c r="Q47" s="55">
        <f>IF($B47="","",IF(COUNTIF(Q$16:Q$21,$B47)&gt;0,COUNTA(Q$7:Q$15),0)+IF(COUNTIF(Q$37:Q$42,$B47)&gt;0,COUNTA(Q$27:Q$35),0))</f>
        <v>0</v>
      </c>
      <c r="R47" s="55">
        <f>IF($B47="","",IF(COUNTIF(R$16:R$21,$B47)&gt;0,COUNTA(R$7:R$15),0)+IF(COUNTIF(R$37:R$42,$B47)&gt;0,COUNTA(R$27:R$35),0))</f>
        <v>0</v>
      </c>
      <c r="S47" s="55">
        <f>IF($B47="","",IF(COUNTIF(S$16:S$21,$B47)&gt;0,COUNTA(S$7:S$15),0)+IF(COUNTIF(S$37:S$42,$B47)&gt;0,COUNTA(S$27:S$35),0))</f>
        <v>0</v>
      </c>
      <c r="T47" s="55">
        <f>IF($B47="","",IF(COUNTIF(T$16:T$21,$B47)&gt;0,COUNTA(T$7:T$15),0)+IF(COUNTIF(T$37:T$42,$B47)&gt;0,COUNTA(T$27:T$35),0))</f>
        <v>0</v>
      </c>
      <c r="U47" s="55">
        <f>IF($B47="","",IF(COUNTIF(U$16:U$21,$B47)&gt;0,COUNTA(U$7:U$15),0)+IF(COUNTIF(U$37:U$42,$B47)&gt;0,COUNTA(U$27:U$35),0))</f>
        <v>0</v>
      </c>
      <c r="V47" s="55">
        <f>IF($B47="","",IF(COUNTIF(V$16:V$21,$B47)&gt;0,COUNTA(V$7:V$15),0)+IF(COUNTIF(V$37:V$42,$B47)&gt;0,COUNTA(V$27:V$35),0))</f>
        <v>0</v>
      </c>
      <c r="W47" s="55">
        <f>IF($B47="","",IF(COUNTIF(W$16:W$21,$B47)&gt;0,COUNTA(W$7:W$15),0)+IF(COUNTIF(W$37:W$42,$B47)&gt;0,COUNTA(W$27:W$35),0))</f>
        <v>0</v>
      </c>
      <c r="X47" s="55">
        <f>IF($B47="","",IF(COUNTIF(X$16:X$21,$B47)&gt;0,COUNTA(X$7:X$15),0)+IF(COUNTIF(X$37:X$42,$B47)&gt;0,COUNTA(X$27:X$35),0))</f>
        <v>0</v>
      </c>
      <c r="Y47" s="55">
        <f>IF($B47="","",IF(COUNTIF(Y$16:Y$21,$B47)&gt;0,COUNTA(Y$7:Y$15),0)+IF(COUNTIF(Y$37:Y$42,$B47)&gt;0,COUNTA(Y$27:Y$35),0))</f>
        <v>0</v>
      </c>
      <c r="Z47" s="55">
        <f>IF($B47="","",IF(COUNTIF(Z$16:Z$21,$B47)&gt;0,COUNTA(Z$7:Z$15),0)+IF(COUNTIF(Z$37:Z$42,$B47)&gt;0,COUNTA(Z$27:Z$35),0))</f>
        <v>0</v>
      </c>
      <c r="AA47" s="55">
        <f>IF($B47="","",IF(COUNTIF(AA$16:AA$21,$B47)&gt;0,COUNTA(AA$7:AA$15),0)+IF(COUNTIF(AA$37:AA$42,$B47)&gt;0,COUNTA(AA$27:AA$35),0))</f>
        <v>0</v>
      </c>
      <c r="AB47" s="55">
        <f>IF($B47="","",IF(COUNTIF(AB$16:AB$21,$B47)&gt;0,COUNTA(AB$7:AB$15),0)+IF(COUNTIF(AB$37:AB$42,$B47)&gt;0,COUNTA(AB$27:AB$35),0))</f>
        <v>0</v>
      </c>
      <c r="AC47" s="55">
        <f>IF($B47="","",IF(COUNTIF(AC$16:AC$21,$B47)&gt;0,COUNTA(AC$7:AC$15),0)+IF(COUNTIF(AC$37:AC$42,$B47)&gt;0,COUNTA(AC$27:AC$35),0))</f>
        <v>0</v>
      </c>
      <c r="AD47" s="55">
        <f>IF($B47="","",IF(COUNTIF(AD$16:AD$21,$B47)&gt;0,COUNTA(AD$7:AD$15),0)+IF(COUNTIF(AD$37:AD$42,$B47)&gt;0,COUNTA(AD$27:AD$35),0))</f>
        <v>0</v>
      </c>
      <c r="AE47" s="55">
        <f>IF($B47="","",IF(COUNTIF(AE$16:AE$21,$B47)&gt;0,COUNTA(AE$7:AE$15),0)+IF(COUNTIF(AE$37:AE$42,$B47)&gt;0,COUNTA(AE$27:AE$35),0))</f>
        <v>0</v>
      </c>
      <c r="AF47" s="55">
        <f>IF($B47="","",IF(COUNTIF(AF$16:AF$21,$B47)&gt;0,COUNTA(AF$7:AF$15),0)+IF(COUNTIF(AF$37:AF$42,$B47)&gt;0,COUNTA(AF$27:AF$35),0))</f>
        <v>0</v>
      </c>
      <c r="AG47" s="55">
        <f>IF($B47="","",IF(COUNTIF(AG$16:AG$21,$B47)&gt;0,COUNTA(AG$7:AG$15),0)+IF(COUNTIF(AG$37:AG$42,$B47)&gt;0,COUNTA(AG$27:AG$35),0))</f>
        <v>0</v>
      </c>
      <c r="AH47" s="55">
        <f>IF($B47="","",IF(COUNTIF(AH$16:AH$21,$B47)&gt;0,COUNTA(AH$7:AH$15),0)+IF(COUNTIF(AH$37:AH$42,$B47)&gt;0,COUNTA(AH$27:AH$35),0))</f>
        <v>0</v>
      </c>
      <c r="AI47" s="55">
        <f>IF($B47="","",IF(COUNTIF(AI$16:AI$21,$B47)&gt;0,COUNTA(AI$7:AI$15),0)+IF(COUNTIF(AI$37:AI$42,$B47)&gt;0,COUNTA(AI$27:AI$35),0))</f>
        <v>0</v>
      </c>
      <c r="AJ47" s="55">
        <f>IF($B47="","",IF(COUNTIF(AJ$16:AJ$21,$B47)&gt;0,COUNTA(AJ$7:AJ$15),0)+IF(COUNTIF(AJ$37:AJ$42,$B47)&gt;0,COUNTA(AJ$27:AJ$35),0))</f>
        <v>0</v>
      </c>
      <c r="AK47" s="55">
        <f>IF($B47="","",IF(COUNTIF(AK$16:AK$21,$B47)&gt;0,COUNTA(AK$7:AK$15),0)+IF(COUNTIF(AK$37:AK$42,$B47)&gt;0,COUNTA(AK$27:AK$35),0))</f>
        <v>0</v>
      </c>
      <c r="AL47" s="55">
        <f>IF($B47="","",IF(COUNTIF(AL$16:AL$21,$B47)&gt;0,COUNTA(AL$7:AL$15),0)+IF(COUNTIF(AL$37:AL$42,$B47)&gt;0,COUNTA(AL$27:AL$35),0))</f>
        <v>0</v>
      </c>
      <c r="AM47" s="55">
        <f>IF($B47="","",IF(COUNTIF(AM$16:AM$21,$B47)&gt;0,COUNTA(AM$7:AM$15),0)+IF(COUNTIF(AM$37:AM$42,$B47)&gt;0,COUNTA(AM$27:AM$35),0))</f>
        <v>0</v>
      </c>
      <c r="AN47" s="55">
        <f>IF($B47="","",IF(COUNTIF(AN$16:AN$21,$B47)&gt;0,COUNTA(AN$7:AN$15),0)+IF(COUNTIF(AN$37:AN$42,$B47)&gt;0,COUNTA(AN$27:AN$35),0))</f>
        <v>0</v>
      </c>
      <c r="AO47" s="55">
        <f>IF($B47="","",IF(COUNTIF(AO$16:AO$21,$B47)&gt;0,COUNTA(AO$7:AO$15),0)+IF(COUNTIF(AO$37:AO$42,$B47)&gt;0,COUNTA(AO$27:AO$35),0))</f>
        <v>0</v>
      </c>
      <c r="AP47" s="55">
        <f>IF($B47="","",IF(COUNTIF(AP$16:AP$21,$B47)&gt;0,COUNTA(AP$7:AP$15),0)+IF(COUNTIF(AP$37:AP$42,$B47)&gt;0,COUNTA(AP$27:AP$35),0))</f>
        <v>0</v>
      </c>
      <c r="AQ47" s="55">
        <f>IF($B47="","",IF(COUNTIF(AQ$16:AQ$21,$B47)&gt;0,COUNTA(AQ$7:AQ$15),0)+IF(COUNTIF(AQ$37:AQ$42,$B47)&gt;0,COUNTA(AQ$27:AQ$35),0))</f>
        <v>0</v>
      </c>
      <c r="AR47" s="55">
        <f>IF($B47="","",IF(COUNTIF(AR$16:AR$21,$B47)&gt;0,COUNTA(AR$7:AR$15),0)+IF(COUNTIF(AR$37:AR$42,$B47)&gt;0,COUNTA(AR$27:AR$35),0))</f>
        <v>0</v>
      </c>
      <c r="AS47" s="55">
        <f>IF($B47="","",IF(COUNTIF(AS$16:AS$21,$B47)&gt;0,COUNTA(AS$7:AS$15),0)+IF(COUNTIF(AS$37:AS$42,$B47)&gt;0,COUNTA(AS$27:AS$35),0))</f>
        <v>0</v>
      </c>
      <c r="AT47" s="55">
        <f>IF($B47="","",IF(COUNTIF(AT$16:AT$21,$B47)&gt;0,COUNTA(AT$7:AT$15),0)+IF(COUNTIF(AT$37:AT$42,$B47)&gt;0,COUNTA(AT$27:AT$35),0))</f>
        <v>0</v>
      </c>
      <c r="AU47" s="55">
        <f>IF($B47="","",IF(COUNTIF(AU$16:AU$21,$B47)&gt;0,COUNTA(AU$7:AU$15),0)+IF(COUNTIF(AU$37:AU$42,$B47)&gt;0,COUNTA(AU$27:AU$35),0))</f>
        <v>0</v>
      </c>
      <c r="AV47" s="55">
        <f>IF($B47="","",IF(COUNTIF(AV$16:AV$21,$B47)&gt;0,COUNTA(AV$7:AV$15),0)+IF(COUNTIF(AV$37:AV$42,$B47)&gt;0,COUNTA(AV$27:AV$35),0))</f>
        <v>0</v>
      </c>
      <c r="AW47" s="55">
        <f>IF($B47="","",IF(COUNTIF(AW$16:AW$21,$B47)&gt;0,COUNTA(AW$7:AW$15),0)+IF(COUNTIF(AW$37:AW$42,$B47)&gt;0,COUNTA(AW$27:AW$35),0))</f>
        <v>0</v>
      </c>
      <c r="AX47" s="55">
        <f>IF($B47="","",IF(COUNTIF(AX$16:AX$21,$B47)&gt;0,COUNTA(AX$7:AX$15),0)+IF(COUNTIF(AX$37:AX$42,$B47)&gt;0,COUNTA(AX$27:AX$35),0))</f>
        <v>0</v>
      </c>
      <c r="AY47" s="55">
        <f>IF($B47="","",IF(COUNTIF(AY$16:AY$21,$B47)&gt;0,COUNTA(AY$7:AY$15),0)+IF(COUNTIF(AY$37:AY$42,$B47)&gt;0,COUNTA(AY$27:AY$35),0))</f>
        <v>0</v>
      </c>
      <c r="AZ47" s="55">
        <f>IF($B47="","",IF(COUNTIF(AZ$16:AZ$21,$B47)&gt;0,COUNTA(AZ$7:AZ$15),0)+IF(COUNTIF(AZ$37:AZ$42,$B47)&gt;0,COUNTA(AZ$27:AZ$35),0))</f>
        <v>0</v>
      </c>
      <c r="BA47" s="55">
        <f>IF($B47="","",IF(COUNTIF(BA$16:BA$21,$B47)&gt;0,COUNTA(BA$7:BA$15),0)+IF(COUNTIF(BA$37:BA$42,$B47)&gt;0,COUNTA(BA$27:BA$35),0))</f>
        <v>0</v>
      </c>
      <c r="BB47" s="55">
        <f>IF($B47="","",IF(COUNTIF(BB$16:BB$21,$B47)&gt;0,COUNTA(BB$7:BB$15),0)+IF(COUNTIF(BB$37:BB$42,$B47)&gt;0,COUNTA(BB$27:BB$35),0))</f>
        <v>0</v>
      </c>
      <c r="BC47" s="55">
        <f>IF($B47="","",IF(COUNTIF(BC$16:BC$21,$B47)&gt;0,COUNTA(BC$7:BC$15),0)+IF(COUNTIF(BC$37:BC$42,$B47)&gt;0,COUNTA(BC$27:BC$35),0))</f>
        <v>0</v>
      </c>
      <c r="BD47" s="55">
        <f>IF($B47="","",IF(COUNTIF(BD$16:BD$21,$B47)&gt;0,COUNTA(BD$7:BD$15),0)+IF(COUNTIF(BD$37:BD$42,$B47)&gt;0,COUNTA(BD$27:BD$35),0))</f>
        <v>0</v>
      </c>
      <c r="BE47" s="55">
        <f>IF($B47="","",IF(COUNTIF(BE$16:BE$21,$B47)&gt;0,COUNTA(BE$7:BE$15),0)+IF(COUNTIF(BE$37:BE$42,$B47)&gt;0,COUNTA(BE$27:BE$35),0))</f>
        <v>0</v>
      </c>
      <c r="BF47" s="55">
        <f>IF($B47="","",IF(COUNTIF(BF$16:BF$21,$B47)&gt;0,COUNTA(BF$7:BF$15),0)+IF(COUNTIF(BF$37:BF$42,$B47)&gt;0,COUNTA(BF$27:BF$35),0))</f>
        <v>0</v>
      </c>
      <c r="BG47" s="55">
        <f>IF($B47="","",IF(COUNTIF(BG$16:BG$21,$B47)&gt;0,COUNTA(BG$7:BG$15),0)+IF(COUNTIF(BG$37:BG$42,$B47)&gt;0,COUNTA(BG$27:BG$35),0))</f>
        <v>0</v>
      </c>
      <c r="BH47" s="55">
        <f>IF($B47="","",IF(COUNTIF(BH$16:BH$21,$B47)&gt;0,COUNTA(BH$7:BH$15),0)+IF(COUNTIF(BH$37:BH$42,$B47)&gt;0,COUNTA(BH$27:BH$35),0))</f>
        <v>0</v>
      </c>
      <c r="BI47" s="55">
        <f>IF($B47="","",IF(COUNTIF(BI$16:BI$21,$B47)&gt;0,COUNTA(BI$7:BI$15),0)+IF(COUNTIF(BI$37:BI$42,$B47)&gt;0,COUNTA(BI$27:BI$35),0))</f>
        <v>0</v>
      </c>
      <c r="BJ47" s="55">
        <f>IF($B47="","",IF(COUNTIF(BJ$16:BJ$21,$B47)&gt;0,COUNTA(BJ$7:BJ$15),0)+IF(COUNTIF(BJ$37:BJ$42,$B47)&gt;0,COUNTA(BJ$27:BJ$35),0))</f>
        <v>0</v>
      </c>
      <c r="BK47" s="55">
        <f>IF($B47="","",IF(COUNTIF(BK$16:BK$21,$B47)&gt;0,COUNTA(BK$7:BK$15),0)+IF(COUNTIF(BK$37:BK$42,$B47)&gt;0,COUNTA(BK$27:BK$35),0))</f>
        <v>0</v>
      </c>
      <c r="BL47" s="55">
        <f>IF($B47="","",IF(COUNTIF(BL$16:BL$21,$B47)&gt;0,COUNTA(BL$7:BL$15),0)+IF(COUNTIF(BL$37:BL$42,$B47)&gt;0,COUNTA(BL$27:BL$35),0))</f>
        <v>0</v>
      </c>
      <c r="BM47" s="55">
        <f>IF($B47="","",IF(COUNTIF(BM$16:BM$21,$B47)&gt;0,COUNTA(BM$7:BM$15),0)+IF(COUNTIF(BM$37:BM$42,$B47)&gt;0,COUNTA(BM$27:BM$35),0))</f>
        <v>0</v>
      </c>
      <c r="BN47" s="55">
        <f>IF($B47="","",IF(COUNTIF(BN$16:BN$21,$B47)&gt;0,COUNTA(BN$7:BN$15),0)+IF(COUNTIF(BN$37:BN$42,$B47)&gt;0,COUNTA(BN$27:BN$35),0))</f>
        <v>0</v>
      </c>
      <c r="BO47" s="55">
        <f>IF($B47="","",IF(COUNTIF(BO$16:BO$21,$B47)&gt;0,COUNTA(BO$7:BO$15),0)+IF(COUNTIF(BO$37:BO$42,$B47)&gt;0,COUNTA(BO$27:BO$35),0))</f>
        <v>0</v>
      </c>
      <c r="BP47" s="55">
        <f>IF($B47="","",IF(COUNTIF(BP$16:BP$21,$B47)&gt;0,COUNTA(BP$7:BP$15),0)+IF(COUNTIF(BP$37:BP$42,$B47)&gt;0,COUNTA(BP$27:BP$35),0))</f>
        <v>0</v>
      </c>
      <c r="BQ47" s="55">
        <f>IF($B47="","",IF(COUNTIF(BQ$16:BQ$21,$B47)&gt;0,COUNTA(BQ$7:BQ$15),0)+IF(COUNTIF(BQ$37:BQ$42,$B47)&gt;0,COUNTA(BQ$27:BQ$35),0))</f>
        <v>0</v>
      </c>
      <c r="BR47" s="55">
        <f>IF($B47="","",IF(COUNTIF(BR$16:BR$21,$B47)&gt;0,COUNTA(BR$7:BR$15),0)+IF(COUNTIF(BR$37:BR$42,$B47)&gt;0,COUNTA(BR$27:BR$35),0))</f>
        <v>0</v>
      </c>
      <c r="BS47" s="55">
        <f>IF($B47="","",IF(COUNTIF(BS$16:BS$21,$B47)&gt;0,COUNTA(BS$7:BS$15),0)+IF(COUNTIF(BS$37:BS$42,$B47)&gt;0,COUNTA(BS$27:BS$35),0))</f>
        <v>0</v>
      </c>
      <c r="BT47" s="55">
        <f>IF($B47="","",IF(COUNTIF(BT$16:BT$21,$B47)&gt;0,COUNTA(BT$7:BT$15),0)+IF(COUNTIF(BT$37:BT$42,$B47)&gt;0,COUNTA(BT$27:BT$35),0))</f>
        <v>0</v>
      </c>
      <c r="BU47" s="55">
        <f>IF($B47="","",IF(COUNTIF(BU$16:BU$21,$B47)&gt;0,COUNTA(BU$7:BU$15),0)+IF(COUNTIF(BU$37:BU$42,$B47)&gt;0,COUNTA(BU$27:BU$35),0))</f>
        <v>0</v>
      </c>
      <c r="BV47" s="55">
        <f>IF($B47="","",IF(COUNTIF(BV$16:BV$21,$B47)&gt;0,COUNTA(BV$7:BV$15),0)+IF(COUNTIF(BV$37:BV$42,$B47)&gt;0,COUNTA(BV$27:BV$35),0))</f>
        <v>0</v>
      </c>
      <c r="BW47" s="55">
        <f>IF($B47="","",IF(COUNTIF(BW$16:BW$21,$B47)&gt;0,COUNTA(BW$7:BW$15),0)+IF(COUNTIF(BW$37:BW$42,$B47)&gt;0,COUNTA(BW$27:BW$35),0))</f>
        <v>0</v>
      </c>
      <c r="BX47" s="55">
        <f>IF($B47="","",IF(COUNTIF(BX$16:BX$21,$B47)&gt;0,COUNTA(BX$7:BX$15),0)+IF(COUNTIF(BX$37:BX$42,$B47)&gt;0,COUNTA(BX$27:BX$35),0))</f>
        <v>0</v>
      </c>
      <c r="BY47" s="55">
        <f>IF($B47="","",IF(COUNTIF(BY$16:BY$21,$B47)&gt;0,COUNTA(BY$7:BY$15),0)+IF(COUNTIF(BY$37:BY$42,$B47)&gt;0,COUNTA(BY$27:BY$35),0))</f>
        <v>0</v>
      </c>
      <c r="BZ47" s="55">
        <f>IF($B47="","",IF(COUNTIF(BZ$16:BZ$21,$B47)&gt;0,COUNTA(BZ$7:BZ$15),0)+IF(COUNTIF(BZ$37:BZ$42,$B47)&gt;0,COUNTA(BZ$27:BZ$35),0))</f>
        <v>0</v>
      </c>
      <c r="CA47" s="55">
        <f>IF($B47="","",IF(COUNTIF(CA$16:CA$21,$B47)&gt;0,COUNTA(CA$7:CA$15),0)+IF(COUNTIF(CA$37:CA$42,$B47)&gt;0,COUNTA(CA$27:CA$35),0))</f>
        <v>0</v>
      </c>
      <c r="CB47" s="55">
        <f>IF($B47="","",IF(COUNTIF(CB$16:CB$21,$B47)&gt;0,COUNTA(CB$7:CB$15),0)+IF(COUNTIF(CB$37:CB$42,$B47)&gt;0,COUNTA(CB$27:CB$35),0))</f>
        <v>0</v>
      </c>
      <c r="CC47" s="55">
        <f>IF($B47="","",IF(COUNTIF(CC$16:CC$21,$B47)&gt;0,COUNTA(CC$7:CC$15),0)+IF(COUNTIF(CC$37:CC$42,$B47)&gt;0,COUNTA(CC$27:CC$35),0))</f>
        <v>0</v>
      </c>
      <c r="CD47" s="55">
        <f>IF($B47="","",IF(COUNTIF(CD$16:CD$21,$B47)&gt;0,COUNTA(CD$7:CD$15),0)+IF(COUNTIF(CD$37:CD$42,$B47)&gt;0,COUNTA(CD$27:CD$35),0))</f>
        <v>0</v>
      </c>
      <c r="CE47" s="55">
        <f>IF($B47="","",IF(COUNTIF(CE$16:CE$21,$B47)&gt;0,COUNTA(CE$7:CE$15),0)+IF(COUNTIF(CE$37:CE$42,$B47)&gt;0,COUNTA(CE$27:CE$35),0))</f>
        <v>0</v>
      </c>
      <c r="CF47" s="55">
        <f>IF($B47="","",IF(COUNTIF(CF$16:CF$21,$B47)&gt;0,COUNTA(CF$7:CF$15),0)+IF(COUNTIF(CF$37:CF$42,$B47)&gt;0,COUNTA(CF$27:CF$35),0))</f>
        <v>0</v>
      </c>
      <c r="CG47" s="55">
        <f>IF($B47="","",IF(COUNTIF(CG$16:CG$21,$B47)&gt;0,COUNTA(CG$7:CG$15),0)+IF(COUNTIF(CG$37:CG$42,$B47)&gt;0,COUNTA(CG$27:CG$35),0))</f>
        <v>0</v>
      </c>
      <c r="CH47" s="55">
        <f>IF($B47="","",IF(COUNTIF(CH$16:CH$21,$B47)&gt;0,COUNTA(CH$7:CH$15),0)+IF(COUNTIF(CH$37:CH$42,$B47)&gt;0,COUNTA(CH$27:CH$35),0))</f>
        <v>0</v>
      </c>
      <c r="CI47" s="55">
        <f>IF($B47="","",IF(COUNTIF(CI$16:CI$21,$B47)&gt;0,COUNTA(CI$7:CI$15),0)+IF(COUNTIF(CI$37:CI$42,$B47)&gt;0,COUNTA(CI$27:CI$35),0))</f>
        <v>0</v>
      </c>
      <c r="CJ47" s="55">
        <f>IF($B47="","",IF(COUNTIF(CJ$16:CJ$21,$B47)&gt;0,COUNTA(CJ$7:CJ$15),0)+IF(COUNTIF(CJ$37:CJ$42,$B47)&gt;0,COUNTA(CJ$27:CJ$35),0))</f>
        <v>0</v>
      </c>
      <c r="CK47" s="55">
        <f>IF($B47="","",IF(COUNTIF(CK$16:CK$21,$B47)&gt;0,COUNTA(CK$7:CK$15),0)+IF(COUNTIF(CK$37:CK$42,$B47)&gt;0,COUNTA(CK$27:CK$35),0))</f>
        <v>0</v>
      </c>
      <c r="CL47" s="55">
        <f>IF($B47="","",IF(COUNTIF(CL$16:CL$21,$B47)&gt;0,COUNTA(CL$7:CL$15),0)+IF(COUNTIF(CL$37:CL$42,$B47)&gt;0,COUNTA(CL$27:CL$35),0))</f>
        <v>0</v>
      </c>
      <c r="CM47" s="55">
        <f>IF($B47="","",IF(COUNTIF(CM$16:CM$21,$B47)&gt;0,COUNTA(CM$7:CM$15),0)+IF(COUNTIF(CM$37:CM$42,$B47)&gt;0,COUNTA(CM$27:CM$35),0))</f>
        <v>0</v>
      </c>
      <c r="CN47" s="55">
        <f>IF($B47="","",IF(COUNTIF(CN$16:CN$21,$B47)&gt;0,COUNTA(CN$7:CN$15),0)+IF(COUNTIF(CN$37:CN$42,$B47)&gt;0,COUNTA(CN$27:CN$35),0))</f>
        <v>0</v>
      </c>
      <c r="CO47" s="55">
        <f>IF($B47="","",IF(COUNTIF(CO$16:CO$21,$B47)&gt;0,COUNTA(CO$7:CO$15),0)+IF(COUNTIF(CO$37:CO$42,$B47)&gt;0,COUNTA(CO$27:CO$35),0))</f>
        <v>0</v>
      </c>
      <c r="CP47" s="55">
        <f>IF($B47="","",IF(COUNTIF(CP$16:CP$21,$B47)&gt;0,COUNTA(CP$7:CP$15),0)+IF(COUNTIF(CP$37:CP$42,$B47)&gt;0,COUNTA(CP$27:CP$35),0))</f>
        <v>0</v>
      </c>
      <c r="CQ47" s="55">
        <f>IF($B47="","",IF(COUNTIF(CQ$16:CQ$21,$B47)&gt;0,COUNTA(CQ$7:CQ$15),0)+IF(COUNTIF(CQ$37:CQ$42,$B47)&gt;0,COUNTA(CQ$27:CQ$35),0))</f>
        <v>0</v>
      </c>
      <c r="CR47" s="55">
        <f>IF($B47="","",IF(COUNTIF(CR$16:CR$21,$B47)&gt;0,COUNTA(CR$7:CR$15),0)+IF(COUNTIF(CR$37:CR$42,$B47)&gt;0,COUNTA(CR$27:CR$35),0))</f>
        <v>0</v>
      </c>
      <c r="CS47" s="55">
        <f>IF($B47="","",IF(COUNTIF(CS$16:CS$21,$B47)&gt;0,COUNTA(CS$7:CS$15),0)+IF(COUNTIF(CS$37:CS$42,$B47)&gt;0,COUNTA(CS$27:CS$35),0))</f>
        <v>0</v>
      </c>
      <c r="CT47" s="55">
        <f>IF($B47="","",IF(COUNTIF(CT$16:CT$21,$B47)&gt;0,COUNTA(CT$7:CT$15),0)+IF(COUNTIF(CT$37:CT$42,$B47)&gt;0,COUNTA(CT$27:CT$35),0))</f>
        <v>0</v>
      </c>
      <c r="CU47" s="55">
        <f>IF($B47="","",IF(COUNTIF(CU$16:CU$21,$B47)&gt;0,COUNTA(CU$7:CU$15),0)+IF(COUNTIF(CU$37:CU$42,$B47)&gt;0,COUNTA(CU$27:CU$35),0))</f>
        <v>0</v>
      </c>
      <c r="CV47" s="55">
        <f>IF($B47="","",IF(COUNTIF(CV$16:CV$21,$B47)&gt;0,COUNTA(CV$7:CV$15),0)+IF(COUNTIF(CV$37:CV$42,$B47)&gt;0,COUNTA(CV$27:CV$35),0))</f>
        <v>0</v>
      </c>
      <c r="CW47" s="55">
        <f>IF($B47="","",IF(COUNTIF(CW$16:CW$21,$B47)&gt;0,COUNTA(CW$7:CW$15),0)+IF(COUNTIF(CW$37:CW$42,$B47)&gt;0,COUNTA(CW$27:CW$35),0))</f>
        <v>0</v>
      </c>
      <c r="CX47" s="55">
        <f>IF($B47="","",IF(COUNTIF(CX$16:CX$21,$B47)&gt;0,COUNTA(CX$7:CX$15),0)+IF(COUNTIF(CX$37:CX$42,$B47)&gt;0,COUNTA(CX$27:CX$35),0))</f>
        <v>0</v>
      </c>
      <c r="CY47" s="55">
        <f>IF($B47="","",IF(COUNTIF(CY$16:CY$21,$B47)&gt;0,COUNTA(CY$7:CY$15),0)+IF(COUNTIF(CY$37:CY$42,$B47)&gt;0,COUNTA(CY$27:CY$35),0))</f>
        <v>0</v>
      </c>
      <c r="CZ47" s="55">
        <f>IF($B47="","",IF(COUNTIF(CZ$16:CZ$21,$B47)&gt;0,COUNTA(CZ$7:CZ$15),0)+IF(COUNTIF(CZ$37:CZ$42,$B47)&gt;0,COUNTA(CZ$27:CZ$35),0))</f>
        <v>0</v>
      </c>
      <c r="DA47" s="55">
        <f>IF($B47="","",IF(COUNTIF(DA$16:DA$21,$B47)&gt;0,COUNTA(DA$7:DA$15),0)+IF(COUNTIF(DA$37:DA$42,$B47)&gt;0,COUNTA(DA$27:DA$35),0))</f>
        <v>0</v>
      </c>
      <c r="DB47" s="55">
        <f>IF($B47="","",IF(COUNTIF(DB$16:DB$21,$B47)&gt;0,COUNTA(DB$7:DB$15),0)+IF(COUNTIF(DB$37:DB$42,$B47)&gt;0,COUNTA(DB$27:DB$35),0))</f>
        <v>0</v>
      </c>
      <c r="DC47" s="55">
        <f>IF($B47="","",IF(COUNTIF(DC$16:DC$21,$B47)&gt;0,COUNTA(DC$7:DC$15),0)+IF(COUNTIF(DC$37:DC$42,$B47)&gt;0,COUNTA(DC$27:DC$35),0))</f>
        <v>0</v>
      </c>
      <c r="DD47" s="55">
        <f>IF($B47="","",IF(COUNTIF(DD$16:DD$21,$B47)&gt;0,COUNTA(DD$7:DD$15),0)+IF(COUNTIF(DD$37:DD$42,$B47)&gt;0,COUNTA(DD$27:DD$35),0))</f>
        <v>0</v>
      </c>
      <c r="DE47" s="58">
        <f>IF($B47="","",IF(COUNTIF(DE$16:DE$21,$B47)&gt;0,COUNTA(DE$7:DE$15),0)+IF(COUNTIF(DE$37:DE$42,$B47)&gt;0,COUNTA(DE$27:DE$35),0))</f>
        <v>0</v>
      </c>
    </row>
    <row r="48" spans="2:109" x14ac:dyDescent="0.2">
      <c r="B48" s="84" t="str">
        <f>IFERROR(INDEX(_xlfn._xlws.FILTER(Ressourcer!$B$1:$X$1,_xlfn.BYCOL(Ressourcer!$B$12:$X$15,_xlfn.LAMBDA(_xlpm.c,COUNTIF(_xlpm.c,"&lt;&gt;" )&gt;0))),ROWS($B$2:B5)),"")</f>
        <v>JENR</v>
      </c>
      <c r="C48" s="79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)&gt;0))),_xlfn.LAMBDA(_xlpm.col,SUM(INDEX(Ressourcer!$B$12:$X$15,,_xlpm.col-COLUMN(Ressourcer!$B$12:$X$15)+1)))),ROWS($B$2:B5))/2,"")</f>
        <v>150</v>
      </c>
      <c r="D48" s="106" t="str">
        <f t="shared" si="35"/>
        <v/>
      </c>
      <c r="E48" s="57">
        <f>IF($B48="","",IF(COUNTIF(E$16:E$21,$B48)&gt;0,COUNTA(E$7:E$15),0)+IF(COUNTIF(E$37:E$42,$B48)&gt;0,COUNTA(E$27:E$35),0))</f>
        <v>0</v>
      </c>
      <c r="F48" s="55">
        <f>IF($B48="","",IF(COUNTIF(F$16:F$21,$B48)&gt;0,COUNTA(F$7:F$15),0)+IF(COUNTIF(F$37:F$42,$B48)&gt;0,COUNTA(F$27:F$35),0))</f>
        <v>0</v>
      </c>
      <c r="G48" s="55">
        <f>IF($B48="","",IF(COUNTIF(G$16:G$21,$B48)&gt;0,COUNTA(G$7:G$15),0)+IF(COUNTIF(G$37:G$42,$B48)&gt;0,COUNTA(G$27:G$35),0))</f>
        <v>0</v>
      </c>
      <c r="H48" s="55">
        <f>IF($B48="","",IF(COUNTIF(H$16:H$21,$B48)&gt;0,COUNTA(H$7:H$15),0)+IF(COUNTIF(H$37:H$42,$B48)&gt;0,COUNTA(H$27:H$35),0))</f>
        <v>0</v>
      </c>
      <c r="I48" s="55">
        <f>IF($B48="","",IF(COUNTIF(I$16:I$21,$B48)&gt;0,COUNTA(I$7:I$15),0)+IF(COUNTIF(I$37:I$42,$B48)&gt;0,COUNTA(I$27:I$35),0))</f>
        <v>0</v>
      </c>
      <c r="J48" s="55">
        <f>IF($B48="","",IF(COUNTIF(J$16:J$21,$B48)&gt;0,COUNTA(J$7:J$15),0)+IF(COUNTIF(J$37:J$42,$B48)&gt;0,COUNTA(J$27:J$35),0))</f>
        <v>0</v>
      </c>
      <c r="K48" s="55">
        <f>IF($B48="","",IF(COUNTIF(K$16:K$21,$B48)&gt;0,COUNTA(K$7:K$15),0)+IF(COUNTIF(K$37:K$42,$B48)&gt;0,COUNTA(K$27:K$35),0))</f>
        <v>0</v>
      </c>
      <c r="L48" s="55">
        <f>IF($B48="","",IF(COUNTIF(L$16:L$21,$B48)&gt;0,COUNTA(L$7:L$15),0)+IF(COUNTIF(L$37:L$42,$B48)&gt;0,COUNTA(L$27:L$35),0))</f>
        <v>0</v>
      </c>
      <c r="M48" s="55">
        <f>IF($B48="","",IF(COUNTIF(M$16:M$21,$B48)&gt;0,COUNTA(M$7:M$15),0)+IF(COUNTIF(M$37:M$42,$B48)&gt;0,COUNTA(M$27:M$35),0))</f>
        <v>0</v>
      </c>
      <c r="N48" s="55">
        <f>IF($B48="","",IF(COUNTIF(N$16:N$21,$B48)&gt;0,COUNTA(N$7:N$15),0)+IF(COUNTIF(N$37:N$42,$B48)&gt;0,COUNTA(N$27:N$35),0))</f>
        <v>0</v>
      </c>
      <c r="O48" s="55">
        <f>IF($B48="","",IF(COUNTIF(O$16:O$21,$B48)&gt;0,COUNTA(O$7:O$15),0)+IF(COUNTIF(O$37:O$42,$B48)&gt;0,COUNTA(O$27:O$35),0))</f>
        <v>0</v>
      </c>
      <c r="P48" s="55">
        <f>IF($B48="","",IF(COUNTIF(P$16:P$21,$B48)&gt;0,COUNTA(P$7:P$15),0)+IF(COUNTIF(P$37:P$42,$B48)&gt;0,COUNTA(P$27:P$35),0))</f>
        <v>0</v>
      </c>
      <c r="Q48" s="55">
        <f>IF($B48="","",IF(COUNTIF(Q$16:Q$21,$B48)&gt;0,COUNTA(Q$7:Q$15),0)+IF(COUNTIF(Q$37:Q$42,$B48)&gt;0,COUNTA(Q$27:Q$35),0))</f>
        <v>0</v>
      </c>
      <c r="R48" s="55">
        <f>IF($B48="","",IF(COUNTIF(R$16:R$21,$B48)&gt;0,COUNTA(R$7:R$15),0)+IF(COUNTIF(R$37:R$42,$B48)&gt;0,COUNTA(R$27:R$35),0))</f>
        <v>0</v>
      </c>
      <c r="S48" s="55">
        <f>IF($B48="","",IF(COUNTIF(S$16:S$21,$B48)&gt;0,COUNTA(S$7:S$15),0)+IF(COUNTIF(S$37:S$42,$B48)&gt;0,COUNTA(S$27:S$35),0))</f>
        <v>0</v>
      </c>
      <c r="T48" s="55">
        <f>IF($B48="","",IF(COUNTIF(T$16:T$21,$B48)&gt;0,COUNTA(T$7:T$15),0)+IF(COUNTIF(T$37:T$42,$B48)&gt;0,COUNTA(T$27:T$35),0))</f>
        <v>0</v>
      </c>
      <c r="U48" s="55">
        <f>IF($B48="","",IF(COUNTIF(U$16:U$21,$B48)&gt;0,COUNTA(U$7:U$15),0)+IF(COUNTIF(U$37:U$42,$B48)&gt;0,COUNTA(U$27:U$35),0))</f>
        <v>0</v>
      </c>
      <c r="V48" s="55">
        <f>IF($B48="","",IF(COUNTIF(V$16:V$21,$B48)&gt;0,COUNTA(V$7:V$15),0)+IF(COUNTIF(V$37:V$42,$B48)&gt;0,COUNTA(V$27:V$35),0))</f>
        <v>0</v>
      </c>
      <c r="W48" s="55">
        <f>IF($B48="","",IF(COUNTIF(W$16:W$21,$B48)&gt;0,COUNTA(W$7:W$15),0)+IF(COUNTIF(W$37:W$42,$B48)&gt;0,COUNTA(W$27:W$35),0))</f>
        <v>0</v>
      </c>
      <c r="X48" s="55">
        <f>IF($B48="","",IF(COUNTIF(X$16:X$21,$B48)&gt;0,COUNTA(X$7:X$15),0)+IF(COUNTIF(X$37:X$42,$B48)&gt;0,COUNTA(X$27:X$35),0))</f>
        <v>0</v>
      </c>
      <c r="Y48" s="55">
        <f>IF($B48="","",IF(COUNTIF(Y$16:Y$21,$B48)&gt;0,COUNTA(Y$7:Y$15),0)+IF(COUNTIF(Y$37:Y$42,$B48)&gt;0,COUNTA(Y$27:Y$35),0))</f>
        <v>0</v>
      </c>
      <c r="Z48" s="55">
        <f>IF($B48="","",IF(COUNTIF(Z$16:Z$21,$B48)&gt;0,COUNTA(Z$7:Z$15),0)+IF(COUNTIF(Z$37:Z$42,$B48)&gt;0,COUNTA(Z$27:Z$35),0))</f>
        <v>0</v>
      </c>
      <c r="AA48" s="55">
        <f>IF($B48="","",IF(COUNTIF(AA$16:AA$21,$B48)&gt;0,COUNTA(AA$7:AA$15),0)+IF(COUNTIF(AA$37:AA$42,$B48)&gt;0,COUNTA(AA$27:AA$35),0))</f>
        <v>0</v>
      </c>
      <c r="AB48" s="55">
        <f>IF($B48="","",IF(COUNTIF(AB$16:AB$21,$B48)&gt;0,COUNTA(AB$7:AB$15),0)+IF(COUNTIF(AB$37:AB$42,$B48)&gt;0,COUNTA(AB$27:AB$35),0))</f>
        <v>0</v>
      </c>
      <c r="AC48" s="55">
        <f>IF($B48="","",IF(COUNTIF(AC$16:AC$21,$B48)&gt;0,COUNTA(AC$7:AC$15),0)+IF(COUNTIF(AC$37:AC$42,$B48)&gt;0,COUNTA(AC$27:AC$35),0))</f>
        <v>0</v>
      </c>
      <c r="AD48" s="55">
        <f>IF($B48="","",IF(COUNTIF(AD$16:AD$21,$B48)&gt;0,COUNTA(AD$7:AD$15),0)+IF(COUNTIF(AD$37:AD$42,$B48)&gt;0,COUNTA(AD$27:AD$35),0))</f>
        <v>0</v>
      </c>
      <c r="AE48" s="55">
        <f>IF($B48="","",IF(COUNTIF(AE$16:AE$21,$B48)&gt;0,COUNTA(AE$7:AE$15),0)+IF(COUNTIF(AE$37:AE$42,$B48)&gt;0,COUNTA(AE$27:AE$35),0))</f>
        <v>0</v>
      </c>
      <c r="AF48" s="55">
        <f>IF($B48="","",IF(COUNTIF(AF$16:AF$21,$B48)&gt;0,COUNTA(AF$7:AF$15),0)+IF(COUNTIF(AF$37:AF$42,$B48)&gt;0,COUNTA(AF$27:AF$35),0))</f>
        <v>0</v>
      </c>
      <c r="AG48" s="55">
        <f>IF($B48="","",IF(COUNTIF(AG$16:AG$21,$B48)&gt;0,COUNTA(AG$7:AG$15),0)+IF(COUNTIF(AG$37:AG$42,$B48)&gt;0,COUNTA(AG$27:AG$35),0))</f>
        <v>0</v>
      </c>
      <c r="AH48" s="55">
        <f>IF($B48="","",IF(COUNTIF(AH$16:AH$21,$B48)&gt;0,COUNTA(AH$7:AH$15),0)+IF(COUNTIF(AH$37:AH$42,$B48)&gt;0,COUNTA(AH$27:AH$35),0))</f>
        <v>0</v>
      </c>
      <c r="AI48" s="55">
        <f>IF($B48="","",IF(COUNTIF(AI$16:AI$21,$B48)&gt;0,COUNTA(AI$7:AI$15),0)+IF(COUNTIF(AI$37:AI$42,$B48)&gt;0,COUNTA(AI$27:AI$35),0))</f>
        <v>0</v>
      </c>
      <c r="AJ48" s="55">
        <f>IF($B48="","",IF(COUNTIF(AJ$16:AJ$21,$B48)&gt;0,COUNTA(AJ$7:AJ$15),0)+IF(COUNTIF(AJ$37:AJ$42,$B48)&gt;0,COUNTA(AJ$27:AJ$35),0))</f>
        <v>0</v>
      </c>
      <c r="AK48" s="55">
        <f>IF($B48="","",IF(COUNTIF(AK$16:AK$21,$B48)&gt;0,COUNTA(AK$7:AK$15),0)+IF(COUNTIF(AK$37:AK$42,$B48)&gt;0,COUNTA(AK$27:AK$35),0))</f>
        <v>0</v>
      </c>
      <c r="AL48" s="55">
        <f>IF($B48="","",IF(COUNTIF(AL$16:AL$21,$B48)&gt;0,COUNTA(AL$7:AL$15),0)+IF(COUNTIF(AL$37:AL$42,$B48)&gt;0,COUNTA(AL$27:AL$35),0))</f>
        <v>0</v>
      </c>
      <c r="AM48" s="55">
        <f>IF($B48="","",IF(COUNTIF(AM$16:AM$21,$B48)&gt;0,COUNTA(AM$7:AM$15),0)+IF(COUNTIF(AM$37:AM$42,$B48)&gt;0,COUNTA(AM$27:AM$35),0))</f>
        <v>0</v>
      </c>
      <c r="AN48" s="55">
        <f>IF($B48="","",IF(COUNTIF(AN$16:AN$21,$B48)&gt;0,COUNTA(AN$7:AN$15),0)+IF(COUNTIF(AN$37:AN$42,$B48)&gt;0,COUNTA(AN$27:AN$35),0))</f>
        <v>0</v>
      </c>
      <c r="AO48" s="55">
        <f>IF($B48="","",IF(COUNTIF(AO$16:AO$21,$B48)&gt;0,COUNTA(AO$7:AO$15),0)+IF(COUNTIF(AO$37:AO$42,$B48)&gt;0,COUNTA(AO$27:AO$35),0))</f>
        <v>0</v>
      </c>
      <c r="AP48" s="55">
        <f>IF($B48="","",IF(COUNTIF(AP$16:AP$21,$B48)&gt;0,COUNTA(AP$7:AP$15),0)+IF(COUNTIF(AP$37:AP$42,$B48)&gt;0,COUNTA(AP$27:AP$35),0))</f>
        <v>0</v>
      </c>
      <c r="AQ48" s="55">
        <f>IF($B48="","",IF(COUNTIF(AQ$16:AQ$21,$B48)&gt;0,COUNTA(AQ$7:AQ$15),0)+IF(COUNTIF(AQ$37:AQ$42,$B48)&gt;0,COUNTA(AQ$27:AQ$35),0))</f>
        <v>0</v>
      </c>
      <c r="AR48" s="55">
        <f>IF($B48="","",IF(COUNTIF(AR$16:AR$21,$B48)&gt;0,COUNTA(AR$7:AR$15),0)+IF(COUNTIF(AR$37:AR$42,$B48)&gt;0,COUNTA(AR$27:AR$35),0))</f>
        <v>0</v>
      </c>
      <c r="AS48" s="55">
        <f>IF($B48="","",IF(COUNTIF(AS$16:AS$21,$B48)&gt;0,COUNTA(AS$7:AS$15),0)+IF(COUNTIF(AS$37:AS$42,$B48)&gt;0,COUNTA(AS$27:AS$35),0))</f>
        <v>0</v>
      </c>
      <c r="AT48" s="55">
        <f>IF($B48="","",IF(COUNTIF(AT$16:AT$21,$B48)&gt;0,COUNTA(AT$7:AT$15),0)+IF(COUNTIF(AT$37:AT$42,$B48)&gt;0,COUNTA(AT$27:AT$35),0))</f>
        <v>0</v>
      </c>
      <c r="AU48" s="55">
        <f>IF($B48="","",IF(COUNTIF(AU$16:AU$21,$B48)&gt;0,COUNTA(AU$7:AU$15),0)+IF(COUNTIF(AU$37:AU$42,$B48)&gt;0,COUNTA(AU$27:AU$35),0))</f>
        <v>0</v>
      </c>
      <c r="AV48" s="55">
        <f>IF($B48="","",IF(COUNTIF(AV$16:AV$21,$B48)&gt;0,COUNTA(AV$7:AV$15),0)+IF(COUNTIF(AV$37:AV$42,$B48)&gt;0,COUNTA(AV$27:AV$35),0))</f>
        <v>0</v>
      </c>
      <c r="AW48" s="55">
        <f>IF($B48="","",IF(COUNTIF(AW$16:AW$21,$B48)&gt;0,COUNTA(AW$7:AW$15),0)+IF(COUNTIF(AW$37:AW$42,$B48)&gt;0,COUNTA(AW$27:AW$35),0))</f>
        <v>0</v>
      </c>
      <c r="AX48" s="55">
        <f>IF($B48="","",IF(COUNTIF(AX$16:AX$21,$B48)&gt;0,COUNTA(AX$7:AX$15),0)+IF(COUNTIF(AX$37:AX$42,$B48)&gt;0,COUNTA(AX$27:AX$35),0))</f>
        <v>0</v>
      </c>
      <c r="AY48" s="55">
        <f>IF($B48="","",IF(COUNTIF(AY$16:AY$21,$B48)&gt;0,COUNTA(AY$7:AY$15),0)+IF(COUNTIF(AY$37:AY$42,$B48)&gt;0,COUNTA(AY$27:AY$35),0))</f>
        <v>0</v>
      </c>
      <c r="AZ48" s="55">
        <f>IF($B48="","",IF(COUNTIF(AZ$16:AZ$21,$B48)&gt;0,COUNTA(AZ$7:AZ$15),0)+IF(COUNTIF(AZ$37:AZ$42,$B48)&gt;0,COUNTA(AZ$27:AZ$35),0))</f>
        <v>0</v>
      </c>
      <c r="BA48" s="55">
        <f>IF($B48="","",IF(COUNTIF(BA$16:BA$21,$B48)&gt;0,COUNTA(BA$7:BA$15),0)+IF(COUNTIF(BA$37:BA$42,$B48)&gt;0,COUNTA(BA$27:BA$35),0))</f>
        <v>0</v>
      </c>
      <c r="BB48" s="55">
        <f>IF($B48="","",IF(COUNTIF(BB$16:BB$21,$B48)&gt;0,COUNTA(BB$7:BB$15),0)+IF(COUNTIF(BB$37:BB$42,$B48)&gt;0,COUNTA(BB$27:BB$35),0))</f>
        <v>0</v>
      </c>
      <c r="BC48" s="55">
        <f>IF($B48="","",IF(COUNTIF(BC$16:BC$21,$B48)&gt;0,COUNTA(BC$7:BC$15),0)+IF(COUNTIF(BC$37:BC$42,$B48)&gt;0,COUNTA(BC$27:BC$35),0))</f>
        <v>0</v>
      </c>
      <c r="BD48" s="55">
        <f>IF($B48="","",IF(COUNTIF(BD$16:BD$21,$B48)&gt;0,COUNTA(BD$7:BD$15),0)+IF(COUNTIF(BD$37:BD$42,$B48)&gt;0,COUNTA(BD$27:BD$35),0))</f>
        <v>0</v>
      </c>
      <c r="BE48" s="55">
        <f>IF($B48="","",IF(COUNTIF(BE$16:BE$21,$B48)&gt;0,COUNTA(BE$7:BE$15),0)+IF(COUNTIF(BE$37:BE$42,$B48)&gt;0,COUNTA(BE$27:BE$35),0))</f>
        <v>0</v>
      </c>
      <c r="BF48" s="55">
        <f>IF($B48="","",IF(COUNTIF(BF$16:BF$21,$B48)&gt;0,COUNTA(BF$7:BF$15),0)+IF(COUNTIF(BF$37:BF$42,$B48)&gt;0,COUNTA(BF$27:BF$35),0))</f>
        <v>0</v>
      </c>
      <c r="BG48" s="55">
        <f>IF($B48="","",IF(COUNTIF(BG$16:BG$21,$B48)&gt;0,COUNTA(BG$7:BG$15),0)+IF(COUNTIF(BG$37:BG$42,$B48)&gt;0,COUNTA(BG$27:BG$35),0))</f>
        <v>0</v>
      </c>
      <c r="BH48" s="55">
        <f>IF($B48="","",IF(COUNTIF(BH$16:BH$21,$B48)&gt;0,COUNTA(BH$7:BH$15),0)+IF(COUNTIF(BH$37:BH$42,$B48)&gt;0,COUNTA(BH$27:BH$35),0))</f>
        <v>0</v>
      </c>
      <c r="BI48" s="55">
        <f>IF($B48="","",IF(COUNTIF(BI$16:BI$21,$B48)&gt;0,COUNTA(BI$7:BI$15),0)+IF(COUNTIF(BI$37:BI$42,$B48)&gt;0,COUNTA(BI$27:BI$35),0))</f>
        <v>0</v>
      </c>
      <c r="BJ48" s="55">
        <f>IF($B48="","",IF(COUNTIF(BJ$16:BJ$21,$B48)&gt;0,COUNTA(BJ$7:BJ$15),0)+IF(COUNTIF(BJ$37:BJ$42,$B48)&gt;0,COUNTA(BJ$27:BJ$35),0))</f>
        <v>0</v>
      </c>
      <c r="BK48" s="55">
        <f>IF($B48="","",IF(COUNTIF(BK$16:BK$21,$B48)&gt;0,COUNTA(BK$7:BK$15),0)+IF(COUNTIF(BK$37:BK$42,$B48)&gt;0,COUNTA(BK$27:BK$35),0))</f>
        <v>0</v>
      </c>
      <c r="BL48" s="55">
        <f>IF($B48="","",IF(COUNTIF(BL$16:BL$21,$B48)&gt;0,COUNTA(BL$7:BL$15),0)+IF(COUNTIF(BL$37:BL$42,$B48)&gt;0,COUNTA(BL$27:BL$35),0))</f>
        <v>0</v>
      </c>
      <c r="BM48" s="55">
        <f>IF($B48="","",IF(COUNTIF(BM$16:BM$21,$B48)&gt;0,COUNTA(BM$7:BM$15),0)+IF(COUNTIF(BM$37:BM$42,$B48)&gt;0,COUNTA(BM$27:BM$35),0))</f>
        <v>0</v>
      </c>
      <c r="BN48" s="55">
        <f>IF($B48="","",IF(COUNTIF(BN$16:BN$21,$B48)&gt;0,COUNTA(BN$7:BN$15),0)+IF(COUNTIF(BN$37:BN$42,$B48)&gt;0,COUNTA(BN$27:BN$35),0))</f>
        <v>0</v>
      </c>
      <c r="BO48" s="55">
        <f>IF($B48="","",IF(COUNTIF(BO$16:BO$21,$B48)&gt;0,COUNTA(BO$7:BO$15),0)+IF(COUNTIF(BO$37:BO$42,$B48)&gt;0,COUNTA(BO$27:BO$35),0))</f>
        <v>0</v>
      </c>
      <c r="BP48" s="55">
        <f>IF($B48="","",IF(COUNTIF(BP$16:BP$21,$B48)&gt;0,COUNTA(BP$7:BP$15),0)+IF(COUNTIF(BP$37:BP$42,$B48)&gt;0,COUNTA(BP$27:BP$35),0))</f>
        <v>0</v>
      </c>
      <c r="BQ48" s="55">
        <f>IF($B48="","",IF(COUNTIF(BQ$16:BQ$21,$B48)&gt;0,COUNTA(BQ$7:BQ$15),0)+IF(COUNTIF(BQ$37:BQ$42,$B48)&gt;0,COUNTA(BQ$27:BQ$35),0))</f>
        <v>0</v>
      </c>
      <c r="BR48" s="55">
        <f>IF($B48="","",IF(COUNTIF(BR$16:BR$21,$B48)&gt;0,COUNTA(BR$7:BR$15),0)+IF(COUNTIF(BR$37:BR$42,$B48)&gt;0,COUNTA(BR$27:BR$35),0))</f>
        <v>0</v>
      </c>
      <c r="BS48" s="55">
        <f>IF($B48="","",IF(COUNTIF(BS$16:BS$21,$B48)&gt;0,COUNTA(BS$7:BS$15),0)+IF(COUNTIF(BS$37:BS$42,$B48)&gt;0,COUNTA(BS$27:BS$35),0))</f>
        <v>0</v>
      </c>
      <c r="BT48" s="55">
        <f>IF($B48="","",IF(COUNTIF(BT$16:BT$21,$B48)&gt;0,COUNTA(BT$7:BT$15),0)+IF(COUNTIF(BT$37:BT$42,$B48)&gt;0,COUNTA(BT$27:BT$35),0))</f>
        <v>0</v>
      </c>
      <c r="BU48" s="55">
        <f>IF($B48="","",IF(COUNTIF(BU$16:BU$21,$B48)&gt;0,COUNTA(BU$7:BU$15),0)+IF(COUNTIF(BU$37:BU$42,$B48)&gt;0,COUNTA(BU$27:BU$35),0))</f>
        <v>0</v>
      </c>
      <c r="BV48" s="55">
        <f>IF($B48="","",IF(COUNTIF(BV$16:BV$21,$B48)&gt;0,COUNTA(BV$7:BV$15),0)+IF(COUNTIF(BV$37:BV$42,$B48)&gt;0,COUNTA(BV$27:BV$35),0))</f>
        <v>0</v>
      </c>
      <c r="BW48" s="55">
        <f>IF($B48="","",IF(COUNTIF(BW$16:BW$21,$B48)&gt;0,COUNTA(BW$7:BW$15),0)+IF(COUNTIF(BW$37:BW$42,$B48)&gt;0,COUNTA(BW$27:BW$35),0))</f>
        <v>0</v>
      </c>
      <c r="BX48" s="55">
        <f>IF($B48="","",IF(COUNTIF(BX$16:BX$21,$B48)&gt;0,COUNTA(BX$7:BX$15),0)+IF(COUNTIF(BX$37:BX$42,$B48)&gt;0,COUNTA(BX$27:BX$35),0))</f>
        <v>0</v>
      </c>
      <c r="BY48" s="55">
        <f>IF($B48="","",IF(COUNTIF(BY$16:BY$21,$B48)&gt;0,COUNTA(BY$7:BY$15),0)+IF(COUNTIF(BY$37:BY$42,$B48)&gt;0,COUNTA(BY$27:BY$35),0))</f>
        <v>0</v>
      </c>
      <c r="BZ48" s="55">
        <f>IF($B48="","",IF(COUNTIF(BZ$16:BZ$21,$B48)&gt;0,COUNTA(BZ$7:BZ$15),0)+IF(COUNTIF(BZ$37:BZ$42,$B48)&gt;0,COUNTA(BZ$27:BZ$35),0))</f>
        <v>0</v>
      </c>
      <c r="CA48" s="55">
        <f>IF($B48="","",IF(COUNTIF(CA$16:CA$21,$B48)&gt;0,COUNTA(CA$7:CA$15),0)+IF(COUNTIF(CA$37:CA$42,$B48)&gt;0,COUNTA(CA$27:CA$35),0))</f>
        <v>0</v>
      </c>
      <c r="CB48" s="55">
        <f>IF($B48="","",IF(COUNTIF(CB$16:CB$21,$B48)&gt;0,COUNTA(CB$7:CB$15),0)+IF(COUNTIF(CB$37:CB$42,$B48)&gt;0,COUNTA(CB$27:CB$35),0))</f>
        <v>0</v>
      </c>
      <c r="CC48" s="55">
        <f>IF($B48="","",IF(COUNTIF(CC$16:CC$21,$B48)&gt;0,COUNTA(CC$7:CC$15),0)+IF(COUNTIF(CC$37:CC$42,$B48)&gt;0,COUNTA(CC$27:CC$35),0))</f>
        <v>0</v>
      </c>
      <c r="CD48" s="55">
        <f>IF($B48="","",IF(COUNTIF(CD$16:CD$21,$B48)&gt;0,COUNTA(CD$7:CD$15),0)+IF(COUNTIF(CD$37:CD$42,$B48)&gt;0,COUNTA(CD$27:CD$35),0))</f>
        <v>0</v>
      </c>
      <c r="CE48" s="55">
        <f>IF($B48="","",IF(COUNTIF(CE$16:CE$21,$B48)&gt;0,COUNTA(CE$7:CE$15),0)+IF(COUNTIF(CE$37:CE$42,$B48)&gt;0,COUNTA(CE$27:CE$35),0))</f>
        <v>0</v>
      </c>
      <c r="CF48" s="55">
        <f>IF($B48="","",IF(COUNTIF(CF$16:CF$21,$B48)&gt;0,COUNTA(CF$7:CF$15),0)+IF(COUNTIF(CF$37:CF$42,$B48)&gt;0,COUNTA(CF$27:CF$35),0))</f>
        <v>0</v>
      </c>
      <c r="CG48" s="55">
        <f>IF($B48="","",IF(COUNTIF(CG$16:CG$21,$B48)&gt;0,COUNTA(CG$7:CG$15),0)+IF(COUNTIF(CG$37:CG$42,$B48)&gt;0,COUNTA(CG$27:CG$35),0))</f>
        <v>0</v>
      </c>
      <c r="CH48" s="55">
        <f>IF($B48="","",IF(COUNTIF(CH$16:CH$21,$B48)&gt;0,COUNTA(CH$7:CH$15),0)+IF(COUNTIF(CH$37:CH$42,$B48)&gt;0,COUNTA(CH$27:CH$35),0))</f>
        <v>0</v>
      </c>
      <c r="CI48" s="55">
        <f>IF($B48="","",IF(COUNTIF(CI$16:CI$21,$B48)&gt;0,COUNTA(CI$7:CI$15),0)+IF(COUNTIF(CI$37:CI$42,$B48)&gt;0,COUNTA(CI$27:CI$35),0))</f>
        <v>0</v>
      </c>
      <c r="CJ48" s="55">
        <f>IF($B48="","",IF(COUNTIF(CJ$16:CJ$21,$B48)&gt;0,COUNTA(CJ$7:CJ$15),0)+IF(COUNTIF(CJ$37:CJ$42,$B48)&gt;0,COUNTA(CJ$27:CJ$35),0))</f>
        <v>0</v>
      </c>
      <c r="CK48" s="55">
        <f>IF($B48="","",IF(COUNTIF(CK$16:CK$21,$B48)&gt;0,COUNTA(CK$7:CK$15),0)+IF(COUNTIF(CK$37:CK$42,$B48)&gt;0,COUNTA(CK$27:CK$35),0))</f>
        <v>0</v>
      </c>
      <c r="CL48" s="55">
        <f>IF($B48="","",IF(COUNTIF(CL$16:CL$21,$B48)&gt;0,COUNTA(CL$7:CL$15),0)+IF(COUNTIF(CL$37:CL$42,$B48)&gt;0,COUNTA(CL$27:CL$35),0))</f>
        <v>0</v>
      </c>
      <c r="CM48" s="55">
        <f>IF($B48="","",IF(COUNTIF(CM$16:CM$21,$B48)&gt;0,COUNTA(CM$7:CM$15),0)+IF(COUNTIF(CM$37:CM$42,$B48)&gt;0,COUNTA(CM$27:CM$35),0))</f>
        <v>0</v>
      </c>
      <c r="CN48" s="55">
        <f>IF($B48="","",IF(COUNTIF(CN$16:CN$21,$B48)&gt;0,COUNTA(CN$7:CN$15),0)+IF(COUNTIF(CN$37:CN$42,$B48)&gt;0,COUNTA(CN$27:CN$35),0))</f>
        <v>0</v>
      </c>
      <c r="CO48" s="55">
        <f>IF($B48="","",IF(COUNTIF(CO$16:CO$21,$B48)&gt;0,COUNTA(CO$7:CO$15),0)+IF(COUNTIF(CO$37:CO$42,$B48)&gt;0,COUNTA(CO$27:CO$35),0))</f>
        <v>0</v>
      </c>
      <c r="CP48" s="55">
        <f>IF($B48="","",IF(COUNTIF(CP$16:CP$21,$B48)&gt;0,COUNTA(CP$7:CP$15),0)+IF(COUNTIF(CP$37:CP$42,$B48)&gt;0,COUNTA(CP$27:CP$35),0))</f>
        <v>0</v>
      </c>
      <c r="CQ48" s="55">
        <f>IF($B48="","",IF(COUNTIF(CQ$16:CQ$21,$B48)&gt;0,COUNTA(CQ$7:CQ$15),0)+IF(COUNTIF(CQ$37:CQ$42,$B48)&gt;0,COUNTA(CQ$27:CQ$35),0))</f>
        <v>0</v>
      </c>
      <c r="CR48" s="55">
        <f>IF($B48="","",IF(COUNTIF(CR$16:CR$21,$B48)&gt;0,COUNTA(CR$7:CR$15),0)+IF(COUNTIF(CR$37:CR$42,$B48)&gt;0,COUNTA(CR$27:CR$35),0))</f>
        <v>0</v>
      </c>
      <c r="CS48" s="55">
        <f>IF($B48="","",IF(COUNTIF(CS$16:CS$21,$B48)&gt;0,COUNTA(CS$7:CS$15),0)+IF(COUNTIF(CS$37:CS$42,$B48)&gt;0,COUNTA(CS$27:CS$35),0))</f>
        <v>0</v>
      </c>
      <c r="CT48" s="55">
        <f>IF($B48="","",IF(COUNTIF(CT$16:CT$21,$B48)&gt;0,COUNTA(CT$7:CT$15),0)+IF(COUNTIF(CT$37:CT$42,$B48)&gt;0,COUNTA(CT$27:CT$35),0))</f>
        <v>0</v>
      </c>
      <c r="CU48" s="55">
        <f>IF($B48="","",IF(COUNTIF(CU$16:CU$21,$B48)&gt;0,COUNTA(CU$7:CU$15),0)+IF(COUNTIF(CU$37:CU$42,$B48)&gt;0,COUNTA(CU$27:CU$35),0))</f>
        <v>0</v>
      </c>
      <c r="CV48" s="55">
        <f>IF($B48="","",IF(COUNTIF(CV$16:CV$21,$B48)&gt;0,COUNTA(CV$7:CV$15),0)+IF(COUNTIF(CV$37:CV$42,$B48)&gt;0,COUNTA(CV$27:CV$35),0))</f>
        <v>0</v>
      </c>
      <c r="CW48" s="55">
        <f>IF($B48="","",IF(COUNTIF(CW$16:CW$21,$B48)&gt;0,COUNTA(CW$7:CW$15),0)+IF(COUNTIF(CW$37:CW$42,$B48)&gt;0,COUNTA(CW$27:CW$35),0))</f>
        <v>0</v>
      </c>
      <c r="CX48" s="55">
        <f>IF($B48="","",IF(COUNTIF(CX$16:CX$21,$B48)&gt;0,COUNTA(CX$7:CX$15),0)+IF(COUNTIF(CX$37:CX$42,$B48)&gt;0,COUNTA(CX$27:CX$35),0))</f>
        <v>0</v>
      </c>
      <c r="CY48" s="55">
        <f>IF($B48="","",IF(COUNTIF(CY$16:CY$21,$B48)&gt;0,COUNTA(CY$7:CY$15),0)+IF(COUNTIF(CY$37:CY$42,$B48)&gt;0,COUNTA(CY$27:CY$35),0))</f>
        <v>0</v>
      </c>
      <c r="CZ48" s="55">
        <f>IF($B48="","",IF(COUNTIF(CZ$16:CZ$21,$B48)&gt;0,COUNTA(CZ$7:CZ$15),0)+IF(COUNTIF(CZ$37:CZ$42,$B48)&gt;0,COUNTA(CZ$27:CZ$35),0))</f>
        <v>0</v>
      </c>
      <c r="DA48" s="55">
        <f>IF($B48="","",IF(COUNTIF(DA$16:DA$21,$B48)&gt;0,COUNTA(DA$7:DA$15),0)+IF(COUNTIF(DA$37:DA$42,$B48)&gt;0,COUNTA(DA$27:DA$35),0))</f>
        <v>0</v>
      </c>
      <c r="DB48" s="55">
        <f>IF($B48="","",IF(COUNTIF(DB$16:DB$21,$B48)&gt;0,COUNTA(DB$7:DB$15),0)+IF(COUNTIF(DB$37:DB$42,$B48)&gt;0,COUNTA(DB$27:DB$35),0))</f>
        <v>0</v>
      </c>
      <c r="DC48" s="55">
        <f>IF($B48="","",IF(COUNTIF(DC$16:DC$21,$B48)&gt;0,COUNTA(DC$7:DC$15),0)+IF(COUNTIF(DC$37:DC$42,$B48)&gt;0,COUNTA(DC$27:DC$35),0))</f>
        <v>0</v>
      </c>
      <c r="DD48" s="55">
        <f>IF($B48="","",IF(COUNTIF(DD$16:DD$21,$B48)&gt;0,COUNTA(DD$7:DD$15),0)+IF(COUNTIF(DD$37:DD$42,$B48)&gt;0,COUNTA(DD$27:DD$35),0))</f>
        <v>0</v>
      </c>
      <c r="DE48" s="58">
        <f>IF($B48="","",IF(COUNTIF(DE$16:DE$21,$B48)&gt;0,COUNTA(DE$7:DE$15),0)+IF(COUNTIF(DE$37:DE$42,$B48)&gt;0,COUNTA(DE$27:DE$35),0))</f>
        <v>0</v>
      </c>
    </row>
    <row r="49" spans="2:109" x14ac:dyDescent="0.2">
      <c r="B49" s="84" t="str">
        <f>IFERROR(INDEX(_xlfn._xlws.FILTER(Ressourcer!$B$1:$X$1,_xlfn.BYCOL(Ressourcer!$B$12:$X$15,_xlfn.LAMBDA(_xlpm.c,COUNTIF(_xlpm.c,"&lt;&gt;" )&gt;0))),ROWS($B$2:B6)),"")</f>
        <v>MOKJ</v>
      </c>
      <c r="C49" s="79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)&gt;0))),_xlfn.LAMBDA(_xlpm.col,SUM(INDEX(Ressourcer!$B$12:$X$15,,_xlpm.col-COLUMN(Ressourcer!$B$12:$X$15)+1)))),ROWS($B$2:B6))/2,"")</f>
        <v>87.5</v>
      </c>
      <c r="D49" s="106" t="str">
        <f t="shared" si="35"/>
        <v/>
      </c>
      <c r="E49" s="57">
        <f>IF($B49="","",IF(COUNTIF(E$16:E$21,$B49)&gt;0,COUNTA(E$7:E$15),0)+IF(COUNTIF(E$37:E$42,$B49)&gt;0,COUNTA(E$27:E$35),0))</f>
        <v>0</v>
      </c>
      <c r="F49" s="55">
        <f>IF($B49="","",IF(COUNTIF(F$16:F$21,$B49)&gt;0,COUNTA(F$7:F$15),0)+IF(COUNTIF(F$37:F$42,$B49)&gt;0,COUNTA(F$27:F$35),0))</f>
        <v>0</v>
      </c>
      <c r="G49" s="55">
        <f>IF($B49="","",IF(COUNTIF(G$16:G$21,$B49)&gt;0,COUNTA(G$7:G$15),0)+IF(COUNTIF(G$37:G$42,$B49)&gt;0,COUNTA(G$27:G$35),0))</f>
        <v>0</v>
      </c>
      <c r="H49" s="55">
        <f>IF($B49="","",IF(COUNTIF(H$16:H$21,$B49)&gt;0,COUNTA(H$7:H$15),0)+IF(COUNTIF(H$37:H$42,$B49)&gt;0,COUNTA(H$27:H$35),0))</f>
        <v>0</v>
      </c>
      <c r="I49" s="55">
        <f>IF($B49="","",IF(COUNTIF(I$16:I$21,$B49)&gt;0,COUNTA(I$7:I$15),0)+IF(COUNTIF(I$37:I$42,$B49)&gt;0,COUNTA(I$27:I$35),0))</f>
        <v>0</v>
      </c>
      <c r="J49" s="55">
        <f>IF($B49="","",IF(COUNTIF(J$16:J$21,$B49)&gt;0,COUNTA(J$7:J$15),0)+IF(COUNTIF(J$37:J$42,$B49)&gt;0,COUNTA(J$27:J$35),0))</f>
        <v>0</v>
      </c>
      <c r="K49" s="55">
        <f>IF($B49="","",IF(COUNTIF(K$16:K$21,$B49)&gt;0,COUNTA(K$7:K$15),0)+IF(COUNTIF(K$37:K$42,$B49)&gt;0,COUNTA(K$27:K$35),0))</f>
        <v>0</v>
      </c>
      <c r="L49" s="55">
        <f>IF($B49="","",IF(COUNTIF(L$16:L$21,$B49)&gt;0,COUNTA(L$7:L$15),0)+IF(COUNTIF(L$37:L$42,$B49)&gt;0,COUNTA(L$27:L$35),0))</f>
        <v>0</v>
      </c>
      <c r="M49" s="55">
        <f>IF($B49="","",IF(COUNTIF(M$16:M$21,$B49)&gt;0,COUNTA(M$7:M$15),0)+IF(COUNTIF(M$37:M$42,$B49)&gt;0,COUNTA(M$27:M$35),0))</f>
        <v>0</v>
      </c>
      <c r="N49" s="55">
        <f>IF($B49="","",IF(COUNTIF(N$16:N$21,$B49)&gt;0,COUNTA(N$7:N$15),0)+IF(COUNTIF(N$37:N$42,$B49)&gt;0,COUNTA(N$27:N$35),0))</f>
        <v>0</v>
      </c>
      <c r="O49" s="55">
        <f>IF($B49="","",IF(COUNTIF(O$16:O$21,$B49)&gt;0,COUNTA(O$7:O$15),0)+IF(COUNTIF(O$37:O$42,$B49)&gt;0,COUNTA(O$27:O$35),0))</f>
        <v>0</v>
      </c>
      <c r="P49" s="55">
        <f>IF($B49="","",IF(COUNTIF(P$16:P$21,$B49)&gt;0,COUNTA(P$7:P$15),0)+IF(COUNTIF(P$37:P$42,$B49)&gt;0,COUNTA(P$27:P$35),0))</f>
        <v>0</v>
      </c>
      <c r="Q49" s="55">
        <f>IF($B49="","",IF(COUNTIF(Q$16:Q$21,$B49)&gt;0,COUNTA(Q$7:Q$15),0)+IF(COUNTIF(Q$37:Q$42,$B49)&gt;0,COUNTA(Q$27:Q$35),0))</f>
        <v>0</v>
      </c>
      <c r="R49" s="55">
        <f>IF($B49="","",IF(COUNTIF(R$16:R$21,$B49)&gt;0,COUNTA(R$7:R$15),0)+IF(COUNTIF(R$37:R$42,$B49)&gt;0,COUNTA(R$27:R$35),0))</f>
        <v>0</v>
      </c>
      <c r="S49" s="55">
        <f>IF($B49="","",IF(COUNTIF(S$16:S$21,$B49)&gt;0,COUNTA(S$7:S$15),0)+IF(COUNTIF(S$37:S$42,$B49)&gt;0,COUNTA(S$27:S$35),0))</f>
        <v>0</v>
      </c>
      <c r="T49" s="55">
        <f>IF($B49="","",IF(COUNTIF(T$16:T$21,$B49)&gt;0,COUNTA(T$7:T$15),0)+IF(COUNTIF(T$37:T$42,$B49)&gt;0,COUNTA(T$27:T$35),0))</f>
        <v>0</v>
      </c>
      <c r="U49" s="55">
        <f>IF($B49="","",IF(COUNTIF(U$16:U$21,$B49)&gt;0,COUNTA(U$7:U$15),0)+IF(COUNTIF(U$37:U$42,$B49)&gt;0,COUNTA(U$27:U$35),0))</f>
        <v>0</v>
      </c>
      <c r="V49" s="55">
        <f>IF($B49="","",IF(COUNTIF(V$16:V$21,$B49)&gt;0,COUNTA(V$7:V$15),0)+IF(COUNTIF(V$37:V$42,$B49)&gt;0,COUNTA(V$27:V$35),0))</f>
        <v>0</v>
      </c>
      <c r="W49" s="55">
        <f>IF($B49="","",IF(COUNTIF(W$16:W$21,$B49)&gt;0,COUNTA(W$7:W$15),0)+IF(COUNTIF(W$37:W$42,$B49)&gt;0,COUNTA(W$27:W$35),0))</f>
        <v>0</v>
      </c>
      <c r="X49" s="55">
        <f>IF($B49="","",IF(COUNTIF(X$16:X$21,$B49)&gt;0,COUNTA(X$7:X$15),0)+IF(COUNTIF(X$37:X$42,$B49)&gt;0,COUNTA(X$27:X$35),0))</f>
        <v>0</v>
      </c>
      <c r="Y49" s="55">
        <f>IF($B49="","",IF(COUNTIF(Y$16:Y$21,$B49)&gt;0,COUNTA(Y$7:Y$15),0)+IF(COUNTIF(Y$37:Y$42,$B49)&gt;0,COUNTA(Y$27:Y$35),0))</f>
        <v>0</v>
      </c>
      <c r="Z49" s="55">
        <f>IF($B49="","",IF(COUNTIF(Z$16:Z$21,$B49)&gt;0,COUNTA(Z$7:Z$15),0)+IF(COUNTIF(Z$37:Z$42,$B49)&gt;0,COUNTA(Z$27:Z$35),0))</f>
        <v>0</v>
      </c>
      <c r="AA49" s="55">
        <f>IF($B49="","",IF(COUNTIF(AA$16:AA$21,$B49)&gt;0,COUNTA(AA$7:AA$15),0)+IF(COUNTIF(AA$37:AA$42,$B49)&gt;0,COUNTA(AA$27:AA$35),0))</f>
        <v>0</v>
      </c>
      <c r="AB49" s="55">
        <f>IF($B49="","",IF(COUNTIF(AB$16:AB$21,$B49)&gt;0,COUNTA(AB$7:AB$15),0)+IF(COUNTIF(AB$37:AB$42,$B49)&gt;0,COUNTA(AB$27:AB$35),0))</f>
        <v>0</v>
      </c>
      <c r="AC49" s="55">
        <f>IF($B49="","",IF(COUNTIF(AC$16:AC$21,$B49)&gt;0,COUNTA(AC$7:AC$15),0)+IF(COUNTIF(AC$37:AC$42,$B49)&gt;0,COUNTA(AC$27:AC$35),0))</f>
        <v>0</v>
      </c>
      <c r="AD49" s="55">
        <f>IF($B49="","",IF(COUNTIF(AD$16:AD$21,$B49)&gt;0,COUNTA(AD$7:AD$15),0)+IF(COUNTIF(AD$37:AD$42,$B49)&gt;0,COUNTA(AD$27:AD$35),0))</f>
        <v>0</v>
      </c>
      <c r="AE49" s="55">
        <f>IF($B49="","",IF(COUNTIF(AE$16:AE$21,$B49)&gt;0,COUNTA(AE$7:AE$15),0)+IF(COUNTIF(AE$37:AE$42,$B49)&gt;0,COUNTA(AE$27:AE$35),0))</f>
        <v>0</v>
      </c>
      <c r="AF49" s="55">
        <f>IF($B49="","",IF(COUNTIF(AF$16:AF$21,$B49)&gt;0,COUNTA(AF$7:AF$15),0)+IF(COUNTIF(AF$37:AF$42,$B49)&gt;0,COUNTA(AF$27:AF$35),0))</f>
        <v>0</v>
      </c>
      <c r="AG49" s="55">
        <f>IF($B49="","",IF(COUNTIF(AG$16:AG$21,$B49)&gt;0,COUNTA(AG$7:AG$15),0)+IF(COUNTIF(AG$37:AG$42,$B49)&gt;0,COUNTA(AG$27:AG$35),0))</f>
        <v>0</v>
      </c>
      <c r="AH49" s="55">
        <f>IF($B49="","",IF(COUNTIF(AH$16:AH$21,$B49)&gt;0,COUNTA(AH$7:AH$15),0)+IF(COUNTIF(AH$37:AH$42,$B49)&gt;0,COUNTA(AH$27:AH$35),0))</f>
        <v>0</v>
      </c>
      <c r="AI49" s="55">
        <f>IF($B49="","",IF(COUNTIF(AI$16:AI$21,$B49)&gt;0,COUNTA(AI$7:AI$15),0)+IF(COUNTIF(AI$37:AI$42,$B49)&gt;0,COUNTA(AI$27:AI$35),0))</f>
        <v>0</v>
      </c>
      <c r="AJ49" s="55">
        <f>IF($B49="","",IF(COUNTIF(AJ$16:AJ$21,$B49)&gt;0,COUNTA(AJ$7:AJ$15),0)+IF(COUNTIF(AJ$37:AJ$42,$B49)&gt;0,COUNTA(AJ$27:AJ$35),0))</f>
        <v>0</v>
      </c>
      <c r="AK49" s="55">
        <f>IF($B49="","",IF(COUNTIF(AK$16:AK$21,$B49)&gt;0,COUNTA(AK$7:AK$15),0)+IF(COUNTIF(AK$37:AK$42,$B49)&gt;0,COUNTA(AK$27:AK$35),0))</f>
        <v>0</v>
      </c>
      <c r="AL49" s="55">
        <f>IF($B49="","",IF(COUNTIF(AL$16:AL$21,$B49)&gt;0,COUNTA(AL$7:AL$15),0)+IF(COUNTIF(AL$37:AL$42,$B49)&gt;0,COUNTA(AL$27:AL$35),0))</f>
        <v>0</v>
      </c>
      <c r="AM49" s="55">
        <f>IF($B49="","",IF(COUNTIF(AM$16:AM$21,$B49)&gt;0,COUNTA(AM$7:AM$15),0)+IF(COUNTIF(AM$37:AM$42,$B49)&gt;0,COUNTA(AM$27:AM$35),0))</f>
        <v>0</v>
      </c>
      <c r="AN49" s="55">
        <f>IF($B49="","",IF(COUNTIF(AN$16:AN$21,$B49)&gt;0,COUNTA(AN$7:AN$15),0)+IF(COUNTIF(AN$37:AN$42,$B49)&gt;0,COUNTA(AN$27:AN$35),0))</f>
        <v>0</v>
      </c>
      <c r="AO49" s="55">
        <f>IF($B49="","",IF(COUNTIF(AO$16:AO$21,$B49)&gt;0,COUNTA(AO$7:AO$15),0)+IF(COUNTIF(AO$37:AO$42,$B49)&gt;0,COUNTA(AO$27:AO$35),0))</f>
        <v>0</v>
      </c>
      <c r="AP49" s="55">
        <f>IF($B49="","",IF(COUNTIF(AP$16:AP$21,$B49)&gt;0,COUNTA(AP$7:AP$15),0)+IF(COUNTIF(AP$37:AP$42,$B49)&gt;0,COUNTA(AP$27:AP$35),0))</f>
        <v>0</v>
      </c>
      <c r="AQ49" s="55">
        <f>IF($B49="","",IF(COUNTIF(AQ$16:AQ$21,$B49)&gt;0,COUNTA(AQ$7:AQ$15),0)+IF(COUNTIF(AQ$37:AQ$42,$B49)&gt;0,COUNTA(AQ$27:AQ$35),0))</f>
        <v>0</v>
      </c>
      <c r="AR49" s="55">
        <f>IF($B49="","",IF(COUNTIF(AR$16:AR$21,$B49)&gt;0,COUNTA(AR$7:AR$15),0)+IF(COUNTIF(AR$37:AR$42,$B49)&gt;0,COUNTA(AR$27:AR$35),0))</f>
        <v>0</v>
      </c>
      <c r="AS49" s="55">
        <f>IF($B49="","",IF(COUNTIF(AS$16:AS$21,$B49)&gt;0,COUNTA(AS$7:AS$15),0)+IF(COUNTIF(AS$37:AS$42,$B49)&gt;0,COUNTA(AS$27:AS$35),0))</f>
        <v>0</v>
      </c>
      <c r="AT49" s="55">
        <f>IF($B49="","",IF(COUNTIF(AT$16:AT$21,$B49)&gt;0,COUNTA(AT$7:AT$15),0)+IF(COUNTIF(AT$37:AT$42,$B49)&gt;0,COUNTA(AT$27:AT$35),0))</f>
        <v>0</v>
      </c>
      <c r="AU49" s="55">
        <f>IF($B49="","",IF(COUNTIF(AU$16:AU$21,$B49)&gt;0,COUNTA(AU$7:AU$15),0)+IF(COUNTIF(AU$37:AU$42,$B49)&gt;0,COUNTA(AU$27:AU$35),0))</f>
        <v>0</v>
      </c>
      <c r="AV49" s="55">
        <f>IF($B49="","",IF(COUNTIF(AV$16:AV$21,$B49)&gt;0,COUNTA(AV$7:AV$15),0)+IF(COUNTIF(AV$37:AV$42,$B49)&gt;0,COUNTA(AV$27:AV$35),0))</f>
        <v>0</v>
      </c>
      <c r="AW49" s="55">
        <f>IF($B49="","",IF(COUNTIF(AW$16:AW$21,$B49)&gt;0,COUNTA(AW$7:AW$15),0)+IF(COUNTIF(AW$37:AW$42,$B49)&gt;0,COUNTA(AW$27:AW$35),0))</f>
        <v>0</v>
      </c>
      <c r="AX49" s="55">
        <f>IF($B49="","",IF(COUNTIF(AX$16:AX$21,$B49)&gt;0,COUNTA(AX$7:AX$15),0)+IF(COUNTIF(AX$37:AX$42,$B49)&gt;0,COUNTA(AX$27:AX$35),0))</f>
        <v>0</v>
      </c>
      <c r="AY49" s="55">
        <f>IF($B49="","",IF(COUNTIF(AY$16:AY$21,$B49)&gt;0,COUNTA(AY$7:AY$15),0)+IF(COUNTIF(AY$37:AY$42,$B49)&gt;0,COUNTA(AY$27:AY$35),0))</f>
        <v>0</v>
      </c>
      <c r="AZ49" s="55">
        <f>IF($B49="","",IF(COUNTIF(AZ$16:AZ$21,$B49)&gt;0,COUNTA(AZ$7:AZ$15),0)+IF(COUNTIF(AZ$37:AZ$42,$B49)&gt;0,COUNTA(AZ$27:AZ$35),0))</f>
        <v>0</v>
      </c>
      <c r="BA49" s="55">
        <f>IF($B49="","",IF(COUNTIF(BA$16:BA$21,$B49)&gt;0,COUNTA(BA$7:BA$15),0)+IF(COUNTIF(BA$37:BA$42,$B49)&gt;0,COUNTA(BA$27:BA$35),0))</f>
        <v>0</v>
      </c>
      <c r="BB49" s="55">
        <f>IF($B49="","",IF(COUNTIF(BB$16:BB$21,$B49)&gt;0,COUNTA(BB$7:BB$15),0)+IF(COUNTIF(BB$37:BB$42,$B49)&gt;0,COUNTA(BB$27:BB$35),0))</f>
        <v>0</v>
      </c>
      <c r="BC49" s="55">
        <f>IF($B49="","",IF(COUNTIF(BC$16:BC$21,$B49)&gt;0,COUNTA(BC$7:BC$15),0)+IF(COUNTIF(BC$37:BC$42,$B49)&gt;0,COUNTA(BC$27:BC$35),0))</f>
        <v>0</v>
      </c>
      <c r="BD49" s="55">
        <f>IF($B49="","",IF(COUNTIF(BD$16:BD$21,$B49)&gt;0,COUNTA(BD$7:BD$15),0)+IF(COUNTIF(BD$37:BD$42,$B49)&gt;0,COUNTA(BD$27:BD$35),0))</f>
        <v>0</v>
      </c>
      <c r="BE49" s="55">
        <f>IF($B49="","",IF(COUNTIF(BE$16:BE$21,$B49)&gt;0,COUNTA(BE$7:BE$15),0)+IF(COUNTIF(BE$37:BE$42,$B49)&gt;0,COUNTA(BE$27:BE$35),0))</f>
        <v>0</v>
      </c>
      <c r="BF49" s="55">
        <f>IF($B49="","",IF(COUNTIF(BF$16:BF$21,$B49)&gt;0,COUNTA(BF$7:BF$15),0)+IF(COUNTIF(BF$37:BF$42,$B49)&gt;0,COUNTA(BF$27:BF$35),0))</f>
        <v>0</v>
      </c>
      <c r="BG49" s="55">
        <f>IF($B49="","",IF(COUNTIF(BG$16:BG$21,$B49)&gt;0,COUNTA(BG$7:BG$15),0)+IF(COUNTIF(BG$37:BG$42,$B49)&gt;0,COUNTA(BG$27:BG$35),0))</f>
        <v>0</v>
      </c>
      <c r="BH49" s="55">
        <f>IF($B49="","",IF(COUNTIF(BH$16:BH$21,$B49)&gt;0,COUNTA(BH$7:BH$15),0)+IF(COUNTIF(BH$37:BH$42,$B49)&gt;0,COUNTA(BH$27:BH$35),0))</f>
        <v>0</v>
      </c>
      <c r="BI49" s="55">
        <f>IF($B49="","",IF(COUNTIF(BI$16:BI$21,$B49)&gt;0,COUNTA(BI$7:BI$15),0)+IF(COUNTIF(BI$37:BI$42,$B49)&gt;0,COUNTA(BI$27:BI$35),0))</f>
        <v>0</v>
      </c>
      <c r="BJ49" s="55">
        <f>IF($B49="","",IF(COUNTIF(BJ$16:BJ$21,$B49)&gt;0,COUNTA(BJ$7:BJ$15),0)+IF(COUNTIF(BJ$37:BJ$42,$B49)&gt;0,COUNTA(BJ$27:BJ$35),0))</f>
        <v>0</v>
      </c>
      <c r="BK49" s="55">
        <f>IF($B49="","",IF(COUNTIF(BK$16:BK$21,$B49)&gt;0,COUNTA(BK$7:BK$15),0)+IF(COUNTIF(BK$37:BK$42,$B49)&gt;0,COUNTA(BK$27:BK$35),0))</f>
        <v>0</v>
      </c>
      <c r="BL49" s="55">
        <f>IF($B49="","",IF(COUNTIF(BL$16:BL$21,$B49)&gt;0,COUNTA(BL$7:BL$15),0)+IF(COUNTIF(BL$37:BL$42,$B49)&gt;0,COUNTA(BL$27:BL$35),0))</f>
        <v>0</v>
      </c>
      <c r="BM49" s="55">
        <f>IF($B49="","",IF(COUNTIF(BM$16:BM$21,$B49)&gt;0,COUNTA(BM$7:BM$15),0)+IF(COUNTIF(BM$37:BM$42,$B49)&gt;0,COUNTA(BM$27:BM$35),0))</f>
        <v>0</v>
      </c>
      <c r="BN49" s="55">
        <f>IF($B49="","",IF(COUNTIF(BN$16:BN$21,$B49)&gt;0,COUNTA(BN$7:BN$15),0)+IF(COUNTIF(BN$37:BN$42,$B49)&gt;0,COUNTA(BN$27:BN$35),0))</f>
        <v>0</v>
      </c>
      <c r="BO49" s="55">
        <f>IF($B49="","",IF(COUNTIF(BO$16:BO$21,$B49)&gt;0,COUNTA(BO$7:BO$15),0)+IF(COUNTIF(BO$37:BO$42,$B49)&gt;0,COUNTA(BO$27:BO$35),0))</f>
        <v>0</v>
      </c>
      <c r="BP49" s="55">
        <f>IF($B49="","",IF(COUNTIF(BP$16:BP$21,$B49)&gt;0,COUNTA(BP$7:BP$15),0)+IF(COUNTIF(BP$37:BP$42,$B49)&gt;0,COUNTA(BP$27:BP$35),0))</f>
        <v>0</v>
      </c>
      <c r="BQ49" s="55">
        <f>IF($B49="","",IF(COUNTIF(BQ$16:BQ$21,$B49)&gt;0,COUNTA(BQ$7:BQ$15),0)+IF(COUNTIF(BQ$37:BQ$42,$B49)&gt;0,COUNTA(BQ$27:BQ$35),0))</f>
        <v>0</v>
      </c>
      <c r="BR49" s="55">
        <f>IF($B49="","",IF(COUNTIF(BR$16:BR$21,$B49)&gt;0,COUNTA(BR$7:BR$15),0)+IF(COUNTIF(BR$37:BR$42,$B49)&gt;0,COUNTA(BR$27:BR$35),0))</f>
        <v>0</v>
      </c>
      <c r="BS49" s="55">
        <f>IF($B49="","",IF(COUNTIF(BS$16:BS$21,$B49)&gt;0,COUNTA(BS$7:BS$15),0)+IF(COUNTIF(BS$37:BS$42,$B49)&gt;0,COUNTA(BS$27:BS$35),0))</f>
        <v>0</v>
      </c>
      <c r="BT49" s="55">
        <f>IF($B49="","",IF(COUNTIF(BT$16:BT$21,$B49)&gt;0,COUNTA(BT$7:BT$15),0)+IF(COUNTIF(BT$37:BT$42,$B49)&gt;0,COUNTA(BT$27:BT$35),0))</f>
        <v>0</v>
      </c>
      <c r="BU49" s="55">
        <f>IF($B49="","",IF(COUNTIF(BU$16:BU$21,$B49)&gt;0,COUNTA(BU$7:BU$15),0)+IF(COUNTIF(BU$37:BU$42,$B49)&gt;0,COUNTA(BU$27:BU$35),0))</f>
        <v>0</v>
      </c>
      <c r="BV49" s="55">
        <f>IF($B49="","",IF(COUNTIF(BV$16:BV$21,$B49)&gt;0,COUNTA(BV$7:BV$15),0)+IF(COUNTIF(BV$37:BV$42,$B49)&gt;0,COUNTA(BV$27:BV$35),0))</f>
        <v>0</v>
      </c>
      <c r="BW49" s="55">
        <f>IF($B49="","",IF(COUNTIF(BW$16:BW$21,$B49)&gt;0,COUNTA(BW$7:BW$15),0)+IF(COUNTIF(BW$37:BW$42,$B49)&gt;0,COUNTA(BW$27:BW$35),0))</f>
        <v>0</v>
      </c>
      <c r="BX49" s="55">
        <f>IF($B49="","",IF(COUNTIF(BX$16:BX$21,$B49)&gt;0,COUNTA(BX$7:BX$15),0)+IF(COUNTIF(BX$37:BX$42,$B49)&gt;0,COUNTA(BX$27:BX$35),0))</f>
        <v>0</v>
      </c>
      <c r="BY49" s="55">
        <f>IF($B49="","",IF(COUNTIF(BY$16:BY$21,$B49)&gt;0,COUNTA(BY$7:BY$15),0)+IF(COUNTIF(BY$37:BY$42,$B49)&gt;0,COUNTA(BY$27:BY$35),0))</f>
        <v>0</v>
      </c>
      <c r="BZ49" s="55">
        <f>IF($B49="","",IF(COUNTIF(BZ$16:BZ$21,$B49)&gt;0,COUNTA(BZ$7:BZ$15),0)+IF(COUNTIF(BZ$37:BZ$42,$B49)&gt;0,COUNTA(BZ$27:BZ$35),0))</f>
        <v>0</v>
      </c>
      <c r="CA49" s="55">
        <f>IF($B49="","",IF(COUNTIF(CA$16:CA$21,$B49)&gt;0,COUNTA(CA$7:CA$15),0)+IF(COUNTIF(CA$37:CA$42,$B49)&gt;0,COUNTA(CA$27:CA$35),0))</f>
        <v>0</v>
      </c>
      <c r="CB49" s="55">
        <f>IF($B49="","",IF(COUNTIF(CB$16:CB$21,$B49)&gt;0,COUNTA(CB$7:CB$15),0)+IF(COUNTIF(CB$37:CB$42,$B49)&gt;0,COUNTA(CB$27:CB$35),0))</f>
        <v>0</v>
      </c>
      <c r="CC49" s="55">
        <f>IF($B49="","",IF(COUNTIF(CC$16:CC$21,$B49)&gt;0,COUNTA(CC$7:CC$15),0)+IF(COUNTIF(CC$37:CC$42,$B49)&gt;0,COUNTA(CC$27:CC$35),0))</f>
        <v>0</v>
      </c>
      <c r="CD49" s="55">
        <f>IF($B49="","",IF(COUNTIF(CD$16:CD$21,$B49)&gt;0,COUNTA(CD$7:CD$15),0)+IF(COUNTIF(CD$37:CD$42,$B49)&gt;0,COUNTA(CD$27:CD$35),0))</f>
        <v>0</v>
      </c>
      <c r="CE49" s="55">
        <f>IF($B49="","",IF(COUNTIF(CE$16:CE$21,$B49)&gt;0,COUNTA(CE$7:CE$15),0)+IF(COUNTIF(CE$37:CE$42,$B49)&gt;0,COUNTA(CE$27:CE$35),0))</f>
        <v>0</v>
      </c>
      <c r="CF49" s="55">
        <f>IF($B49="","",IF(COUNTIF(CF$16:CF$21,$B49)&gt;0,COUNTA(CF$7:CF$15),0)+IF(COUNTIF(CF$37:CF$42,$B49)&gt;0,COUNTA(CF$27:CF$35),0))</f>
        <v>0</v>
      </c>
      <c r="CG49" s="55">
        <f>IF($B49="","",IF(COUNTIF(CG$16:CG$21,$B49)&gt;0,COUNTA(CG$7:CG$15),0)+IF(COUNTIF(CG$37:CG$42,$B49)&gt;0,COUNTA(CG$27:CG$35),0))</f>
        <v>0</v>
      </c>
      <c r="CH49" s="55">
        <f>IF($B49="","",IF(COUNTIF(CH$16:CH$21,$B49)&gt;0,COUNTA(CH$7:CH$15),0)+IF(COUNTIF(CH$37:CH$42,$B49)&gt;0,COUNTA(CH$27:CH$35),0))</f>
        <v>0</v>
      </c>
      <c r="CI49" s="55">
        <f>IF($B49="","",IF(COUNTIF(CI$16:CI$21,$B49)&gt;0,COUNTA(CI$7:CI$15),0)+IF(COUNTIF(CI$37:CI$42,$B49)&gt;0,COUNTA(CI$27:CI$35),0))</f>
        <v>0</v>
      </c>
      <c r="CJ49" s="55">
        <f>IF($B49="","",IF(COUNTIF(CJ$16:CJ$21,$B49)&gt;0,COUNTA(CJ$7:CJ$15),0)+IF(COUNTIF(CJ$37:CJ$42,$B49)&gt;0,COUNTA(CJ$27:CJ$35),0))</f>
        <v>0</v>
      </c>
      <c r="CK49" s="55">
        <f>IF($B49="","",IF(COUNTIF(CK$16:CK$21,$B49)&gt;0,COUNTA(CK$7:CK$15),0)+IF(COUNTIF(CK$37:CK$42,$B49)&gt;0,COUNTA(CK$27:CK$35),0))</f>
        <v>0</v>
      </c>
      <c r="CL49" s="55">
        <f>IF($B49="","",IF(COUNTIF(CL$16:CL$21,$B49)&gt;0,COUNTA(CL$7:CL$15),0)+IF(COUNTIF(CL$37:CL$42,$B49)&gt;0,COUNTA(CL$27:CL$35),0))</f>
        <v>0</v>
      </c>
      <c r="CM49" s="55">
        <f>IF($B49="","",IF(COUNTIF(CM$16:CM$21,$B49)&gt;0,COUNTA(CM$7:CM$15),0)+IF(COUNTIF(CM$37:CM$42,$B49)&gt;0,COUNTA(CM$27:CM$35),0))</f>
        <v>0</v>
      </c>
      <c r="CN49" s="55">
        <f>IF($B49="","",IF(COUNTIF(CN$16:CN$21,$B49)&gt;0,COUNTA(CN$7:CN$15),0)+IF(COUNTIF(CN$37:CN$42,$B49)&gt;0,COUNTA(CN$27:CN$35),0))</f>
        <v>0</v>
      </c>
      <c r="CO49" s="55">
        <f>IF($B49="","",IF(COUNTIF(CO$16:CO$21,$B49)&gt;0,COUNTA(CO$7:CO$15),0)+IF(COUNTIF(CO$37:CO$42,$B49)&gt;0,COUNTA(CO$27:CO$35),0))</f>
        <v>0</v>
      </c>
      <c r="CP49" s="55">
        <f>IF($B49="","",IF(COUNTIF(CP$16:CP$21,$B49)&gt;0,COUNTA(CP$7:CP$15),0)+IF(COUNTIF(CP$37:CP$42,$B49)&gt;0,COUNTA(CP$27:CP$35),0))</f>
        <v>0</v>
      </c>
      <c r="CQ49" s="55">
        <f>IF($B49="","",IF(COUNTIF(CQ$16:CQ$21,$B49)&gt;0,COUNTA(CQ$7:CQ$15),0)+IF(COUNTIF(CQ$37:CQ$42,$B49)&gt;0,COUNTA(CQ$27:CQ$35),0))</f>
        <v>0</v>
      </c>
      <c r="CR49" s="55">
        <f>IF($B49="","",IF(COUNTIF(CR$16:CR$21,$B49)&gt;0,COUNTA(CR$7:CR$15),0)+IF(COUNTIF(CR$37:CR$42,$B49)&gt;0,COUNTA(CR$27:CR$35),0))</f>
        <v>0</v>
      </c>
      <c r="CS49" s="55">
        <f>IF($B49="","",IF(COUNTIF(CS$16:CS$21,$B49)&gt;0,COUNTA(CS$7:CS$15),0)+IF(COUNTIF(CS$37:CS$42,$B49)&gt;0,COUNTA(CS$27:CS$35),0))</f>
        <v>0</v>
      </c>
      <c r="CT49" s="55">
        <f>IF($B49="","",IF(COUNTIF(CT$16:CT$21,$B49)&gt;0,COUNTA(CT$7:CT$15),0)+IF(COUNTIF(CT$37:CT$42,$B49)&gt;0,COUNTA(CT$27:CT$35),0))</f>
        <v>0</v>
      </c>
      <c r="CU49" s="55">
        <f>IF($B49="","",IF(COUNTIF(CU$16:CU$21,$B49)&gt;0,COUNTA(CU$7:CU$15),0)+IF(COUNTIF(CU$37:CU$42,$B49)&gt;0,COUNTA(CU$27:CU$35),0))</f>
        <v>0</v>
      </c>
      <c r="CV49" s="55">
        <f>IF($B49="","",IF(COUNTIF(CV$16:CV$21,$B49)&gt;0,COUNTA(CV$7:CV$15),0)+IF(COUNTIF(CV$37:CV$42,$B49)&gt;0,COUNTA(CV$27:CV$35),0))</f>
        <v>0</v>
      </c>
      <c r="CW49" s="55">
        <f>IF($B49="","",IF(COUNTIF(CW$16:CW$21,$B49)&gt;0,COUNTA(CW$7:CW$15),0)+IF(COUNTIF(CW$37:CW$42,$B49)&gt;0,COUNTA(CW$27:CW$35),0))</f>
        <v>0</v>
      </c>
      <c r="CX49" s="55">
        <f>IF($B49="","",IF(COUNTIF(CX$16:CX$21,$B49)&gt;0,COUNTA(CX$7:CX$15),0)+IF(COUNTIF(CX$37:CX$42,$B49)&gt;0,COUNTA(CX$27:CX$35),0))</f>
        <v>0</v>
      </c>
      <c r="CY49" s="55">
        <f>IF($B49="","",IF(COUNTIF(CY$16:CY$21,$B49)&gt;0,COUNTA(CY$7:CY$15),0)+IF(COUNTIF(CY$37:CY$42,$B49)&gt;0,COUNTA(CY$27:CY$35),0))</f>
        <v>0</v>
      </c>
      <c r="CZ49" s="55">
        <f>IF($B49="","",IF(COUNTIF(CZ$16:CZ$21,$B49)&gt;0,COUNTA(CZ$7:CZ$15),0)+IF(COUNTIF(CZ$37:CZ$42,$B49)&gt;0,COUNTA(CZ$27:CZ$35),0))</f>
        <v>0</v>
      </c>
      <c r="DA49" s="55">
        <f>IF($B49="","",IF(COUNTIF(DA$16:DA$21,$B49)&gt;0,COUNTA(DA$7:DA$15),0)+IF(COUNTIF(DA$37:DA$42,$B49)&gt;0,COUNTA(DA$27:DA$35),0))</f>
        <v>0</v>
      </c>
      <c r="DB49" s="55">
        <f>IF($B49="","",IF(COUNTIF(DB$16:DB$21,$B49)&gt;0,COUNTA(DB$7:DB$15),0)+IF(COUNTIF(DB$37:DB$42,$B49)&gt;0,COUNTA(DB$27:DB$35),0))</f>
        <v>0</v>
      </c>
      <c r="DC49" s="55">
        <f>IF($B49="","",IF(COUNTIF(DC$16:DC$21,$B49)&gt;0,COUNTA(DC$7:DC$15),0)+IF(COUNTIF(DC$37:DC$42,$B49)&gt;0,COUNTA(DC$27:DC$35),0))</f>
        <v>0</v>
      </c>
      <c r="DD49" s="55">
        <f>IF($B49="","",IF(COUNTIF(DD$16:DD$21,$B49)&gt;0,COUNTA(DD$7:DD$15),0)+IF(COUNTIF(DD$37:DD$42,$B49)&gt;0,COUNTA(DD$27:DD$35),0))</f>
        <v>0</v>
      </c>
      <c r="DE49" s="58">
        <f>IF($B49="","",IF(COUNTIF(DE$16:DE$21,$B49)&gt;0,COUNTA(DE$7:DE$15),0)+IF(COUNTIF(DE$37:DE$42,$B49)&gt;0,COUNTA(DE$27:DE$35),0))</f>
        <v>0</v>
      </c>
    </row>
    <row r="50" spans="2:109" x14ac:dyDescent="0.2">
      <c r="B50" s="84" t="str">
        <f>IFERROR(INDEX(_xlfn._xlws.FILTER(Ressourcer!$B$1:$X$1,_xlfn.BYCOL(Ressourcer!$B$12:$X$15,_xlfn.LAMBDA(_xlpm.c,COUNTIF(_xlpm.c,"&lt;&gt;" )&gt;0))),ROWS($B$2:B7)),"")</f>
        <v>SEIJ</v>
      </c>
      <c r="C50" s="79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)&gt;0))),_xlfn.LAMBDA(_xlpm.col,SUM(INDEX(Ressourcer!$B$12:$X$15,,_xlpm.col-COLUMN(Ressourcer!$B$12:$X$15)+1)))),ROWS($B$2:B7))/2,"")</f>
        <v>87.5</v>
      </c>
      <c r="D50" s="106" t="str">
        <f t="shared" si="35"/>
        <v/>
      </c>
      <c r="E50" s="57">
        <f>IF($B50="","",IF(COUNTIF(E$16:E$21,$B50)&gt;0,COUNTA(E$7:E$15),0)+IF(COUNTIF(E$37:E$42,$B50)&gt;0,COUNTA(E$27:E$35),0))</f>
        <v>0</v>
      </c>
      <c r="F50" s="55">
        <f>IF($B50="","",IF(COUNTIF(F$16:F$21,$B50)&gt;0,COUNTA(F$7:F$15),0)+IF(COUNTIF(F$37:F$42,$B50)&gt;0,COUNTA(F$27:F$35),0))</f>
        <v>0</v>
      </c>
      <c r="G50" s="55">
        <f>IF($B50="","",IF(COUNTIF(G$16:G$21,$B50)&gt;0,COUNTA(G$7:G$15),0)+IF(COUNTIF(G$37:G$42,$B50)&gt;0,COUNTA(G$27:G$35),0))</f>
        <v>0</v>
      </c>
      <c r="H50" s="55">
        <f>IF($B50="","",IF(COUNTIF(H$16:H$21,$B50)&gt;0,COUNTA(H$7:H$15),0)+IF(COUNTIF(H$37:H$42,$B50)&gt;0,COUNTA(H$27:H$35),0))</f>
        <v>0</v>
      </c>
      <c r="I50" s="55">
        <f>IF($B50="","",IF(COUNTIF(I$16:I$21,$B50)&gt;0,COUNTA(I$7:I$15),0)+IF(COUNTIF(I$37:I$42,$B50)&gt;0,COUNTA(I$27:I$35),0))</f>
        <v>0</v>
      </c>
      <c r="J50" s="55">
        <f>IF($B50="","",IF(COUNTIF(J$16:J$21,$B50)&gt;0,COUNTA(J$7:J$15),0)+IF(COUNTIF(J$37:J$42,$B50)&gt;0,COUNTA(J$27:J$35),0))</f>
        <v>0</v>
      </c>
      <c r="K50" s="55">
        <f>IF($B50="","",IF(COUNTIF(K$16:K$21,$B50)&gt;0,COUNTA(K$7:K$15),0)+IF(COUNTIF(K$37:K$42,$B50)&gt;0,COUNTA(K$27:K$35),0))</f>
        <v>0</v>
      </c>
      <c r="L50" s="55">
        <f>IF($B50="","",IF(COUNTIF(L$16:L$21,$B50)&gt;0,COUNTA(L$7:L$15),0)+IF(COUNTIF(L$37:L$42,$B50)&gt;0,COUNTA(L$27:L$35),0))</f>
        <v>0</v>
      </c>
      <c r="M50" s="55">
        <f>IF($B50="","",IF(COUNTIF(M$16:M$21,$B50)&gt;0,COUNTA(M$7:M$15),0)+IF(COUNTIF(M$37:M$42,$B50)&gt;0,COUNTA(M$27:M$35),0))</f>
        <v>0</v>
      </c>
      <c r="N50" s="55">
        <f>IF($B50="","",IF(COUNTIF(N$16:N$21,$B50)&gt;0,COUNTA(N$7:N$15),0)+IF(COUNTIF(N$37:N$42,$B50)&gt;0,COUNTA(N$27:N$35),0))</f>
        <v>0</v>
      </c>
      <c r="O50" s="55">
        <f>IF($B50="","",IF(COUNTIF(O$16:O$21,$B50)&gt;0,COUNTA(O$7:O$15),0)+IF(COUNTIF(O$37:O$42,$B50)&gt;0,COUNTA(O$27:O$35),0))</f>
        <v>0</v>
      </c>
      <c r="P50" s="55">
        <f>IF($B50="","",IF(COUNTIF(P$16:P$21,$B50)&gt;0,COUNTA(P$7:P$15),0)+IF(COUNTIF(P$37:P$42,$B50)&gt;0,COUNTA(P$27:P$35),0))</f>
        <v>0</v>
      </c>
      <c r="Q50" s="55">
        <f>IF($B50="","",IF(COUNTIF(Q$16:Q$21,$B50)&gt;0,COUNTA(Q$7:Q$15),0)+IF(COUNTIF(Q$37:Q$42,$B50)&gt;0,COUNTA(Q$27:Q$35),0))</f>
        <v>0</v>
      </c>
      <c r="R50" s="55">
        <f>IF($B50="","",IF(COUNTIF(R$16:R$21,$B50)&gt;0,COUNTA(R$7:R$15),0)+IF(COUNTIF(R$37:R$42,$B50)&gt;0,COUNTA(R$27:R$35),0))</f>
        <v>0</v>
      </c>
      <c r="S50" s="55">
        <f>IF($B50="","",IF(COUNTIF(S$16:S$21,$B50)&gt;0,COUNTA(S$7:S$15),0)+IF(COUNTIF(S$37:S$42,$B50)&gt;0,COUNTA(S$27:S$35),0))</f>
        <v>0</v>
      </c>
      <c r="T50" s="55">
        <f>IF($B50="","",IF(COUNTIF(T$16:T$21,$B50)&gt;0,COUNTA(T$7:T$15),0)+IF(COUNTIF(T$37:T$42,$B50)&gt;0,COUNTA(T$27:T$35),0))</f>
        <v>0</v>
      </c>
      <c r="U50" s="55">
        <f>IF($B50="","",IF(COUNTIF(U$16:U$21,$B50)&gt;0,COUNTA(U$7:U$15),0)+IF(COUNTIF(U$37:U$42,$B50)&gt;0,COUNTA(U$27:U$35),0))</f>
        <v>0</v>
      </c>
      <c r="V50" s="55">
        <f>IF($B50="","",IF(COUNTIF(V$16:V$21,$B50)&gt;0,COUNTA(V$7:V$15),0)+IF(COUNTIF(V$37:V$42,$B50)&gt;0,COUNTA(V$27:V$35),0))</f>
        <v>0</v>
      </c>
      <c r="W50" s="55">
        <f>IF($B50="","",IF(COUNTIF(W$16:W$21,$B50)&gt;0,COUNTA(W$7:W$15),0)+IF(COUNTIF(W$37:W$42,$B50)&gt;0,COUNTA(W$27:W$35),0))</f>
        <v>0</v>
      </c>
      <c r="X50" s="55">
        <f>IF($B50="","",IF(COUNTIF(X$16:X$21,$B50)&gt;0,COUNTA(X$7:X$15),0)+IF(COUNTIF(X$37:X$42,$B50)&gt;0,COUNTA(X$27:X$35),0))</f>
        <v>0</v>
      </c>
      <c r="Y50" s="55">
        <f>IF($B50="","",IF(COUNTIF(Y$16:Y$21,$B50)&gt;0,COUNTA(Y$7:Y$15),0)+IF(COUNTIF(Y$37:Y$42,$B50)&gt;0,COUNTA(Y$27:Y$35),0))</f>
        <v>0</v>
      </c>
      <c r="Z50" s="55">
        <f>IF($B50="","",IF(COUNTIF(Z$16:Z$21,$B50)&gt;0,COUNTA(Z$7:Z$15),0)+IF(COUNTIF(Z$37:Z$42,$B50)&gt;0,COUNTA(Z$27:Z$35),0))</f>
        <v>0</v>
      </c>
      <c r="AA50" s="55">
        <f>IF($B50="","",IF(COUNTIF(AA$16:AA$21,$B50)&gt;0,COUNTA(AA$7:AA$15),0)+IF(COUNTIF(AA$37:AA$42,$B50)&gt;0,COUNTA(AA$27:AA$35),0))</f>
        <v>0</v>
      </c>
      <c r="AB50" s="55">
        <f>IF($B50="","",IF(COUNTIF(AB$16:AB$21,$B50)&gt;0,COUNTA(AB$7:AB$15),0)+IF(COUNTIF(AB$37:AB$42,$B50)&gt;0,COUNTA(AB$27:AB$35),0))</f>
        <v>0</v>
      </c>
      <c r="AC50" s="55">
        <f>IF($B50="","",IF(COUNTIF(AC$16:AC$21,$B50)&gt;0,COUNTA(AC$7:AC$15),0)+IF(COUNTIF(AC$37:AC$42,$B50)&gt;0,COUNTA(AC$27:AC$35),0))</f>
        <v>0</v>
      </c>
      <c r="AD50" s="55">
        <f>IF($B50="","",IF(COUNTIF(AD$16:AD$21,$B50)&gt;0,COUNTA(AD$7:AD$15),0)+IF(COUNTIF(AD$37:AD$42,$B50)&gt;0,COUNTA(AD$27:AD$35),0))</f>
        <v>0</v>
      </c>
      <c r="AE50" s="55">
        <f>IF($B50="","",IF(COUNTIF(AE$16:AE$21,$B50)&gt;0,COUNTA(AE$7:AE$15),0)+IF(COUNTIF(AE$37:AE$42,$B50)&gt;0,COUNTA(AE$27:AE$35),0))</f>
        <v>0</v>
      </c>
      <c r="AF50" s="55">
        <f>IF($B50="","",IF(COUNTIF(AF$16:AF$21,$B50)&gt;0,COUNTA(AF$7:AF$15),0)+IF(COUNTIF(AF$37:AF$42,$B50)&gt;0,COUNTA(AF$27:AF$35),0))</f>
        <v>0</v>
      </c>
      <c r="AG50" s="55">
        <f>IF($B50="","",IF(COUNTIF(AG$16:AG$21,$B50)&gt;0,COUNTA(AG$7:AG$15),0)+IF(COUNTIF(AG$37:AG$42,$B50)&gt;0,COUNTA(AG$27:AG$35),0))</f>
        <v>0</v>
      </c>
      <c r="AH50" s="55">
        <f>IF($B50="","",IF(COUNTIF(AH$16:AH$21,$B50)&gt;0,COUNTA(AH$7:AH$15),0)+IF(COUNTIF(AH$37:AH$42,$B50)&gt;0,COUNTA(AH$27:AH$35),0))</f>
        <v>0</v>
      </c>
      <c r="AI50" s="55">
        <f>IF($B50="","",IF(COUNTIF(AI$16:AI$21,$B50)&gt;0,COUNTA(AI$7:AI$15),0)+IF(COUNTIF(AI$37:AI$42,$B50)&gt;0,COUNTA(AI$27:AI$35),0))</f>
        <v>0</v>
      </c>
      <c r="AJ50" s="55">
        <f>IF($B50="","",IF(COUNTIF(AJ$16:AJ$21,$B50)&gt;0,COUNTA(AJ$7:AJ$15),0)+IF(COUNTIF(AJ$37:AJ$42,$B50)&gt;0,COUNTA(AJ$27:AJ$35),0))</f>
        <v>0</v>
      </c>
      <c r="AK50" s="55">
        <f>IF($B50="","",IF(COUNTIF(AK$16:AK$21,$B50)&gt;0,COUNTA(AK$7:AK$15),0)+IF(COUNTIF(AK$37:AK$42,$B50)&gt;0,COUNTA(AK$27:AK$35),0))</f>
        <v>0</v>
      </c>
      <c r="AL50" s="55">
        <f>IF($B50="","",IF(COUNTIF(AL$16:AL$21,$B50)&gt;0,COUNTA(AL$7:AL$15),0)+IF(COUNTIF(AL$37:AL$42,$B50)&gt;0,COUNTA(AL$27:AL$35),0))</f>
        <v>0</v>
      </c>
      <c r="AM50" s="55">
        <f>IF($B50="","",IF(COUNTIF(AM$16:AM$21,$B50)&gt;0,COUNTA(AM$7:AM$15),0)+IF(COUNTIF(AM$37:AM$42,$B50)&gt;0,COUNTA(AM$27:AM$35),0))</f>
        <v>0</v>
      </c>
      <c r="AN50" s="55">
        <f>IF($B50="","",IF(COUNTIF(AN$16:AN$21,$B50)&gt;0,COUNTA(AN$7:AN$15),0)+IF(COUNTIF(AN$37:AN$42,$B50)&gt;0,COUNTA(AN$27:AN$35),0))</f>
        <v>0</v>
      </c>
      <c r="AO50" s="55">
        <f>IF($B50="","",IF(COUNTIF(AO$16:AO$21,$B50)&gt;0,COUNTA(AO$7:AO$15),0)+IF(COUNTIF(AO$37:AO$42,$B50)&gt;0,COUNTA(AO$27:AO$35),0))</f>
        <v>0</v>
      </c>
      <c r="AP50" s="55">
        <f>IF($B50="","",IF(COUNTIF(AP$16:AP$21,$B50)&gt;0,COUNTA(AP$7:AP$15),0)+IF(COUNTIF(AP$37:AP$42,$B50)&gt;0,COUNTA(AP$27:AP$35),0))</f>
        <v>0</v>
      </c>
      <c r="AQ50" s="55">
        <f>IF($B50="","",IF(COUNTIF(AQ$16:AQ$21,$B50)&gt;0,COUNTA(AQ$7:AQ$15),0)+IF(COUNTIF(AQ$37:AQ$42,$B50)&gt;0,COUNTA(AQ$27:AQ$35),0))</f>
        <v>0</v>
      </c>
      <c r="AR50" s="55">
        <f>IF($B50="","",IF(COUNTIF(AR$16:AR$21,$B50)&gt;0,COUNTA(AR$7:AR$15),0)+IF(COUNTIF(AR$37:AR$42,$B50)&gt;0,COUNTA(AR$27:AR$35),0))</f>
        <v>0</v>
      </c>
      <c r="AS50" s="55">
        <f>IF($B50="","",IF(COUNTIF(AS$16:AS$21,$B50)&gt;0,COUNTA(AS$7:AS$15),0)+IF(COUNTIF(AS$37:AS$42,$B50)&gt;0,COUNTA(AS$27:AS$35),0))</f>
        <v>0</v>
      </c>
      <c r="AT50" s="55">
        <f>IF($B50="","",IF(COUNTIF(AT$16:AT$21,$B50)&gt;0,COUNTA(AT$7:AT$15),0)+IF(COUNTIF(AT$37:AT$42,$B50)&gt;0,COUNTA(AT$27:AT$35),0))</f>
        <v>0</v>
      </c>
      <c r="AU50" s="55">
        <f>IF($B50="","",IF(COUNTIF(AU$16:AU$21,$B50)&gt;0,COUNTA(AU$7:AU$15),0)+IF(COUNTIF(AU$37:AU$42,$B50)&gt;0,COUNTA(AU$27:AU$35),0))</f>
        <v>0</v>
      </c>
      <c r="AV50" s="55">
        <f>IF($B50="","",IF(COUNTIF(AV$16:AV$21,$B50)&gt;0,COUNTA(AV$7:AV$15),0)+IF(COUNTIF(AV$37:AV$42,$B50)&gt;0,COUNTA(AV$27:AV$35),0))</f>
        <v>0</v>
      </c>
      <c r="AW50" s="55">
        <f>IF($B50="","",IF(COUNTIF(AW$16:AW$21,$B50)&gt;0,COUNTA(AW$7:AW$15),0)+IF(COUNTIF(AW$37:AW$42,$B50)&gt;0,COUNTA(AW$27:AW$35),0))</f>
        <v>0</v>
      </c>
      <c r="AX50" s="55">
        <f>IF($B50="","",IF(COUNTIF(AX$16:AX$21,$B50)&gt;0,COUNTA(AX$7:AX$15),0)+IF(COUNTIF(AX$37:AX$42,$B50)&gt;0,COUNTA(AX$27:AX$35),0))</f>
        <v>0</v>
      </c>
      <c r="AY50" s="55">
        <f>IF($B50="","",IF(COUNTIF(AY$16:AY$21,$B50)&gt;0,COUNTA(AY$7:AY$15),0)+IF(COUNTIF(AY$37:AY$42,$B50)&gt;0,COUNTA(AY$27:AY$35),0))</f>
        <v>0</v>
      </c>
      <c r="AZ50" s="55">
        <f>IF($B50="","",IF(COUNTIF(AZ$16:AZ$21,$B50)&gt;0,COUNTA(AZ$7:AZ$15),0)+IF(COUNTIF(AZ$37:AZ$42,$B50)&gt;0,COUNTA(AZ$27:AZ$35),0))</f>
        <v>0</v>
      </c>
      <c r="BA50" s="55">
        <f>IF($B50="","",IF(COUNTIF(BA$16:BA$21,$B50)&gt;0,COUNTA(BA$7:BA$15),0)+IF(COUNTIF(BA$37:BA$42,$B50)&gt;0,COUNTA(BA$27:BA$35),0))</f>
        <v>0</v>
      </c>
      <c r="BB50" s="55">
        <f>IF($B50="","",IF(COUNTIF(BB$16:BB$21,$B50)&gt;0,COUNTA(BB$7:BB$15),0)+IF(COUNTIF(BB$37:BB$42,$B50)&gt;0,COUNTA(BB$27:BB$35),0))</f>
        <v>0</v>
      </c>
      <c r="BC50" s="55">
        <f>IF($B50="","",IF(COUNTIF(BC$16:BC$21,$B50)&gt;0,COUNTA(BC$7:BC$15),0)+IF(COUNTIF(BC$37:BC$42,$B50)&gt;0,COUNTA(BC$27:BC$35),0))</f>
        <v>0</v>
      </c>
      <c r="BD50" s="55">
        <f>IF($B50="","",IF(COUNTIF(BD$16:BD$21,$B50)&gt;0,COUNTA(BD$7:BD$15),0)+IF(COUNTIF(BD$37:BD$42,$B50)&gt;0,COUNTA(BD$27:BD$35),0))</f>
        <v>0</v>
      </c>
      <c r="BE50" s="55">
        <f>IF($B50="","",IF(COUNTIF(BE$16:BE$21,$B50)&gt;0,COUNTA(BE$7:BE$15),0)+IF(COUNTIF(BE$37:BE$42,$B50)&gt;0,COUNTA(BE$27:BE$35),0))</f>
        <v>0</v>
      </c>
      <c r="BF50" s="55">
        <f>IF($B50="","",IF(COUNTIF(BF$16:BF$21,$B50)&gt;0,COUNTA(BF$7:BF$15),0)+IF(COUNTIF(BF$37:BF$42,$B50)&gt;0,COUNTA(BF$27:BF$35),0))</f>
        <v>0</v>
      </c>
      <c r="BG50" s="55">
        <f>IF($B50="","",IF(COUNTIF(BG$16:BG$21,$B50)&gt;0,COUNTA(BG$7:BG$15),0)+IF(COUNTIF(BG$37:BG$42,$B50)&gt;0,COUNTA(BG$27:BG$35),0))</f>
        <v>0</v>
      </c>
      <c r="BH50" s="55">
        <f>IF($B50="","",IF(COUNTIF(BH$16:BH$21,$B50)&gt;0,COUNTA(BH$7:BH$15),0)+IF(COUNTIF(BH$37:BH$42,$B50)&gt;0,COUNTA(BH$27:BH$35),0))</f>
        <v>0</v>
      </c>
      <c r="BI50" s="55">
        <f>IF($B50="","",IF(COUNTIF(BI$16:BI$21,$B50)&gt;0,COUNTA(BI$7:BI$15),0)+IF(COUNTIF(BI$37:BI$42,$B50)&gt;0,COUNTA(BI$27:BI$35),0))</f>
        <v>0</v>
      </c>
      <c r="BJ50" s="55">
        <f>IF($B50="","",IF(COUNTIF(BJ$16:BJ$21,$B50)&gt;0,COUNTA(BJ$7:BJ$15),0)+IF(COUNTIF(BJ$37:BJ$42,$B50)&gt;0,COUNTA(BJ$27:BJ$35),0))</f>
        <v>0</v>
      </c>
      <c r="BK50" s="55">
        <f>IF($B50="","",IF(COUNTIF(BK$16:BK$21,$B50)&gt;0,COUNTA(BK$7:BK$15),0)+IF(COUNTIF(BK$37:BK$42,$B50)&gt;0,COUNTA(BK$27:BK$35),0))</f>
        <v>0</v>
      </c>
      <c r="BL50" s="55">
        <f>IF($B50="","",IF(COUNTIF(BL$16:BL$21,$B50)&gt;0,COUNTA(BL$7:BL$15),0)+IF(COUNTIF(BL$37:BL$42,$B50)&gt;0,COUNTA(BL$27:BL$35),0))</f>
        <v>0</v>
      </c>
      <c r="BM50" s="55">
        <f>IF($B50="","",IF(COUNTIF(BM$16:BM$21,$B50)&gt;0,COUNTA(BM$7:BM$15),0)+IF(COUNTIF(BM$37:BM$42,$B50)&gt;0,COUNTA(BM$27:BM$35),0))</f>
        <v>0</v>
      </c>
      <c r="BN50" s="55">
        <f>IF($B50="","",IF(COUNTIF(BN$16:BN$21,$B50)&gt;0,COUNTA(BN$7:BN$15),0)+IF(COUNTIF(BN$37:BN$42,$B50)&gt;0,COUNTA(BN$27:BN$35),0))</f>
        <v>0</v>
      </c>
      <c r="BO50" s="55">
        <f>IF($B50="","",IF(COUNTIF(BO$16:BO$21,$B50)&gt;0,COUNTA(BO$7:BO$15),0)+IF(COUNTIF(BO$37:BO$42,$B50)&gt;0,COUNTA(BO$27:BO$35),0))</f>
        <v>0</v>
      </c>
      <c r="BP50" s="55">
        <f>IF($B50="","",IF(COUNTIF(BP$16:BP$21,$B50)&gt;0,COUNTA(BP$7:BP$15),0)+IF(COUNTIF(BP$37:BP$42,$B50)&gt;0,COUNTA(BP$27:BP$35),0))</f>
        <v>0</v>
      </c>
      <c r="BQ50" s="55">
        <f>IF($B50="","",IF(COUNTIF(BQ$16:BQ$21,$B50)&gt;0,COUNTA(BQ$7:BQ$15),0)+IF(COUNTIF(BQ$37:BQ$42,$B50)&gt;0,COUNTA(BQ$27:BQ$35),0))</f>
        <v>0</v>
      </c>
      <c r="BR50" s="55">
        <f>IF($B50="","",IF(COUNTIF(BR$16:BR$21,$B50)&gt;0,COUNTA(BR$7:BR$15),0)+IF(COUNTIF(BR$37:BR$42,$B50)&gt;0,COUNTA(BR$27:BR$35),0))</f>
        <v>0</v>
      </c>
      <c r="BS50" s="55">
        <f>IF($B50="","",IF(COUNTIF(BS$16:BS$21,$B50)&gt;0,COUNTA(BS$7:BS$15),0)+IF(COUNTIF(BS$37:BS$42,$B50)&gt;0,COUNTA(BS$27:BS$35),0))</f>
        <v>0</v>
      </c>
      <c r="BT50" s="55">
        <f>IF($B50="","",IF(COUNTIF(BT$16:BT$21,$B50)&gt;0,COUNTA(BT$7:BT$15),0)+IF(COUNTIF(BT$37:BT$42,$B50)&gt;0,COUNTA(BT$27:BT$35),0))</f>
        <v>0</v>
      </c>
      <c r="BU50" s="55">
        <f>IF($B50="","",IF(COUNTIF(BU$16:BU$21,$B50)&gt;0,COUNTA(BU$7:BU$15),0)+IF(COUNTIF(BU$37:BU$42,$B50)&gt;0,COUNTA(BU$27:BU$35),0))</f>
        <v>0</v>
      </c>
      <c r="BV50" s="55">
        <f>IF($B50="","",IF(COUNTIF(BV$16:BV$21,$B50)&gt;0,COUNTA(BV$7:BV$15),0)+IF(COUNTIF(BV$37:BV$42,$B50)&gt;0,COUNTA(BV$27:BV$35),0))</f>
        <v>0</v>
      </c>
      <c r="BW50" s="55">
        <f>IF($B50="","",IF(COUNTIF(BW$16:BW$21,$B50)&gt;0,COUNTA(BW$7:BW$15),0)+IF(COUNTIF(BW$37:BW$42,$B50)&gt;0,COUNTA(BW$27:BW$35),0))</f>
        <v>0</v>
      </c>
      <c r="BX50" s="55">
        <f>IF($B50="","",IF(COUNTIF(BX$16:BX$21,$B50)&gt;0,COUNTA(BX$7:BX$15),0)+IF(COUNTIF(BX$37:BX$42,$B50)&gt;0,COUNTA(BX$27:BX$35),0))</f>
        <v>0</v>
      </c>
      <c r="BY50" s="55">
        <f>IF($B50="","",IF(COUNTIF(BY$16:BY$21,$B50)&gt;0,COUNTA(BY$7:BY$15),0)+IF(COUNTIF(BY$37:BY$42,$B50)&gt;0,COUNTA(BY$27:BY$35),0))</f>
        <v>0</v>
      </c>
      <c r="BZ50" s="55">
        <f>IF($B50="","",IF(COUNTIF(BZ$16:BZ$21,$B50)&gt;0,COUNTA(BZ$7:BZ$15),0)+IF(COUNTIF(BZ$37:BZ$42,$B50)&gt;0,COUNTA(BZ$27:BZ$35),0))</f>
        <v>0</v>
      </c>
      <c r="CA50" s="55">
        <f>IF($B50="","",IF(COUNTIF(CA$16:CA$21,$B50)&gt;0,COUNTA(CA$7:CA$15),0)+IF(COUNTIF(CA$37:CA$42,$B50)&gt;0,COUNTA(CA$27:CA$35),0))</f>
        <v>0</v>
      </c>
      <c r="CB50" s="55">
        <f>IF($B50="","",IF(COUNTIF(CB$16:CB$21,$B50)&gt;0,COUNTA(CB$7:CB$15),0)+IF(COUNTIF(CB$37:CB$42,$B50)&gt;0,COUNTA(CB$27:CB$35),0))</f>
        <v>0</v>
      </c>
      <c r="CC50" s="55">
        <f>IF($B50="","",IF(COUNTIF(CC$16:CC$21,$B50)&gt;0,COUNTA(CC$7:CC$15),0)+IF(COUNTIF(CC$37:CC$42,$B50)&gt;0,COUNTA(CC$27:CC$35),0))</f>
        <v>0</v>
      </c>
      <c r="CD50" s="55">
        <f>IF($B50="","",IF(COUNTIF(CD$16:CD$21,$B50)&gt;0,COUNTA(CD$7:CD$15),0)+IF(COUNTIF(CD$37:CD$42,$B50)&gt;0,COUNTA(CD$27:CD$35),0))</f>
        <v>0</v>
      </c>
      <c r="CE50" s="55">
        <f>IF($B50="","",IF(COUNTIF(CE$16:CE$21,$B50)&gt;0,COUNTA(CE$7:CE$15),0)+IF(COUNTIF(CE$37:CE$42,$B50)&gt;0,COUNTA(CE$27:CE$35),0))</f>
        <v>0</v>
      </c>
      <c r="CF50" s="55">
        <f>IF($B50="","",IF(COUNTIF(CF$16:CF$21,$B50)&gt;0,COUNTA(CF$7:CF$15),0)+IF(COUNTIF(CF$37:CF$42,$B50)&gt;0,COUNTA(CF$27:CF$35),0))</f>
        <v>0</v>
      </c>
      <c r="CG50" s="55">
        <f>IF($B50="","",IF(COUNTIF(CG$16:CG$21,$B50)&gt;0,COUNTA(CG$7:CG$15),0)+IF(COUNTIF(CG$37:CG$42,$B50)&gt;0,COUNTA(CG$27:CG$35),0))</f>
        <v>0</v>
      </c>
      <c r="CH50" s="55">
        <f>IF($B50="","",IF(COUNTIF(CH$16:CH$21,$B50)&gt;0,COUNTA(CH$7:CH$15),0)+IF(COUNTIF(CH$37:CH$42,$B50)&gt;0,COUNTA(CH$27:CH$35),0))</f>
        <v>0</v>
      </c>
      <c r="CI50" s="55">
        <f>IF($B50="","",IF(COUNTIF(CI$16:CI$21,$B50)&gt;0,COUNTA(CI$7:CI$15),0)+IF(COUNTIF(CI$37:CI$42,$B50)&gt;0,COUNTA(CI$27:CI$35),0))</f>
        <v>0</v>
      </c>
      <c r="CJ50" s="55">
        <f>IF($B50="","",IF(COUNTIF(CJ$16:CJ$21,$B50)&gt;0,COUNTA(CJ$7:CJ$15),0)+IF(COUNTIF(CJ$37:CJ$42,$B50)&gt;0,COUNTA(CJ$27:CJ$35),0))</f>
        <v>0</v>
      </c>
      <c r="CK50" s="55">
        <f>IF($B50="","",IF(COUNTIF(CK$16:CK$21,$B50)&gt;0,COUNTA(CK$7:CK$15),0)+IF(COUNTIF(CK$37:CK$42,$B50)&gt;0,COUNTA(CK$27:CK$35),0))</f>
        <v>0</v>
      </c>
      <c r="CL50" s="55">
        <f>IF($B50="","",IF(COUNTIF(CL$16:CL$21,$B50)&gt;0,COUNTA(CL$7:CL$15),0)+IF(COUNTIF(CL$37:CL$42,$B50)&gt;0,COUNTA(CL$27:CL$35),0))</f>
        <v>0</v>
      </c>
      <c r="CM50" s="55">
        <f>IF($B50="","",IF(COUNTIF(CM$16:CM$21,$B50)&gt;0,COUNTA(CM$7:CM$15),0)+IF(COUNTIF(CM$37:CM$42,$B50)&gt;0,COUNTA(CM$27:CM$35),0))</f>
        <v>0</v>
      </c>
      <c r="CN50" s="55">
        <f>IF($B50="","",IF(COUNTIF(CN$16:CN$21,$B50)&gt;0,COUNTA(CN$7:CN$15),0)+IF(COUNTIF(CN$37:CN$42,$B50)&gt;0,COUNTA(CN$27:CN$35),0))</f>
        <v>0</v>
      </c>
      <c r="CO50" s="55">
        <f>IF($B50="","",IF(COUNTIF(CO$16:CO$21,$B50)&gt;0,COUNTA(CO$7:CO$15),0)+IF(COUNTIF(CO$37:CO$42,$B50)&gt;0,COUNTA(CO$27:CO$35),0))</f>
        <v>0</v>
      </c>
      <c r="CP50" s="55">
        <f>IF($B50="","",IF(COUNTIF(CP$16:CP$21,$B50)&gt;0,COUNTA(CP$7:CP$15),0)+IF(COUNTIF(CP$37:CP$42,$B50)&gt;0,COUNTA(CP$27:CP$35),0))</f>
        <v>0</v>
      </c>
      <c r="CQ50" s="55">
        <f>IF($B50="","",IF(COUNTIF(CQ$16:CQ$21,$B50)&gt;0,COUNTA(CQ$7:CQ$15),0)+IF(COUNTIF(CQ$37:CQ$42,$B50)&gt;0,COUNTA(CQ$27:CQ$35),0))</f>
        <v>0</v>
      </c>
      <c r="CR50" s="55">
        <f>IF($B50="","",IF(COUNTIF(CR$16:CR$21,$B50)&gt;0,COUNTA(CR$7:CR$15),0)+IF(COUNTIF(CR$37:CR$42,$B50)&gt;0,COUNTA(CR$27:CR$35),0))</f>
        <v>0</v>
      </c>
      <c r="CS50" s="55">
        <f>IF($B50="","",IF(COUNTIF(CS$16:CS$21,$B50)&gt;0,COUNTA(CS$7:CS$15),0)+IF(COUNTIF(CS$37:CS$42,$B50)&gt;0,COUNTA(CS$27:CS$35),0))</f>
        <v>0</v>
      </c>
      <c r="CT50" s="55">
        <f>IF($B50="","",IF(COUNTIF(CT$16:CT$21,$B50)&gt;0,COUNTA(CT$7:CT$15),0)+IF(COUNTIF(CT$37:CT$42,$B50)&gt;0,COUNTA(CT$27:CT$35),0))</f>
        <v>0</v>
      </c>
      <c r="CU50" s="55">
        <f>IF($B50="","",IF(COUNTIF(CU$16:CU$21,$B50)&gt;0,COUNTA(CU$7:CU$15),0)+IF(COUNTIF(CU$37:CU$42,$B50)&gt;0,COUNTA(CU$27:CU$35),0))</f>
        <v>0</v>
      </c>
      <c r="CV50" s="55">
        <f>IF($B50="","",IF(COUNTIF(CV$16:CV$21,$B50)&gt;0,COUNTA(CV$7:CV$15),0)+IF(COUNTIF(CV$37:CV$42,$B50)&gt;0,COUNTA(CV$27:CV$35),0))</f>
        <v>0</v>
      </c>
      <c r="CW50" s="55">
        <f>IF($B50="","",IF(COUNTIF(CW$16:CW$21,$B50)&gt;0,COUNTA(CW$7:CW$15),0)+IF(COUNTIF(CW$37:CW$42,$B50)&gt;0,COUNTA(CW$27:CW$35),0))</f>
        <v>0</v>
      </c>
      <c r="CX50" s="55">
        <f>IF($B50="","",IF(COUNTIF(CX$16:CX$21,$B50)&gt;0,COUNTA(CX$7:CX$15),0)+IF(COUNTIF(CX$37:CX$42,$B50)&gt;0,COUNTA(CX$27:CX$35),0))</f>
        <v>0</v>
      </c>
      <c r="CY50" s="55">
        <f>IF($B50="","",IF(COUNTIF(CY$16:CY$21,$B50)&gt;0,COUNTA(CY$7:CY$15),0)+IF(COUNTIF(CY$37:CY$42,$B50)&gt;0,COUNTA(CY$27:CY$35),0))</f>
        <v>0</v>
      </c>
      <c r="CZ50" s="55">
        <f>IF($B50="","",IF(COUNTIF(CZ$16:CZ$21,$B50)&gt;0,COUNTA(CZ$7:CZ$15),0)+IF(COUNTIF(CZ$37:CZ$42,$B50)&gt;0,COUNTA(CZ$27:CZ$35),0))</f>
        <v>0</v>
      </c>
      <c r="DA50" s="55">
        <f>IF($B50="","",IF(COUNTIF(DA$16:DA$21,$B50)&gt;0,COUNTA(DA$7:DA$15),0)+IF(COUNTIF(DA$37:DA$42,$B50)&gt;0,COUNTA(DA$27:DA$35),0))</f>
        <v>0</v>
      </c>
      <c r="DB50" s="55">
        <f>IF($B50="","",IF(COUNTIF(DB$16:DB$21,$B50)&gt;0,COUNTA(DB$7:DB$15),0)+IF(COUNTIF(DB$37:DB$42,$B50)&gt;0,COUNTA(DB$27:DB$35),0))</f>
        <v>0</v>
      </c>
      <c r="DC50" s="55">
        <f>IF($B50="","",IF(COUNTIF(DC$16:DC$21,$B50)&gt;0,COUNTA(DC$7:DC$15),0)+IF(COUNTIF(DC$37:DC$42,$B50)&gt;0,COUNTA(DC$27:DC$35),0))</f>
        <v>0</v>
      </c>
      <c r="DD50" s="55">
        <f>IF($B50="","",IF(COUNTIF(DD$16:DD$21,$B50)&gt;0,COUNTA(DD$7:DD$15),0)+IF(COUNTIF(DD$37:DD$42,$B50)&gt;0,COUNTA(DD$27:DD$35),0))</f>
        <v>0</v>
      </c>
      <c r="DE50" s="58">
        <f>IF($B50="","",IF(COUNTIF(DE$16:DE$21,$B50)&gt;0,COUNTA(DE$7:DE$15),0)+IF(COUNTIF(DE$37:DE$42,$B50)&gt;0,COUNTA(DE$27:DE$35),0))</f>
        <v>0</v>
      </c>
    </row>
    <row r="51" spans="2:109" x14ac:dyDescent="0.2">
      <c r="B51" s="84" t="str">
        <f>IFERROR(INDEX(_xlfn._xlws.FILTER(Ressourcer!$B$1:$X$1,_xlfn.BYCOL(Ressourcer!$B$12:$X$15,_xlfn.LAMBDA(_xlpm.c,COUNTIF(_xlpm.c,"&lt;&gt;" )&gt;0))),ROWS($B$2:B8)),"")</f>
        <v/>
      </c>
      <c r="C51" s="79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)&gt;0))),_xlfn.LAMBDA(_xlpm.col,SUM(INDEX(Ressourcer!$B$12:$X$15,,_xlpm.col-COLUMN(Ressourcer!$B$12:$X$15)+1)))),ROWS($B$2:B8))/2,"")</f>
        <v/>
      </c>
      <c r="D51" s="106" t="str">
        <f t="shared" si="35"/>
        <v/>
      </c>
      <c r="E51" s="57" t="str">
        <f>IF($B51="","",IF(COUNTIF(E$16:E$21,$B51)&gt;0,COUNTA(E$7:E$15),0)+IF(COUNTIF(E$37:E$42,$B51)&gt;0,COUNTA(E$27:E$35),0))</f>
        <v/>
      </c>
      <c r="F51" s="55" t="str">
        <f>IF($B51="","",IF(COUNTIF(F$16:F$21,$B51)&gt;0,COUNTA(F$7:F$15),0)+IF(COUNTIF(F$37:F$42,$B51)&gt;0,COUNTA(F$27:F$35),0))</f>
        <v/>
      </c>
      <c r="G51" s="55" t="str">
        <f>IF($B51="","",IF(COUNTIF(G$16:G$21,$B51)&gt;0,COUNTA(G$7:G$15),0)+IF(COUNTIF(G$37:G$42,$B51)&gt;0,COUNTA(G$27:G$35),0))</f>
        <v/>
      </c>
      <c r="H51" s="55" t="str">
        <f>IF($B51="","",IF(COUNTIF(H$16:H$21,$B51)&gt;0,COUNTA(H$7:H$15),0)+IF(COUNTIF(H$37:H$42,$B51)&gt;0,COUNTA(H$27:H$35),0))</f>
        <v/>
      </c>
      <c r="I51" s="55" t="str">
        <f>IF($B51="","",IF(COUNTIF(I$16:I$21,$B51)&gt;0,COUNTA(I$7:I$15),0)+IF(COUNTIF(I$37:I$42,$B51)&gt;0,COUNTA(I$27:I$35),0))</f>
        <v/>
      </c>
      <c r="J51" s="55" t="str">
        <f>IF($B51="","",IF(COUNTIF(J$16:J$21,$B51)&gt;0,COUNTA(J$7:J$15),0)+IF(COUNTIF(J$37:J$42,$B51)&gt;0,COUNTA(J$27:J$35),0))</f>
        <v/>
      </c>
      <c r="K51" s="55" t="str">
        <f>IF($B51="","",IF(COUNTIF(K$16:K$21,$B51)&gt;0,COUNTA(K$7:K$15),0)+IF(COUNTIF(K$37:K$42,$B51)&gt;0,COUNTA(K$27:K$35),0))</f>
        <v/>
      </c>
      <c r="L51" s="55" t="str">
        <f>IF($B51="","",IF(COUNTIF(L$16:L$21,$B51)&gt;0,COUNTA(L$7:L$15),0)+IF(COUNTIF(L$37:L$42,$B51)&gt;0,COUNTA(L$27:L$35),0))</f>
        <v/>
      </c>
      <c r="M51" s="55" t="str">
        <f>IF($B51="","",IF(COUNTIF(M$16:M$21,$B51)&gt;0,COUNTA(M$7:M$15),0)+IF(COUNTIF(M$37:M$42,$B51)&gt;0,COUNTA(M$27:M$35),0))</f>
        <v/>
      </c>
      <c r="N51" s="55" t="str">
        <f>IF($B51="","",IF(COUNTIF(N$16:N$21,$B51)&gt;0,COUNTA(N$7:N$15),0)+IF(COUNTIF(N$37:N$42,$B51)&gt;0,COUNTA(N$27:N$35),0))</f>
        <v/>
      </c>
      <c r="O51" s="55" t="str">
        <f>IF($B51="","",IF(COUNTIF(O$16:O$21,$B51)&gt;0,COUNTA(O$7:O$15),0)+IF(COUNTIF(O$37:O$42,$B51)&gt;0,COUNTA(O$27:O$35),0))</f>
        <v/>
      </c>
      <c r="P51" s="55" t="str">
        <f>IF($B51="","",IF(COUNTIF(P$16:P$21,$B51)&gt;0,COUNTA(P$7:P$15),0)+IF(COUNTIF(P$37:P$42,$B51)&gt;0,COUNTA(P$27:P$35),0))</f>
        <v/>
      </c>
      <c r="Q51" s="55" t="str">
        <f>IF($B51="","",IF(COUNTIF(Q$16:Q$21,$B51)&gt;0,COUNTA(Q$7:Q$15),0)+IF(COUNTIF(Q$37:Q$42,$B51)&gt;0,COUNTA(Q$27:Q$35),0))</f>
        <v/>
      </c>
      <c r="R51" s="55" t="str">
        <f>IF($B51="","",IF(COUNTIF(R$16:R$21,$B51)&gt;0,COUNTA(R$7:R$15),0)+IF(COUNTIF(R$37:R$42,$B51)&gt;0,COUNTA(R$27:R$35),0))</f>
        <v/>
      </c>
      <c r="S51" s="55" t="str">
        <f>IF($B51="","",IF(COUNTIF(S$16:S$21,$B51)&gt;0,COUNTA(S$7:S$15),0)+IF(COUNTIF(S$37:S$42,$B51)&gt;0,COUNTA(S$27:S$35),0))</f>
        <v/>
      </c>
      <c r="T51" s="55" t="str">
        <f>IF($B51="","",IF(COUNTIF(T$16:T$21,$B51)&gt;0,COUNTA(T$7:T$15),0)+IF(COUNTIF(T$37:T$42,$B51)&gt;0,COUNTA(T$27:T$35),0))</f>
        <v/>
      </c>
      <c r="U51" s="55" t="str">
        <f>IF($B51="","",IF(COUNTIF(U$16:U$21,$B51)&gt;0,COUNTA(U$7:U$15),0)+IF(COUNTIF(U$37:U$42,$B51)&gt;0,COUNTA(U$27:U$35),0))</f>
        <v/>
      </c>
      <c r="V51" s="55" t="str">
        <f>IF($B51="","",IF(COUNTIF(V$16:V$21,$B51)&gt;0,COUNTA(V$7:V$15),0)+IF(COUNTIF(V$37:V$42,$B51)&gt;0,COUNTA(V$27:V$35),0))</f>
        <v/>
      </c>
      <c r="W51" s="55" t="str">
        <f>IF($B51="","",IF(COUNTIF(W$16:W$21,$B51)&gt;0,COUNTA(W$7:W$15),0)+IF(COUNTIF(W$37:W$42,$B51)&gt;0,COUNTA(W$27:W$35),0))</f>
        <v/>
      </c>
      <c r="X51" s="55" t="str">
        <f>IF($B51="","",IF(COUNTIF(X$16:X$21,$B51)&gt;0,COUNTA(X$7:X$15),0)+IF(COUNTIF(X$37:X$42,$B51)&gt;0,COUNTA(X$27:X$35),0))</f>
        <v/>
      </c>
      <c r="Y51" s="55" t="str">
        <f>IF($B51="","",IF(COUNTIF(Y$16:Y$21,$B51)&gt;0,COUNTA(Y$7:Y$15),0)+IF(COUNTIF(Y$37:Y$42,$B51)&gt;0,COUNTA(Y$27:Y$35),0))</f>
        <v/>
      </c>
      <c r="Z51" s="55" t="str">
        <f>IF($B51="","",IF(COUNTIF(Z$16:Z$21,$B51)&gt;0,COUNTA(Z$7:Z$15),0)+IF(COUNTIF(Z$37:Z$42,$B51)&gt;0,COUNTA(Z$27:Z$35),0))</f>
        <v/>
      </c>
      <c r="AA51" s="55" t="str">
        <f>IF($B51="","",IF(COUNTIF(AA$16:AA$21,$B51)&gt;0,COUNTA(AA$7:AA$15),0)+IF(COUNTIF(AA$37:AA$42,$B51)&gt;0,COUNTA(AA$27:AA$35),0))</f>
        <v/>
      </c>
      <c r="AB51" s="55" t="str">
        <f>IF($B51="","",IF(COUNTIF(AB$16:AB$21,$B51)&gt;0,COUNTA(AB$7:AB$15),0)+IF(COUNTIF(AB$37:AB$42,$B51)&gt;0,COUNTA(AB$27:AB$35),0))</f>
        <v/>
      </c>
      <c r="AC51" s="55" t="str">
        <f>IF($B51="","",IF(COUNTIF(AC$16:AC$21,$B51)&gt;0,COUNTA(AC$7:AC$15),0)+IF(COUNTIF(AC$37:AC$42,$B51)&gt;0,COUNTA(AC$27:AC$35),0))</f>
        <v/>
      </c>
      <c r="AD51" s="55" t="str">
        <f>IF($B51="","",IF(COUNTIF(AD$16:AD$21,$B51)&gt;0,COUNTA(AD$7:AD$15),0)+IF(COUNTIF(AD$37:AD$42,$B51)&gt;0,COUNTA(AD$27:AD$35),0))</f>
        <v/>
      </c>
      <c r="AE51" s="55" t="str">
        <f>IF($B51="","",IF(COUNTIF(AE$16:AE$21,$B51)&gt;0,COUNTA(AE$7:AE$15),0)+IF(COUNTIF(AE$37:AE$42,$B51)&gt;0,COUNTA(AE$27:AE$35),0))</f>
        <v/>
      </c>
      <c r="AF51" s="55" t="str">
        <f>IF($B51="","",IF(COUNTIF(AF$16:AF$21,$B51)&gt;0,COUNTA(AF$7:AF$15),0)+IF(COUNTIF(AF$37:AF$42,$B51)&gt;0,COUNTA(AF$27:AF$35),0))</f>
        <v/>
      </c>
      <c r="AG51" s="55" t="str">
        <f>IF($B51="","",IF(COUNTIF(AG$16:AG$21,$B51)&gt;0,COUNTA(AG$7:AG$15),0)+IF(COUNTIF(AG$37:AG$42,$B51)&gt;0,COUNTA(AG$27:AG$35),0))</f>
        <v/>
      </c>
      <c r="AH51" s="55" t="str">
        <f>IF($B51="","",IF(COUNTIF(AH$16:AH$21,$B51)&gt;0,COUNTA(AH$7:AH$15),0)+IF(COUNTIF(AH$37:AH$42,$B51)&gt;0,COUNTA(AH$27:AH$35),0))</f>
        <v/>
      </c>
      <c r="AI51" s="55" t="str">
        <f>IF($B51="","",IF(COUNTIF(AI$16:AI$21,$B51)&gt;0,COUNTA(AI$7:AI$15),0)+IF(COUNTIF(AI$37:AI$42,$B51)&gt;0,COUNTA(AI$27:AI$35),0))</f>
        <v/>
      </c>
      <c r="AJ51" s="55" t="str">
        <f>IF($B51="","",IF(COUNTIF(AJ$16:AJ$21,$B51)&gt;0,COUNTA(AJ$7:AJ$15),0)+IF(COUNTIF(AJ$37:AJ$42,$B51)&gt;0,COUNTA(AJ$27:AJ$35),0))</f>
        <v/>
      </c>
      <c r="AK51" s="55" t="str">
        <f>IF($B51="","",IF(COUNTIF(AK$16:AK$21,$B51)&gt;0,COUNTA(AK$7:AK$15),0)+IF(COUNTIF(AK$37:AK$42,$B51)&gt;0,COUNTA(AK$27:AK$35),0))</f>
        <v/>
      </c>
      <c r="AL51" s="55" t="str">
        <f>IF($B51="","",IF(COUNTIF(AL$16:AL$21,$B51)&gt;0,COUNTA(AL$7:AL$15),0)+IF(COUNTIF(AL$37:AL$42,$B51)&gt;0,COUNTA(AL$27:AL$35),0))</f>
        <v/>
      </c>
      <c r="AM51" s="55" t="str">
        <f>IF($B51="","",IF(COUNTIF(AM$16:AM$21,$B51)&gt;0,COUNTA(AM$7:AM$15),0)+IF(COUNTIF(AM$37:AM$42,$B51)&gt;0,COUNTA(AM$27:AM$35),0))</f>
        <v/>
      </c>
      <c r="AN51" s="55" t="str">
        <f>IF($B51="","",IF(COUNTIF(AN$16:AN$21,$B51)&gt;0,COUNTA(AN$7:AN$15),0)+IF(COUNTIF(AN$37:AN$42,$B51)&gt;0,COUNTA(AN$27:AN$35),0))</f>
        <v/>
      </c>
      <c r="AO51" s="55" t="str">
        <f>IF($B51="","",IF(COUNTIF(AO$16:AO$21,$B51)&gt;0,COUNTA(AO$7:AO$15),0)+IF(COUNTIF(AO$37:AO$42,$B51)&gt;0,COUNTA(AO$27:AO$35),0))</f>
        <v/>
      </c>
      <c r="AP51" s="55" t="str">
        <f>IF($B51="","",IF(COUNTIF(AP$16:AP$21,$B51)&gt;0,COUNTA(AP$7:AP$15),0)+IF(COUNTIF(AP$37:AP$42,$B51)&gt;0,COUNTA(AP$27:AP$35),0))</f>
        <v/>
      </c>
      <c r="AQ51" s="55" t="str">
        <f>IF($B51="","",IF(COUNTIF(AQ$16:AQ$21,$B51)&gt;0,COUNTA(AQ$7:AQ$15),0)+IF(COUNTIF(AQ$37:AQ$42,$B51)&gt;0,COUNTA(AQ$27:AQ$35),0))</f>
        <v/>
      </c>
      <c r="AR51" s="55" t="str">
        <f>IF($B51="","",IF(COUNTIF(AR$16:AR$21,$B51)&gt;0,COUNTA(AR$7:AR$15),0)+IF(COUNTIF(AR$37:AR$42,$B51)&gt;0,COUNTA(AR$27:AR$35),0))</f>
        <v/>
      </c>
      <c r="AS51" s="55" t="str">
        <f>IF($B51="","",IF(COUNTIF(AS$16:AS$21,$B51)&gt;0,COUNTA(AS$7:AS$15),0)+IF(COUNTIF(AS$37:AS$42,$B51)&gt;0,COUNTA(AS$27:AS$35),0))</f>
        <v/>
      </c>
      <c r="AT51" s="55" t="str">
        <f>IF($B51="","",IF(COUNTIF(AT$16:AT$21,$B51)&gt;0,COUNTA(AT$7:AT$15),0)+IF(COUNTIF(AT$37:AT$42,$B51)&gt;0,COUNTA(AT$27:AT$35),0))</f>
        <v/>
      </c>
      <c r="AU51" s="55" t="str">
        <f>IF($B51="","",IF(COUNTIF(AU$16:AU$21,$B51)&gt;0,COUNTA(AU$7:AU$15),0)+IF(COUNTIF(AU$37:AU$42,$B51)&gt;0,COUNTA(AU$27:AU$35),0))</f>
        <v/>
      </c>
      <c r="AV51" s="55" t="str">
        <f>IF($B51="","",IF(COUNTIF(AV$16:AV$21,$B51)&gt;0,COUNTA(AV$7:AV$15),0)+IF(COUNTIF(AV$37:AV$42,$B51)&gt;0,COUNTA(AV$27:AV$35),0))</f>
        <v/>
      </c>
      <c r="AW51" s="55" t="str">
        <f>IF($B51="","",IF(COUNTIF(AW$16:AW$21,$B51)&gt;0,COUNTA(AW$7:AW$15),0)+IF(COUNTIF(AW$37:AW$42,$B51)&gt;0,COUNTA(AW$27:AW$35),0))</f>
        <v/>
      </c>
      <c r="AX51" s="55" t="str">
        <f>IF($B51="","",IF(COUNTIF(AX$16:AX$21,$B51)&gt;0,COUNTA(AX$7:AX$15),0)+IF(COUNTIF(AX$37:AX$42,$B51)&gt;0,COUNTA(AX$27:AX$35),0))</f>
        <v/>
      </c>
      <c r="AY51" s="55" t="str">
        <f>IF($B51="","",IF(COUNTIF(AY$16:AY$21,$B51)&gt;0,COUNTA(AY$7:AY$15),0)+IF(COUNTIF(AY$37:AY$42,$B51)&gt;0,COUNTA(AY$27:AY$35),0))</f>
        <v/>
      </c>
      <c r="AZ51" s="55" t="str">
        <f>IF($B51="","",IF(COUNTIF(AZ$16:AZ$21,$B51)&gt;0,COUNTA(AZ$7:AZ$15),0)+IF(COUNTIF(AZ$37:AZ$42,$B51)&gt;0,COUNTA(AZ$27:AZ$35),0))</f>
        <v/>
      </c>
      <c r="BA51" s="55" t="str">
        <f>IF($B51="","",IF(COUNTIF(BA$16:BA$21,$B51)&gt;0,COUNTA(BA$7:BA$15),0)+IF(COUNTIF(BA$37:BA$42,$B51)&gt;0,COUNTA(BA$27:BA$35),0))</f>
        <v/>
      </c>
      <c r="BB51" s="55" t="str">
        <f>IF($B51="","",IF(COUNTIF(BB$16:BB$21,$B51)&gt;0,COUNTA(BB$7:BB$15),0)+IF(COUNTIF(BB$37:BB$42,$B51)&gt;0,COUNTA(BB$27:BB$35),0))</f>
        <v/>
      </c>
      <c r="BC51" s="55" t="str">
        <f>IF($B51="","",IF(COUNTIF(BC$16:BC$21,$B51)&gt;0,COUNTA(BC$7:BC$15),0)+IF(COUNTIF(BC$37:BC$42,$B51)&gt;0,COUNTA(BC$27:BC$35),0))</f>
        <v/>
      </c>
      <c r="BD51" s="55" t="str">
        <f>IF($B51="","",IF(COUNTIF(BD$16:BD$21,$B51)&gt;0,COUNTA(BD$7:BD$15),0)+IF(COUNTIF(BD$37:BD$42,$B51)&gt;0,COUNTA(BD$27:BD$35),0))</f>
        <v/>
      </c>
      <c r="BE51" s="55" t="str">
        <f>IF($B51="","",IF(COUNTIF(BE$16:BE$21,$B51)&gt;0,COUNTA(BE$7:BE$15),0)+IF(COUNTIF(BE$37:BE$42,$B51)&gt;0,COUNTA(BE$27:BE$35),0))</f>
        <v/>
      </c>
      <c r="BF51" s="55" t="str">
        <f>IF($B51="","",IF(COUNTIF(BF$16:BF$21,$B51)&gt;0,COUNTA(BF$7:BF$15),0)+IF(COUNTIF(BF$37:BF$42,$B51)&gt;0,COUNTA(BF$27:BF$35),0))</f>
        <v/>
      </c>
      <c r="BG51" s="55" t="str">
        <f>IF($B51="","",IF(COUNTIF(BG$16:BG$21,$B51)&gt;0,COUNTA(BG$7:BG$15),0)+IF(COUNTIF(BG$37:BG$42,$B51)&gt;0,COUNTA(BG$27:BG$35),0))</f>
        <v/>
      </c>
      <c r="BH51" s="55" t="str">
        <f>IF($B51="","",IF(COUNTIF(BH$16:BH$21,$B51)&gt;0,COUNTA(BH$7:BH$15),0)+IF(COUNTIF(BH$37:BH$42,$B51)&gt;0,COUNTA(BH$27:BH$35),0))</f>
        <v/>
      </c>
      <c r="BI51" s="55" t="str">
        <f>IF($B51="","",IF(COUNTIF(BI$16:BI$21,$B51)&gt;0,COUNTA(BI$7:BI$15),0)+IF(COUNTIF(BI$37:BI$42,$B51)&gt;0,COUNTA(BI$27:BI$35),0))</f>
        <v/>
      </c>
      <c r="BJ51" s="55" t="str">
        <f>IF($B51="","",IF(COUNTIF(BJ$16:BJ$21,$B51)&gt;0,COUNTA(BJ$7:BJ$15),0)+IF(COUNTIF(BJ$37:BJ$42,$B51)&gt;0,COUNTA(BJ$27:BJ$35),0))</f>
        <v/>
      </c>
      <c r="BK51" s="55" t="str">
        <f>IF($B51="","",IF(COUNTIF(BK$16:BK$21,$B51)&gt;0,COUNTA(BK$7:BK$15),0)+IF(COUNTIF(BK$37:BK$42,$B51)&gt;0,COUNTA(BK$27:BK$35),0))</f>
        <v/>
      </c>
      <c r="BL51" s="55" t="str">
        <f>IF($B51="","",IF(COUNTIF(BL$16:BL$21,$B51)&gt;0,COUNTA(BL$7:BL$15),0)+IF(COUNTIF(BL$37:BL$42,$B51)&gt;0,COUNTA(BL$27:BL$35),0))</f>
        <v/>
      </c>
      <c r="BM51" s="55" t="str">
        <f>IF($B51="","",IF(COUNTIF(BM$16:BM$21,$B51)&gt;0,COUNTA(BM$7:BM$15),0)+IF(COUNTIF(BM$37:BM$42,$B51)&gt;0,COUNTA(BM$27:BM$35),0))</f>
        <v/>
      </c>
      <c r="BN51" s="55" t="str">
        <f>IF($B51="","",IF(COUNTIF(BN$16:BN$21,$B51)&gt;0,COUNTA(BN$7:BN$15),0)+IF(COUNTIF(BN$37:BN$42,$B51)&gt;0,COUNTA(BN$27:BN$35),0))</f>
        <v/>
      </c>
      <c r="BO51" s="55" t="str">
        <f>IF($B51="","",IF(COUNTIF(BO$16:BO$21,$B51)&gt;0,COUNTA(BO$7:BO$15),0)+IF(COUNTIF(BO$37:BO$42,$B51)&gt;0,COUNTA(BO$27:BO$35),0))</f>
        <v/>
      </c>
      <c r="BP51" s="55" t="str">
        <f>IF($B51="","",IF(COUNTIF(BP$16:BP$21,$B51)&gt;0,COUNTA(BP$7:BP$15),0)+IF(COUNTIF(BP$37:BP$42,$B51)&gt;0,COUNTA(BP$27:BP$35),0))</f>
        <v/>
      </c>
      <c r="BQ51" s="55" t="str">
        <f>IF($B51="","",IF(COUNTIF(BQ$16:BQ$21,$B51)&gt;0,COUNTA(BQ$7:BQ$15),0)+IF(COUNTIF(BQ$37:BQ$42,$B51)&gt;0,COUNTA(BQ$27:BQ$35),0))</f>
        <v/>
      </c>
      <c r="BR51" s="55" t="str">
        <f>IF($B51="","",IF(COUNTIF(BR$16:BR$21,$B51)&gt;0,COUNTA(BR$7:BR$15),0)+IF(COUNTIF(BR$37:BR$42,$B51)&gt;0,COUNTA(BR$27:BR$35),0))</f>
        <v/>
      </c>
      <c r="BS51" s="55" t="str">
        <f>IF($B51="","",IF(COUNTIF(BS$16:BS$21,$B51)&gt;0,COUNTA(BS$7:BS$15),0)+IF(COUNTIF(BS$37:BS$42,$B51)&gt;0,COUNTA(BS$27:BS$35),0))</f>
        <v/>
      </c>
      <c r="BT51" s="55" t="str">
        <f>IF($B51="","",IF(COUNTIF(BT$16:BT$21,$B51)&gt;0,COUNTA(BT$7:BT$15),0)+IF(COUNTIF(BT$37:BT$42,$B51)&gt;0,COUNTA(BT$27:BT$35),0))</f>
        <v/>
      </c>
      <c r="BU51" s="55" t="str">
        <f>IF($B51="","",IF(COUNTIF(BU$16:BU$21,$B51)&gt;0,COUNTA(BU$7:BU$15),0)+IF(COUNTIF(BU$37:BU$42,$B51)&gt;0,COUNTA(BU$27:BU$35),0))</f>
        <v/>
      </c>
      <c r="BV51" s="55" t="str">
        <f>IF($B51="","",IF(COUNTIF(BV$16:BV$21,$B51)&gt;0,COUNTA(BV$7:BV$15),0)+IF(COUNTIF(BV$37:BV$42,$B51)&gt;0,COUNTA(BV$27:BV$35),0))</f>
        <v/>
      </c>
      <c r="BW51" s="55" t="str">
        <f>IF($B51="","",IF(COUNTIF(BW$16:BW$21,$B51)&gt;0,COUNTA(BW$7:BW$15),0)+IF(COUNTIF(BW$37:BW$42,$B51)&gt;0,COUNTA(BW$27:BW$35),0))</f>
        <v/>
      </c>
      <c r="BX51" s="55" t="str">
        <f>IF($B51="","",IF(COUNTIF(BX$16:BX$21,$B51)&gt;0,COUNTA(BX$7:BX$15),0)+IF(COUNTIF(BX$37:BX$42,$B51)&gt;0,COUNTA(BX$27:BX$35),0))</f>
        <v/>
      </c>
      <c r="BY51" s="55" t="str">
        <f>IF($B51="","",IF(COUNTIF(BY$16:BY$21,$B51)&gt;0,COUNTA(BY$7:BY$15),0)+IF(COUNTIF(BY$37:BY$42,$B51)&gt;0,COUNTA(BY$27:BY$35),0))</f>
        <v/>
      </c>
      <c r="BZ51" s="55" t="str">
        <f>IF($B51="","",IF(COUNTIF(BZ$16:BZ$21,$B51)&gt;0,COUNTA(BZ$7:BZ$15),0)+IF(COUNTIF(BZ$37:BZ$42,$B51)&gt;0,COUNTA(BZ$27:BZ$35),0))</f>
        <v/>
      </c>
      <c r="CA51" s="55" t="str">
        <f>IF($B51="","",IF(COUNTIF(CA$16:CA$21,$B51)&gt;0,COUNTA(CA$7:CA$15),0)+IF(COUNTIF(CA$37:CA$42,$B51)&gt;0,COUNTA(CA$27:CA$35),0))</f>
        <v/>
      </c>
      <c r="CB51" s="55" t="str">
        <f>IF($B51="","",IF(COUNTIF(CB$16:CB$21,$B51)&gt;0,COUNTA(CB$7:CB$15),0)+IF(COUNTIF(CB$37:CB$42,$B51)&gt;0,COUNTA(CB$27:CB$35),0))</f>
        <v/>
      </c>
      <c r="CC51" s="55" t="str">
        <f>IF($B51="","",IF(COUNTIF(CC$16:CC$21,$B51)&gt;0,COUNTA(CC$7:CC$15),0)+IF(COUNTIF(CC$37:CC$42,$B51)&gt;0,COUNTA(CC$27:CC$35),0))</f>
        <v/>
      </c>
      <c r="CD51" s="55" t="str">
        <f>IF($B51="","",IF(COUNTIF(CD$16:CD$21,$B51)&gt;0,COUNTA(CD$7:CD$15),0)+IF(COUNTIF(CD$37:CD$42,$B51)&gt;0,COUNTA(CD$27:CD$35),0))</f>
        <v/>
      </c>
      <c r="CE51" s="55" t="str">
        <f>IF($B51="","",IF(COUNTIF(CE$16:CE$21,$B51)&gt;0,COUNTA(CE$7:CE$15),0)+IF(COUNTIF(CE$37:CE$42,$B51)&gt;0,COUNTA(CE$27:CE$35),0))</f>
        <v/>
      </c>
      <c r="CF51" s="55" t="str">
        <f>IF($B51="","",IF(COUNTIF(CF$16:CF$21,$B51)&gt;0,COUNTA(CF$7:CF$15),0)+IF(COUNTIF(CF$37:CF$42,$B51)&gt;0,COUNTA(CF$27:CF$35),0))</f>
        <v/>
      </c>
      <c r="CG51" s="55" t="str">
        <f>IF($B51="","",IF(COUNTIF(CG$16:CG$21,$B51)&gt;0,COUNTA(CG$7:CG$15),0)+IF(COUNTIF(CG$37:CG$42,$B51)&gt;0,COUNTA(CG$27:CG$35),0))</f>
        <v/>
      </c>
      <c r="CH51" s="55" t="str">
        <f>IF($B51="","",IF(COUNTIF(CH$16:CH$21,$B51)&gt;0,COUNTA(CH$7:CH$15),0)+IF(COUNTIF(CH$37:CH$42,$B51)&gt;0,COUNTA(CH$27:CH$35),0))</f>
        <v/>
      </c>
      <c r="CI51" s="55" t="str">
        <f>IF($B51="","",IF(COUNTIF(CI$16:CI$21,$B51)&gt;0,COUNTA(CI$7:CI$15),0)+IF(COUNTIF(CI$37:CI$42,$B51)&gt;0,COUNTA(CI$27:CI$35),0))</f>
        <v/>
      </c>
      <c r="CJ51" s="55" t="str">
        <f>IF($B51="","",IF(COUNTIF(CJ$16:CJ$21,$B51)&gt;0,COUNTA(CJ$7:CJ$15),0)+IF(COUNTIF(CJ$37:CJ$42,$B51)&gt;0,COUNTA(CJ$27:CJ$35),0))</f>
        <v/>
      </c>
      <c r="CK51" s="55" t="str">
        <f>IF($B51="","",IF(COUNTIF(CK$16:CK$21,$B51)&gt;0,COUNTA(CK$7:CK$15),0)+IF(COUNTIF(CK$37:CK$42,$B51)&gt;0,COUNTA(CK$27:CK$35),0))</f>
        <v/>
      </c>
      <c r="CL51" s="55" t="str">
        <f>IF($B51="","",IF(COUNTIF(CL$16:CL$21,$B51)&gt;0,COUNTA(CL$7:CL$15),0)+IF(COUNTIF(CL$37:CL$42,$B51)&gt;0,COUNTA(CL$27:CL$35),0))</f>
        <v/>
      </c>
      <c r="CM51" s="55" t="str">
        <f>IF($B51="","",IF(COUNTIF(CM$16:CM$21,$B51)&gt;0,COUNTA(CM$7:CM$15),0)+IF(COUNTIF(CM$37:CM$42,$B51)&gt;0,COUNTA(CM$27:CM$35),0))</f>
        <v/>
      </c>
      <c r="CN51" s="55" t="str">
        <f>IF($B51="","",IF(COUNTIF(CN$16:CN$21,$B51)&gt;0,COUNTA(CN$7:CN$15),0)+IF(COUNTIF(CN$37:CN$42,$B51)&gt;0,COUNTA(CN$27:CN$35),0))</f>
        <v/>
      </c>
      <c r="CO51" s="55" t="str">
        <f>IF($B51="","",IF(COUNTIF(CO$16:CO$21,$B51)&gt;0,COUNTA(CO$7:CO$15),0)+IF(COUNTIF(CO$37:CO$42,$B51)&gt;0,COUNTA(CO$27:CO$35),0))</f>
        <v/>
      </c>
      <c r="CP51" s="55" t="str">
        <f>IF($B51="","",IF(COUNTIF(CP$16:CP$21,$B51)&gt;0,COUNTA(CP$7:CP$15),0)+IF(COUNTIF(CP$37:CP$42,$B51)&gt;0,COUNTA(CP$27:CP$35),0))</f>
        <v/>
      </c>
      <c r="CQ51" s="55" t="str">
        <f>IF($B51="","",IF(COUNTIF(CQ$16:CQ$21,$B51)&gt;0,COUNTA(CQ$7:CQ$15),0)+IF(COUNTIF(CQ$37:CQ$42,$B51)&gt;0,COUNTA(CQ$27:CQ$35),0))</f>
        <v/>
      </c>
      <c r="CR51" s="55" t="str">
        <f>IF($B51="","",IF(COUNTIF(CR$16:CR$21,$B51)&gt;0,COUNTA(CR$7:CR$15),0)+IF(COUNTIF(CR$37:CR$42,$B51)&gt;0,COUNTA(CR$27:CR$35),0))</f>
        <v/>
      </c>
      <c r="CS51" s="55" t="str">
        <f>IF($B51="","",IF(COUNTIF(CS$16:CS$21,$B51)&gt;0,COUNTA(CS$7:CS$15),0)+IF(COUNTIF(CS$37:CS$42,$B51)&gt;0,COUNTA(CS$27:CS$35),0))</f>
        <v/>
      </c>
      <c r="CT51" s="55" t="str">
        <f>IF($B51="","",IF(COUNTIF(CT$16:CT$21,$B51)&gt;0,COUNTA(CT$7:CT$15),0)+IF(COUNTIF(CT$37:CT$42,$B51)&gt;0,COUNTA(CT$27:CT$35),0))</f>
        <v/>
      </c>
      <c r="CU51" s="55" t="str">
        <f>IF($B51="","",IF(COUNTIF(CU$16:CU$21,$B51)&gt;0,COUNTA(CU$7:CU$15),0)+IF(COUNTIF(CU$37:CU$42,$B51)&gt;0,COUNTA(CU$27:CU$35),0))</f>
        <v/>
      </c>
      <c r="CV51" s="55" t="str">
        <f>IF($B51="","",IF(COUNTIF(CV$16:CV$21,$B51)&gt;0,COUNTA(CV$7:CV$15),0)+IF(COUNTIF(CV$37:CV$42,$B51)&gt;0,COUNTA(CV$27:CV$35),0))</f>
        <v/>
      </c>
      <c r="CW51" s="55" t="str">
        <f>IF($B51="","",IF(COUNTIF(CW$16:CW$21,$B51)&gt;0,COUNTA(CW$7:CW$15),0)+IF(COUNTIF(CW$37:CW$42,$B51)&gt;0,COUNTA(CW$27:CW$35),0))</f>
        <v/>
      </c>
      <c r="CX51" s="55" t="str">
        <f>IF($B51="","",IF(COUNTIF(CX$16:CX$21,$B51)&gt;0,COUNTA(CX$7:CX$15),0)+IF(COUNTIF(CX$37:CX$42,$B51)&gt;0,COUNTA(CX$27:CX$35),0))</f>
        <v/>
      </c>
      <c r="CY51" s="55" t="str">
        <f>IF($B51="","",IF(COUNTIF(CY$16:CY$21,$B51)&gt;0,COUNTA(CY$7:CY$15),0)+IF(COUNTIF(CY$37:CY$42,$B51)&gt;0,COUNTA(CY$27:CY$35),0))</f>
        <v/>
      </c>
      <c r="CZ51" s="55" t="str">
        <f>IF($B51="","",IF(COUNTIF(CZ$16:CZ$21,$B51)&gt;0,COUNTA(CZ$7:CZ$15),0)+IF(COUNTIF(CZ$37:CZ$42,$B51)&gt;0,COUNTA(CZ$27:CZ$35),0))</f>
        <v/>
      </c>
      <c r="DA51" s="55" t="str">
        <f>IF($B51="","",IF(COUNTIF(DA$16:DA$21,$B51)&gt;0,COUNTA(DA$7:DA$15),0)+IF(COUNTIF(DA$37:DA$42,$B51)&gt;0,COUNTA(DA$27:DA$35),0))</f>
        <v/>
      </c>
      <c r="DB51" s="55" t="str">
        <f>IF($B51="","",IF(COUNTIF(DB$16:DB$21,$B51)&gt;0,COUNTA(DB$7:DB$15),0)+IF(COUNTIF(DB$37:DB$42,$B51)&gt;0,COUNTA(DB$27:DB$35),0))</f>
        <v/>
      </c>
      <c r="DC51" s="55" t="str">
        <f>IF($B51="","",IF(COUNTIF(DC$16:DC$21,$B51)&gt;0,COUNTA(DC$7:DC$15),0)+IF(COUNTIF(DC$37:DC$42,$B51)&gt;0,COUNTA(DC$27:DC$35),0))</f>
        <v/>
      </c>
      <c r="DD51" s="55" t="str">
        <f>IF($B51="","",IF(COUNTIF(DD$16:DD$21,$B51)&gt;0,COUNTA(DD$7:DD$15),0)+IF(COUNTIF(DD$37:DD$42,$B51)&gt;0,COUNTA(DD$27:DD$35),0))</f>
        <v/>
      </c>
      <c r="DE51" s="58" t="str">
        <f>IF($B51="","",IF(COUNTIF(DE$16:DE$21,$B51)&gt;0,COUNTA(DE$7:DE$15),0)+IF(COUNTIF(DE$37:DE$42,$B51)&gt;0,COUNTA(DE$27:DE$35),0))</f>
        <v/>
      </c>
    </row>
    <row r="52" spans="2:109" x14ac:dyDescent="0.2">
      <c r="B52" s="84" t="str">
        <f>IFERROR(INDEX(_xlfn._xlws.FILTER(Ressourcer!$B$1:$X$1,_xlfn.BYCOL(Ressourcer!$B$12:$X$15,_xlfn.LAMBDA(_xlpm.c,COUNTIF(_xlpm.c,"&lt;&gt;" )&gt;0))),ROWS($B$2:B9)),"")</f>
        <v/>
      </c>
      <c r="C52" s="79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)&gt;0))),_xlfn.LAMBDA(_xlpm.col,SUM(INDEX(Ressourcer!$B$12:$X$15,,_xlpm.col-COLUMN(Ressourcer!$B$12:$X$15)+1)))),ROWS($B$2:B9))/2,"")</f>
        <v/>
      </c>
      <c r="D52" s="106" t="str">
        <f t="shared" si="35"/>
        <v/>
      </c>
      <c r="E52" s="57" t="str">
        <f>IF($B52="","",IF(COUNTIF(E$16:E$21,$B52)&gt;0,COUNTA(E$7:E$15),0)+IF(COUNTIF(E$37:E$42,$B52)&gt;0,COUNTA(E$27:E$35),0))</f>
        <v/>
      </c>
      <c r="F52" s="55" t="str">
        <f>IF($B52="","",IF(COUNTIF(F$16:F$21,$B52)&gt;0,COUNTA(F$7:F$15),0)+IF(COUNTIF(F$37:F$42,$B52)&gt;0,COUNTA(F$27:F$35),0))</f>
        <v/>
      </c>
      <c r="G52" s="55" t="str">
        <f>IF($B52="","",IF(COUNTIF(G$16:G$21,$B52)&gt;0,COUNTA(G$7:G$15),0)+IF(COUNTIF(G$37:G$42,$B52)&gt;0,COUNTA(G$27:G$35),0))</f>
        <v/>
      </c>
      <c r="H52" s="55" t="str">
        <f>IF($B52="","",IF(COUNTIF(H$16:H$21,$B52)&gt;0,COUNTA(H$7:H$15),0)+IF(COUNTIF(H$37:H$42,$B52)&gt;0,COUNTA(H$27:H$35),0))</f>
        <v/>
      </c>
      <c r="I52" s="55" t="str">
        <f>IF($B52="","",IF(COUNTIF(I$16:I$21,$B52)&gt;0,COUNTA(I$7:I$15),0)+IF(COUNTIF(I$37:I$42,$B52)&gt;0,COUNTA(I$27:I$35),0))</f>
        <v/>
      </c>
      <c r="J52" s="55" t="str">
        <f>IF($B52="","",IF(COUNTIF(J$16:J$21,$B52)&gt;0,COUNTA(J$7:J$15),0)+IF(COUNTIF(J$37:J$42,$B52)&gt;0,COUNTA(J$27:J$35),0))</f>
        <v/>
      </c>
      <c r="K52" s="55" t="str">
        <f>IF($B52="","",IF(COUNTIF(K$16:K$21,$B52)&gt;0,COUNTA(K$7:K$15),0)+IF(COUNTIF(K$37:K$42,$B52)&gt;0,COUNTA(K$27:K$35),0))</f>
        <v/>
      </c>
      <c r="L52" s="55" t="str">
        <f>IF($B52="","",IF(COUNTIF(L$16:L$21,$B52)&gt;0,COUNTA(L$7:L$15),0)+IF(COUNTIF(L$37:L$42,$B52)&gt;0,COUNTA(L$27:L$35),0))</f>
        <v/>
      </c>
      <c r="M52" s="55" t="str">
        <f>IF($B52="","",IF(COUNTIF(M$16:M$21,$B52)&gt;0,COUNTA(M$7:M$15),0)+IF(COUNTIF(M$37:M$42,$B52)&gt;0,COUNTA(M$27:M$35),0))</f>
        <v/>
      </c>
      <c r="N52" s="55" t="str">
        <f>IF($B52="","",IF(COUNTIF(N$16:N$21,$B52)&gt;0,COUNTA(N$7:N$15),0)+IF(COUNTIF(N$37:N$42,$B52)&gt;0,COUNTA(N$27:N$35),0))</f>
        <v/>
      </c>
      <c r="O52" s="55" t="str">
        <f>IF($B52="","",IF(COUNTIF(O$16:O$21,$B52)&gt;0,COUNTA(O$7:O$15),0)+IF(COUNTIF(O$37:O$42,$B52)&gt;0,COUNTA(O$27:O$35),0))</f>
        <v/>
      </c>
      <c r="P52" s="55" t="str">
        <f>IF($B52="","",IF(COUNTIF(P$16:P$21,$B52)&gt;0,COUNTA(P$7:P$15),0)+IF(COUNTIF(P$37:P$42,$B52)&gt;0,COUNTA(P$27:P$35),0))</f>
        <v/>
      </c>
      <c r="Q52" s="55" t="str">
        <f>IF($B52="","",IF(COUNTIF(Q$16:Q$21,$B52)&gt;0,COUNTA(Q$7:Q$15),0)+IF(COUNTIF(Q$37:Q$42,$B52)&gt;0,COUNTA(Q$27:Q$35),0))</f>
        <v/>
      </c>
      <c r="R52" s="55" t="str">
        <f>IF($B52="","",IF(COUNTIF(R$16:R$21,$B52)&gt;0,COUNTA(R$7:R$15),0)+IF(COUNTIF(R$37:R$42,$B52)&gt;0,COUNTA(R$27:R$35),0))</f>
        <v/>
      </c>
      <c r="S52" s="55" t="str">
        <f>IF($B52="","",IF(COUNTIF(S$16:S$21,$B52)&gt;0,COUNTA(S$7:S$15),0)+IF(COUNTIF(S$37:S$42,$B52)&gt;0,COUNTA(S$27:S$35),0))</f>
        <v/>
      </c>
      <c r="T52" s="55" t="str">
        <f>IF($B52="","",IF(COUNTIF(T$16:T$21,$B52)&gt;0,COUNTA(T$7:T$15),0)+IF(COUNTIF(T$37:T$42,$B52)&gt;0,COUNTA(T$27:T$35),0))</f>
        <v/>
      </c>
      <c r="U52" s="55" t="str">
        <f>IF($B52="","",IF(COUNTIF(U$16:U$21,$B52)&gt;0,COUNTA(U$7:U$15),0)+IF(COUNTIF(U$37:U$42,$B52)&gt;0,COUNTA(U$27:U$35),0))</f>
        <v/>
      </c>
      <c r="V52" s="55" t="str">
        <f>IF($B52="","",IF(COUNTIF(V$16:V$21,$B52)&gt;0,COUNTA(V$7:V$15),0)+IF(COUNTIF(V$37:V$42,$B52)&gt;0,COUNTA(V$27:V$35),0))</f>
        <v/>
      </c>
      <c r="W52" s="55" t="str">
        <f>IF($B52="","",IF(COUNTIF(W$16:W$21,$B52)&gt;0,COUNTA(W$7:W$15),0)+IF(COUNTIF(W$37:W$42,$B52)&gt;0,COUNTA(W$27:W$35),0))</f>
        <v/>
      </c>
      <c r="X52" s="55" t="str">
        <f>IF($B52="","",IF(COUNTIF(X$16:X$21,$B52)&gt;0,COUNTA(X$7:X$15),0)+IF(COUNTIF(X$37:X$42,$B52)&gt;0,COUNTA(X$27:X$35),0))</f>
        <v/>
      </c>
      <c r="Y52" s="55" t="str">
        <f>IF($B52="","",IF(COUNTIF(Y$16:Y$21,$B52)&gt;0,COUNTA(Y$7:Y$15),0)+IF(COUNTIF(Y$37:Y$42,$B52)&gt;0,COUNTA(Y$27:Y$35),0))</f>
        <v/>
      </c>
      <c r="Z52" s="55" t="str">
        <f>IF($B52="","",IF(COUNTIF(Z$16:Z$21,$B52)&gt;0,COUNTA(Z$7:Z$15),0)+IF(COUNTIF(Z$37:Z$42,$B52)&gt;0,COUNTA(Z$27:Z$35),0))</f>
        <v/>
      </c>
      <c r="AA52" s="55" t="str">
        <f>IF($B52="","",IF(COUNTIF(AA$16:AA$21,$B52)&gt;0,COUNTA(AA$7:AA$15),0)+IF(COUNTIF(AA$37:AA$42,$B52)&gt;0,COUNTA(AA$27:AA$35),0))</f>
        <v/>
      </c>
      <c r="AB52" s="55" t="str">
        <f>IF($B52="","",IF(COUNTIF(AB$16:AB$21,$B52)&gt;0,COUNTA(AB$7:AB$15),0)+IF(COUNTIF(AB$37:AB$42,$B52)&gt;0,COUNTA(AB$27:AB$35),0))</f>
        <v/>
      </c>
      <c r="AC52" s="55" t="str">
        <f>IF($B52="","",IF(COUNTIF(AC$16:AC$21,$B52)&gt;0,COUNTA(AC$7:AC$15),0)+IF(COUNTIF(AC$37:AC$42,$B52)&gt;0,COUNTA(AC$27:AC$35),0))</f>
        <v/>
      </c>
      <c r="AD52" s="55" t="str">
        <f>IF($B52="","",IF(COUNTIF(AD$16:AD$21,$B52)&gt;0,COUNTA(AD$7:AD$15),0)+IF(COUNTIF(AD$37:AD$42,$B52)&gt;0,COUNTA(AD$27:AD$35),0))</f>
        <v/>
      </c>
      <c r="AE52" s="55" t="str">
        <f>IF($B52="","",IF(COUNTIF(AE$16:AE$21,$B52)&gt;0,COUNTA(AE$7:AE$15),0)+IF(COUNTIF(AE$37:AE$42,$B52)&gt;0,COUNTA(AE$27:AE$35),0))</f>
        <v/>
      </c>
      <c r="AF52" s="55" t="str">
        <f>IF($B52="","",IF(COUNTIF(AF$16:AF$21,$B52)&gt;0,COUNTA(AF$7:AF$15),0)+IF(COUNTIF(AF$37:AF$42,$B52)&gt;0,COUNTA(AF$27:AF$35),0))</f>
        <v/>
      </c>
      <c r="AG52" s="55" t="str">
        <f>IF($B52="","",IF(COUNTIF(AG$16:AG$21,$B52)&gt;0,COUNTA(AG$7:AG$15),0)+IF(COUNTIF(AG$37:AG$42,$B52)&gt;0,COUNTA(AG$27:AG$35),0))</f>
        <v/>
      </c>
      <c r="AH52" s="55" t="str">
        <f>IF($B52="","",IF(COUNTIF(AH$16:AH$21,$B52)&gt;0,COUNTA(AH$7:AH$15),0)+IF(COUNTIF(AH$37:AH$42,$B52)&gt;0,COUNTA(AH$27:AH$35),0))</f>
        <v/>
      </c>
      <c r="AI52" s="55" t="str">
        <f>IF($B52="","",IF(COUNTIF(AI$16:AI$21,$B52)&gt;0,COUNTA(AI$7:AI$15),0)+IF(COUNTIF(AI$37:AI$42,$B52)&gt;0,COUNTA(AI$27:AI$35),0))</f>
        <v/>
      </c>
      <c r="AJ52" s="55" t="str">
        <f>IF($B52="","",IF(COUNTIF(AJ$16:AJ$21,$B52)&gt;0,COUNTA(AJ$7:AJ$15),0)+IF(COUNTIF(AJ$37:AJ$42,$B52)&gt;0,COUNTA(AJ$27:AJ$35),0))</f>
        <v/>
      </c>
      <c r="AK52" s="55" t="str">
        <f>IF($B52="","",IF(COUNTIF(AK$16:AK$21,$B52)&gt;0,COUNTA(AK$7:AK$15),0)+IF(COUNTIF(AK$37:AK$42,$B52)&gt;0,COUNTA(AK$27:AK$35),0))</f>
        <v/>
      </c>
      <c r="AL52" s="55" t="str">
        <f>IF($B52="","",IF(COUNTIF(AL$16:AL$21,$B52)&gt;0,COUNTA(AL$7:AL$15),0)+IF(COUNTIF(AL$37:AL$42,$B52)&gt;0,COUNTA(AL$27:AL$35),0))</f>
        <v/>
      </c>
      <c r="AM52" s="55" t="str">
        <f>IF($B52="","",IF(COUNTIF(AM$16:AM$21,$B52)&gt;0,COUNTA(AM$7:AM$15),0)+IF(COUNTIF(AM$37:AM$42,$B52)&gt;0,COUNTA(AM$27:AM$35),0))</f>
        <v/>
      </c>
      <c r="AN52" s="55" t="str">
        <f>IF($B52="","",IF(COUNTIF(AN$16:AN$21,$B52)&gt;0,COUNTA(AN$7:AN$15),0)+IF(COUNTIF(AN$37:AN$42,$B52)&gt;0,COUNTA(AN$27:AN$35),0))</f>
        <v/>
      </c>
      <c r="AO52" s="55" t="str">
        <f>IF($B52="","",IF(COUNTIF(AO$16:AO$21,$B52)&gt;0,COUNTA(AO$7:AO$15),0)+IF(COUNTIF(AO$37:AO$42,$B52)&gt;0,COUNTA(AO$27:AO$35),0))</f>
        <v/>
      </c>
      <c r="AP52" s="55" t="str">
        <f>IF($B52="","",IF(COUNTIF(AP$16:AP$21,$B52)&gt;0,COUNTA(AP$7:AP$15),0)+IF(COUNTIF(AP$37:AP$42,$B52)&gt;0,COUNTA(AP$27:AP$35),0))</f>
        <v/>
      </c>
      <c r="AQ52" s="55" t="str">
        <f>IF($B52="","",IF(COUNTIF(AQ$16:AQ$21,$B52)&gt;0,COUNTA(AQ$7:AQ$15),0)+IF(COUNTIF(AQ$37:AQ$42,$B52)&gt;0,COUNTA(AQ$27:AQ$35),0))</f>
        <v/>
      </c>
      <c r="AR52" s="55" t="str">
        <f>IF($B52="","",IF(COUNTIF(AR$16:AR$21,$B52)&gt;0,COUNTA(AR$7:AR$15),0)+IF(COUNTIF(AR$37:AR$42,$B52)&gt;0,COUNTA(AR$27:AR$35),0))</f>
        <v/>
      </c>
      <c r="AS52" s="55" t="str">
        <f>IF($B52="","",IF(COUNTIF(AS$16:AS$21,$B52)&gt;0,COUNTA(AS$7:AS$15),0)+IF(COUNTIF(AS$37:AS$42,$B52)&gt;0,COUNTA(AS$27:AS$35),0))</f>
        <v/>
      </c>
      <c r="AT52" s="55" t="str">
        <f>IF($B52="","",IF(COUNTIF(AT$16:AT$21,$B52)&gt;0,COUNTA(AT$7:AT$15),0)+IF(COUNTIF(AT$37:AT$42,$B52)&gt;0,COUNTA(AT$27:AT$35),0))</f>
        <v/>
      </c>
      <c r="AU52" s="55" t="str">
        <f>IF($B52="","",IF(COUNTIF(AU$16:AU$21,$B52)&gt;0,COUNTA(AU$7:AU$15),0)+IF(COUNTIF(AU$37:AU$42,$B52)&gt;0,COUNTA(AU$27:AU$35),0))</f>
        <v/>
      </c>
      <c r="AV52" s="55" t="str">
        <f>IF($B52="","",IF(COUNTIF(AV$16:AV$21,$B52)&gt;0,COUNTA(AV$7:AV$15),0)+IF(COUNTIF(AV$37:AV$42,$B52)&gt;0,COUNTA(AV$27:AV$35),0))</f>
        <v/>
      </c>
      <c r="AW52" s="55" t="str">
        <f>IF($B52="","",IF(COUNTIF(AW$16:AW$21,$B52)&gt;0,COUNTA(AW$7:AW$15),0)+IF(COUNTIF(AW$37:AW$42,$B52)&gt;0,COUNTA(AW$27:AW$35),0))</f>
        <v/>
      </c>
      <c r="AX52" s="55" t="str">
        <f>IF($B52="","",IF(COUNTIF(AX$16:AX$21,$B52)&gt;0,COUNTA(AX$7:AX$15),0)+IF(COUNTIF(AX$37:AX$42,$B52)&gt;0,COUNTA(AX$27:AX$35),0))</f>
        <v/>
      </c>
      <c r="AY52" s="55" t="str">
        <f>IF($B52="","",IF(COUNTIF(AY$16:AY$21,$B52)&gt;0,COUNTA(AY$7:AY$15),0)+IF(COUNTIF(AY$37:AY$42,$B52)&gt;0,COUNTA(AY$27:AY$35),0))</f>
        <v/>
      </c>
      <c r="AZ52" s="55" t="str">
        <f>IF($B52="","",IF(COUNTIF(AZ$16:AZ$21,$B52)&gt;0,COUNTA(AZ$7:AZ$15),0)+IF(COUNTIF(AZ$37:AZ$42,$B52)&gt;0,COUNTA(AZ$27:AZ$35),0))</f>
        <v/>
      </c>
      <c r="BA52" s="55" t="str">
        <f>IF($B52="","",IF(COUNTIF(BA$16:BA$21,$B52)&gt;0,COUNTA(BA$7:BA$15),0)+IF(COUNTIF(BA$37:BA$42,$B52)&gt;0,COUNTA(BA$27:BA$35),0))</f>
        <v/>
      </c>
      <c r="BB52" s="55" t="str">
        <f>IF($B52="","",IF(COUNTIF(BB$16:BB$21,$B52)&gt;0,COUNTA(BB$7:BB$15),0)+IF(COUNTIF(BB$37:BB$42,$B52)&gt;0,COUNTA(BB$27:BB$35),0))</f>
        <v/>
      </c>
      <c r="BC52" s="55" t="str">
        <f>IF($B52="","",IF(COUNTIF(BC$16:BC$21,$B52)&gt;0,COUNTA(BC$7:BC$15),0)+IF(COUNTIF(BC$37:BC$42,$B52)&gt;0,COUNTA(BC$27:BC$35),0))</f>
        <v/>
      </c>
      <c r="BD52" s="55" t="str">
        <f>IF($B52="","",IF(COUNTIF(BD$16:BD$21,$B52)&gt;0,COUNTA(BD$7:BD$15),0)+IF(COUNTIF(BD$37:BD$42,$B52)&gt;0,COUNTA(BD$27:BD$35),0))</f>
        <v/>
      </c>
      <c r="BE52" s="55" t="str">
        <f>IF($B52="","",IF(COUNTIF(BE$16:BE$21,$B52)&gt;0,COUNTA(BE$7:BE$15),0)+IF(COUNTIF(BE$37:BE$42,$B52)&gt;0,COUNTA(BE$27:BE$35),0))</f>
        <v/>
      </c>
      <c r="BF52" s="55" t="str">
        <f>IF($B52="","",IF(COUNTIF(BF$16:BF$21,$B52)&gt;0,COUNTA(BF$7:BF$15),0)+IF(COUNTIF(BF$37:BF$42,$B52)&gt;0,COUNTA(BF$27:BF$35),0))</f>
        <v/>
      </c>
      <c r="BG52" s="55" t="str">
        <f>IF($B52="","",IF(COUNTIF(BG$16:BG$21,$B52)&gt;0,COUNTA(BG$7:BG$15),0)+IF(COUNTIF(BG$37:BG$42,$B52)&gt;0,COUNTA(BG$27:BG$35),0))</f>
        <v/>
      </c>
      <c r="BH52" s="55" t="str">
        <f>IF($B52="","",IF(COUNTIF(BH$16:BH$21,$B52)&gt;0,COUNTA(BH$7:BH$15),0)+IF(COUNTIF(BH$37:BH$42,$B52)&gt;0,COUNTA(BH$27:BH$35),0))</f>
        <v/>
      </c>
      <c r="BI52" s="55" t="str">
        <f>IF($B52="","",IF(COUNTIF(BI$16:BI$21,$B52)&gt;0,COUNTA(BI$7:BI$15),0)+IF(COUNTIF(BI$37:BI$42,$B52)&gt;0,COUNTA(BI$27:BI$35),0))</f>
        <v/>
      </c>
      <c r="BJ52" s="55" t="str">
        <f>IF($B52="","",IF(COUNTIF(BJ$16:BJ$21,$B52)&gt;0,COUNTA(BJ$7:BJ$15),0)+IF(COUNTIF(BJ$37:BJ$42,$B52)&gt;0,COUNTA(BJ$27:BJ$35),0))</f>
        <v/>
      </c>
      <c r="BK52" s="55" t="str">
        <f>IF($B52="","",IF(COUNTIF(BK$16:BK$21,$B52)&gt;0,COUNTA(BK$7:BK$15),0)+IF(COUNTIF(BK$37:BK$42,$B52)&gt;0,COUNTA(BK$27:BK$35),0))</f>
        <v/>
      </c>
      <c r="BL52" s="55" t="str">
        <f>IF($B52="","",IF(COUNTIF(BL$16:BL$21,$B52)&gt;0,COUNTA(BL$7:BL$15),0)+IF(COUNTIF(BL$37:BL$42,$B52)&gt;0,COUNTA(BL$27:BL$35),0))</f>
        <v/>
      </c>
      <c r="BM52" s="55" t="str">
        <f>IF($B52="","",IF(COUNTIF(BM$16:BM$21,$B52)&gt;0,COUNTA(BM$7:BM$15),0)+IF(COUNTIF(BM$37:BM$42,$B52)&gt;0,COUNTA(BM$27:BM$35),0))</f>
        <v/>
      </c>
      <c r="BN52" s="55" t="str">
        <f>IF($B52="","",IF(COUNTIF(BN$16:BN$21,$B52)&gt;0,COUNTA(BN$7:BN$15),0)+IF(COUNTIF(BN$37:BN$42,$B52)&gt;0,COUNTA(BN$27:BN$35),0))</f>
        <v/>
      </c>
      <c r="BO52" s="55" t="str">
        <f>IF($B52="","",IF(COUNTIF(BO$16:BO$21,$B52)&gt;0,COUNTA(BO$7:BO$15),0)+IF(COUNTIF(BO$37:BO$42,$B52)&gt;0,COUNTA(BO$27:BO$35),0))</f>
        <v/>
      </c>
      <c r="BP52" s="55" t="str">
        <f>IF($B52="","",IF(COUNTIF(BP$16:BP$21,$B52)&gt;0,COUNTA(BP$7:BP$15),0)+IF(COUNTIF(BP$37:BP$42,$B52)&gt;0,COUNTA(BP$27:BP$35),0))</f>
        <v/>
      </c>
      <c r="BQ52" s="55" t="str">
        <f>IF($B52="","",IF(COUNTIF(BQ$16:BQ$21,$B52)&gt;0,COUNTA(BQ$7:BQ$15),0)+IF(COUNTIF(BQ$37:BQ$42,$B52)&gt;0,COUNTA(BQ$27:BQ$35),0))</f>
        <v/>
      </c>
      <c r="BR52" s="55" t="str">
        <f>IF($B52="","",IF(COUNTIF(BR$16:BR$21,$B52)&gt;0,COUNTA(BR$7:BR$15),0)+IF(COUNTIF(BR$37:BR$42,$B52)&gt;0,COUNTA(BR$27:BR$35),0))</f>
        <v/>
      </c>
      <c r="BS52" s="55" t="str">
        <f>IF($B52="","",IF(COUNTIF(BS$16:BS$21,$B52)&gt;0,COUNTA(BS$7:BS$15),0)+IF(COUNTIF(BS$37:BS$42,$B52)&gt;0,COUNTA(BS$27:BS$35),0))</f>
        <v/>
      </c>
      <c r="BT52" s="55" t="str">
        <f>IF($B52="","",IF(COUNTIF(BT$16:BT$21,$B52)&gt;0,COUNTA(BT$7:BT$15),0)+IF(COUNTIF(BT$37:BT$42,$B52)&gt;0,COUNTA(BT$27:BT$35),0))</f>
        <v/>
      </c>
      <c r="BU52" s="55" t="str">
        <f>IF($B52="","",IF(COUNTIF(BU$16:BU$21,$B52)&gt;0,COUNTA(BU$7:BU$15),0)+IF(COUNTIF(BU$37:BU$42,$B52)&gt;0,COUNTA(BU$27:BU$35),0))</f>
        <v/>
      </c>
      <c r="BV52" s="55" t="str">
        <f>IF($B52="","",IF(COUNTIF(BV$16:BV$21,$B52)&gt;0,COUNTA(BV$7:BV$15),0)+IF(COUNTIF(BV$37:BV$42,$B52)&gt;0,COUNTA(BV$27:BV$35),0))</f>
        <v/>
      </c>
      <c r="BW52" s="55" t="str">
        <f>IF($B52="","",IF(COUNTIF(BW$16:BW$21,$B52)&gt;0,COUNTA(BW$7:BW$15),0)+IF(COUNTIF(BW$37:BW$42,$B52)&gt;0,COUNTA(BW$27:BW$35),0))</f>
        <v/>
      </c>
      <c r="BX52" s="55" t="str">
        <f>IF($B52="","",IF(COUNTIF(BX$16:BX$21,$B52)&gt;0,COUNTA(BX$7:BX$15),0)+IF(COUNTIF(BX$37:BX$42,$B52)&gt;0,COUNTA(BX$27:BX$35),0))</f>
        <v/>
      </c>
      <c r="BY52" s="55" t="str">
        <f>IF($B52="","",IF(COUNTIF(BY$16:BY$21,$B52)&gt;0,COUNTA(BY$7:BY$15),0)+IF(COUNTIF(BY$37:BY$42,$B52)&gt;0,COUNTA(BY$27:BY$35),0))</f>
        <v/>
      </c>
      <c r="BZ52" s="55" t="str">
        <f>IF($B52="","",IF(COUNTIF(BZ$16:BZ$21,$B52)&gt;0,COUNTA(BZ$7:BZ$15),0)+IF(COUNTIF(BZ$37:BZ$42,$B52)&gt;0,COUNTA(BZ$27:BZ$35),0))</f>
        <v/>
      </c>
      <c r="CA52" s="55" t="str">
        <f>IF($B52="","",IF(COUNTIF(CA$16:CA$21,$B52)&gt;0,COUNTA(CA$7:CA$15),0)+IF(COUNTIF(CA$37:CA$42,$B52)&gt;0,COUNTA(CA$27:CA$35),0))</f>
        <v/>
      </c>
      <c r="CB52" s="55" t="str">
        <f>IF($B52="","",IF(COUNTIF(CB$16:CB$21,$B52)&gt;0,COUNTA(CB$7:CB$15),0)+IF(COUNTIF(CB$37:CB$42,$B52)&gt;0,COUNTA(CB$27:CB$35),0))</f>
        <v/>
      </c>
      <c r="CC52" s="55" t="str">
        <f>IF($B52="","",IF(COUNTIF(CC$16:CC$21,$B52)&gt;0,COUNTA(CC$7:CC$15),0)+IF(COUNTIF(CC$37:CC$42,$B52)&gt;0,COUNTA(CC$27:CC$35),0))</f>
        <v/>
      </c>
      <c r="CD52" s="55" t="str">
        <f>IF($B52="","",IF(COUNTIF(CD$16:CD$21,$B52)&gt;0,COUNTA(CD$7:CD$15),0)+IF(COUNTIF(CD$37:CD$42,$B52)&gt;0,COUNTA(CD$27:CD$35),0))</f>
        <v/>
      </c>
      <c r="CE52" s="55" t="str">
        <f>IF($B52="","",IF(COUNTIF(CE$16:CE$21,$B52)&gt;0,COUNTA(CE$7:CE$15),0)+IF(COUNTIF(CE$37:CE$42,$B52)&gt;0,COUNTA(CE$27:CE$35),0))</f>
        <v/>
      </c>
      <c r="CF52" s="55" t="str">
        <f>IF($B52="","",IF(COUNTIF(CF$16:CF$21,$B52)&gt;0,COUNTA(CF$7:CF$15),0)+IF(COUNTIF(CF$37:CF$42,$B52)&gt;0,COUNTA(CF$27:CF$35),0))</f>
        <v/>
      </c>
      <c r="CG52" s="55" t="str">
        <f>IF($B52="","",IF(COUNTIF(CG$16:CG$21,$B52)&gt;0,COUNTA(CG$7:CG$15),0)+IF(COUNTIF(CG$37:CG$42,$B52)&gt;0,COUNTA(CG$27:CG$35),0))</f>
        <v/>
      </c>
      <c r="CH52" s="55" t="str">
        <f>IF($B52="","",IF(COUNTIF(CH$16:CH$21,$B52)&gt;0,COUNTA(CH$7:CH$15),0)+IF(COUNTIF(CH$37:CH$42,$B52)&gt;0,COUNTA(CH$27:CH$35),0))</f>
        <v/>
      </c>
      <c r="CI52" s="55" t="str">
        <f>IF($B52="","",IF(COUNTIF(CI$16:CI$21,$B52)&gt;0,COUNTA(CI$7:CI$15),0)+IF(COUNTIF(CI$37:CI$42,$B52)&gt;0,COUNTA(CI$27:CI$35),0))</f>
        <v/>
      </c>
      <c r="CJ52" s="55" t="str">
        <f>IF($B52="","",IF(COUNTIF(CJ$16:CJ$21,$B52)&gt;0,COUNTA(CJ$7:CJ$15),0)+IF(COUNTIF(CJ$37:CJ$42,$B52)&gt;0,COUNTA(CJ$27:CJ$35),0))</f>
        <v/>
      </c>
      <c r="CK52" s="55" t="str">
        <f>IF($B52="","",IF(COUNTIF(CK$16:CK$21,$B52)&gt;0,COUNTA(CK$7:CK$15),0)+IF(COUNTIF(CK$37:CK$42,$B52)&gt;0,COUNTA(CK$27:CK$35),0))</f>
        <v/>
      </c>
      <c r="CL52" s="55" t="str">
        <f>IF($B52="","",IF(COUNTIF(CL$16:CL$21,$B52)&gt;0,COUNTA(CL$7:CL$15),0)+IF(COUNTIF(CL$37:CL$42,$B52)&gt;0,COUNTA(CL$27:CL$35),0))</f>
        <v/>
      </c>
      <c r="CM52" s="55" t="str">
        <f>IF($B52="","",IF(COUNTIF(CM$16:CM$21,$B52)&gt;0,COUNTA(CM$7:CM$15),0)+IF(COUNTIF(CM$37:CM$42,$B52)&gt;0,COUNTA(CM$27:CM$35),0))</f>
        <v/>
      </c>
      <c r="CN52" s="55" t="str">
        <f>IF($B52="","",IF(COUNTIF(CN$16:CN$21,$B52)&gt;0,COUNTA(CN$7:CN$15),0)+IF(COUNTIF(CN$37:CN$42,$B52)&gt;0,COUNTA(CN$27:CN$35),0))</f>
        <v/>
      </c>
      <c r="CO52" s="55" t="str">
        <f>IF($B52="","",IF(COUNTIF(CO$16:CO$21,$B52)&gt;0,COUNTA(CO$7:CO$15),0)+IF(COUNTIF(CO$37:CO$42,$B52)&gt;0,COUNTA(CO$27:CO$35),0))</f>
        <v/>
      </c>
      <c r="CP52" s="55" t="str">
        <f>IF($B52="","",IF(COUNTIF(CP$16:CP$21,$B52)&gt;0,COUNTA(CP$7:CP$15),0)+IF(COUNTIF(CP$37:CP$42,$B52)&gt;0,COUNTA(CP$27:CP$35),0))</f>
        <v/>
      </c>
      <c r="CQ52" s="55" t="str">
        <f>IF($B52="","",IF(COUNTIF(CQ$16:CQ$21,$B52)&gt;0,COUNTA(CQ$7:CQ$15),0)+IF(COUNTIF(CQ$37:CQ$42,$B52)&gt;0,COUNTA(CQ$27:CQ$35),0))</f>
        <v/>
      </c>
      <c r="CR52" s="55" t="str">
        <f>IF($B52="","",IF(COUNTIF(CR$16:CR$21,$B52)&gt;0,COUNTA(CR$7:CR$15),0)+IF(COUNTIF(CR$37:CR$42,$B52)&gt;0,COUNTA(CR$27:CR$35),0))</f>
        <v/>
      </c>
      <c r="CS52" s="55" t="str">
        <f>IF($B52="","",IF(COUNTIF(CS$16:CS$21,$B52)&gt;0,COUNTA(CS$7:CS$15),0)+IF(COUNTIF(CS$37:CS$42,$B52)&gt;0,COUNTA(CS$27:CS$35),0))</f>
        <v/>
      </c>
      <c r="CT52" s="55" t="str">
        <f>IF($B52="","",IF(COUNTIF(CT$16:CT$21,$B52)&gt;0,COUNTA(CT$7:CT$15),0)+IF(COUNTIF(CT$37:CT$42,$B52)&gt;0,COUNTA(CT$27:CT$35),0))</f>
        <v/>
      </c>
      <c r="CU52" s="55" t="str">
        <f>IF($B52="","",IF(COUNTIF(CU$16:CU$21,$B52)&gt;0,COUNTA(CU$7:CU$15),0)+IF(COUNTIF(CU$37:CU$42,$B52)&gt;0,COUNTA(CU$27:CU$35),0))</f>
        <v/>
      </c>
      <c r="CV52" s="55" t="str">
        <f>IF($B52="","",IF(COUNTIF(CV$16:CV$21,$B52)&gt;0,COUNTA(CV$7:CV$15),0)+IF(COUNTIF(CV$37:CV$42,$B52)&gt;0,COUNTA(CV$27:CV$35),0))</f>
        <v/>
      </c>
      <c r="CW52" s="55" t="str">
        <f>IF($B52="","",IF(COUNTIF(CW$16:CW$21,$B52)&gt;0,COUNTA(CW$7:CW$15),0)+IF(COUNTIF(CW$37:CW$42,$B52)&gt;0,COUNTA(CW$27:CW$35),0))</f>
        <v/>
      </c>
      <c r="CX52" s="55" t="str">
        <f>IF($B52="","",IF(COUNTIF(CX$16:CX$21,$B52)&gt;0,COUNTA(CX$7:CX$15),0)+IF(COUNTIF(CX$37:CX$42,$B52)&gt;0,COUNTA(CX$27:CX$35),0))</f>
        <v/>
      </c>
      <c r="CY52" s="55" t="str">
        <f>IF($B52="","",IF(COUNTIF(CY$16:CY$21,$B52)&gt;0,COUNTA(CY$7:CY$15),0)+IF(COUNTIF(CY$37:CY$42,$B52)&gt;0,COUNTA(CY$27:CY$35),0))</f>
        <v/>
      </c>
      <c r="CZ52" s="55" t="str">
        <f>IF($B52="","",IF(COUNTIF(CZ$16:CZ$21,$B52)&gt;0,COUNTA(CZ$7:CZ$15),0)+IF(COUNTIF(CZ$37:CZ$42,$B52)&gt;0,COUNTA(CZ$27:CZ$35),0))</f>
        <v/>
      </c>
      <c r="DA52" s="55" t="str">
        <f>IF($B52="","",IF(COUNTIF(DA$16:DA$21,$B52)&gt;0,COUNTA(DA$7:DA$15),0)+IF(COUNTIF(DA$37:DA$42,$B52)&gt;0,COUNTA(DA$27:DA$35),0))</f>
        <v/>
      </c>
      <c r="DB52" s="55" t="str">
        <f>IF($B52="","",IF(COUNTIF(DB$16:DB$21,$B52)&gt;0,COUNTA(DB$7:DB$15),0)+IF(COUNTIF(DB$37:DB$42,$B52)&gt;0,COUNTA(DB$27:DB$35),0))</f>
        <v/>
      </c>
      <c r="DC52" s="55" t="str">
        <f>IF($B52="","",IF(COUNTIF(DC$16:DC$21,$B52)&gt;0,COUNTA(DC$7:DC$15),0)+IF(COUNTIF(DC$37:DC$42,$B52)&gt;0,COUNTA(DC$27:DC$35),0))</f>
        <v/>
      </c>
      <c r="DD52" s="55" t="str">
        <f>IF($B52="","",IF(COUNTIF(DD$16:DD$21,$B52)&gt;0,COUNTA(DD$7:DD$15),0)+IF(COUNTIF(DD$37:DD$42,$B52)&gt;0,COUNTA(DD$27:DD$35),0))</f>
        <v/>
      </c>
      <c r="DE52" s="58" t="str">
        <f>IF($B52="","",IF(COUNTIF(DE$16:DE$21,$B52)&gt;0,COUNTA(DE$7:DE$15),0)+IF(COUNTIF(DE$37:DE$42,$B52)&gt;0,COUNTA(DE$27:DE$35),0))</f>
        <v/>
      </c>
    </row>
    <row r="53" spans="2:109" x14ac:dyDescent="0.2">
      <c r="B53" s="84" t="str">
        <f>IFERROR(INDEX(_xlfn._xlws.FILTER(Ressourcer!$B$1:$X$1,_xlfn.BYCOL(Ressourcer!$B$12:$X$15,_xlfn.LAMBDA(_xlpm.c,COUNTIF(_xlpm.c,"&lt;&gt;" )&gt;0))),ROWS($B$2:B10)),"")</f>
        <v/>
      </c>
      <c r="C53" s="79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)&gt;0))),_xlfn.LAMBDA(_xlpm.col,SUM(INDEX(Ressourcer!$B$12:$X$15,,_xlpm.col-COLUMN(Ressourcer!$B$12:$X$15)+1)))),ROWS($B$2:B10))/2,"")</f>
        <v/>
      </c>
      <c r="D53" s="106" t="str">
        <f t="shared" si="35"/>
        <v/>
      </c>
      <c r="E53" s="57" t="str">
        <f>IF($B53="","",IF(COUNTIF(E$16:E$21,$B53)&gt;0,COUNTA(E$7:E$15),0)+IF(COUNTIF(E$37:E$42,$B53)&gt;0,COUNTA(E$27:E$35),0))</f>
        <v/>
      </c>
      <c r="F53" s="55" t="str">
        <f>IF($B53="","",IF(COUNTIF(F$16:F$21,$B53)&gt;0,COUNTA(F$7:F$15),0)+IF(COUNTIF(F$37:F$42,$B53)&gt;0,COUNTA(F$27:F$35),0))</f>
        <v/>
      </c>
      <c r="G53" s="55" t="str">
        <f>IF($B53="","",IF(COUNTIF(G$16:G$21,$B53)&gt;0,COUNTA(G$7:G$15),0)+IF(COUNTIF(G$37:G$42,$B53)&gt;0,COUNTA(G$27:G$35),0))</f>
        <v/>
      </c>
      <c r="H53" s="55" t="str">
        <f>IF($B53="","",IF(COUNTIF(H$16:H$21,$B53)&gt;0,COUNTA(H$7:H$15),0)+IF(COUNTIF(H$37:H$42,$B53)&gt;0,COUNTA(H$27:H$35),0))</f>
        <v/>
      </c>
      <c r="I53" s="55" t="str">
        <f>IF($B53="","",IF(COUNTIF(I$16:I$21,$B53)&gt;0,COUNTA(I$7:I$15),0)+IF(COUNTIF(I$37:I$42,$B53)&gt;0,COUNTA(I$27:I$35),0))</f>
        <v/>
      </c>
      <c r="J53" s="55" t="str">
        <f>IF($B53="","",IF(COUNTIF(J$16:J$21,$B53)&gt;0,COUNTA(J$7:J$15),0)+IF(COUNTIF(J$37:J$42,$B53)&gt;0,COUNTA(J$27:J$35),0))</f>
        <v/>
      </c>
      <c r="K53" s="55" t="str">
        <f>IF($B53="","",IF(COUNTIF(K$16:K$21,$B53)&gt;0,COUNTA(K$7:K$15),0)+IF(COUNTIF(K$37:K$42,$B53)&gt;0,COUNTA(K$27:K$35),0))</f>
        <v/>
      </c>
      <c r="L53" s="55" t="str">
        <f>IF($B53="","",IF(COUNTIF(L$16:L$21,$B53)&gt;0,COUNTA(L$7:L$15),0)+IF(COUNTIF(L$37:L$42,$B53)&gt;0,COUNTA(L$27:L$35),0))</f>
        <v/>
      </c>
      <c r="M53" s="55" t="str">
        <f>IF($B53="","",IF(COUNTIF(M$16:M$21,$B53)&gt;0,COUNTA(M$7:M$15),0)+IF(COUNTIF(M$37:M$42,$B53)&gt;0,COUNTA(M$27:M$35),0))</f>
        <v/>
      </c>
      <c r="N53" s="55" t="str">
        <f>IF($B53="","",IF(COUNTIF(N$16:N$21,$B53)&gt;0,COUNTA(N$7:N$15),0)+IF(COUNTIF(N$37:N$42,$B53)&gt;0,COUNTA(N$27:N$35),0))</f>
        <v/>
      </c>
      <c r="O53" s="55" t="str">
        <f>IF($B53="","",IF(COUNTIF(O$16:O$21,$B53)&gt;0,COUNTA(O$7:O$15),0)+IF(COUNTIF(O$37:O$42,$B53)&gt;0,COUNTA(O$27:O$35),0))</f>
        <v/>
      </c>
      <c r="P53" s="55" t="str">
        <f>IF($B53="","",IF(COUNTIF(P$16:P$21,$B53)&gt;0,COUNTA(P$7:P$15),0)+IF(COUNTIF(P$37:P$42,$B53)&gt;0,COUNTA(P$27:P$35),0))</f>
        <v/>
      </c>
      <c r="Q53" s="55" t="str">
        <f>IF($B53="","",IF(COUNTIF(Q$16:Q$21,$B53)&gt;0,COUNTA(Q$7:Q$15),0)+IF(COUNTIF(Q$37:Q$42,$B53)&gt;0,COUNTA(Q$27:Q$35),0))</f>
        <v/>
      </c>
      <c r="R53" s="55" t="str">
        <f>IF($B53="","",IF(COUNTIF(R$16:R$21,$B53)&gt;0,COUNTA(R$7:R$15),0)+IF(COUNTIF(R$37:R$42,$B53)&gt;0,COUNTA(R$27:R$35),0))</f>
        <v/>
      </c>
      <c r="S53" s="55" t="str">
        <f>IF($B53="","",IF(COUNTIF(S$16:S$21,$B53)&gt;0,COUNTA(S$7:S$15),0)+IF(COUNTIF(S$37:S$42,$B53)&gt;0,COUNTA(S$27:S$35),0))</f>
        <v/>
      </c>
      <c r="T53" s="55" t="str">
        <f>IF($B53="","",IF(COUNTIF(T$16:T$21,$B53)&gt;0,COUNTA(T$7:T$15),0)+IF(COUNTIF(T$37:T$42,$B53)&gt;0,COUNTA(T$27:T$35),0))</f>
        <v/>
      </c>
      <c r="U53" s="55" t="str">
        <f>IF($B53="","",IF(COUNTIF(U$16:U$21,$B53)&gt;0,COUNTA(U$7:U$15),0)+IF(COUNTIF(U$37:U$42,$B53)&gt;0,COUNTA(U$27:U$35),0))</f>
        <v/>
      </c>
      <c r="V53" s="55" t="str">
        <f>IF($B53="","",IF(COUNTIF(V$16:V$21,$B53)&gt;0,COUNTA(V$7:V$15),0)+IF(COUNTIF(V$37:V$42,$B53)&gt;0,COUNTA(V$27:V$35),0))</f>
        <v/>
      </c>
      <c r="W53" s="55" t="str">
        <f>IF($B53="","",IF(COUNTIF(W$16:W$21,$B53)&gt;0,COUNTA(W$7:W$15),0)+IF(COUNTIF(W$37:W$42,$B53)&gt;0,COUNTA(W$27:W$35),0))</f>
        <v/>
      </c>
      <c r="X53" s="55" t="str">
        <f>IF($B53="","",IF(COUNTIF(X$16:X$21,$B53)&gt;0,COUNTA(X$7:X$15),0)+IF(COUNTIF(X$37:X$42,$B53)&gt;0,COUNTA(X$27:X$35),0))</f>
        <v/>
      </c>
      <c r="Y53" s="55" t="str">
        <f>IF($B53="","",IF(COUNTIF(Y$16:Y$21,$B53)&gt;0,COUNTA(Y$7:Y$15),0)+IF(COUNTIF(Y$37:Y$42,$B53)&gt;0,COUNTA(Y$27:Y$35),0))</f>
        <v/>
      </c>
      <c r="Z53" s="55" t="str">
        <f>IF($B53="","",IF(COUNTIF(Z$16:Z$21,$B53)&gt;0,COUNTA(Z$7:Z$15),0)+IF(COUNTIF(Z$37:Z$42,$B53)&gt;0,COUNTA(Z$27:Z$35),0))</f>
        <v/>
      </c>
      <c r="AA53" s="55" t="str">
        <f>IF($B53="","",IF(COUNTIF(AA$16:AA$21,$B53)&gt;0,COUNTA(AA$7:AA$15),0)+IF(COUNTIF(AA$37:AA$42,$B53)&gt;0,COUNTA(AA$27:AA$35),0))</f>
        <v/>
      </c>
      <c r="AB53" s="55" t="str">
        <f>IF($B53="","",IF(COUNTIF(AB$16:AB$21,$B53)&gt;0,COUNTA(AB$7:AB$15),0)+IF(COUNTIF(AB$37:AB$42,$B53)&gt;0,COUNTA(AB$27:AB$35),0))</f>
        <v/>
      </c>
      <c r="AC53" s="55" t="str">
        <f>IF($B53="","",IF(COUNTIF(AC$16:AC$21,$B53)&gt;0,COUNTA(AC$7:AC$15),0)+IF(COUNTIF(AC$37:AC$42,$B53)&gt;0,COUNTA(AC$27:AC$35),0))</f>
        <v/>
      </c>
      <c r="AD53" s="55" t="str">
        <f>IF($B53="","",IF(COUNTIF(AD$16:AD$21,$B53)&gt;0,COUNTA(AD$7:AD$15),0)+IF(COUNTIF(AD$37:AD$42,$B53)&gt;0,COUNTA(AD$27:AD$35),0))</f>
        <v/>
      </c>
      <c r="AE53" s="55" t="str">
        <f>IF($B53="","",IF(COUNTIF(AE$16:AE$21,$B53)&gt;0,COUNTA(AE$7:AE$15),0)+IF(COUNTIF(AE$37:AE$42,$B53)&gt;0,COUNTA(AE$27:AE$35),0))</f>
        <v/>
      </c>
      <c r="AF53" s="55" t="str">
        <f>IF($B53="","",IF(COUNTIF(AF$16:AF$21,$B53)&gt;0,COUNTA(AF$7:AF$15),0)+IF(COUNTIF(AF$37:AF$42,$B53)&gt;0,COUNTA(AF$27:AF$35),0))</f>
        <v/>
      </c>
      <c r="AG53" s="55" t="str">
        <f>IF($B53="","",IF(COUNTIF(AG$16:AG$21,$B53)&gt;0,COUNTA(AG$7:AG$15),0)+IF(COUNTIF(AG$37:AG$42,$B53)&gt;0,COUNTA(AG$27:AG$35),0))</f>
        <v/>
      </c>
      <c r="AH53" s="55" t="str">
        <f>IF($B53="","",IF(COUNTIF(AH$16:AH$21,$B53)&gt;0,COUNTA(AH$7:AH$15),0)+IF(COUNTIF(AH$37:AH$42,$B53)&gt;0,COUNTA(AH$27:AH$35),0))</f>
        <v/>
      </c>
      <c r="AI53" s="55" t="str">
        <f>IF($B53="","",IF(COUNTIF(AI$16:AI$21,$B53)&gt;0,COUNTA(AI$7:AI$15),0)+IF(COUNTIF(AI$37:AI$42,$B53)&gt;0,COUNTA(AI$27:AI$35),0))</f>
        <v/>
      </c>
      <c r="AJ53" s="55" t="str">
        <f>IF($B53="","",IF(COUNTIF(AJ$16:AJ$21,$B53)&gt;0,COUNTA(AJ$7:AJ$15),0)+IF(COUNTIF(AJ$37:AJ$42,$B53)&gt;0,COUNTA(AJ$27:AJ$35),0))</f>
        <v/>
      </c>
      <c r="AK53" s="55" t="str">
        <f>IF($B53="","",IF(COUNTIF(AK$16:AK$21,$B53)&gt;0,COUNTA(AK$7:AK$15),0)+IF(COUNTIF(AK$37:AK$42,$B53)&gt;0,COUNTA(AK$27:AK$35),0))</f>
        <v/>
      </c>
      <c r="AL53" s="55" t="str">
        <f>IF($B53="","",IF(COUNTIF(AL$16:AL$21,$B53)&gt;0,COUNTA(AL$7:AL$15),0)+IF(COUNTIF(AL$37:AL$42,$B53)&gt;0,COUNTA(AL$27:AL$35),0))</f>
        <v/>
      </c>
      <c r="AM53" s="55" t="str">
        <f>IF($B53="","",IF(COUNTIF(AM$16:AM$21,$B53)&gt;0,COUNTA(AM$7:AM$15),0)+IF(COUNTIF(AM$37:AM$42,$B53)&gt;0,COUNTA(AM$27:AM$35),0))</f>
        <v/>
      </c>
      <c r="AN53" s="55" t="str">
        <f>IF($B53="","",IF(COUNTIF(AN$16:AN$21,$B53)&gt;0,COUNTA(AN$7:AN$15),0)+IF(COUNTIF(AN$37:AN$42,$B53)&gt;0,COUNTA(AN$27:AN$35),0))</f>
        <v/>
      </c>
      <c r="AO53" s="55" t="str">
        <f>IF($B53="","",IF(COUNTIF(AO$16:AO$21,$B53)&gt;0,COUNTA(AO$7:AO$15),0)+IF(COUNTIF(AO$37:AO$42,$B53)&gt;0,COUNTA(AO$27:AO$35),0))</f>
        <v/>
      </c>
      <c r="AP53" s="55" t="str">
        <f>IF($B53="","",IF(COUNTIF(AP$16:AP$21,$B53)&gt;0,COUNTA(AP$7:AP$15),0)+IF(COUNTIF(AP$37:AP$42,$B53)&gt;0,COUNTA(AP$27:AP$35),0))</f>
        <v/>
      </c>
      <c r="AQ53" s="55" t="str">
        <f>IF($B53="","",IF(COUNTIF(AQ$16:AQ$21,$B53)&gt;0,COUNTA(AQ$7:AQ$15),0)+IF(COUNTIF(AQ$37:AQ$42,$B53)&gt;0,COUNTA(AQ$27:AQ$35),0))</f>
        <v/>
      </c>
      <c r="AR53" s="55" t="str">
        <f>IF($B53="","",IF(COUNTIF(AR$16:AR$21,$B53)&gt;0,COUNTA(AR$7:AR$15),0)+IF(COUNTIF(AR$37:AR$42,$B53)&gt;0,COUNTA(AR$27:AR$35),0))</f>
        <v/>
      </c>
      <c r="AS53" s="55" t="str">
        <f>IF($B53="","",IF(COUNTIF(AS$16:AS$21,$B53)&gt;0,COUNTA(AS$7:AS$15),0)+IF(COUNTIF(AS$37:AS$42,$B53)&gt;0,COUNTA(AS$27:AS$35),0))</f>
        <v/>
      </c>
      <c r="AT53" s="55" t="str">
        <f>IF($B53="","",IF(COUNTIF(AT$16:AT$21,$B53)&gt;0,COUNTA(AT$7:AT$15),0)+IF(COUNTIF(AT$37:AT$42,$B53)&gt;0,COUNTA(AT$27:AT$35),0))</f>
        <v/>
      </c>
      <c r="AU53" s="55" t="str">
        <f>IF($B53="","",IF(COUNTIF(AU$16:AU$21,$B53)&gt;0,COUNTA(AU$7:AU$15),0)+IF(COUNTIF(AU$37:AU$42,$B53)&gt;0,COUNTA(AU$27:AU$35),0))</f>
        <v/>
      </c>
      <c r="AV53" s="55" t="str">
        <f>IF($B53="","",IF(COUNTIF(AV$16:AV$21,$B53)&gt;0,COUNTA(AV$7:AV$15),0)+IF(COUNTIF(AV$37:AV$42,$B53)&gt;0,COUNTA(AV$27:AV$35),0))</f>
        <v/>
      </c>
      <c r="AW53" s="55" t="str">
        <f>IF($B53="","",IF(COUNTIF(AW$16:AW$21,$B53)&gt;0,COUNTA(AW$7:AW$15),0)+IF(COUNTIF(AW$37:AW$42,$B53)&gt;0,COUNTA(AW$27:AW$35),0))</f>
        <v/>
      </c>
      <c r="AX53" s="55" t="str">
        <f>IF($B53="","",IF(COUNTIF(AX$16:AX$21,$B53)&gt;0,COUNTA(AX$7:AX$15),0)+IF(COUNTIF(AX$37:AX$42,$B53)&gt;0,COUNTA(AX$27:AX$35),0))</f>
        <v/>
      </c>
      <c r="AY53" s="55" t="str">
        <f>IF($B53="","",IF(COUNTIF(AY$16:AY$21,$B53)&gt;0,COUNTA(AY$7:AY$15),0)+IF(COUNTIF(AY$37:AY$42,$B53)&gt;0,COUNTA(AY$27:AY$35),0))</f>
        <v/>
      </c>
      <c r="AZ53" s="55" t="str">
        <f>IF($B53="","",IF(COUNTIF(AZ$16:AZ$21,$B53)&gt;0,COUNTA(AZ$7:AZ$15),0)+IF(COUNTIF(AZ$37:AZ$42,$B53)&gt;0,COUNTA(AZ$27:AZ$35),0))</f>
        <v/>
      </c>
      <c r="BA53" s="55" t="str">
        <f>IF($B53="","",IF(COUNTIF(BA$16:BA$21,$B53)&gt;0,COUNTA(BA$7:BA$15),0)+IF(COUNTIF(BA$37:BA$42,$B53)&gt;0,COUNTA(BA$27:BA$35),0))</f>
        <v/>
      </c>
      <c r="BB53" s="55" t="str">
        <f>IF($B53="","",IF(COUNTIF(BB$16:BB$21,$B53)&gt;0,COUNTA(BB$7:BB$15),0)+IF(COUNTIF(BB$37:BB$42,$B53)&gt;0,COUNTA(BB$27:BB$35),0))</f>
        <v/>
      </c>
      <c r="BC53" s="55" t="str">
        <f>IF($B53="","",IF(COUNTIF(BC$16:BC$21,$B53)&gt;0,COUNTA(BC$7:BC$15),0)+IF(COUNTIF(BC$37:BC$42,$B53)&gt;0,COUNTA(BC$27:BC$35),0))</f>
        <v/>
      </c>
      <c r="BD53" s="55" t="str">
        <f>IF($B53="","",IF(COUNTIF(BD$16:BD$21,$B53)&gt;0,COUNTA(BD$7:BD$15),0)+IF(COUNTIF(BD$37:BD$42,$B53)&gt;0,COUNTA(BD$27:BD$35),0))</f>
        <v/>
      </c>
      <c r="BE53" s="55" t="str">
        <f>IF($B53="","",IF(COUNTIF(BE$16:BE$21,$B53)&gt;0,COUNTA(BE$7:BE$15),0)+IF(COUNTIF(BE$37:BE$42,$B53)&gt;0,COUNTA(BE$27:BE$35),0))</f>
        <v/>
      </c>
      <c r="BF53" s="55" t="str">
        <f>IF($B53="","",IF(COUNTIF(BF$16:BF$21,$B53)&gt;0,COUNTA(BF$7:BF$15),0)+IF(COUNTIF(BF$37:BF$42,$B53)&gt;0,COUNTA(BF$27:BF$35),0))</f>
        <v/>
      </c>
      <c r="BG53" s="55" t="str">
        <f>IF($B53="","",IF(COUNTIF(BG$16:BG$21,$B53)&gt;0,COUNTA(BG$7:BG$15),0)+IF(COUNTIF(BG$37:BG$42,$B53)&gt;0,COUNTA(BG$27:BG$35),0))</f>
        <v/>
      </c>
      <c r="BH53" s="55" t="str">
        <f>IF($B53="","",IF(COUNTIF(BH$16:BH$21,$B53)&gt;0,COUNTA(BH$7:BH$15),0)+IF(COUNTIF(BH$37:BH$42,$B53)&gt;0,COUNTA(BH$27:BH$35),0))</f>
        <v/>
      </c>
      <c r="BI53" s="55" t="str">
        <f>IF($B53="","",IF(COUNTIF(BI$16:BI$21,$B53)&gt;0,COUNTA(BI$7:BI$15),0)+IF(COUNTIF(BI$37:BI$42,$B53)&gt;0,COUNTA(BI$27:BI$35),0))</f>
        <v/>
      </c>
      <c r="BJ53" s="55" t="str">
        <f>IF($B53="","",IF(COUNTIF(BJ$16:BJ$21,$B53)&gt;0,COUNTA(BJ$7:BJ$15),0)+IF(COUNTIF(BJ$37:BJ$42,$B53)&gt;0,COUNTA(BJ$27:BJ$35),0))</f>
        <v/>
      </c>
      <c r="BK53" s="55" t="str">
        <f>IF($B53="","",IF(COUNTIF(BK$16:BK$21,$B53)&gt;0,COUNTA(BK$7:BK$15),0)+IF(COUNTIF(BK$37:BK$42,$B53)&gt;0,COUNTA(BK$27:BK$35),0))</f>
        <v/>
      </c>
      <c r="BL53" s="55" t="str">
        <f>IF($B53="","",IF(COUNTIF(BL$16:BL$21,$B53)&gt;0,COUNTA(BL$7:BL$15),0)+IF(COUNTIF(BL$37:BL$42,$B53)&gt;0,COUNTA(BL$27:BL$35),0))</f>
        <v/>
      </c>
      <c r="BM53" s="55" t="str">
        <f>IF($B53="","",IF(COUNTIF(BM$16:BM$21,$B53)&gt;0,COUNTA(BM$7:BM$15),0)+IF(COUNTIF(BM$37:BM$42,$B53)&gt;0,COUNTA(BM$27:BM$35),0))</f>
        <v/>
      </c>
      <c r="BN53" s="55" t="str">
        <f>IF($B53="","",IF(COUNTIF(BN$16:BN$21,$B53)&gt;0,COUNTA(BN$7:BN$15),0)+IF(COUNTIF(BN$37:BN$42,$B53)&gt;0,COUNTA(BN$27:BN$35),0))</f>
        <v/>
      </c>
      <c r="BO53" s="55" t="str">
        <f>IF($B53="","",IF(COUNTIF(BO$16:BO$21,$B53)&gt;0,COUNTA(BO$7:BO$15),0)+IF(COUNTIF(BO$37:BO$42,$B53)&gt;0,COUNTA(BO$27:BO$35),0))</f>
        <v/>
      </c>
      <c r="BP53" s="55" t="str">
        <f>IF($B53="","",IF(COUNTIF(BP$16:BP$21,$B53)&gt;0,COUNTA(BP$7:BP$15),0)+IF(COUNTIF(BP$37:BP$42,$B53)&gt;0,COUNTA(BP$27:BP$35),0))</f>
        <v/>
      </c>
      <c r="BQ53" s="55" t="str">
        <f>IF($B53="","",IF(COUNTIF(BQ$16:BQ$21,$B53)&gt;0,COUNTA(BQ$7:BQ$15),0)+IF(COUNTIF(BQ$37:BQ$42,$B53)&gt;0,COUNTA(BQ$27:BQ$35),0))</f>
        <v/>
      </c>
      <c r="BR53" s="55" t="str">
        <f>IF($B53="","",IF(COUNTIF(BR$16:BR$21,$B53)&gt;0,COUNTA(BR$7:BR$15),0)+IF(COUNTIF(BR$37:BR$42,$B53)&gt;0,COUNTA(BR$27:BR$35),0))</f>
        <v/>
      </c>
      <c r="BS53" s="55" t="str">
        <f>IF($B53="","",IF(COUNTIF(BS$16:BS$21,$B53)&gt;0,COUNTA(BS$7:BS$15),0)+IF(COUNTIF(BS$37:BS$42,$B53)&gt;0,COUNTA(BS$27:BS$35),0))</f>
        <v/>
      </c>
      <c r="BT53" s="55" t="str">
        <f>IF($B53="","",IF(COUNTIF(BT$16:BT$21,$B53)&gt;0,COUNTA(BT$7:BT$15),0)+IF(COUNTIF(BT$37:BT$42,$B53)&gt;0,COUNTA(BT$27:BT$35),0))</f>
        <v/>
      </c>
      <c r="BU53" s="55" t="str">
        <f>IF($B53="","",IF(COUNTIF(BU$16:BU$21,$B53)&gt;0,COUNTA(BU$7:BU$15),0)+IF(COUNTIF(BU$37:BU$42,$B53)&gt;0,COUNTA(BU$27:BU$35),0))</f>
        <v/>
      </c>
      <c r="BV53" s="55" t="str">
        <f>IF($B53="","",IF(COUNTIF(BV$16:BV$21,$B53)&gt;0,COUNTA(BV$7:BV$15),0)+IF(COUNTIF(BV$37:BV$42,$B53)&gt;0,COUNTA(BV$27:BV$35),0))</f>
        <v/>
      </c>
      <c r="BW53" s="55" t="str">
        <f>IF($B53="","",IF(COUNTIF(BW$16:BW$21,$B53)&gt;0,COUNTA(BW$7:BW$15),0)+IF(COUNTIF(BW$37:BW$42,$B53)&gt;0,COUNTA(BW$27:BW$35),0))</f>
        <v/>
      </c>
      <c r="BX53" s="55" t="str">
        <f>IF($B53="","",IF(COUNTIF(BX$16:BX$21,$B53)&gt;0,COUNTA(BX$7:BX$15),0)+IF(COUNTIF(BX$37:BX$42,$B53)&gt;0,COUNTA(BX$27:BX$35),0))</f>
        <v/>
      </c>
      <c r="BY53" s="55" t="str">
        <f>IF($B53="","",IF(COUNTIF(BY$16:BY$21,$B53)&gt;0,COUNTA(BY$7:BY$15),0)+IF(COUNTIF(BY$37:BY$42,$B53)&gt;0,COUNTA(BY$27:BY$35),0))</f>
        <v/>
      </c>
      <c r="BZ53" s="55" t="str">
        <f>IF($B53="","",IF(COUNTIF(BZ$16:BZ$21,$B53)&gt;0,COUNTA(BZ$7:BZ$15),0)+IF(COUNTIF(BZ$37:BZ$42,$B53)&gt;0,COUNTA(BZ$27:BZ$35),0))</f>
        <v/>
      </c>
      <c r="CA53" s="55" t="str">
        <f>IF($B53="","",IF(COUNTIF(CA$16:CA$21,$B53)&gt;0,COUNTA(CA$7:CA$15),0)+IF(COUNTIF(CA$37:CA$42,$B53)&gt;0,COUNTA(CA$27:CA$35),0))</f>
        <v/>
      </c>
      <c r="CB53" s="55" t="str">
        <f>IF($B53="","",IF(COUNTIF(CB$16:CB$21,$B53)&gt;0,COUNTA(CB$7:CB$15),0)+IF(COUNTIF(CB$37:CB$42,$B53)&gt;0,COUNTA(CB$27:CB$35),0))</f>
        <v/>
      </c>
      <c r="CC53" s="55" t="str">
        <f>IF($B53="","",IF(COUNTIF(CC$16:CC$21,$B53)&gt;0,COUNTA(CC$7:CC$15),0)+IF(COUNTIF(CC$37:CC$42,$B53)&gt;0,COUNTA(CC$27:CC$35),0))</f>
        <v/>
      </c>
      <c r="CD53" s="55" t="str">
        <f>IF($B53="","",IF(COUNTIF(CD$16:CD$21,$B53)&gt;0,COUNTA(CD$7:CD$15),0)+IF(COUNTIF(CD$37:CD$42,$B53)&gt;0,COUNTA(CD$27:CD$35),0))</f>
        <v/>
      </c>
      <c r="CE53" s="55" t="str">
        <f>IF($B53="","",IF(COUNTIF(CE$16:CE$21,$B53)&gt;0,COUNTA(CE$7:CE$15),0)+IF(COUNTIF(CE$37:CE$42,$B53)&gt;0,COUNTA(CE$27:CE$35),0))</f>
        <v/>
      </c>
      <c r="CF53" s="55" t="str">
        <f>IF($B53="","",IF(COUNTIF(CF$16:CF$21,$B53)&gt;0,COUNTA(CF$7:CF$15),0)+IF(COUNTIF(CF$37:CF$42,$B53)&gt;0,COUNTA(CF$27:CF$35),0))</f>
        <v/>
      </c>
      <c r="CG53" s="55" t="str">
        <f>IF($B53="","",IF(COUNTIF(CG$16:CG$21,$B53)&gt;0,COUNTA(CG$7:CG$15),0)+IF(COUNTIF(CG$37:CG$42,$B53)&gt;0,COUNTA(CG$27:CG$35),0))</f>
        <v/>
      </c>
      <c r="CH53" s="55" t="str">
        <f>IF($B53="","",IF(COUNTIF(CH$16:CH$21,$B53)&gt;0,COUNTA(CH$7:CH$15),0)+IF(COUNTIF(CH$37:CH$42,$B53)&gt;0,COUNTA(CH$27:CH$35),0))</f>
        <v/>
      </c>
      <c r="CI53" s="55" t="str">
        <f>IF($B53="","",IF(COUNTIF(CI$16:CI$21,$B53)&gt;0,COUNTA(CI$7:CI$15),0)+IF(COUNTIF(CI$37:CI$42,$B53)&gt;0,COUNTA(CI$27:CI$35),0))</f>
        <v/>
      </c>
      <c r="CJ53" s="55" t="str">
        <f>IF($B53="","",IF(COUNTIF(CJ$16:CJ$21,$B53)&gt;0,COUNTA(CJ$7:CJ$15),0)+IF(COUNTIF(CJ$37:CJ$42,$B53)&gt;0,COUNTA(CJ$27:CJ$35),0))</f>
        <v/>
      </c>
      <c r="CK53" s="55" t="str">
        <f>IF($B53="","",IF(COUNTIF(CK$16:CK$21,$B53)&gt;0,COUNTA(CK$7:CK$15),0)+IF(COUNTIF(CK$37:CK$42,$B53)&gt;0,COUNTA(CK$27:CK$35),0))</f>
        <v/>
      </c>
      <c r="CL53" s="55" t="str">
        <f>IF($B53="","",IF(COUNTIF(CL$16:CL$21,$B53)&gt;0,COUNTA(CL$7:CL$15),0)+IF(COUNTIF(CL$37:CL$42,$B53)&gt;0,COUNTA(CL$27:CL$35),0))</f>
        <v/>
      </c>
      <c r="CM53" s="55" t="str">
        <f>IF($B53="","",IF(COUNTIF(CM$16:CM$21,$B53)&gt;0,COUNTA(CM$7:CM$15),0)+IF(COUNTIF(CM$37:CM$42,$B53)&gt;0,COUNTA(CM$27:CM$35),0))</f>
        <v/>
      </c>
      <c r="CN53" s="55" t="str">
        <f>IF($B53="","",IF(COUNTIF(CN$16:CN$21,$B53)&gt;0,COUNTA(CN$7:CN$15),0)+IF(COUNTIF(CN$37:CN$42,$B53)&gt;0,COUNTA(CN$27:CN$35),0))</f>
        <v/>
      </c>
      <c r="CO53" s="55" t="str">
        <f>IF($B53="","",IF(COUNTIF(CO$16:CO$21,$B53)&gt;0,COUNTA(CO$7:CO$15),0)+IF(COUNTIF(CO$37:CO$42,$B53)&gt;0,COUNTA(CO$27:CO$35),0))</f>
        <v/>
      </c>
      <c r="CP53" s="55" t="str">
        <f>IF($B53="","",IF(COUNTIF(CP$16:CP$21,$B53)&gt;0,COUNTA(CP$7:CP$15),0)+IF(COUNTIF(CP$37:CP$42,$B53)&gt;0,COUNTA(CP$27:CP$35),0))</f>
        <v/>
      </c>
      <c r="CQ53" s="55" t="str">
        <f>IF($B53="","",IF(COUNTIF(CQ$16:CQ$21,$B53)&gt;0,COUNTA(CQ$7:CQ$15),0)+IF(COUNTIF(CQ$37:CQ$42,$B53)&gt;0,COUNTA(CQ$27:CQ$35),0))</f>
        <v/>
      </c>
      <c r="CR53" s="55" t="str">
        <f>IF($B53="","",IF(COUNTIF(CR$16:CR$21,$B53)&gt;0,COUNTA(CR$7:CR$15),0)+IF(COUNTIF(CR$37:CR$42,$B53)&gt;0,COUNTA(CR$27:CR$35),0))</f>
        <v/>
      </c>
      <c r="CS53" s="55" t="str">
        <f>IF($B53="","",IF(COUNTIF(CS$16:CS$21,$B53)&gt;0,COUNTA(CS$7:CS$15),0)+IF(COUNTIF(CS$37:CS$42,$B53)&gt;0,COUNTA(CS$27:CS$35),0))</f>
        <v/>
      </c>
      <c r="CT53" s="55" t="str">
        <f>IF($B53="","",IF(COUNTIF(CT$16:CT$21,$B53)&gt;0,COUNTA(CT$7:CT$15),0)+IF(COUNTIF(CT$37:CT$42,$B53)&gt;0,COUNTA(CT$27:CT$35),0))</f>
        <v/>
      </c>
      <c r="CU53" s="55" t="str">
        <f>IF($B53="","",IF(COUNTIF(CU$16:CU$21,$B53)&gt;0,COUNTA(CU$7:CU$15),0)+IF(COUNTIF(CU$37:CU$42,$B53)&gt;0,COUNTA(CU$27:CU$35),0))</f>
        <v/>
      </c>
      <c r="CV53" s="55" t="str">
        <f>IF($B53="","",IF(COUNTIF(CV$16:CV$21,$B53)&gt;0,COUNTA(CV$7:CV$15),0)+IF(COUNTIF(CV$37:CV$42,$B53)&gt;0,COUNTA(CV$27:CV$35),0))</f>
        <v/>
      </c>
      <c r="CW53" s="55" t="str">
        <f>IF($B53="","",IF(COUNTIF(CW$16:CW$21,$B53)&gt;0,COUNTA(CW$7:CW$15),0)+IF(COUNTIF(CW$37:CW$42,$B53)&gt;0,COUNTA(CW$27:CW$35),0))</f>
        <v/>
      </c>
      <c r="CX53" s="55" t="str">
        <f>IF($B53="","",IF(COUNTIF(CX$16:CX$21,$B53)&gt;0,COUNTA(CX$7:CX$15),0)+IF(COUNTIF(CX$37:CX$42,$B53)&gt;0,COUNTA(CX$27:CX$35),0))</f>
        <v/>
      </c>
      <c r="CY53" s="55" t="str">
        <f>IF($B53="","",IF(COUNTIF(CY$16:CY$21,$B53)&gt;0,COUNTA(CY$7:CY$15),0)+IF(COUNTIF(CY$37:CY$42,$B53)&gt;0,COUNTA(CY$27:CY$35),0))</f>
        <v/>
      </c>
      <c r="CZ53" s="55" t="str">
        <f>IF($B53="","",IF(COUNTIF(CZ$16:CZ$21,$B53)&gt;0,COUNTA(CZ$7:CZ$15),0)+IF(COUNTIF(CZ$37:CZ$42,$B53)&gt;0,COUNTA(CZ$27:CZ$35),0))</f>
        <v/>
      </c>
      <c r="DA53" s="55" t="str">
        <f>IF($B53="","",IF(COUNTIF(DA$16:DA$21,$B53)&gt;0,COUNTA(DA$7:DA$15),0)+IF(COUNTIF(DA$37:DA$42,$B53)&gt;0,COUNTA(DA$27:DA$35),0))</f>
        <v/>
      </c>
      <c r="DB53" s="55" t="str">
        <f>IF($B53="","",IF(COUNTIF(DB$16:DB$21,$B53)&gt;0,COUNTA(DB$7:DB$15),0)+IF(COUNTIF(DB$37:DB$42,$B53)&gt;0,COUNTA(DB$27:DB$35),0))</f>
        <v/>
      </c>
      <c r="DC53" s="55" t="str">
        <f>IF($B53="","",IF(COUNTIF(DC$16:DC$21,$B53)&gt;0,COUNTA(DC$7:DC$15),0)+IF(COUNTIF(DC$37:DC$42,$B53)&gt;0,COUNTA(DC$27:DC$35),0))</f>
        <v/>
      </c>
      <c r="DD53" s="55" t="str">
        <f>IF($B53="","",IF(COUNTIF(DD$16:DD$21,$B53)&gt;0,COUNTA(DD$7:DD$15),0)+IF(COUNTIF(DD$37:DD$42,$B53)&gt;0,COUNTA(DD$27:DD$35),0))</f>
        <v/>
      </c>
      <c r="DE53" s="58" t="str">
        <f>IF($B53="","",IF(COUNTIF(DE$16:DE$21,$B53)&gt;0,COUNTA(DE$7:DE$15),0)+IF(COUNTIF(DE$37:DE$42,$B53)&gt;0,COUNTA(DE$27:DE$35),0))</f>
        <v/>
      </c>
    </row>
    <row r="54" spans="2:109" x14ac:dyDescent="0.2">
      <c r="B54" s="84" t="str">
        <f>IFERROR(INDEX(_xlfn._xlws.FILTER(Ressourcer!$B$1:$X$1,_xlfn.BYCOL(Ressourcer!$B$12:$X$15,_xlfn.LAMBDA(_xlpm.c,COUNTIF(_xlpm.c,"&lt;&gt;" )&gt;0))),ROWS($B$2:B11)),"")</f>
        <v/>
      </c>
      <c r="C54" s="79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)&gt;0))),_xlfn.LAMBDA(_xlpm.col,SUM(INDEX(Ressourcer!$B$12:$X$15,,_xlpm.col-COLUMN(Ressourcer!$B$12:$X$15)+1)))),ROWS($B$2:B11))/2,"")</f>
        <v/>
      </c>
      <c r="D54" s="106" t="str">
        <f t="shared" si="35"/>
        <v/>
      </c>
      <c r="E54" s="57" t="str">
        <f>IF($B54="","",IF(COUNTIF(E$16:E$21,$B54)&gt;0,COUNTA(E$7:E$15),0)+IF(COUNTIF(E$37:E$42,$B54)&gt;0,COUNTA(E$27:E$35),0))</f>
        <v/>
      </c>
      <c r="F54" s="55" t="str">
        <f>IF($B54="","",IF(COUNTIF(F$16:F$21,$B54)&gt;0,COUNTA(F$7:F$15),0)+IF(COUNTIF(F$37:F$42,$B54)&gt;0,COUNTA(F$27:F$35),0))</f>
        <v/>
      </c>
      <c r="G54" s="55" t="str">
        <f>IF($B54="","",IF(COUNTIF(G$16:G$21,$B54)&gt;0,COUNTA(G$7:G$15),0)+IF(COUNTIF(G$37:G$42,$B54)&gt;0,COUNTA(G$27:G$35),0))</f>
        <v/>
      </c>
      <c r="H54" s="55" t="str">
        <f>IF($B54="","",IF(COUNTIF(H$16:H$21,$B54)&gt;0,COUNTA(H$7:H$15),0)+IF(COUNTIF(H$37:H$42,$B54)&gt;0,COUNTA(H$27:H$35),0))</f>
        <v/>
      </c>
      <c r="I54" s="55" t="str">
        <f>IF($B54="","",IF(COUNTIF(I$16:I$21,$B54)&gt;0,COUNTA(I$7:I$15),0)+IF(COUNTIF(I$37:I$42,$B54)&gt;0,COUNTA(I$27:I$35),0))</f>
        <v/>
      </c>
      <c r="J54" s="55" t="str">
        <f>IF($B54="","",IF(COUNTIF(J$16:J$21,$B54)&gt;0,COUNTA(J$7:J$15),0)+IF(COUNTIF(J$37:J$42,$B54)&gt;0,COUNTA(J$27:J$35),0))</f>
        <v/>
      </c>
      <c r="K54" s="55" t="str">
        <f>IF($B54="","",IF(COUNTIF(K$16:K$21,$B54)&gt;0,COUNTA(K$7:K$15),0)+IF(COUNTIF(K$37:K$42,$B54)&gt;0,COUNTA(K$27:K$35),0))</f>
        <v/>
      </c>
      <c r="L54" s="55" t="str">
        <f>IF($B54="","",IF(COUNTIF(L$16:L$21,$B54)&gt;0,COUNTA(L$7:L$15),0)+IF(COUNTIF(L$37:L$42,$B54)&gt;0,COUNTA(L$27:L$35),0))</f>
        <v/>
      </c>
      <c r="M54" s="55" t="str">
        <f>IF($B54="","",IF(COUNTIF(M$16:M$21,$B54)&gt;0,COUNTA(M$7:M$15),0)+IF(COUNTIF(M$37:M$42,$B54)&gt;0,COUNTA(M$27:M$35),0))</f>
        <v/>
      </c>
      <c r="N54" s="55" t="str">
        <f>IF($B54="","",IF(COUNTIF(N$16:N$21,$B54)&gt;0,COUNTA(N$7:N$15),0)+IF(COUNTIF(N$37:N$42,$B54)&gt;0,COUNTA(N$27:N$35),0))</f>
        <v/>
      </c>
      <c r="O54" s="55" t="str">
        <f>IF($B54="","",IF(COUNTIF(O$16:O$21,$B54)&gt;0,COUNTA(O$7:O$15),0)+IF(COUNTIF(O$37:O$42,$B54)&gt;0,COUNTA(O$27:O$35),0))</f>
        <v/>
      </c>
      <c r="P54" s="55" t="str">
        <f>IF($B54="","",IF(COUNTIF(P$16:P$21,$B54)&gt;0,COUNTA(P$7:P$15),0)+IF(COUNTIF(P$37:P$42,$B54)&gt;0,COUNTA(P$27:P$35),0))</f>
        <v/>
      </c>
      <c r="Q54" s="55" t="str">
        <f>IF($B54="","",IF(COUNTIF(Q$16:Q$21,$B54)&gt;0,COUNTA(Q$7:Q$15),0)+IF(COUNTIF(Q$37:Q$42,$B54)&gt;0,COUNTA(Q$27:Q$35),0))</f>
        <v/>
      </c>
      <c r="R54" s="55" t="str">
        <f>IF($B54="","",IF(COUNTIF(R$16:R$21,$B54)&gt;0,COUNTA(R$7:R$15),0)+IF(COUNTIF(R$37:R$42,$B54)&gt;0,COUNTA(R$27:R$35),0))</f>
        <v/>
      </c>
      <c r="S54" s="55" t="str">
        <f>IF($B54="","",IF(COUNTIF(S$16:S$21,$B54)&gt;0,COUNTA(S$7:S$15),0)+IF(COUNTIF(S$37:S$42,$B54)&gt;0,COUNTA(S$27:S$35),0))</f>
        <v/>
      </c>
      <c r="T54" s="55" t="str">
        <f>IF($B54="","",IF(COUNTIF(T$16:T$21,$B54)&gt;0,COUNTA(T$7:T$15),0)+IF(COUNTIF(T$37:T$42,$B54)&gt;0,COUNTA(T$27:T$35),0))</f>
        <v/>
      </c>
      <c r="U54" s="55" t="str">
        <f>IF($B54="","",IF(COUNTIF(U$16:U$21,$B54)&gt;0,COUNTA(U$7:U$15),0)+IF(COUNTIF(U$37:U$42,$B54)&gt;0,COUNTA(U$27:U$35),0))</f>
        <v/>
      </c>
      <c r="V54" s="55" t="str">
        <f>IF($B54="","",IF(COUNTIF(V$16:V$21,$B54)&gt;0,COUNTA(V$7:V$15),0)+IF(COUNTIF(V$37:V$42,$B54)&gt;0,COUNTA(V$27:V$35),0))</f>
        <v/>
      </c>
      <c r="W54" s="55" t="str">
        <f>IF($B54="","",IF(COUNTIF(W$16:W$21,$B54)&gt;0,COUNTA(W$7:W$15),0)+IF(COUNTIF(W$37:W$42,$B54)&gt;0,COUNTA(W$27:W$35),0))</f>
        <v/>
      </c>
      <c r="X54" s="55" t="str">
        <f>IF($B54="","",IF(COUNTIF(X$16:X$21,$B54)&gt;0,COUNTA(X$7:X$15),0)+IF(COUNTIF(X$37:X$42,$B54)&gt;0,COUNTA(X$27:X$35),0))</f>
        <v/>
      </c>
      <c r="Y54" s="55" t="str">
        <f>IF($B54="","",IF(COUNTIF(Y$16:Y$21,$B54)&gt;0,COUNTA(Y$7:Y$15),0)+IF(COUNTIF(Y$37:Y$42,$B54)&gt;0,COUNTA(Y$27:Y$35),0))</f>
        <v/>
      </c>
      <c r="Z54" s="55" t="str">
        <f>IF($B54="","",IF(COUNTIF(Z$16:Z$21,$B54)&gt;0,COUNTA(Z$7:Z$15),0)+IF(COUNTIF(Z$37:Z$42,$B54)&gt;0,COUNTA(Z$27:Z$35),0))</f>
        <v/>
      </c>
      <c r="AA54" s="55" t="str">
        <f>IF($B54="","",IF(COUNTIF(AA$16:AA$21,$B54)&gt;0,COUNTA(AA$7:AA$15),0)+IF(COUNTIF(AA$37:AA$42,$B54)&gt;0,COUNTA(AA$27:AA$35),0))</f>
        <v/>
      </c>
      <c r="AB54" s="55" t="str">
        <f>IF($B54="","",IF(COUNTIF(AB$16:AB$21,$B54)&gt;0,COUNTA(AB$7:AB$15),0)+IF(COUNTIF(AB$37:AB$42,$B54)&gt;0,COUNTA(AB$27:AB$35),0))</f>
        <v/>
      </c>
      <c r="AC54" s="55" t="str">
        <f>IF($B54="","",IF(COUNTIF(AC$16:AC$21,$B54)&gt;0,COUNTA(AC$7:AC$15),0)+IF(COUNTIF(AC$37:AC$42,$B54)&gt;0,COUNTA(AC$27:AC$35),0))</f>
        <v/>
      </c>
      <c r="AD54" s="55" t="str">
        <f>IF($B54="","",IF(COUNTIF(AD$16:AD$21,$B54)&gt;0,COUNTA(AD$7:AD$15),0)+IF(COUNTIF(AD$37:AD$42,$B54)&gt;0,COUNTA(AD$27:AD$35),0))</f>
        <v/>
      </c>
      <c r="AE54" s="55" t="str">
        <f>IF($B54="","",IF(COUNTIF(AE$16:AE$21,$B54)&gt;0,COUNTA(AE$7:AE$15),0)+IF(COUNTIF(AE$37:AE$42,$B54)&gt;0,COUNTA(AE$27:AE$35),0))</f>
        <v/>
      </c>
      <c r="AF54" s="55" t="str">
        <f>IF($B54="","",IF(COUNTIF(AF$16:AF$21,$B54)&gt;0,COUNTA(AF$7:AF$15),0)+IF(COUNTIF(AF$37:AF$42,$B54)&gt;0,COUNTA(AF$27:AF$35),0))</f>
        <v/>
      </c>
      <c r="AG54" s="55" t="str">
        <f>IF($B54="","",IF(COUNTIF(AG$16:AG$21,$B54)&gt;0,COUNTA(AG$7:AG$15),0)+IF(COUNTIF(AG$37:AG$42,$B54)&gt;0,COUNTA(AG$27:AG$35),0))</f>
        <v/>
      </c>
      <c r="AH54" s="55" t="str">
        <f>IF($B54="","",IF(COUNTIF(AH$16:AH$21,$B54)&gt;0,COUNTA(AH$7:AH$15),0)+IF(COUNTIF(AH$37:AH$42,$B54)&gt;0,COUNTA(AH$27:AH$35),0))</f>
        <v/>
      </c>
      <c r="AI54" s="55" t="str">
        <f>IF($B54="","",IF(COUNTIF(AI$16:AI$21,$B54)&gt;0,COUNTA(AI$7:AI$15),0)+IF(COUNTIF(AI$37:AI$42,$B54)&gt;0,COUNTA(AI$27:AI$35),0))</f>
        <v/>
      </c>
      <c r="AJ54" s="55" t="str">
        <f>IF($B54="","",IF(COUNTIF(AJ$16:AJ$21,$B54)&gt;0,COUNTA(AJ$7:AJ$15),0)+IF(COUNTIF(AJ$37:AJ$42,$B54)&gt;0,COUNTA(AJ$27:AJ$35),0))</f>
        <v/>
      </c>
      <c r="AK54" s="55" t="str">
        <f>IF($B54="","",IF(COUNTIF(AK$16:AK$21,$B54)&gt;0,COUNTA(AK$7:AK$15),0)+IF(COUNTIF(AK$37:AK$42,$B54)&gt;0,COUNTA(AK$27:AK$35),0))</f>
        <v/>
      </c>
      <c r="AL54" s="55" t="str">
        <f>IF($B54="","",IF(COUNTIF(AL$16:AL$21,$B54)&gt;0,COUNTA(AL$7:AL$15),0)+IF(COUNTIF(AL$37:AL$42,$B54)&gt;0,COUNTA(AL$27:AL$35),0))</f>
        <v/>
      </c>
      <c r="AM54" s="55" t="str">
        <f>IF($B54="","",IF(COUNTIF(AM$16:AM$21,$B54)&gt;0,COUNTA(AM$7:AM$15),0)+IF(COUNTIF(AM$37:AM$42,$B54)&gt;0,COUNTA(AM$27:AM$35),0))</f>
        <v/>
      </c>
      <c r="AN54" s="55" t="str">
        <f>IF($B54="","",IF(COUNTIF(AN$16:AN$21,$B54)&gt;0,COUNTA(AN$7:AN$15),0)+IF(COUNTIF(AN$37:AN$42,$B54)&gt;0,COUNTA(AN$27:AN$35),0))</f>
        <v/>
      </c>
      <c r="AO54" s="55" t="str">
        <f>IF($B54="","",IF(COUNTIF(AO$16:AO$21,$B54)&gt;0,COUNTA(AO$7:AO$15),0)+IF(COUNTIF(AO$37:AO$42,$B54)&gt;0,COUNTA(AO$27:AO$35),0))</f>
        <v/>
      </c>
      <c r="AP54" s="55" t="str">
        <f>IF($B54="","",IF(COUNTIF(AP$16:AP$21,$B54)&gt;0,COUNTA(AP$7:AP$15),0)+IF(COUNTIF(AP$37:AP$42,$B54)&gt;0,COUNTA(AP$27:AP$35),0))</f>
        <v/>
      </c>
      <c r="AQ54" s="55" t="str">
        <f>IF($B54="","",IF(COUNTIF(AQ$16:AQ$21,$B54)&gt;0,COUNTA(AQ$7:AQ$15),0)+IF(COUNTIF(AQ$37:AQ$42,$B54)&gt;0,COUNTA(AQ$27:AQ$35),0))</f>
        <v/>
      </c>
      <c r="AR54" s="55" t="str">
        <f>IF($B54="","",IF(COUNTIF(AR$16:AR$21,$B54)&gt;0,COUNTA(AR$7:AR$15),0)+IF(COUNTIF(AR$37:AR$42,$B54)&gt;0,COUNTA(AR$27:AR$35),0))</f>
        <v/>
      </c>
      <c r="AS54" s="55" t="str">
        <f>IF($B54="","",IF(COUNTIF(AS$16:AS$21,$B54)&gt;0,COUNTA(AS$7:AS$15),0)+IF(COUNTIF(AS$37:AS$42,$B54)&gt;0,COUNTA(AS$27:AS$35),0))</f>
        <v/>
      </c>
      <c r="AT54" s="55" t="str">
        <f>IF($B54="","",IF(COUNTIF(AT$16:AT$21,$B54)&gt;0,COUNTA(AT$7:AT$15),0)+IF(COUNTIF(AT$37:AT$42,$B54)&gt;0,COUNTA(AT$27:AT$35),0))</f>
        <v/>
      </c>
      <c r="AU54" s="55" t="str">
        <f>IF($B54="","",IF(COUNTIF(AU$16:AU$21,$B54)&gt;0,COUNTA(AU$7:AU$15),0)+IF(COUNTIF(AU$37:AU$42,$B54)&gt;0,COUNTA(AU$27:AU$35),0))</f>
        <v/>
      </c>
      <c r="AV54" s="55" t="str">
        <f>IF($B54="","",IF(COUNTIF(AV$16:AV$21,$B54)&gt;0,COUNTA(AV$7:AV$15),0)+IF(COUNTIF(AV$37:AV$42,$B54)&gt;0,COUNTA(AV$27:AV$35),0))</f>
        <v/>
      </c>
      <c r="AW54" s="55" t="str">
        <f>IF($B54="","",IF(COUNTIF(AW$16:AW$21,$B54)&gt;0,COUNTA(AW$7:AW$15),0)+IF(COUNTIF(AW$37:AW$42,$B54)&gt;0,COUNTA(AW$27:AW$35),0))</f>
        <v/>
      </c>
      <c r="AX54" s="55" t="str">
        <f>IF($B54="","",IF(COUNTIF(AX$16:AX$21,$B54)&gt;0,COUNTA(AX$7:AX$15),0)+IF(COUNTIF(AX$37:AX$42,$B54)&gt;0,COUNTA(AX$27:AX$35),0))</f>
        <v/>
      </c>
      <c r="AY54" s="55" t="str">
        <f>IF($B54="","",IF(COUNTIF(AY$16:AY$21,$B54)&gt;0,COUNTA(AY$7:AY$15),0)+IF(COUNTIF(AY$37:AY$42,$B54)&gt;0,COUNTA(AY$27:AY$35),0))</f>
        <v/>
      </c>
      <c r="AZ54" s="55" t="str">
        <f>IF($B54="","",IF(COUNTIF(AZ$16:AZ$21,$B54)&gt;0,COUNTA(AZ$7:AZ$15),0)+IF(COUNTIF(AZ$37:AZ$42,$B54)&gt;0,COUNTA(AZ$27:AZ$35),0))</f>
        <v/>
      </c>
      <c r="BA54" s="55" t="str">
        <f>IF($B54="","",IF(COUNTIF(BA$16:BA$21,$B54)&gt;0,COUNTA(BA$7:BA$15),0)+IF(COUNTIF(BA$37:BA$42,$B54)&gt;0,COUNTA(BA$27:BA$35),0))</f>
        <v/>
      </c>
      <c r="BB54" s="55" t="str">
        <f>IF($B54="","",IF(COUNTIF(BB$16:BB$21,$B54)&gt;0,COUNTA(BB$7:BB$15),0)+IF(COUNTIF(BB$37:BB$42,$B54)&gt;0,COUNTA(BB$27:BB$35),0))</f>
        <v/>
      </c>
      <c r="BC54" s="55" t="str">
        <f>IF($B54="","",IF(COUNTIF(BC$16:BC$21,$B54)&gt;0,COUNTA(BC$7:BC$15),0)+IF(COUNTIF(BC$37:BC$42,$B54)&gt;0,COUNTA(BC$27:BC$35),0))</f>
        <v/>
      </c>
      <c r="BD54" s="55" t="str">
        <f>IF($B54="","",IF(COUNTIF(BD$16:BD$21,$B54)&gt;0,COUNTA(BD$7:BD$15),0)+IF(COUNTIF(BD$37:BD$42,$B54)&gt;0,COUNTA(BD$27:BD$35),0))</f>
        <v/>
      </c>
      <c r="BE54" s="55" t="str">
        <f>IF($B54="","",IF(COUNTIF(BE$16:BE$21,$B54)&gt;0,COUNTA(BE$7:BE$15),0)+IF(COUNTIF(BE$37:BE$42,$B54)&gt;0,COUNTA(BE$27:BE$35),0))</f>
        <v/>
      </c>
      <c r="BF54" s="55" t="str">
        <f>IF($B54="","",IF(COUNTIF(BF$16:BF$21,$B54)&gt;0,COUNTA(BF$7:BF$15),0)+IF(COUNTIF(BF$37:BF$42,$B54)&gt;0,COUNTA(BF$27:BF$35),0))</f>
        <v/>
      </c>
      <c r="BG54" s="55" t="str">
        <f>IF($B54="","",IF(COUNTIF(BG$16:BG$21,$B54)&gt;0,COUNTA(BG$7:BG$15),0)+IF(COUNTIF(BG$37:BG$42,$B54)&gt;0,COUNTA(BG$27:BG$35),0))</f>
        <v/>
      </c>
      <c r="BH54" s="55" t="str">
        <f>IF($B54="","",IF(COUNTIF(BH$16:BH$21,$B54)&gt;0,COUNTA(BH$7:BH$15),0)+IF(COUNTIF(BH$37:BH$42,$B54)&gt;0,COUNTA(BH$27:BH$35),0))</f>
        <v/>
      </c>
      <c r="BI54" s="55" t="str">
        <f>IF($B54="","",IF(COUNTIF(BI$16:BI$21,$B54)&gt;0,COUNTA(BI$7:BI$15),0)+IF(COUNTIF(BI$37:BI$42,$B54)&gt;0,COUNTA(BI$27:BI$35),0))</f>
        <v/>
      </c>
      <c r="BJ54" s="55" t="str">
        <f>IF($B54="","",IF(COUNTIF(BJ$16:BJ$21,$B54)&gt;0,COUNTA(BJ$7:BJ$15),0)+IF(COUNTIF(BJ$37:BJ$42,$B54)&gt;0,COUNTA(BJ$27:BJ$35),0))</f>
        <v/>
      </c>
      <c r="BK54" s="55" t="str">
        <f>IF($B54="","",IF(COUNTIF(BK$16:BK$21,$B54)&gt;0,COUNTA(BK$7:BK$15),0)+IF(COUNTIF(BK$37:BK$42,$B54)&gt;0,COUNTA(BK$27:BK$35),0))</f>
        <v/>
      </c>
      <c r="BL54" s="55" t="str">
        <f>IF($B54="","",IF(COUNTIF(BL$16:BL$21,$B54)&gt;0,COUNTA(BL$7:BL$15),0)+IF(COUNTIF(BL$37:BL$42,$B54)&gt;0,COUNTA(BL$27:BL$35),0))</f>
        <v/>
      </c>
      <c r="BM54" s="55" t="str">
        <f>IF($B54="","",IF(COUNTIF(BM$16:BM$21,$B54)&gt;0,COUNTA(BM$7:BM$15),0)+IF(COUNTIF(BM$37:BM$42,$B54)&gt;0,COUNTA(BM$27:BM$35),0))</f>
        <v/>
      </c>
      <c r="BN54" s="55" t="str">
        <f>IF($B54="","",IF(COUNTIF(BN$16:BN$21,$B54)&gt;0,COUNTA(BN$7:BN$15),0)+IF(COUNTIF(BN$37:BN$42,$B54)&gt;0,COUNTA(BN$27:BN$35),0))</f>
        <v/>
      </c>
      <c r="BO54" s="55" t="str">
        <f>IF($B54="","",IF(COUNTIF(BO$16:BO$21,$B54)&gt;0,COUNTA(BO$7:BO$15),0)+IF(COUNTIF(BO$37:BO$42,$B54)&gt;0,COUNTA(BO$27:BO$35),0))</f>
        <v/>
      </c>
      <c r="BP54" s="55" t="str">
        <f>IF($B54="","",IF(COUNTIF(BP$16:BP$21,$B54)&gt;0,COUNTA(BP$7:BP$15),0)+IF(COUNTIF(BP$37:BP$42,$B54)&gt;0,COUNTA(BP$27:BP$35),0))</f>
        <v/>
      </c>
      <c r="BQ54" s="55" t="str">
        <f>IF($B54="","",IF(COUNTIF(BQ$16:BQ$21,$B54)&gt;0,COUNTA(BQ$7:BQ$15),0)+IF(COUNTIF(BQ$37:BQ$42,$B54)&gt;0,COUNTA(BQ$27:BQ$35),0))</f>
        <v/>
      </c>
      <c r="BR54" s="55" t="str">
        <f>IF($B54="","",IF(COUNTIF(BR$16:BR$21,$B54)&gt;0,COUNTA(BR$7:BR$15),0)+IF(COUNTIF(BR$37:BR$42,$B54)&gt;0,COUNTA(BR$27:BR$35),0))</f>
        <v/>
      </c>
      <c r="BS54" s="55" t="str">
        <f>IF($B54="","",IF(COUNTIF(BS$16:BS$21,$B54)&gt;0,COUNTA(BS$7:BS$15),0)+IF(COUNTIF(BS$37:BS$42,$B54)&gt;0,COUNTA(BS$27:BS$35),0))</f>
        <v/>
      </c>
      <c r="BT54" s="55" t="str">
        <f>IF($B54="","",IF(COUNTIF(BT$16:BT$21,$B54)&gt;0,COUNTA(BT$7:BT$15),0)+IF(COUNTIF(BT$37:BT$42,$B54)&gt;0,COUNTA(BT$27:BT$35),0))</f>
        <v/>
      </c>
      <c r="BU54" s="55" t="str">
        <f>IF($B54="","",IF(COUNTIF(BU$16:BU$21,$B54)&gt;0,COUNTA(BU$7:BU$15),0)+IF(COUNTIF(BU$37:BU$42,$B54)&gt;0,COUNTA(BU$27:BU$35),0))</f>
        <v/>
      </c>
      <c r="BV54" s="55" t="str">
        <f>IF($B54="","",IF(COUNTIF(BV$16:BV$21,$B54)&gt;0,COUNTA(BV$7:BV$15),0)+IF(COUNTIF(BV$37:BV$42,$B54)&gt;0,COUNTA(BV$27:BV$35),0))</f>
        <v/>
      </c>
      <c r="BW54" s="55" t="str">
        <f>IF($B54="","",IF(COUNTIF(BW$16:BW$21,$B54)&gt;0,COUNTA(BW$7:BW$15),0)+IF(COUNTIF(BW$37:BW$42,$B54)&gt;0,COUNTA(BW$27:BW$35),0))</f>
        <v/>
      </c>
      <c r="BX54" s="55" t="str">
        <f>IF($B54="","",IF(COUNTIF(BX$16:BX$21,$B54)&gt;0,COUNTA(BX$7:BX$15),0)+IF(COUNTIF(BX$37:BX$42,$B54)&gt;0,COUNTA(BX$27:BX$35),0))</f>
        <v/>
      </c>
      <c r="BY54" s="55" t="str">
        <f>IF($B54="","",IF(COUNTIF(BY$16:BY$21,$B54)&gt;0,COUNTA(BY$7:BY$15),0)+IF(COUNTIF(BY$37:BY$42,$B54)&gt;0,COUNTA(BY$27:BY$35),0))</f>
        <v/>
      </c>
      <c r="BZ54" s="55" t="str">
        <f>IF($B54="","",IF(COUNTIF(BZ$16:BZ$21,$B54)&gt;0,COUNTA(BZ$7:BZ$15),0)+IF(COUNTIF(BZ$37:BZ$42,$B54)&gt;0,COUNTA(BZ$27:BZ$35),0))</f>
        <v/>
      </c>
      <c r="CA54" s="55" t="str">
        <f>IF($B54="","",IF(COUNTIF(CA$16:CA$21,$B54)&gt;0,COUNTA(CA$7:CA$15),0)+IF(COUNTIF(CA$37:CA$42,$B54)&gt;0,COUNTA(CA$27:CA$35),0))</f>
        <v/>
      </c>
      <c r="CB54" s="55" t="str">
        <f>IF($B54="","",IF(COUNTIF(CB$16:CB$21,$B54)&gt;0,COUNTA(CB$7:CB$15),0)+IF(COUNTIF(CB$37:CB$42,$B54)&gt;0,COUNTA(CB$27:CB$35),0))</f>
        <v/>
      </c>
      <c r="CC54" s="55" t="str">
        <f>IF($B54="","",IF(COUNTIF(CC$16:CC$21,$B54)&gt;0,COUNTA(CC$7:CC$15),0)+IF(COUNTIF(CC$37:CC$42,$B54)&gt;0,COUNTA(CC$27:CC$35),0))</f>
        <v/>
      </c>
      <c r="CD54" s="55" t="str">
        <f>IF($B54="","",IF(COUNTIF(CD$16:CD$21,$B54)&gt;0,COUNTA(CD$7:CD$15),0)+IF(COUNTIF(CD$37:CD$42,$B54)&gt;0,COUNTA(CD$27:CD$35),0))</f>
        <v/>
      </c>
      <c r="CE54" s="55" t="str">
        <f>IF($B54="","",IF(COUNTIF(CE$16:CE$21,$B54)&gt;0,COUNTA(CE$7:CE$15),0)+IF(COUNTIF(CE$37:CE$42,$B54)&gt;0,COUNTA(CE$27:CE$35),0))</f>
        <v/>
      </c>
      <c r="CF54" s="55" t="str">
        <f>IF($B54="","",IF(COUNTIF(CF$16:CF$21,$B54)&gt;0,COUNTA(CF$7:CF$15),0)+IF(COUNTIF(CF$37:CF$42,$B54)&gt;0,COUNTA(CF$27:CF$35),0))</f>
        <v/>
      </c>
      <c r="CG54" s="55" t="str">
        <f>IF($B54="","",IF(COUNTIF(CG$16:CG$21,$B54)&gt;0,COUNTA(CG$7:CG$15),0)+IF(COUNTIF(CG$37:CG$42,$B54)&gt;0,COUNTA(CG$27:CG$35),0))</f>
        <v/>
      </c>
      <c r="CH54" s="55" t="str">
        <f>IF($B54="","",IF(COUNTIF(CH$16:CH$21,$B54)&gt;0,COUNTA(CH$7:CH$15),0)+IF(COUNTIF(CH$37:CH$42,$B54)&gt;0,COUNTA(CH$27:CH$35),0))</f>
        <v/>
      </c>
      <c r="CI54" s="55" t="str">
        <f>IF($B54="","",IF(COUNTIF(CI$16:CI$21,$B54)&gt;0,COUNTA(CI$7:CI$15),0)+IF(COUNTIF(CI$37:CI$42,$B54)&gt;0,COUNTA(CI$27:CI$35),0))</f>
        <v/>
      </c>
      <c r="CJ54" s="55" t="str">
        <f>IF($B54="","",IF(COUNTIF(CJ$16:CJ$21,$B54)&gt;0,COUNTA(CJ$7:CJ$15),0)+IF(COUNTIF(CJ$37:CJ$42,$B54)&gt;0,COUNTA(CJ$27:CJ$35),0))</f>
        <v/>
      </c>
      <c r="CK54" s="55" t="str">
        <f>IF($B54="","",IF(COUNTIF(CK$16:CK$21,$B54)&gt;0,COUNTA(CK$7:CK$15),0)+IF(COUNTIF(CK$37:CK$42,$B54)&gt;0,COUNTA(CK$27:CK$35),0))</f>
        <v/>
      </c>
      <c r="CL54" s="55" t="str">
        <f>IF($B54="","",IF(COUNTIF(CL$16:CL$21,$B54)&gt;0,COUNTA(CL$7:CL$15),0)+IF(COUNTIF(CL$37:CL$42,$B54)&gt;0,COUNTA(CL$27:CL$35),0))</f>
        <v/>
      </c>
      <c r="CM54" s="55" t="str">
        <f>IF($B54="","",IF(COUNTIF(CM$16:CM$21,$B54)&gt;0,COUNTA(CM$7:CM$15),0)+IF(COUNTIF(CM$37:CM$42,$B54)&gt;0,COUNTA(CM$27:CM$35),0))</f>
        <v/>
      </c>
      <c r="CN54" s="55" t="str">
        <f>IF($B54="","",IF(COUNTIF(CN$16:CN$21,$B54)&gt;0,COUNTA(CN$7:CN$15),0)+IF(COUNTIF(CN$37:CN$42,$B54)&gt;0,COUNTA(CN$27:CN$35),0))</f>
        <v/>
      </c>
      <c r="CO54" s="55" t="str">
        <f>IF($B54="","",IF(COUNTIF(CO$16:CO$21,$B54)&gt;0,COUNTA(CO$7:CO$15),0)+IF(COUNTIF(CO$37:CO$42,$B54)&gt;0,COUNTA(CO$27:CO$35),0))</f>
        <v/>
      </c>
      <c r="CP54" s="55" t="str">
        <f>IF($B54="","",IF(COUNTIF(CP$16:CP$21,$B54)&gt;0,COUNTA(CP$7:CP$15),0)+IF(COUNTIF(CP$37:CP$42,$B54)&gt;0,COUNTA(CP$27:CP$35),0))</f>
        <v/>
      </c>
      <c r="CQ54" s="55" t="str">
        <f>IF($B54="","",IF(COUNTIF(CQ$16:CQ$21,$B54)&gt;0,COUNTA(CQ$7:CQ$15),0)+IF(COUNTIF(CQ$37:CQ$42,$B54)&gt;0,COUNTA(CQ$27:CQ$35),0))</f>
        <v/>
      </c>
      <c r="CR54" s="55" t="str">
        <f>IF($B54="","",IF(COUNTIF(CR$16:CR$21,$B54)&gt;0,COUNTA(CR$7:CR$15),0)+IF(COUNTIF(CR$37:CR$42,$B54)&gt;0,COUNTA(CR$27:CR$35),0))</f>
        <v/>
      </c>
      <c r="CS54" s="55" t="str">
        <f>IF($B54="","",IF(COUNTIF(CS$16:CS$21,$B54)&gt;0,COUNTA(CS$7:CS$15),0)+IF(COUNTIF(CS$37:CS$42,$B54)&gt;0,COUNTA(CS$27:CS$35),0))</f>
        <v/>
      </c>
      <c r="CT54" s="55" t="str">
        <f>IF($B54="","",IF(COUNTIF(CT$16:CT$21,$B54)&gt;0,COUNTA(CT$7:CT$15),0)+IF(COUNTIF(CT$37:CT$42,$B54)&gt;0,COUNTA(CT$27:CT$35),0))</f>
        <v/>
      </c>
      <c r="CU54" s="55" t="str">
        <f>IF($B54="","",IF(COUNTIF(CU$16:CU$21,$B54)&gt;0,COUNTA(CU$7:CU$15),0)+IF(COUNTIF(CU$37:CU$42,$B54)&gt;0,COUNTA(CU$27:CU$35),0))</f>
        <v/>
      </c>
      <c r="CV54" s="55" t="str">
        <f>IF($B54="","",IF(COUNTIF(CV$16:CV$21,$B54)&gt;0,COUNTA(CV$7:CV$15),0)+IF(COUNTIF(CV$37:CV$42,$B54)&gt;0,COUNTA(CV$27:CV$35),0))</f>
        <v/>
      </c>
      <c r="CW54" s="55" t="str">
        <f>IF($B54="","",IF(COUNTIF(CW$16:CW$21,$B54)&gt;0,COUNTA(CW$7:CW$15),0)+IF(COUNTIF(CW$37:CW$42,$B54)&gt;0,COUNTA(CW$27:CW$35),0))</f>
        <v/>
      </c>
      <c r="CX54" s="55" t="str">
        <f>IF($B54="","",IF(COUNTIF(CX$16:CX$21,$B54)&gt;0,COUNTA(CX$7:CX$15),0)+IF(COUNTIF(CX$37:CX$42,$B54)&gt;0,COUNTA(CX$27:CX$35),0))</f>
        <v/>
      </c>
      <c r="CY54" s="55" t="str">
        <f>IF($B54="","",IF(COUNTIF(CY$16:CY$21,$B54)&gt;0,COUNTA(CY$7:CY$15),0)+IF(COUNTIF(CY$37:CY$42,$B54)&gt;0,COUNTA(CY$27:CY$35),0))</f>
        <v/>
      </c>
      <c r="CZ54" s="55" t="str">
        <f>IF($B54="","",IF(COUNTIF(CZ$16:CZ$21,$B54)&gt;0,COUNTA(CZ$7:CZ$15),0)+IF(COUNTIF(CZ$37:CZ$42,$B54)&gt;0,COUNTA(CZ$27:CZ$35),0))</f>
        <v/>
      </c>
      <c r="DA54" s="55" t="str">
        <f>IF($B54="","",IF(COUNTIF(DA$16:DA$21,$B54)&gt;0,COUNTA(DA$7:DA$15),0)+IF(COUNTIF(DA$37:DA$42,$B54)&gt;0,COUNTA(DA$27:DA$35),0))</f>
        <v/>
      </c>
      <c r="DB54" s="55" t="str">
        <f>IF($B54="","",IF(COUNTIF(DB$16:DB$21,$B54)&gt;0,COUNTA(DB$7:DB$15),0)+IF(COUNTIF(DB$37:DB$42,$B54)&gt;0,COUNTA(DB$27:DB$35),0))</f>
        <v/>
      </c>
      <c r="DC54" s="55" t="str">
        <f>IF($B54="","",IF(COUNTIF(DC$16:DC$21,$B54)&gt;0,COUNTA(DC$7:DC$15),0)+IF(COUNTIF(DC$37:DC$42,$B54)&gt;0,COUNTA(DC$27:DC$35),0))</f>
        <v/>
      </c>
      <c r="DD54" s="55" t="str">
        <f>IF($B54="","",IF(COUNTIF(DD$16:DD$21,$B54)&gt;0,COUNTA(DD$7:DD$15),0)+IF(COUNTIF(DD$37:DD$42,$B54)&gt;0,COUNTA(DD$27:DD$35),0))</f>
        <v/>
      </c>
      <c r="DE54" s="58" t="str">
        <f>IF($B54="","",IF(COUNTIF(DE$16:DE$21,$B54)&gt;0,COUNTA(DE$7:DE$15),0)+IF(COUNTIF(DE$37:DE$42,$B54)&gt;0,COUNTA(DE$27:DE$35),0))</f>
        <v/>
      </c>
    </row>
    <row r="55" spans="2:109" x14ac:dyDescent="0.2">
      <c r="B55" s="84" t="str">
        <f>IFERROR(INDEX(_xlfn._xlws.FILTER(Ressourcer!$B$1:$X$1,_xlfn.BYCOL(Ressourcer!$B$12:$X$15,_xlfn.LAMBDA(_xlpm.c,COUNTIF(_xlpm.c,"&lt;&gt;" )&gt;0))),ROWS($B$2:B12)),"")</f>
        <v/>
      </c>
      <c r="C55" s="79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)&gt;0))),_xlfn.LAMBDA(_xlpm.col,SUM(INDEX(Ressourcer!$B$12:$X$15,,_xlpm.col-COLUMN(Ressourcer!$B$12:$X$15)+1)))),ROWS($B$2:B12))/2,"")</f>
        <v/>
      </c>
      <c r="D55" s="106" t="str">
        <f t="shared" si="35"/>
        <v/>
      </c>
      <c r="E55" s="57" t="str">
        <f>IF($B55="","",IF(COUNTIF(E$16:E$21,$B55)&gt;0,COUNTA(E$7:E$15),0)+IF(COUNTIF(E$37:E$42,$B55)&gt;0,COUNTA(E$27:E$35),0))</f>
        <v/>
      </c>
      <c r="F55" s="55" t="str">
        <f>IF($B55="","",IF(COUNTIF(F$16:F$21,$B55)&gt;0,COUNTA(F$7:F$15),0)+IF(COUNTIF(F$37:F$42,$B55)&gt;0,COUNTA(F$27:F$35),0))</f>
        <v/>
      </c>
      <c r="G55" s="55" t="str">
        <f>IF($B55="","",IF(COUNTIF(G$16:G$21,$B55)&gt;0,COUNTA(G$7:G$15),0)+IF(COUNTIF(G$37:G$42,$B55)&gt;0,COUNTA(G$27:G$35),0))</f>
        <v/>
      </c>
      <c r="H55" s="55" t="str">
        <f>IF($B55="","",IF(COUNTIF(H$16:H$21,$B55)&gt;0,COUNTA(H$7:H$15),0)+IF(COUNTIF(H$37:H$42,$B55)&gt;0,COUNTA(H$27:H$35),0))</f>
        <v/>
      </c>
      <c r="I55" s="55" t="str">
        <f>IF($B55="","",IF(COUNTIF(I$16:I$21,$B55)&gt;0,COUNTA(I$7:I$15),0)+IF(COUNTIF(I$37:I$42,$B55)&gt;0,COUNTA(I$27:I$35),0))</f>
        <v/>
      </c>
      <c r="J55" s="55" t="str">
        <f>IF($B55="","",IF(COUNTIF(J$16:J$21,$B55)&gt;0,COUNTA(J$7:J$15),0)+IF(COUNTIF(J$37:J$42,$B55)&gt;0,COUNTA(J$27:J$35),0))</f>
        <v/>
      </c>
      <c r="K55" s="55" t="str">
        <f>IF($B55="","",IF(COUNTIF(K$16:K$21,$B55)&gt;0,COUNTA(K$7:K$15),0)+IF(COUNTIF(K$37:K$42,$B55)&gt;0,COUNTA(K$27:K$35),0))</f>
        <v/>
      </c>
      <c r="L55" s="55" t="str">
        <f>IF($B55="","",IF(COUNTIF(L$16:L$21,$B55)&gt;0,COUNTA(L$7:L$15),0)+IF(COUNTIF(L$37:L$42,$B55)&gt;0,COUNTA(L$27:L$35),0))</f>
        <v/>
      </c>
      <c r="M55" s="55" t="str">
        <f>IF($B55="","",IF(COUNTIF(M$16:M$21,$B55)&gt;0,COUNTA(M$7:M$15),0)+IF(COUNTIF(M$37:M$42,$B55)&gt;0,COUNTA(M$27:M$35),0))</f>
        <v/>
      </c>
      <c r="N55" s="55" t="str">
        <f>IF($B55="","",IF(COUNTIF(N$16:N$21,$B55)&gt;0,COUNTA(N$7:N$15),0)+IF(COUNTIF(N$37:N$42,$B55)&gt;0,COUNTA(N$27:N$35),0))</f>
        <v/>
      </c>
      <c r="O55" s="55" t="str">
        <f>IF($B55="","",IF(COUNTIF(O$16:O$21,$B55)&gt;0,COUNTA(O$7:O$15),0)+IF(COUNTIF(O$37:O$42,$B55)&gt;0,COUNTA(O$27:O$35),0))</f>
        <v/>
      </c>
      <c r="P55" s="55" t="str">
        <f>IF($B55="","",IF(COUNTIF(P$16:P$21,$B55)&gt;0,COUNTA(P$7:P$15),0)+IF(COUNTIF(P$37:P$42,$B55)&gt;0,COUNTA(P$27:P$35),0))</f>
        <v/>
      </c>
      <c r="Q55" s="55" t="str">
        <f>IF($B55="","",IF(COUNTIF(Q$16:Q$21,$B55)&gt;0,COUNTA(Q$7:Q$15),0)+IF(COUNTIF(Q$37:Q$42,$B55)&gt;0,COUNTA(Q$27:Q$35),0))</f>
        <v/>
      </c>
      <c r="R55" s="55" t="str">
        <f>IF($B55="","",IF(COUNTIF(R$16:R$21,$B55)&gt;0,COUNTA(R$7:R$15),0)+IF(COUNTIF(R$37:R$42,$B55)&gt;0,COUNTA(R$27:R$35),0))</f>
        <v/>
      </c>
      <c r="S55" s="55" t="str">
        <f>IF($B55="","",IF(COUNTIF(S$16:S$21,$B55)&gt;0,COUNTA(S$7:S$15),0)+IF(COUNTIF(S$37:S$42,$B55)&gt;0,COUNTA(S$27:S$35),0))</f>
        <v/>
      </c>
      <c r="T55" s="55" t="str">
        <f>IF($B55="","",IF(COUNTIF(T$16:T$21,$B55)&gt;0,COUNTA(T$7:T$15),0)+IF(COUNTIF(T$37:T$42,$B55)&gt;0,COUNTA(T$27:T$35),0))</f>
        <v/>
      </c>
      <c r="U55" s="55" t="str">
        <f>IF($B55="","",IF(COUNTIF(U$16:U$21,$B55)&gt;0,COUNTA(U$7:U$15),0)+IF(COUNTIF(U$37:U$42,$B55)&gt;0,COUNTA(U$27:U$35),0))</f>
        <v/>
      </c>
      <c r="V55" s="55" t="str">
        <f>IF($B55="","",IF(COUNTIF(V$16:V$21,$B55)&gt;0,COUNTA(V$7:V$15),0)+IF(COUNTIF(V$37:V$42,$B55)&gt;0,COUNTA(V$27:V$35),0))</f>
        <v/>
      </c>
      <c r="W55" s="55" t="str">
        <f>IF($B55="","",IF(COUNTIF(W$16:W$21,$B55)&gt;0,COUNTA(W$7:W$15),0)+IF(COUNTIF(W$37:W$42,$B55)&gt;0,COUNTA(W$27:W$35),0))</f>
        <v/>
      </c>
      <c r="X55" s="55" t="str">
        <f>IF($B55="","",IF(COUNTIF(X$16:X$21,$B55)&gt;0,COUNTA(X$7:X$15),0)+IF(COUNTIF(X$37:X$42,$B55)&gt;0,COUNTA(X$27:X$35),0))</f>
        <v/>
      </c>
      <c r="Y55" s="55" t="str">
        <f>IF($B55="","",IF(COUNTIF(Y$16:Y$21,$B55)&gt;0,COUNTA(Y$7:Y$15),0)+IF(COUNTIF(Y$37:Y$42,$B55)&gt;0,COUNTA(Y$27:Y$35),0))</f>
        <v/>
      </c>
      <c r="Z55" s="55" t="str">
        <f>IF($B55="","",IF(COUNTIF(Z$16:Z$21,$B55)&gt;0,COUNTA(Z$7:Z$15),0)+IF(COUNTIF(Z$37:Z$42,$B55)&gt;0,COUNTA(Z$27:Z$35),0))</f>
        <v/>
      </c>
      <c r="AA55" s="55" t="str">
        <f>IF($B55="","",IF(COUNTIF(AA$16:AA$21,$B55)&gt;0,COUNTA(AA$7:AA$15),0)+IF(COUNTIF(AA$37:AA$42,$B55)&gt;0,COUNTA(AA$27:AA$35),0))</f>
        <v/>
      </c>
      <c r="AB55" s="55" t="str">
        <f>IF($B55="","",IF(COUNTIF(AB$16:AB$21,$B55)&gt;0,COUNTA(AB$7:AB$15),0)+IF(COUNTIF(AB$37:AB$42,$B55)&gt;0,COUNTA(AB$27:AB$35),0))</f>
        <v/>
      </c>
      <c r="AC55" s="55" t="str">
        <f>IF($B55="","",IF(COUNTIF(AC$16:AC$21,$B55)&gt;0,COUNTA(AC$7:AC$15),0)+IF(COUNTIF(AC$37:AC$42,$B55)&gt;0,COUNTA(AC$27:AC$35),0))</f>
        <v/>
      </c>
      <c r="AD55" s="55" t="str">
        <f>IF($B55="","",IF(COUNTIF(AD$16:AD$21,$B55)&gt;0,COUNTA(AD$7:AD$15),0)+IF(COUNTIF(AD$37:AD$42,$B55)&gt;0,COUNTA(AD$27:AD$35),0))</f>
        <v/>
      </c>
      <c r="AE55" s="55" t="str">
        <f>IF($B55="","",IF(COUNTIF(AE$16:AE$21,$B55)&gt;0,COUNTA(AE$7:AE$15),0)+IF(COUNTIF(AE$37:AE$42,$B55)&gt;0,COUNTA(AE$27:AE$35),0))</f>
        <v/>
      </c>
      <c r="AF55" s="55" t="str">
        <f>IF($B55="","",IF(COUNTIF(AF$16:AF$21,$B55)&gt;0,COUNTA(AF$7:AF$15),0)+IF(COUNTIF(AF$37:AF$42,$B55)&gt;0,COUNTA(AF$27:AF$35),0))</f>
        <v/>
      </c>
      <c r="AG55" s="55" t="str">
        <f>IF($B55="","",IF(COUNTIF(AG$16:AG$21,$B55)&gt;0,COUNTA(AG$7:AG$15),0)+IF(COUNTIF(AG$37:AG$42,$B55)&gt;0,COUNTA(AG$27:AG$35),0))</f>
        <v/>
      </c>
      <c r="AH55" s="55" t="str">
        <f>IF($B55="","",IF(COUNTIF(AH$16:AH$21,$B55)&gt;0,COUNTA(AH$7:AH$15),0)+IF(COUNTIF(AH$37:AH$42,$B55)&gt;0,COUNTA(AH$27:AH$35),0))</f>
        <v/>
      </c>
      <c r="AI55" s="55" t="str">
        <f>IF($B55="","",IF(COUNTIF(AI$16:AI$21,$B55)&gt;0,COUNTA(AI$7:AI$15),0)+IF(COUNTIF(AI$37:AI$42,$B55)&gt;0,COUNTA(AI$27:AI$35),0))</f>
        <v/>
      </c>
      <c r="AJ55" s="55" t="str">
        <f>IF($B55="","",IF(COUNTIF(AJ$16:AJ$21,$B55)&gt;0,COUNTA(AJ$7:AJ$15),0)+IF(COUNTIF(AJ$37:AJ$42,$B55)&gt;0,COUNTA(AJ$27:AJ$35),0))</f>
        <v/>
      </c>
      <c r="AK55" s="55" t="str">
        <f>IF($B55="","",IF(COUNTIF(AK$16:AK$21,$B55)&gt;0,COUNTA(AK$7:AK$15),0)+IF(COUNTIF(AK$37:AK$42,$B55)&gt;0,COUNTA(AK$27:AK$35),0))</f>
        <v/>
      </c>
      <c r="AL55" s="55" t="str">
        <f>IF($B55="","",IF(COUNTIF(AL$16:AL$21,$B55)&gt;0,COUNTA(AL$7:AL$15),0)+IF(COUNTIF(AL$37:AL$42,$B55)&gt;0,COUNTA(AL$27:AL$35),0))</f>
        <v/>
      </c>
      <c r="AM55" s="55" t="str">
        <f>IF($B55="","",IF(COUNTIF(AM$16:AM$21,$B55)&gt;0,COUNTA(AM$7:AM$15),0)+IF(COUNTIF(AM$37:AM$42,$B55)&gt;0,COUNTA(AM$27:AM$35),0))</f>
        <v/>
      </c>
      <c r="AN55" s="55" t="str">
        <f>IF($B55="","",IF(COUNTIF(AN$16:AN$21,$B55)&gt;0,COUNTA(AN$7:AN$15),0)+IF(COUNTIF(AN$37:AN$42,$B55)&gt;0,COUNTA(AN$27:AN$35),0))</f>
        <v/>
      </c>
      <c r="AO55" s="55" t="str">
        <f>IF($B55="","",IF(COUNTIF(AO$16:AO$21,$B55)&gt;0,COUNTA(AO$7:AO$15),0)+IF(COUNTIF(AO$37:AO$42,$B55)&gt;0,COUNTA(AO$27:AO$35),0))</f>
        <v/>
      </c>
      <c r="AP55" s="55" t="str">
        <f>IF($B55="","",IF(COUNTIF(AP$16:AP$21,$B55)&gt;0,COUNTA(AP$7:AP$15),0)+IF(COUNTIF(AP$37:AP$42,$B55)&gt;0,COUNTA(AP$27:AP$35),0))</f>
        <v/>
      </c>
      <c r="AQ55" s="55" t="str">
        <f>IF($B55="","",IF(COUNTIF(AQ$16:AQ$21,$B55)&gt;0,COUNTA(AQ$7:AQ$15),0)+IF(COUNTIF(AQ$37:AQ$42,$B55)&gt;0,COUNTA(AQ$27:AQ$35),0))</f>
        <v/>
      </c>
      <c r="AR55" s="55" t="str">
        <f>IF($B55="","",IF(COUNTIF(AR$16:AR$21,$B55)&gt;0,COUNTA(AR$7:AR$15),0)+IF(COUNTIF(AR$37:AR$42,$B55)&gt;0,COUNTA(AR$27:AR$35),0))</f>
        <v/>
      </c>
      <c r="AS55" s="55" t="str">
        <f>IF($B55="","",IF(COUNTIF(AS$16:AS$21,$B55)&gt;0,COUNTA(AS$7:AS$15),0)+IF(COUNTIF(AS$37:AS$42,$B55)&gt;0,COUNTA(AS$27:AS$35),0))</f>
        <v/>
      </c>
      <c r="AT55" s="55" t="str">
        <f>IF($B55="","",IF(COUNTIF(AT$16:AT$21,$B55)&gt;0,COUNTA(AT$7:AT$15),0)+IF(COUNTIF(AT$37:AT$42,$B55)&gt;0,COUNTA(AT$27:AT$35),0))</f>
        <v/>
      </c>
      <c r="AU55" s="55" t="str">
        <f>IF($B55="","",IF(COUNTIF(AU$16:AU$21,$B55)&gt;0,COUNTA(AU$7:AU$15),0)+IF(COUNTIF(AU$37:AU$42,$B55)&gt;0,COUNTA(AU$27:AU$35),0))</f>
        <v/>
      </c>
      <c r="AV55" s="55" t="str">
        <f>IF($B55="","",IF(COUNTIF(AV$16:AV$21,$B55)&gt;0,COUNTA(AV$7:AV$15),0)+IF(COUNTIF(AV$37:AV$42,$B55)&gt;0,COUNTA(AV$27:AV$35),0))</f>
        <v/>
      </c>
      <c r="AW55" s="55" t="str">
        <f>IF($B55="","",IF(COUNTIF(AW$16:AW$21,$B55)&gt;0,COUNTA(AW$7:AW$15),0)+IF(COUNTIF(AW$37:AW$42,$B55)&gt;0,COUNTA(AW$27:AW$35),0))</f>
        <v/>
      </c>
      <c r="AX55" s="55" t="str">
        <f>IF($B55="","",IF(COUNTIF(AX$16:AX$21,$B55)&gt;0,COUNTA(AX$7:AX$15),0)+IF(COUNTIF(AX$37:AX$42,$B55)&gt;0,COUNTA(AX$27:AX$35),0))</f>
        <v/>
      </c>
      <c r="AY55" s="55" t="str">
        <f>IF($B55="","",IF(COUNTIF(AY$16:AY$21,$B55)&gt;0,COUNTA(AY$7:AY$15),0)+IF(COUNTIF(AY$37:AY$42,$B55)&gt;0,COUNTA(AY$27:AY$35),0))</f>
        <v/>
      </c>
      <c r="AZ55" s="55" t="str">
        <f>IF($B55="","",IF(COUNTIF(AZ$16:AZ$21,$B55)&gt;0,COUNTA(AZ$7:AZ$15),0)+IF(COUNTIF(AZ$37:AZ$42,$B55)&gt;0,COUNTA(AZ$27:AZ$35),0))</f>
        <v/>
      </c>
      <c r="BA55" s="55" t="str">
        <f>IF($B55="","",IF(COUNTIF(BA$16:BA$21,$B55)&gt;0,COUNTA(BA$7:BA$15),0)+IF(COUNTIF(BA$37:BA$42,$B55)&gt;0,COUNTA(BA$27:BA$35),0))</f>
        <v/>
      </c>
      <c r="BB55" s="55" t="str">
        <f>IF($B55="","",IF(COUNTIF(BB$16:BB$21,$B55)&gt;0,COUNTA(BB$7:BB$15),0)+IF(COUNTIF(BB$37:BB$42,$B55)&gt;0,COUNTA(BB$27:BB$35),0))</f>
        <v/>
      </c>
      <c r="BC55" s="55" t="str">
        <f>IF($B55="","",IF(COUNTIF(BC$16:BC$21,$B55)&gt;0,COUNTA(BC$7:BC$15),0)+IF(COUNTIF(BC$37:BC$42,$B55)&gt;0,COUNTA(BC$27:BC$35),0))</f>
        <v/>
      </c>
      <c r="BD55" s="55" t="str">
        <f>IF($B55="","",IF(COUNTIF(BD$16:BD$21,$B55)&gt;0,COUNTA(BD$7:BD$15),0)+IF(COUNTIF(BD$37:BD$42,$B55)&gt;0,COUNTA(BD$27:BD$35),0))</f>
        <v/>
      </c>
      <c r="BE55" s="55" t="str">
        <f>IF($B55="","",IF(COUNTIF(BE$16:BE$21,$B55)&gt;0,COUNTA(BE$7:BE$15),0)+IF(COUNTIF(BE$37:BE$42,$B55)&gt;0,COUNTA(BE$27:BE$35),0))</f>
        <v/>
      </c>
      <c r="BF55" s="55" t="str">
        <f>IF($B55="","",IF(COUNTIF(BF$16:BF$21,$B55)&gt;0,COUNTA(BF$7:BF$15),0)+IF(COUNTIF(BF$37:BF$42,$B55)&gt;0,COUNTA(BF$27:BF$35),0))</f>
        <v/>
      </c>
      <c r="BG55" s="55" t="str">
        <f>IF($B55="","",IF(COUNTIF(BG$16:BG$21,$B55)&gt;0,COUNTA(BG$7:BG$15),0)+IF(COUNTIF(BG$37:BG$42,$B55)&gt;0,COUNTA(BG$27:BG$35),0))</f>
        <v/>
      </c>
      <c r="BH55" s="55" t="str">
        <f>IF($B55="","",IF(COUNTIF(BH$16:BH$21,$B55)&gt;0,COUNTA(BH$7:BH$15),0)+IF(COUNTIF(BH$37:BH$42,$B55)&gt;0,COUNTA(BH$27:BH$35),0))</f>
        <v/>
      </c>
      <c r="BI55" s="55" t="str">
        <f>IF($B55="","",IF(COUNTIF(BI$16:BI$21,$B55)&gt;0,COUNTA(BI$7:BI$15),0)+IF(COUNTIF(BI$37:BI$42,$B55)&gt;0,COUNTA(BI$27:BI$35),0))</f>
        <v/>
      </c>
      <c r="BJ55" s="55" t="str">
        <f>IF($B55="","",IF(COUNTIF(BJ$16:BJ$21,$B55)&gt;0,COUNTA(BJ$7:BJ$15),0)+IF(COUNTIF(BJ$37:BJ$42,$B55)&gt;0,COUNTA(BJ$27:BJ$35),0))</f>
        <v/>
      </c>
      <c r="BK55" s="55" t="str">
        <f>IF($B55="","",IF(COUNTIF(BK$16:BK$21,$B55)&gt;0,COUNTA(BK$7:BK$15),0)+IF(COUNTIF(BK$37:BK$42,$B55)&gt;0,COUNTA(BK$27:BK$35),0))</f>
        <v/>
      </c>
      <c r="BL55" s="55" t="str">
        <f>IF($B55="","",IF(COUNTIF(BL$16:BL$21,$B55)&gt;0,COUNTA(BL$7:BL$15),0)+IF(COUNTIF(BL$37:BL$42,$B55)&gt;0,COUNTA(BL$27:BL$35),0))</f>
        <v/>
      </c>
      <c r="BM55" s="55" t="str">
        <f>IF($B55="","",IF(COUNTIF(BM$16:BM$21,$B55)&gt;0,COUNTA(BM$7:BM$15),0)+IF(COUNTIF(BM$37:BM$42,$B55)&gt;0,COUNTA(BM$27:BM$35),0))</f>
        <v/>
      </c>
      <c r="BN55" s="55" t="str">
        <f>IF($B55="","",IF(COUNTIF(BN$16:BN$21,$B55)&gt;0,COUNTA(BN$7:BN$15),0)+IF(COUNTIF(BN$37:BN$42,$B55)&gt;0,COUNTA(BN$27:BN$35),0))</f>
        <v/>
      </c>
      <c r="BO55" s="55" t="str">
        <f>IF($B55="","",IF(COUNTIF(BO$16:BO$21,$B55)&gt;0,COUNTA(BO$7:BO$15),0)+IF(COUNTIF(BO$37:BO$42,$B55)&gt;0,COUNTA(BO$27:BO$35),0))</f>
        <v/>
      </c>
      <c r="BP55" s="55" t="str">
        <f>IF($B55="","",IF(COUNTIF(BP$16:BP$21,$B55)&gt;0,COUNTA(BP$7:BP$15),0)+IF(COUNTIF(BP$37:BP$42,$B55)&gt;0,COUNTA(BP$27:BP$35),0))</f>
        <v/>
      </c>
      <c r="BQ55" s="55" t="str">
        <f>IF($B55="","",IF(COUNTIF(BQ$16:BQ$21,$B55)&gt;0,COUNTA(BQ$7:BQ$15),0)+IF(COUNTIF(BQ$37:BQ$42,$B55)&gt;0,COUNTA(BQ$27:BQ$35),0))</f>
        <v/>
      </c>
      <c r="BR55" s="55" t="str">
        <f>IF($B55="","",IF(COUNTIF(BR$16:BR$21,$B55)&gt;0,COUNTA(BR$7:BR$15),0)+IF(COUNTIF(BR$37:BR$42,$B55)&gt;0,COUNTA(BR$27:BR$35),0))</f>
        <v/>
      </c>
      <c r="BS55" s="55" t="str">
        <f>IF($B55="","",IF(COUNTIF(BS$16:BS$21,$B55)&gt;0,COUNTA(BS$7:BS$15),0)+IF(COUNTIF(BS$37:BS$42,$B55)&gt;0,COUNTA(BS$27:BS$35),0))</f>
        <v/>
      </c>
      <c r="BT55" s="55" t="str">
        <f>IF($B55="","",IF(COUNTIF(BT$16:BT$21,$B55)&gt;0,COUNTA(BT$7:BT$15),0)+IF(COUNTIF(BT$37:BT$42,$B55)&gt;0,COUNTA(BT$27:BT$35),0))</f>
        <v/>
      </c>
      <c r="BU55" s="55" t="str">
        <f>IF($B55="","",IF(COUNTIF(BU$16:BU$21,$B55)&gt;0,COUNTA(BU$7:BU$15),0)+IF(COUNTIF(BU$37:BU$42,$B55)&gt;0,COUNTA(BU$27:BU$35),0))</f>
        <v/>
      </c>
      <c r="BV55" s="55" t="str">
        <f>IF($B55="","",IF(COUNTIF(BV$16:BV$21,$B55)&gt;0,COUNTA(BV$7:BV$15),0)+IF(COUNTIF(BV$37:BV$42,$B55)&gt;0,COUNTA(BV$27:BV$35),0))</f>
        <v/>
      </c>
      <c r="BW55" s="55" t="str">
        <f>IF($B55="","",IF(COUNTIF(BW$16:BW$21,$B55)&gt;0,COUNTA(BW$7:BW$15),0)+IF(COUNTIF(BW$37:BW$42,$B55)&gt;0,COUNTA(BW$27:BW$35),0))</f>
        <v/>
      </c>
      <c r="BX55" s="55" t="str">
        <f>IF($B55="","",IF(COUNTIF(BX$16:BX$21,$B55)&gt;0,COUNTA(BX$7:BX$15),0)+IF(COUNTIF(BX$37:BX$42,$B55)&gt;0,COUNTA(BX$27:BX$35),0))</f>
        <v/>
      </c>
      <c r="BY55" s="55" t="str">
        <f>IF($B55="","",IF(COUNTIF(BY$16:BY$21,$B55)&gt;0,COUNTA(BY$7:BY$15),0)+IF(COUNTIF(BY$37:BY$42,$B55)&gt;0,COUNTA(BY$27:BY$35),0))</f>
        <v/>
      </c>
      <c r="BZ55" s="55" t="str">
        <f>IF($B55="","",IF(COUNTIF(BZ$16:BZ$21,$B55)&gt;0,COUNTA(BZ$7:BZ$15),0)+IF(COUNTIF(BZ$37:BZ$42,$B55)&gt;0,COUNTA(BZ$27:BZ$35),0))</f>
        <v/>
      </c>
      <c r="CA55" s="55" t="str">
        <f>IF($B55="","",IF(COUNTIF(CA$16:CA$21,$B55)&gt;0,COUNTA(CA$7:CA$15),0)+IF(COUNTIF(CA$37:CA$42,$B55)&gt;0,COUNTA(CA$27:CA$35),0))</f>
        <v/>
      </c>
      <c r="CB55" s="55" t="str">
        <f>IF($B55="","",IF(COUNTIF(CB$16:CB$21,$B55)&gt;0,COUNTA(CB$7:CB$15),0)+IF(COUNTIF(CB$37:CB$42,$B55)&gt;0,COUNTA(CB$27:CB$35),0))</f>
        <v/>
      </c>
      <c r="CC55" s="55" t="str">
        <f>IF($B55="","",IF(COUNTIF(CC$16:CC$21,$B55)&gt;0,COUNTA(CC$7:CC$15),0)+IF(COUNTIF(CC$37:CC$42,$B55)&gt;0,COUNTA(CC$27:CC$35),0))</f>
        <v/>
      </c>
      <c r="CD55" s="55" t="str">
        <f>IF($B55="","",IF(COUNTIF(CD$16:CD$21,$B55)&gt;0,COUNTA(CD$7:CD$15),0)+IF(COUNTIF(CD$37:CD$42,$B55)&gt;0,COUNTA(CD$27:CD$35),0))</f>
        <v/>
      </c>
      <c r="CE55" s="55" t="str">
        <f>IF($B55="","",IF(COUNTIF(CE$16:CE$21,$B55)&gt;0,COUNTA(CE$7:CE$15),0)+IF(COUNTIF(CE$37:CE$42,$B55)&gt;0,COUNTA(CE$27:CE$35),0))</f>
        <v/>
      </c>
      <c r="CF55" s="55" t="str">
        <f>IF($B55="","",IF(COUNTIF(CF$16:CF$21,$B55)&gt;0,COUNTA(CF$7:CF$15),0)+IF(COUNTIF(CF$37:CF$42,$B55)&gt;0,COUNTA(CF$27:CF$35),0))</f>
        <v/>
      </c>
      <c r="CG55" s="55" t="str">
        <f>IF($B55="","",IF(COUNTIF(CG$16:CG$21,$B55)&gt;0,COUNTA(CG$7:CG$15),0)+IF(COUNTIF(CG$37:CG$42,$B55)&gt;0,COUNTA(CG$27:CG$35),0))</f>
        <v/>
      </c>
      <c r="CH55" s="55" t="str">
        <f>IF($B55="","",IF(COUNTIF(CH$16:CH$21,$B55)&gt;0,COUNTA(CH$7:CH$15),0)+IF(COUNTIF(CH$37:CH$42,$B55)&gt;0,COUNTA(CH$27:CH$35),0))</f>
        <v/>
      </c>
      <c r="CI55" s="55" t="str">
        <f>IF($B55="","",IF(COUNTIF(CI$16:CI$21,$B55)&gt;0,COUNTA(CI$7:CI$15),0)+IF(COUNTIF(CI$37:CI$42,$B55)&gt;0,COUNTA(CI$27:CI$35),0))</f>
        <v/>
      </c>
      <c r="CJ55" s="55" t="str">
        <f>IF($B55="","",IF(COUNTIF(CJ$16:CJ$21,$B55)&gt;0,COUNTA(CJ$7:CJ$15),0)+IF(COUNTIF(CJ$37:CJ$42,$B55)&gt;0,COUNTA(CJ$27:CJ$35),0))</f>
        <v/>
      </c>
      <c r="CK55" s="55" t="str">
        <f>IF($B55="","",IF(COUNTIF(CK$16:CK$21,$B55)&gt;0,COUNTA(CK$7:CK$15),0)+IF(COUNTIF(CK$37:CK$42,$B55)&gt;0,COUNTA(CK$27:CK$35),0))</f>
        <v/>
      </c>
      <c r="CL55" s="55" t="str">
        <f>IF($B55="","",IF(COUNTIF(CL$16:CL$21,$B55)&gt;0,COUNTA(CL$7:CL$15),0)+IF(COUNTIF(CL$37:CL$42,$B55)&gt;0,COUNTA(CL$27:CL$35),0))</f>
        <v/>
      </c>
      <c r="CM55" s="55" t="str">
        <f>IF($B55="","",IF(COUNTIF(CM$16:CM$21,$B55)&gt;0,COUNTA(CM$7:CM$15),0)+IF(COUNTIF(CM$37:CM$42,$B55)&gt;0,COUNTA(CM$27:CM$35),0))</f>
        <v/>
      </c>
      <c r="CN55" s="55" t="str">
        <f>IF($B55="","",IF(COUNTIF(CN$16:CN$21,$B55)&gt;0,COUNTA(CN$7:CN$15),0)+IF(COUNTIF(CN$37:CN$42,$B55)&gt;0,COUNTA(CN$27:CN$35),0))</f>
        <v/>
      </c>
      <c r="CO55" s="55" t="str">
        <f>IF($B55="","",IF(COUNTIF(CO$16:CO$21,$B55)&gt;0,COUNTA(CO$7:CO$15),0)+IF(COUNTIF(CO$37:CO$42,$B55)&gt;0,COUNTA(CO$27:CO$35),0))</f>
        <v/>
      </c>
      <c r="CP55" s="55" t="str">
        <f>IF($B55="","",IF(COUNTIF(CP$16:CP$21,$B55)&gt;0,COUNTA(CP$7:CP$15),0)+IF(COUNTIF(CP$37:CP$42,$B55)&gt;0,COUNTA(CP$27:CP$35),0))</f>
        <v/>
      </c>
      <c r="CQ55" s="55" t="str">
        <f>IF($B55="","",IF(COUNTIF(CQ$16:CQ$21,$B55)&gt;0,COUNTA(CQ$7:CQ$15),0)+IF(COUNTIF(CQ$37:CQ$42,$B55)&gt;0,COUNTA(CQ$27:CQ$35),0))</f>
        <v/>
      </c>
      <c r="CR55" s="55" t="str">
        <f>IF($B55="","",IF(COUNTIF(CR$16:CR$21,$B55)&gt;0,COUNTA(CR$7:CR$15),0)+IF(COUNTIF(CR$37:CR$42,$B55)&gt;0,COUNTA(CR$27:CR$35),0))</f>
        <v/>
      </c>
      <c r="CS55" s="55" t="str">
        <f>IF($B55="","",IF(COUNTIF(CS$16:CS$21,$B55)&gt;0,COUNTA(CS$7:CS$15),0)+IF(COUNTIF(CS$37:CS$42,$B55)&gt;0,COUNTA(CS$27:CS$35),0))</f>
        <v/>
      </c>
      <c r="CT55" s="55" t="str">
        <f>IF($B55="","",IF(COUNTIF(CT$16:CT$21,$B55)&gt;0,COUNTA(CT$7:CT$15),0)+IF(COUNTIF(CT$37:CT$42,$B55)&gt;0,COUNTA(CT$27:CT$35),0))</f>
        <v/>
      </c>
      <c r="CU55" s="55" t="str">
        <f>IF($B55="","",IF(COUNTIF(CU$16:CU$21,$B55)&gt;0,COUNTA(CU$7:CU$15),0)+IF(COUNTIF(CU$37:CU$42,$B55)&gt;0,COUNTA(CU$27:CU$35),0))</f>
        <v/>
      </c>
      <c r="CV55" s="55" t="str">
        <f>IF($B55="","",IF(COUNTIF(CV$16:CV$21,$B55)&gt;0,COUNTA(CV$7:CV$15),0)+IF(COUNTIF(CV$37:CV$42,$B55)&gt;0,COUNTA(CV$27:CV$35),0))</f>
        <v/>
      </c>
      <c r="CW55" s="55" t="str">
        <f>IF($B55="","",IF(COUNTIF(CW$16:CW$21,$B55)&gt;0,COUNTA(CW$7:CW$15),0)+IF(COUNTIF(CW$37:CW$42,$B55)&gt;0,COUNTA(CW$27:CW$35),0))</f>
        <v/>
      </c>
      <c r="CX55" s="55" t="str">
        <f>IF($B55="","",IF(COUNTIF(CX$16:CX$21,$B55)&gt;0,COUNTA(CX$7:CX$15),0)+IF(COUNTIF(CX$37:CX$42,$B55)&gt;0,COUNTA(CX$27:CX$35),0))</f>
        <v/>
      </c>
      <c r="CY55" s="55" t="str">
        <f>IF($B55="","",IF(COUNTIF(CY$16:CY$21,$B55)&gt;0,COUNTA(CY$7:CY$15),0)+IF(COUNTIF(CY$37:CY$42,$B55)&gt;0,COUNTA(CY$27:CY$35),0))</f>
        <v/>
      </c>
      <c r="CZ55" s="55" t="str">
        <f>IF($B55="","",IF(COUNTIF(CZ$16:CZ$21,$B55)&gt;0,COUNTA(CZ$7:CZ$15),0)+IF(COUNTIF(CZ$37:CZ$42,$B55)&gt;0,COUNTA(CZ$27:CZ$35),0))</f>
        <v/>
      </c>
      <c r="DA55" s="55" t="str">
        <f>IF($B55="","",IF(COUNTIF(DA$16:DA$21,$B55)&gt;0,COUNTA(DA$7:DA$15),0)+IF(COUNTIF(DA$37:DA$42,$B55)&gt;0,COUNTA(DA$27:DA$35),0))</f>
        <v/>
      </c>
      <c r="DB55" s="55" t="str">
        <f>IF($B55="","",IF(COUNTIF(DB$16:DB$21,$B55)&gt;0,COUNTA(DB$7:DB$15),0)+IF(COUNTIF(DB$37:DB$42,$B55)&gt;0,COUNTA(DB$27:DB$35),0))</f>
        <v/>
      </c>
      <c r="DC55" s="55" t="str">
        <f>IF($B55="","",IF(COUNTIF(DC$16:DC$21,$B55)&gt;0,COUNTA(DC$7:DC$15),0)+IF(COUNTIF(DC$37:DC$42,$B55)&gt;0,COUNTA(DC$27:DC$35),0))</f>
        <v/>
      </c>
      <c r="DD55" s="55" t="str">
        <f>IF($B55="","",IF(COUNTIF(DD$16:DD$21,$B55)&gt;0,COUNTA(DD$7:DD$15),0)+IF(COUNTIF(DD$37:DD$42,$B55)&gt;0,COUNTA(DD$27:DD$35),0))</f>
        <v/>
      </c>
      <c r="DE55" s="58" t="str">
        <f>IF($B55="","",IF(COUNTIF(DE$16:DE$21,$B55)&gt;0,COUNTA(DE$7:DE$15),0)+IF(COUNTIF(DE$37:DE$42,$B55)&gt;0,COUNTA(DE$27:DE$35),0))</f>
        <v/>
      </c>
    </row>
    <row r="56" spans="2:109" x14ac:dyDescent="0.2">
      <c r="B56" s="84" t="str">
        <f>IFERROR(INDEX(_xlfn._xlws.FILTER(Ressourcer!$B$1:$X$1,_xlfn.BYCOL(Ressourcer!$B$12:$X$15,_xlfn.LAMBDA(_xlpm.c,COUNTIF(_xlpm.c,"&lt;&gt;" )&gt;0))),ROWS($B$2:B13)),"")</f>
        <v/>
      </c>
      <c r="C56" s="79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)&gt;0))),_xlfn.LAMBDA(_xlpm.col,SUM(INDEX(Ressourcer!$B$12:$X$15,,_xlpm.col-COLUMN(Ressourcer!$B$12:$X$15)+1)))),ROWS($B$2:B13))/2,"")</f>
        <v/>
      </c>
      <c r="D56" s="106" t="str">
        <f t="shared" si="35"/>
        <v/>
      </c>
      <c r="E56" s="57" t="str">
        <f>IF($B56="","",IF(COUNTIF(E$16:E$21,$B56)&gt;0,COUNTA(E$7:E$15),0)+IF(COUNTIF(E$37:E$42,$B56)&gt;0,COUNTA(E$27:E$35),0))</f>
        <v/>
      </c>
      <c r="F56" s="55" t="str">
        <f>IF($B56="","",IF(COUNTIF(F$16:F$21,$B56)&gt;0,COUNTA(F$7:F$15),0)+IF(COUNTIF(F$37:F$42,$B56)&gt;0,COUNTA(F$27:F$35),0))</f>
        <v/>
      </c>
      <c r="G56" s="55" t="str">
        <f>IF($B56="","",IF(COUNTIF(G$16:G$21,$B56)&gt;0,COUNTA(G$7:G$15),0)+IF(COUNTIF(G$37:G$42,$B56)&gt;0,COUNTA(G$27:G$35),0))</f>
        <v/>
      </c>
      <c r="H56" s="55" t="str">
        <f>IF($B56="","",IF(COUNTIF(H$16:H$21,$B56)&gt;0,COUNTA(H$7:H$15),0)+IF(COUNTIF(H$37:H$42,$B56)&gt;0,COUNTA(H$27:H$35),0))</f>
        <v/>
      </c>
      <c r="I56" s="55" t="str">
        <f>IF($B56="","",IF(COUNTIF(I$16:I$21,$B56)&gt;0,COUNTA(I$7:I$15),0)+IF(COUNTIF(I$37:I$42,$B56)&gt;0,COUNTA(I$27:I$35),0))</f>
        <v/>
      </c>
      <c r="J56" s="55" t="str">
        <f>IF($B56="","",IF(COUNTIF(J$16:J$21,$B56)&gt;0,COUNTA(J$7:J$15),0)+IF(COUNTIF(J$37:J$42,$B56)&gt;0,COUNTA(J$27:J$35),0))</f>
        <v/>
      </c>
      <c r="K56" s="55" t="str">
        <f>IF($B56="","",IF(COUNTIF(K$16:K$21,$B56)&gt;0,COUNTA(K$7:K$15),0)+IF(COUNTIF(K$37:K$42,$B56)&gt;0,COUNTA(K$27:K$35),0))</f>
        <v/>
      </c>
      <c r="L56" s="55" t="str">
        <f>IF($B56="","",IF(COUNTIF(L$16:L$21,$B56)&gt;0,COUNTA(L$7:L$15),0)+IF(COUNTIF(L$37:L$42,$B56)&gt;0,COUNTA(L$27:L$35),0))</f>
        <v/>
      </c>
      <c r="M56" s="55" t="str">
        <f>IF($B56="","",IF(COUNTIF(M$16:M$21,$B56)&gt;0,COUNTA(M$7:M$15),0)+IF(COUNTIF(M$37:M$42,$B56)&gt;0,COUNTA(M$27:M$35),0))</f>
        <v/>
      </c>
      <c r="N56" s="55" t="str">
        <f>IF($B56="","",IF(COUNTIF(N$16:N$21,$B56)&gt;0,COUNTA(N$7:N$15),0)+IF(COUNTIF(N$37:N$42,$B56)&gt;0,COUNTA(N$27:N$35),0))</f>
        <v/>
      </c>
      <c r="O56" s="55" t="str">
        <f>IF($B56="","",IF(COUNTIF(O$16:O$21,$B56)&gt;0,COUNTA(O$7:O$15),0)+IF(COUNTIF(O$37:O$42,$B56)&gt;0,COUNTA(O$27:O$35),0))</f>
        <v/>
      </c>
      <c r="P56" s="55" t="str">
        <f>IF($B56="","",IF(COUNTIF(P$16:P$21,$B56)&gt;0,COUNTA(P$7:P$15),0)+IF(COUNTIF(P$37:P$42,$B56)&gt;0,COUNTA(P$27:P$35),0))</f>
        <v/>
      </c>
      <c r="Q56" s="55" t="str">
        <f>IF($B56="","",IF(COUNTIF(Q$16:Q$21,$B56)&gt;0,COUNTA(Q$7:Q$15),0)+IF(COUNTIF(Q$37:Q$42,$B56)&gt;0,COUNTA(Q$27:Q$35),0))</f>
        <v/>
      </c>
      <c r="R56" s="55" t="str">
        <f>IF($B56="","",IF(COUNTIF(R$16:R$21,$B56)&gt;0,COUNTA(R$7:R$15),0)+IF(COUNTIF(R$37:R$42,$B56)&gt;0,COUNTA(R$27:R$35),0))</f>
        <v/>
      </c>
      <c r="S56" s="55" t="str">
        <f>IF($B56="","",IF(COUNTIF(S$16:S$21,$B56)&gt;0,COUNTA(S$7:S$15),0)+IF(COUNTIF(S$37:S$42,$B56)&gt;0,COUNTA(S$27:S$35),0))</f>
        <v/>
      </c>
      <c r="T56" s="55" t="str">
        <f>IF($B56="","",IF(COUNTIF(T$16:T$21,$B56)&gt;0,COUNTA(T$7:T$15),0)+IF(COUNTIF(T$37:T$42,$B56)&gt;0,COUNTA(T$27:T$35),0))</f>
        <v/>
      </c>
      <c r="U56" s="55" t="str">
        <f>IF($B56="","",IF(COUNTIF(U$16:U$21,$B56)&gt;0,COUNTA(U$7:U$15),0)+IF(COUNTIF(U$37:U$42,$B56)&gt;0,COUNTA(U$27:U$35),0))</f>
        <v/>
      </c>
      <c r="V56" s="55" t="str">
        <f>IF($B56="","",IF(COUNTIF(V$16:V$21,$B56)&gt;0,COUNTA(V$7:V$15),0)+IF(COUNTIF(V$37:V$42,$B56)&gt;0,COUNTA(V$27:V$35),0))</f>
        <v/>
      </c>
      <c r="W56" s="55" t="str">
        <f>IF($B56="","",IF(COUNTIF(W$16:W$21,$B56)&gt;0,COUNTA(W$7:W$15),0)+IF(COUNTIF(W$37:W$42,$B56)&gt;0,COUNTA(W$27:W$35),0))</f>
        <v/>
      </c>
      <c r="X56" s="55" t="str">
        <f>IF($B56="","",IF(COUNTIF(X$16:X$21,$B56)&gt;0,COUNTA(X$7:X$15),0)+IF(COUNTIF(X$37:X$42,$B56)&gt;0,COUNTA(X$27:X$35),0))</f>
        <v/>
      </c>
      <c r="Y56" s="55" t="str">
        <f>IF($B56="","",IF(COUNTIF(Y$16:Y$21,$B56)&gt;0,COUNTA(Y$7:Y$15),0)+IF(COUNTIF(Y$37:Y$42,$B56)&gt;0,COUNTA(Y$27:Y$35),0))</f>
        <v/>
      </c>
      <c r="Z56" s="55" t="str">
        <f>IF($B56="","",IF(COUNTIF(Z$16:Z$21,$B56)&gt;0,COUNTA(Z$7:Z$15),0)+IF(COUNTIF(Z$37:Z$42,$B56)&gt;0,COUNTA(Z$27:Z$35),0))</f>
        <v/>
      </c>
      <c r="AA56" s="55" t="str">
        <f>IF($B56="","",IF(COUNTIF(AA$16:AA$21,$B56)&gt;0,COUNTA(AA$7:AA$15),0)+IF(COUNTIF(AA$37:AA$42,$B56)&gt;0,COUNTA(AA$27:AA$35),0))</f>
        <v/>
      </c>
      <c r="AB56" s="55" t="str">
        <f>IF($B56="","",IF(COUNTIF(AB$16:AB$21,$B56)&gt;0,COUNTA(AB$7:AB$15),0)+IF(COUNTIF(AB$37:AB$42,$B56)&gt;0,COUNTA(AB$27:AB$35),0))</f>
        <v/>
      </c>
      <c r="AC56" s="55" t="str">
        <f>IF($B56="","",IF(COUNTIF(AC$16:AC$21,$B56)&gt;0,COUNTA(AC$7:AC$15),0)+IF(COUNTIF(AC$37:AC$42,$B56)&gt;0,COUNTA(AC$27:AC$35),0))</f>
        <v/>
      </c>
      <c r="AD56" s="55" t="str">
        <f>IF($B56="","",IF(COUNTIF(AD$16:AD$21,$B56)&gt;0,COUNTA(AD$7:AD$15),0)+IF(COUNTIF(AD$37:AD$42,$B56)&gt;0,COUNTA(AD$27:AD$35),0))</f>
        <v/>
      </c>
      <c r="AE56" s="55" t="str">
        <f>IF($B56="","",IF(COUNTIF(AE$16:AE$21,$B56)&gt;0,COUNTA(AE$7:AE$15),0)+IF(COUNTIF(AE$37:AE$42,$B56)&gt;0,COUNTA(AE$27:AE$35),0))</f>
        <v/>
      </c>
      <c r="AF56" s="55" t="str">
        <f>IF($B56="","",IF(COUNTIF(AF$16:AF$21,$B56)&gt;0,COUNTA(AF$7:AF$15),0)+IF(COUNTIF(AF$37:AF$42,$B56)&gt;0,COUNTA(AF$27:AF$35),0))</f>
        <v/>
      </c>
      <c r="AG56" s="55" t="str">
        <f>IF($B56="","",IF(COUNTIF(AG$16:AG$21,$B56)&gt;0,COUNTA(AG$7:AG$15),0)+IF(COUNTIF(AG$37:AG$42,$B56)&gt;0,COUNTA(AG$27:AG$35),0))</f>
        <v/>
      </c>
      <c r="AH56" s="55" t="str">
        <f>IF($B56="","",IF(COUNTIF(AH$16:AH$21,$B56)&gt;0,COUNTA(AH$7:AH$15),0)+IF(COUNTIF(AH$37:AH$42,$B56)&gt;0,COUNTA(AH$27:AH$35),0))</f>
        <v/>
      </c>
      <c r="AI56" s="55" t="str">
        <f>IF($B56="","",IF(COUNTIF(AI$16:AI$21,$B56)&gt;0,COUNTA(AI$7:AI$15),0)+IF(COUNTIF(AI$37:AI$42,$B56)&gt;0,COUNTA(AI$27:AI$35),0))</f>
        <v/>
      </c>
      <c r="AJ56" s="55" t="str">
        <f>IF($B56="","",IF(COUNTIF(AJ$16:AJ$21,$B56)&gt;0,COUNTA(AJ$7:AJ$15),0)+IF(COUNTIF(AJ$37:AJ$42,$B56)&gt;0,COUNTA(AJ$27:AJ$35),0))</f>
        <v/>
      </c>
      <c r="AK56" s="55" t="str">
        <f>IF($B56="","",IF(COUNTIF(AK$16:AK$21,$B56)&gt;0,COUNTA(AK$7:AK$15),0)+IF(COUNTIF(AK$37:AK$42,$B56)&gt;0,COUNTA(AK$27:AK$35),0))</f>
        <v/>
      </c>
      <c r="AL56" s="55" t="str">
        <f>IF($B56="","",IF(COUNTIF(AL$16:AL$21,$B56)&gt;0,COUNTA(AL$7:AL$15),0)+IF(COUNTIF(AL$37:AL$42,$B56)&gt;0,COUNTA(AL$27:AL$35),0))</f>
        <v/>
      </c>
      <c r="AM56" s="55" t="str">
        <f>IF($B56="","",IF(COUNTIF(AM$16:AM$21,$B56)&gt;0,COUNTA(AM$7:AM$15),0)+IF(COUNTIF(AM$37:AM$42,$B56)&gt;0,COUNTA(AM$27:AM$35),0))</f>
        <v/>
      </c>
      <c r="AN56" s="55" t="str">
        <f>IF($B56="","",IF(COUNTIF(AN$16:AN$21,$B56)&gt;0,COUNTA(AN$7:AN$15),0)+IF(COUNTIF(AN$37:AN$42,$B56)&gt;0,COUNTA(AN$27:AN$35),0))</f>
        <v/>
      </c>
      <c r="AO56" s="55" t="str">
        <f>IF($B56="","",IF(COUNTIF(AO$16:AO$21,$B56)&gt;0,COUNTA(AO$7:AO$15),0)+IF(COUNTIF(AO$37:AO$42,$B56)&gt;0,COUNTA(AO$27:AO$35),0))</f>
        <v/>
      </c>
      <c r="AP56" s="55" t="str">
        <f>IF($B56="","",IF(COUNTIF(AP$16:AP$21,$B56)&gt;0,COUNTA(AP$7:AP$15),0)+IF(COUNTIF(AP$37:AP$42,$B56)&gt;0,COUNTA(AP$27:AP$35),0))</f>
        <v/>
      </c>
      <c r="AQ56" s="55" t="str">
        <f>IF($B56="","",IF(COUNTIF(AQ$16:AQ$21,$B56)&gt;0,COUNTA(AQ$7:AQ$15),0)+IF(COUNTIF(AQ$37:AQ$42,$B56)&gt;0,COUNTA(AQ$27:AQ$35),0))</f>
        <v/>
      </c>
      <c r="AR56" s="55" t="str">
        <f>IF($B56="","",IF(COUNTIF(AR$16:AR$21,$B56)&gt;0,COUNTA(AR$7:AR$15),0)+IF(COUNTIF(AR$37:AR$42,$B56)&gt;0,COUNTA(AR$27:AR$35),0))</f>
        <v/>
      </c>
      <c r="AS56" s="55" t="str">
        <f>IF($B56="","",IF(COUNTIF(AS$16:AS$21,$B56)&gt;0,COUNTA(AS$7:AS$15),0)+IF(COUNTIF(AS$37:AS$42,$B56)&gt;0,COUNTA(AS$27:AS$35),0))</f>
        <v/>
      </c>
      <c r="AT56" s="55" t="str">
        <f>IF($B56="","",IF(COUNTIF(AT$16:AT$21,$B56)&gt;0,COUNTA(AT$7:AT$15),0)+IF(COUNTIF(AT$37:AT$42,$B56)&gt;0,COUNTA(AT$27:AT$35),0))</f>
        <v/>
      </c>
      <c r="AU56" s="55" t="str">
        <f>IF($B56="","",IF(COUNTIF(AU$16:AU$21,$B56)&gt;0,COUNTA(AU$7:AU$15),0)+IF(COUNTIF(AU$37:AU$42,$B56)&gt;0,COUNTA(AU$27:AU$35),0))</f>
        <v/>
      </c>
      <c r="AV56" s="55" t="str">
        <f>IF($B56="","",IF(COUNTIF(AV$16:AV$21,$B56)&gt;0,COUNTA(AV$7:AV$15),0)+IF(COUNTIF(AV$37:AV$42,$B56)&gt;0,COUNTA(AV$27:AV$35),0))</f>
        <v/>
      </c>
      <c r="AW56" s="55" t="str">
        <f>IF($B56="","",IF(COUNTIF(AW$16:AW$21,$B56)&gt;0,COUNTA(AW$7:AW$15),0)+IF(COUNTIF(AW$37:AW$42,$B56)&gt;0,COUNTA(AW$27:AW$35),0))</f>
        <v/>
      </c>
      <c r="AX56" s="55" t="str">
        <f>IF($B56="","",IF(COUNTIF(AX$16:AX$21,$B56)&gt;0,COUNTA(AX$7:AX$15),0)+IF(COUNTIF(AX$37:AX$42,$B56)&gt;0,COUNTA(AX$27:AX$35),0))</f>
        <v/>
      </c>
      <c r="AY56" s="55" t="str">
        <f>IF($B56="","",IF(COUNTIF(AY$16:AY$21,$B56)&gt;0,COUNTA(AY$7:AY$15),0)+IF(COUNTIF(AY$37:AY$42,$B56)&gt;0,COUNTA(AY$27:AY$35),0))</f>
        <v/>
      </c>
      <c r="AZ56" s="55" t="str">
        <f>IF($B56="","",IF(COUNTIF(AZ$16:AZ$21,$B56)&gt;0,COUNTA(AZ$7:AZ$15),0)+IF(COUNTIF(AZ$37:AZ$42,$B56)&gt;0,COUNTA(AZ$27:AZ$35),0))</f>
        <v/>
      </c>
      <c r="BA56" s="55" t="str">
        <f>IF($B56="","",IF(COUNTIF(BA$16:BA$21,$B56)&gt;0,COUNTA(BA$7:BA$15),0)+IF(COUNTIF(BA$37:BA$42,$B56)&gt;0,COUNTA(BA$27:BA$35),0))</f>
        <v/>
      </c>
      <c r="BB56" s="55" t="str">
        <f>IF($B56="","",IF(COUNTIF(BB$16:BB$21,$B56)&gt;0,COUNTA(BB$7:BB$15),0)+IF(COUNTIF(BB$37:BB$42,$B56)&gt;0,COUNTA(BB$27:BB$35),0))</f>
        <v/>
      </c>
      <c r="BC56" s="55" t="str">
        <f>IF($B56="","",IF(COUNTIF(BC$16:BC$21,$B56)&gt;0,COUNTA(BC$7:BC$15),0)+IF(COUNTIF(BC$37:BC$42,$B56)&gt;0,COUNTA(BC$27:BC$35),0))</f>
        <v/>
      </c>
      <c r="BD56" s="55" t="str">
        <f>IF($B56="","",IF(COUNTIF(BD$16:BD$21,$B56)&gt;0,COUNTA(BD$7:BD$15),0)+IF(COUNTIF(BD$37:BD$42,$B56)&gt;0,COUNTA(BD$27:BD$35),0))</f>
        <v/>
      </c>
      <c r="BE56" s="55" t="str">
        <f>IF($B56="","",IF(COUNTIF(BE$16:BE$21,$B56)&gt;0,COUNTA(BE$7:BE$15),0)+IF(COUNTIF(BE$37:BE$42,$B56)&gt;0,COUNTA(BE$27:BE$35),0))</f>
        <v/>
      </c>
      <c r="BF56" s="55" t="str">
        <f>IF($B56="","",IF(COUNTIF(BF$16:BF$21,$B56)&gt;0,COUNTA(BF$7:BF$15),0)+IF(COUNTIF(BF$37:BF$42,$B56)&gt;0,COUNTA(BF$27:BF$35),0))</f>
        <v/>
      </c>
      <c r="BG56" s="55" t="str">
        <f>IF($B56="","",IF(COUNTIF(BG$16:BG$21,$B56)&gt;0,COUNTA(BG$7:BG$15),0)+IF(COUNTIF(BG$37:BG$42,$B56)&gt;0,COUNTA(BG$27:BG$35),0))</f>
        <v/>
      </c>
      <c r="BH56" s="55" t="str">
        <f>IF($B56="","",IF(COUNTIF(BH$16:BH$21,$B56)&gt;0,COUNTA(BH$7:BH$15),0)+IF(COUNTIF(BH$37:BH$42,$B56)&gt;0,COUNTA(BH$27:BH$35),0))</f>
        <v/>
      </c>
      <c r="BI56" s="55" t="str">
        <f>IF($B56="","",IF(COUNTIF(BI$16:BI$21,$B56)&gt;0,COUNTA(BI$7:BI$15),0)+IF(COUNTIF(BI$37:BI$42,$B56)&gt;0,COUNTA(BI$27:BI$35),0))</f>
        <v/>
      </c>
      <c r="BJ56" s="55" t="str">
        <f>IF($B56="","",IF(COUNTIF(BJ$16:BJ$21,$B56)&gt;0,COUNTA(BJ$7:BJ$15),0)+IF(COUNTIF(BJ$37:BJ$42,$B56)&gt;0,COUNTA(BJ$27:BJ$35),0))</f>
        <v/>
      </c>
      <c r="BK56" s="55" t="str">
        <f>IF($B56="","",IF(COUNTIF(BK$16:BK$21,$B56)&gt;0,COUNTA(BK$7:BK$15),0)+IF(COUNTIF(BK$37:BK$42,$B56)&gt;0,COUNTA(BK$27:BK$35),0))</f>
        <v/>
      </c>
      <c r="BL56" s="55" t="str">
        <f>IF($B56="","",IF(COUNTIF(BL$16:BL$21,$B56)&gt;0,COUNTA(BL$7:BL$15),0)+IF(COUNTIF(BL$37:BL$42,$B56)&gt;0,COUNTA(BL$27:BL$35),0))</f>
        <v/>
      </c>
      <c r="BM56" s="55" t="str">
        <f>IF($B56="","",IF(COUNTIF(BM$16:BM$21,$B56)&gt;0,COUNTA(BM$7:BM$15),0)+IF(COUNTIF(BM$37:BM$42,$B56)&gt;0,COUNTA(BM$27:BM$35),0))</f>
        <v/>
      </c>
      <c r="BN56" s="55" t="str">
        <f>IF($B56="","",IF(COUNTIF(BN$16:BN$21,$B56)&gt;0,COUNTA(BN$7:BN$15),0)+IF(COUNTIF(BN$37:BN$42,$B56)&gt;0,COUNTA(BN$27:BN$35),0))</f>
        <v/>
      </c>
      <c r="BO56" s="55" t="str">
        <f>IF($B56="","",IF(COUNTIF(BO$16:BO$21,$B56)&gt;0,COUNTA(BO$7:BO$15),0)+IF(COUNTIF(BO$37:BO$42,$B56)&gt;0,COUNTA(BO$27:BO$35),0))</f>
        <v/>
      </c>
      <c r="BP56" s="55" t="str">
        <f>IF($B56="","",IF(COUNTIF(BP$16:BP$21,$B56)&gt;0,COUNTA(BP$7:BP$15),0)+IF(COUNTIF(BP$37:BP$42,$B56)&gt;0,COUNTA(BP$27:BP$35),0))</f>
        <v/>
      </c>
      <c r="BQ56" s="55" t="str">
        <f>IF($B56="","",IF(COUNTIF(BQ$16:BQ$21,$B56)&gt;0,COUNTA(BQ$7:BQ$15),0)+IF(COUNTIF(BQ$37:BQ$42,$B56)&gt;0,COUNTA(BQ$27:BQ$35),0))</f>
        <v/>
      </c>
      <c r="BR56" s="55" t="str">
        <f>IF($B56="","",IF(COUNTIF(BR$16:BR$21,$B56)&gt;0,COUNTA(BR$7:BR$15),0)+IF(COUNTIF(BR$37:BR$42,$B56)&gt;0,COUNTA(BR$27:BR$35),0))</f>
        <v/>
      </c>
      <c r="BS56" s="55" t="str">
        <f>IF($B56="","",IF(COUNTIF(BS$16:BS$21,$B56)&gt;0,COUNTA(BS$7:BS$15),0)+IF(COUNTIF(BS$37:BS$42,$B56)&gt;0,COUNTA(BS$27:BS$35),0))</f>
        <v/>
      </c>
      <c r="BT56" s="55" t="str">
        <f>IF($B56="","",IF(COUNTIF(BT$16:BT$21,$B56)&gt;0,COUNTA(BT$7:BT$15),0)+IF(COUNTIF(BT$37:BT$42,$B56)&gt;0,COUNTA(BT$27:BT$35),0))</f>
        <v/>
      </c>
      <c r="BU56" s="55" t="str">
        <f>IF($B56="","",IF(COUNTIF(BU$16:BU$21,$B56)&gt;0,COUNTA(BU$7:BU$15),0)+IF(COUNTIF(BU$37:BU$42,$B56)&gt;0,COUNTA(BU$27:BU$35),0))</f>
        <v/>
      </c>
      <c r="BV56" s="55" t="str">
        <f>IF($B56="","",IF(COUNTIF(BV$16:BV$21,$B56)&gt;0,COUNTA(BV$7:BV$15),0)+IF(COUNTIF(BV$37:BV$42,$B56)&gt;0,COUNTA(BV$27:BV$35),0))</f>
        <v/>
      </c>
      <c r="BW56" s="55" t="str">
        <f>IF($B56="","",IF(COUNTIF(BW$16:BW$21,$B56)&gt;0,COUNTA(BW$7:BW$15),0)+IF(COUNTIF(BW$37:BW$42,$B56)&gt;0,COUNTA(BW$27:BW$35),0))</f>
        <v/>
      </c>
      <c r="BX56" s="55" t="str">
        <f>IF($B56="","",IF(COUNTIF(BX$16:BX$21,$B56)&gt;0,COUNTA(BX$7:BX$15),0)+IF(COUNTIF(BX$37:BX$42,$B56)&gt;0,COUNTA(BX$27:BX$35),0))</f>
        <v/>
      </c>
      <c r="BY56" s="55" t="str">
        <f>IF($B56="","",IF(COUNTIF(BY$16:BY$21,$B56)&gt;0,COUNTA(BY$7:BY$15),0)+IF(COUNTIF(BY$37:BY$42,$B56)&gt;0,COUNTA(BY$27:BY$35),0))</f>
        <v/>
      </c>
      <c r="BZ56" s="55" t="str">
        <f>IF($B56="","",IF(COUNTIF(BZ$16:BZ$21,$B56)&gt;0,COUNTA(BZ$7:BZ$15),0)+IF(COUNTIF(BZ$37:BZ$42,$B56)&gt;0,COUNTA(BZ$27:BZ$35),0))</f>
        <v/>
      </c>
      <c r="CA56" s="55" t="str">
        <f>IF($B56="","",IF(COUNTIF(CA$16:CA$21,$B56)&gt;0,COUNTA(CA$7:CA$15),0)+IF(COUNTIF(CA$37:CA$42,$B56)&gt;0,COUNTA(CA$27:CA$35),0))</f>
        <v/>
      </c>
      <c r="CB56" s="55" t="str">
        <f>IF($B56="","",IF(COUNTIF(CB$16:CB$21,$B56)&gt;0,COUNTA(CB$7:CB$15),0)+IF(COUNTIF(CB$37:CB$42,$B56)&gt;0,COUNTA(CB$27:CB$35),0))</f>
        <v/>
      </c>
      <c r="CC56" s="55" t="str">
        <f>IF($B56="","",IF(COUNTIF(CC$16:CC$21,$B56)&gt;0,COUNTA(CC$7:CC$15),0)+IF(COUNTIF(CC$37:CC$42,$B56)&gt;0,COUNTA(CC$27:CC$35),0))</f>
        <v/>
      </c>
      <c r="CD56" s="55" t="str">
        <f>IF($B56="","",IF(COUNTIF(CD$16:CD$21,$B56)&gt;0,COUNTA(CD$7:CD$15),0)+IF(COUNTIF(CD$37:CD$42,$B56)&gt;0,COUNTA(CD$27:CD$35),0))</f>
        <v/>
      </c>
      <c r="CE56" s="55" t="str">
        <f>IF($B56="","",IF(COUNTIF(CE$16:CE$21,$B56)&gt;0,COUNTA(CE$7:CE$15),0)+IF(COUNTIF(CE$37:CE$42,$B56)&gt;0,COUNTA(CE$27:CE$35),0))</f>
        <v/>
      </c>
      <c r="CF56" s="55" t="str">
        <f>IF($B56="","",IF(COUNTIF(CF$16:CF$21,$B56)&gt;0,COUNTA(CF$7:CF$15),0)+IF(COUNTIF(CF$37:CF$42,$B56)&gt;0,COUNTA(CF$27:CF$35),0))</f>
        <v/>
      </c>
      <c r="CG56" s="55" t="str">
        <f>IF($B56="","",IF(COUNTIF(CG$16:CG$21,$B56)&gt;0,COUNTA(CG$7:CG$15),0)+IF(COUNTIF(CG$37:CG$42,$B56)&gt;0,COUNTA(CG$27:CG$35),0))</f>
        <v/>
      </c>
      <c r="CH56" s="55" t="str">
        <f>IF($B56="","",IF(COUNTIF(CH$16:CH$21,$B56)&gt;0,COUNTA(CH$7:CH$15),0)+IF(COUNTIF(CH$37:CH$42,$B56)&gt;0,COUNTA(CH$27:CH$35),0))</f>
        <v/>
      </c>
      <c r="CI56" s="55" t="str">
        <f>IF($B56="","",IF(COUNTIF(CI$16:CI$21,$B56)&gt;0,COUNTA(CI$7:CI$15),0)+IF(COUNTIF(CI$37:CI$42,$B56)&gt;0,COUNTA(CI$27:CI$35),0))</f>
        <v/>
      </c>
      <c r="CJ56" s="55" t="str">
        <f>IF($B56="","",IF(COUNTIF(CJ$16:CJ$21,$B56)&gt;0,COUNTA(CJ$7:CJ$15),0)+IF(COUNTIF(CJ$37:CJ$42,$B56)&gt;0,COUNTA(CJ$27:CJ$35),0))</f>
        <v/>
      </c>
      <c r="CK56" s="55" t="str">
        <f>IF($B56="","",IF(COUNTIF(CK$16:CK$21,$B56)&gt;0,COUNTA(CK$7:CK$15),0)+IF(COUNTIF(CK$37:CK$42,$B56)&gt;0,COUNTA(CK$27:CK$35),0))</f>
        <v/>
      </c>
      <c r="CL56" s="55" t="str">
        <f>IF($B56="","",IF(COUNTIF(CL$16:CL$21,$B56)&gt;0,COUNTA(CL$7:CL$15),0)+IF(COUNTIF(CL$37:CL$42,$B56)&gt;0,COUNTA(CL$27:CL$35),0))</f>
        <v/>
      </c>
      <c r="CM56" s="55" t="str">
        <f>IF($B56="","",IF(COUNTIF(CM$16:CM$21,$B56)&gt;0,COUNTA(CM$7:CM$15),0)+IF(COUNTIF(CM$37:CM$42,$B56)&gt;0,COUNTA(CM$27:CM$35),0))</f>
        <v/>
      </c>
      <c r="CN56" s="55" t="str">
        <f>IF($B56="","",IF(COUNTIF(CN$16:CN$21,$B56)&gt;0,COUNTA(CN$7:CN$15),0)+IF(COUNTIF(CN$37:CN$42,$B56)&gt;0,COUNTA(CN$27:CN$35),0))</f>
        <v/>
      </c>
      <c r="CO56" s="55" t="str">
        <f>IF($B56="","",IF(COUNTIF(CO$16:CO$21,$B56)&gt;0,COUNTA(CO$7:CO$15),0)+IF(COUNTIF(CO$37:CO$42,$B56)&gt;0,COUNTA(CO$27:CO$35),0))</f>
        <v/>
      </c>
      <c r="CP56" s="55" t="str">
        <f>IF($B56="","",IF(COUNTIF(CP$16:CP$21,$B56)&gt;0,COUNTA(CP$7:CP$15),0)+IF(COUNTIF(CP$37:CP$42,$B56)&gt;0,COUNTA(CP$27:CP$35),0))</f>
        <v/>
      </c>
      <c r="CQ56" s="55" t="str">
        <f>IF($B56="","",IF(COUNTIF(CQ$16:CQ$21,$B56)&gt;0,COUNTA(CQ$7:CQ$15),0)+IF(COUNTIF(CQ$37:CQ$42,$B56)&gt;0,COUNTA(CQ$27:CQ$35),0))</f>
        <v/>
      </c>
      <c r="CR56" s="55" t="str">
        <f>IF($B56="","",IF(COUNTIF(CR$16:CR$21,$B56)&gt;0,COUNTA(CR$7:CR$15),0)+IF(COUNTIF(CR$37:CR$42,$B56)&gt;0,COUNTA(CR$27:CR$35),0))</f>
        <v/>
      </c>
      <c r="CS56" s="55" t="str">
        <f>IF($B56="","",IF(COUNTIF(CS$16:CS$21,$B56)&gt;0,COUNTA(CS$7:CS$15),0)+IF(COUNTIF(CS$37:CS$42,$B56)&gt;0,COUNTA(CS$27:CS$35),0))</f>
        <v/>
      </c>
      <c r="CT56" s="55" t="str">
        <f>IF($B56="","",IF(COUNTIF(CT$16:CT$21,$B56)&gt;0,COUNTA(CT$7:CT$15),0)+IF(COUNTIF(CT$37:CT$42,$B56)&gt;0,COUNTA(CT$27:CT$35),0))</f>
        <v/>
      </c>
      <c r="CU56" s="55" t="str">
        <f>IF($B56="","",IF(COUNTIF(CU$16:CU$21,$B56)&gt;0,COUNTA(CU$7:CU$15),0)+IF(COUNTIF(CU$37:CU$42,$B56)&gt;0,COUNTA(CU$27:CU$35),0))</f>
        <v/>
      </c>
      <c r="CV56" s="55" t="str">
        <f>IF($B56="","",IF(COUNTIF(CV$16:CV$21,$B56)&gt;0,COUNTA(CV$7:CV$15),0)+IF(COUNTIF(CV$37:CV$42,$B56)&gt;0,COUNTA(CV$27:CV$35),0))</f>
        <v/>
      </c>
      <c r="CW56" s="55" t="str">
        <f>IF($B56="","",IF(COUNTIF(CW$16:CW$21,$B56)&gt;0,COUNTA(CW$7:CW$15),0)+IF(COUNTIF(CW$37:CW$42,$B56)&gt;0,COUNTA(CW$27:CW$35),0))</f>
        <v/>
      </c>
      <c r="CX56" s="55" t="str">
        <f>IF($B56="","",IF(COUNTIF(CX$16:CX$21,$B56)&gt;0,COUNTA(CX$7:CX$15),0)+IF(COUNTIF(CX$37:CX$42,$B56)&gt;0,COUNTA(CX$27:CX$35),0))</f>
        <v/>
      </c>
      <c r="CY56" s="55" t="str">
        <f>IF($B56="","",IF(COUNTIF(CY$16:CY$21,$B56)&gt;0,COUNTA(CY$7:CY$15),0)+IF(COUNTIF(CY$37:CY$42,$B56)&gt;0,COUNTA(CY$27:CY$35),0))</f>
        <v/>
      </c>
      <c r="CZ56" s="55" t="str">
        <f>IF($B56="","",IF(COUNTIF(CZ$16:CZ$21,$B56)&gt;0,COUNTA(CZ$7:CZ$15),0)+IF(COUNTIF(CZ$37:CZ$42,$B56)&gt;0,COUNTA(CZ$27:CZ$35),0))</f>
        <v/>
      </c>
      <c r="DA56" s="55" t="str">
        <f>IF($B56="","",IF(COUNTIF(DA$16:DA$21,$B56)&gt;0,COUNTA(DA$7:DA$15),0)+IF(COUNTIF(DA$37:DA$42,$B56)&gt;0,COUNTA(DA$27:DA$35),0))</f>
        <v/>
      </c>
      <c r="DB56" s="55" t="str">
        <f>IF($B56="","",IF(COUNTIF(DB$16:DB$21,$B56)&gt;0,COUNTA(DB$7:DB$15),0)+IF(COUNTIF(DB$37:DB$42,$B56)&gt;0,COUNTA(DB$27:DB$35),0))</f>
        <v/>
      </c>
      <c r="DC56" s="55" t="str">
        <f>IF($B56="","",IF(COUNTIF(DC$16:DC$21,$B56)&gt;0,COUNTA(DC$7:DC$15),0)+IF(COUNTIF(DC$37:DC$42,$B56)&gt;0,COUNTA(DC$27:DC$35),0))</f>
        <v/>
      </c>
      <c r="DD56" s="55" t="str">
        <f>IF($B56="","",IF(COUNTIF(DD$16:DD$21,$B56)&gt;0,COUNTA(DD$7:DD$15),0)+IF(COUNTIF(DD$37:DD$42,$B56)&gt;0,COUNTA(DD$27:DD$35),0))</f>
        <v/>
      </c>
      <c r="DE56" s="58" t="str">
        <f>IF($B56="","",IF(COUNTIF(DE$16:DE$21,$B56)&gt;0,COUNTA(DE$7:DE$15),0)+IF(COUNTIF(DE$37:DE$42,$B56)&gt;0,COUNTA(DE$27:DE$35),0))</f>
        <v/>
      </c>
    </row>
    <row r="57" spans="2:109" x14ac:dyDescent="0.2">
      <c r="B57" s="84" t="str">
        <f>IFERROR(INDEX(_xlfn._xlws.FILTER(Ressourcer!$B$1:$X$1,_xlfn.BYCOL(Ressourcer!$B$12:$X$15,_xlfn.LAMBDA(_xlpm.c,COUNTIF(_xlpm.c,"&lt;&gt;" )&gt;0))),ROWS($B$2:B14)),"")</f>
        <v/>
      </c>
      <c r="C57" s="79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)&gt;0))),_xlfn.LAMBDA(_xlpm.col,SUM(INDEX(Ressourcer!$B$12:$X$15,,_xlpm.col-COLUMN(Ressourcer!$B$12:$X$15)+1)))),ROWS($B$2:B14))/2,"")</f>
        <v/>
      </c>
      <c r="D57" s="106" t="str">
        <f t="shared" si="35"/>
        <v/>
      </c>
      <c r="E57" s="57" t="str">
        <f>IF($B57="","",IF(COUNTIF(E$16:E$21,$B57)&gt;0,COUNTA(E$7:E$15),0)+IF(COUNTIF(E$37:E$42,$B57)&gt;0,COUNTA(E$27:E$35),0))</f>
        <v/>
      </c>
      <c r="F57" s="55" t="str">
        <f>IF($B57="","",IF(COUNTIF(F$16:F$21,$B57)&gt;0,COUNTA(F$7:F$15),0)+IF(COUNTIF(F$37:F$42,$B57)&gt;0,COUNTA(F$27:F$35),0))</f>
        <v/>
      </c>
      <c r="G57" s="55" t="str">
        <f>IF($B57="","",IF(COUNTIF(G$16:G$21,$B57)&gt;0,COUNTA(G$7:G$15),0)+IF(COUNTIF(G$37:G$42,$B57)&gt;0,COUNTA(G$27:G$35),0))</f>
        <v/>
      </c>
      <c r="H57" s="55" t="str">
        <f>IF($B57="","",IF(COUNTIF(H$16:H$21,$B57)&gt;0,COUNTA(H$7:H$15),0)+IF(COUNTIF(H$37:H$42,$B57)&gt;0,COUNTA(H$27:H$35),0))</f>
        <v/>
      </c>
      <c r="I57" s="55" t="str">
        <f>IF($B57="","",IF(COUNTIF(I$16:I$21,$B57)&gt;0,COUNTA(I$7:I$15),0)+IF(COUNTIF(I$37:I$42,$B57)&gt;0,COUNTA(I$27:I$35),0))</f>
        <v/>
      </c>
      <c r="J57" s="55" t="str">
        <f>IF($B57="","",IF(COUNTIF(J$16:J$21,$B57)&gt;0,COUNTA(J$7:J$15),0)+IF(COUNTIF(J$37:J$42,$B57)&gt;0,COUNTA(J$27:J$35),0))</f>
        <v/>
      </c>
      <c r="K57" s="55" t="str">
        <f>IF($B57="","",IF(COUNTIF(K$16:K$21,$B57)&gt;0,COUNTA(K$7:K$15),0)+IF(COUNTIF(K$37:K$42,$B57)&gt;0,COUNTA(K$27:K$35),0))</f>
        <v/>
      </c>
      <c r="L57" s="55" t="str">
        <f>IF($B57="","",IF(COUNTIF(L$16:L$21,$B57)&gt;0,COUNTA(L$7:L$15),0)+IF(COUNTIF(L$37:L$42,$B57)&gt;0,COUNTA(L$27:L$35),0))</f>
        <v/>
      </c>
      <c r="M57" s="55" t="str">
        <f>IF($B57="","",IF(COUNTIF(M$16:M$21,$B57)&gt;0,COUNTA(M$7:M$15),0)+IF(COUNTIF(M$37:M$42,$B57)&gt;0,COUNTA(M$27:M$35),0))</f>
        <v/>
      </c>
      <c r="N57" s="55" t="str">
        <f>IF($B57="","",IF(COUNTIF(N$16:N$21,$B57)&gt;0,COUNTA(N$7:N$15),0)+IF(COUNTIF(N$37:N$42,$B57)&gt;0,COUNTA(N$27:N$35),0))</f>
        <v/>
      </c>
      <c r="O57" s="55" t="str">
        <f>IF($B57="","",IF(COUNTIF(O$16:O$21,$B57)&gt;0,COUNTA(O$7:O$15),0)+IF(COUNTIF(O$37:O$42,$B57)&gt;0,COUNTA(O$27:O$35),0))</f>
        <v/>
      </c>
      <c r="P57" s="55" t="str">
        <f>IF($B57="","",IF(COUNTIF(P$16:P$21,$B57)&gt;0,COUNTA(P$7:P$15),0)+IF(COUNTIF(P$37:P$42,$B57)&gt;0,COUNTA(P$27:P$35),0))</f>
        <v/>
      </c>
      <c r="Q57" s="55" t="str">
        <f>IF($B57="","",IF(COUNTIF(Q$16:Q$21,$B57)&gt;0,COUNTA(Q$7:Q$15),0)+IF(COUNTIF(Q$37:Q$42,$B57)&gt;0,COUNTA(Q$27:Q$35),0))</f>
        <v/>
      </c>
      <c r="R57" s="55" t="str">
        <f>IF($B57="","",IF(COUNTIF(R$16:R$21,$B57)&gt;0,COUNTA(R$7:R$15),0)+IF(COUNTIF(R$37:R$42,$B57)&gt;0,COUNTA(R$27:R$35),0))</f>
        <v/>
      </c>
      <c r="S57" s="55" t="str">
        <f>IF($B57="","",IF(COUNTIF(S$16:S$21,$B57)&gt;0,COUNTA(S$7:S$15),0)+IF(COUNTIF(S$37:S$42,$B57)&gt;0,COUNTA(S$27:S$35),0))</f>
        <v/>
      </c>
      <c r="T57" s="55" t="str">
        <f>IF($B57="","",IF(COUNTIF(T$16:T$21,$B57)&gt;0,COUNTA(T$7:T$15),0)+IF(COUNTIF(T$37:T$42,$B57)&gt;0,COUNTA(T$27:T$35),0))</f>
        <v/>
      </c>
      <c r="U57" s="55" t="str">
        <f>IF($B57="","",IF(COUNTIF(U$16:U$21,$B57)&gt;0,COUNTA(U$7:U$15),0)+IF(COUNTIF(U$37:U$42,$B57)&gt;0,COUNTA(U$27:U$35),0))</f>
        <v/>
      </c>
      <c r="V57" s="55" t="str">
        <f>IF($B57="","",IF(COUNTIF(V$16:V$21,$B57)&gt;0,COUNTA(V$7:V$15),0)+IF(COUNTIF(V$37:V$42,$B57)&gt;0,COUNTA(V$27:V$35),0))</f>
        <v/>
      </c>
      <c r="W57" s="55" t="str">
        <f>IF($B57="","",IF(COUNTIF(W$16:W$21,$B57)&gt;0,COUNTA(W$7:W$15),0)+IF(COUNTIF(W$37:W$42,$B57)&gt;0,COUNTA(W$27:W$35),0))</f>
        <v/>
      </c>
      <c r="X57" s="55" t="str">
        <f>IF($B57="","",IF(COUNTIF(X$16:X$21,$B57)&gt;0,COUNTA(X$7:X$15),0)+IF(COUNTIF(X$37:X$42,$B57)&gt;0,COUNTA(X$27:X$35),0))</f>
        <v/>
      </c>
      <c r="Y57" s="55" t="str">
        <f>IF($B57="","",IF(COUNTIF(Y$16:Y$21,$B57)&gt;0,COUNTA(Y$7:Y$15),0)+IF(COUNTIF(Y$37:Y$42,$B57)&gt;0,COUNTA(Y$27:Y$35),0))</f>
        <v/>
      </c>
      <c r="Z57" s="55" t="str">
        <f>IF($B57="","",IF(COUNTIF(Z$16:Z$21,$B57)&gt;0,COUNTA(Z$7:Z$15),0)+IF(COUNTIF(Z$37:Z$42,$B57)&gt;0,COUNTA(Z$27:Z$35),0))</f>
        <v/>
      </c>
      <c r="AA57" s="55" t="str">
        <f>IF($B57="","",IF(COUNTIF(AA$16:AA$21,$B57)&gt;0,COUNTA(AA$7:AA$15),0)+IF(COUNTIF(AA$37:AA$42,$B57)&gt;0,COUNTA(AA$27:AA$35),0))</f>
        <v/>
      </c>
      <c r="AB57" s="55" t="str">
        <f>IF($B57="","",IF(COUNTIF(AB$16:AB$21,$B57)&gt;0,COUNTA(AB$7:AB$15),0)+IF(COUNTIF(AB$37:AB$42,$B57)&gt;0,COUNTA(AB$27:AB$35),0))</f>
        <v/>
      </c>
      <c r="AC57" s="55" t="str">
        <f>IF($B57="","",IF(COUNTIF(AC$16:AC$21,$B57)&gt;0,COUNTA(AC$7:AC$15),0)+IF(COUNTIF(AC$37:AC$42,$B57)&gt;0,COUNTA(AC$27:AC$35),0))</f>
        <v/>
      </c>
      <c r="AD57" s="55" t="str">
        <f>IF($B57="","",IF(COUNTIF(AD$16:AD$21,$B57)&gt;0,COUNTA(AD$7:AD$15),0)+IF(COUNTIF(AD$37:AD$42,$B57)&gt;0,COUNTA(AD$27:AD$35),0))</f>
        <v/>
      </c>
      <c r="AE57" s="55" t="str">
        <f>IF($B57="","",IF(COUNTIF(AE$16:AE$21,$B57)&gt;0,COUNTA(AE$7:AE$15),0)+IF(COUNTIF(AE$37:AE$42,$B57)&gt;0,COUNTA(AE$27:AE$35),0))</f>
        <v/>
      </c>
      <c r="AF57" s="55" t="str">
        <f>IF($B57="","",IF(COUNTIF(AF$16:AF$21,$B57)&gt;0,COUNTA(AF$7:AF$15),0)+IF(COUNTIF(AF$37:AF$42,$B57)&gt;0,COUNTA(AF$27:AF$35),0))</f>
        <v/>
      </c>
      <c r="AG57" s="55" t="str">
        <f>IF($B57="","",IF(COUNTIF(AG$16:AG$21,$B57)&gt;0,COUNTA(AG$7:AG$15),0)+IF(COUNTIF(AG$37:AG$42,$B57)&gt;0,COUNTA(AG$27:AG$35),0))</f>
        <v/>
      </c>
      <c r="AH57" s="55" t="str">
        <f>IF($B57="","",IF(COUNTIF(AH$16:AH$21,$B57)&gt;0,COUNTA(AH$7:AH$15),0)+IF(COUNTIF(AH$37:AH$42,$B57)&gt;0,COUNTA(AH$27:AH$35),0))</f>
        <v/>
      </c>
      <c r="AI57" s="55" t="str">
        <f>IF($B57="","",IF(COUNTIF(AI$16:AI$21,$B57)&gt;0,COUNTA(AI$7:AI$15),0)+IF(COUNTIF(AI$37:AI$42,$B57)&gt;0,COUNTA(AI$27:AI$35),0))</f>
        <v/>
      </c>
      <c r="AJ57" s="55" t="str">
        <f>IF($B57="","",IF(COUNTIF(AJ$16:AJ$21,$B57)&gt;0,COUNTA(AJ$7:AJ$15),0)+IF(COUNTIF(AJ$37:AJ$42,$B57)&gt;0,COUNTA(AJ$27:AJ$35),0))</f>
        <v/>
      </c>
      <c r="AK57" s="55" t="str">
        <f>IF($B57="","",IF(COUNTIF(AK$16:AK$21,$B57)&gt;0,COUNTA(AK$7:AK$15),0)+IF(COUNTIF(AK$37:AK$42,$B57)&gt;0,COUNTA(AK$27:AK$35),0))</f>
        <v/>
      </c>
      <c r="AL57" s="55" t="str">
        <f>IF($B57="","",IF(COUNTIF(AL$16:AL$21,$B57)&gt;0,COUNTA(AL$7:AL$15),0)+IF(COUNTIF(AL$37:AL$42,$B57)&gt;0,COUNTA(AL$27:AL$35),0))</f>
        <v/>
      </c>
      <c r="AM57" s="55" t="str">
        <f>IF($B57="","",IF(COUNTIF(AM$16:AM$21,$B57)&gt;0,COUNTA(AM$7:AM$15),0)+IF(COUNTIF(AM$37:AM$42,$B57)&gt;0,COUNTA(AM$27:AM$35),0))</f>
        <v/>
      </c>
      <c r="AN57" s="55" t="str">
        <f>IF($B57="","",IF(COUNTIF(AN$16:AN$21,$B57)&gt;0,COUNTA(AN$7:AN$15),0)+IF(COUNTIF(AN$37:AN$42,$B57)&gt;0,COUNTA(AN$27:AN$35),0))</f>
        <v/>
      </c>
      <c r="AO57" s="55" t="str">
        <f>IF($B57="","",IF(COUNTIF(AO$16:AO$21,$B57)&gt;0,COUNTA(AO$7:AO$15),0)+IF(COUNTIF(AO$37:AO$42,$B57)&gt;0,COUNTA(AO$27:AO$35),0))</f>
        <v/>
      </c>
      <c r="AP57" s="55" t="str">
        <f>IF($B57="","",IF(COUNTIF(AP$16:AP$21,$B57)&gt;0,COUNTA(AP$7:AP$15),0)+IF(COUNTIF(AP$37:AP$42,$B57)&gt;0,COUNTA(AP$27:AP$35),0))</f>
        <v/>
      </c>
      <c r="AQ57" s="55" t="str">
        <f>IF($B57="","",IF(COUNTIF(AQ$16:AQ$21,$B57)&gt;0,COUNTA(AQ$7:AQ$15),0)+IF(COUNTIF(AQ$37:AQ$42,$B57)&gt;0,COUNTA(AQ$27:AQ$35),0))</f>
        <v/>
      </c>
      <c r="AR57" s="55" t="str">
        <f>IF($B57="","",IF(COUNTIF(AR$16:AR$21,$B57)&gt;0,COUNTA(AR$7:AR$15),0)+IF(COUNTIF(AR$37:AR$42,$B57)&gt;0,COUNTA(AR$27:AR$35),0))</f>
        <v/>
      </c>
      <c r="AS57" s="55" t="str">
        <f>IF($B57="","",IF(COUNTIF(AS$16:AS$21,$B57)&gt;0,COUNTA(AS$7:AS$15),0)+IF(COUNTIF(AS$37:AS$42,$B57)&gt;0,COUNTA(AS$27:AS$35),0))</f>
        <v/>
      </c>
      <c r="AT57" s="55" t="str">
        <f>IF($B57="","",IF(COUNTIF(AT$16:AT$21,$B57)&gt;0,COUNTA(AT$7:AT$15),0)+IF(COUNTIF(AT$37:AT$42,$B57)&gt;0,COUNTA(AT$27:AT$35),0))</f>
        <v/>
      </c>
      <c r="AU57" s="55" t="str">
        <f>IF($B57="","",IF(COUNTIF(AU$16:AU$21,$B57)&gt;0,COUNTA(AU$7:AU$15),0)+IF(COUNTIF(AU$37:AU$42,$B57)&gt;0,COUNTA(AU$27:AU$35),0))</f>
        <v/>
      </c>
      <c r="AV57" s="55" t="str">
        <f>IF($B57="","",IF(COUNTIF(AV$16:AV$21,$B57)&gt;0,COUNTA(AV$7:AV$15),0)+IF(COUNTIF(AV$37:AV$42,$B57)&gt;0,COUNTA(AV$27:AV$35),0))</f>
        <v/>
      </c>
      <c r="AW57" s="55" t="str">
        <f>IF($B57="","",IF(COUNTIF(AW$16:AW$21,$B57)&gt;0,COUNTA(AW$7:AW$15),0)+IF(COUNTIF(AW$37:AW$42,$B57)&gt;0,COUNTA(AW$27:AW$35),0))</f>
        <v/>
      </c>
      <c r="AX57" s="55" t="str">
        <f>IF($B57="","",IF(COUNTIF(AX$16:AX$21,$B57)&gt;0,COUNTA(AX$7:AX$15),0)+IF(COUNTIF(AX$37:AX$42,$B57)&gt;0,COUNTA(AX$27:AX$35),0))</f>
        <v/>
      </c>
      <c r="AY57" s="55" t="str">
        <f>IF($B57="","",IF(COUNTIF(AY$16:AY$21,$B57)&gt;0,COUNTA(AY$7:AY$15),0)+IF(COUNTIF(AY$37:AY$42,$B57)&gt;0,COUNTA(AY$27:AY$35),0))</f>
        <v/>
      </c>
      <c r="AZ57" s="55" t="str">
        <f>IF($B57="","",IF(COUNTIF(AZ$16:AZ$21,$B57)&gt;0,COUNTA(AZ$7:AZ$15),0)+IF(COUNTIF(AZ$37:AZ$42,$B57)&gt;0,COUNTA(AZ$27:AZ$35),0))</f>
        <v/>
      </c>
      <c r="BA57" s="55" t="str">
        <f>IF($B57="","",IF(COUNTIF(BA$16:BA$21,$B57)&gt;0,COUNTA(BA$7:BA$15),0)+IF(COUNTIF(BA$37:BA$42,$B57)&gt;0,COUNTA(BA$27:BA$35),0))</f>
        <v/>
      </c>
      <c r="BB57" s="55" t="str">
        <f>IF($B57="","",IF(COUNTIF(BB$16:BB$21,$B57)&gt;0,COUNTA(BB$7:BB$15),0)+IF(COUNTIF(BB$37:BB$42,$B57)&gt;0,COUNTA(BB$27:BB$35),0))</f>
        <v/>
      </c>
      <c r="BC57" s="55" t="str">
        <f>IF($B57="","",IF(COUNTIF(BC$16:BC$21,$B57)&gt;0,COUNTA(BC$7:BC$15),0)+IF(COUNTIF(BC$37:BC$42,$B57)&gt;0,COUNTA(BC$27:BC$35),0))</f>
        <v/>
      </c>
      <c r="BD57" s="55" t="str">
        <f>IF($B57="","",IF(COUNTIF(BD$16:BD$21,$B57)&gt;0,COUNTA(BD$7:BD$15),0)+IF(COUNTIF(BD$37:BD$42,$B57)&gt;0,COUNTA(BD$27:BD$35),0))</f>
        <v/>
      </c>
      <c r="BE57" s="55" t="str">
        <f>IF($B57="","",IF(COUNTIF(BE$16:BE$21,$B57)&gt;0,COUNTA(BE$7:BE$15),0)+IF(COUNTIF(BE$37:BE$42,$B57)&gt;0,COUNTA(BE$27:BE$35),0))</f>
        <v/>
      </c>
      <c r="BF57" s="55" t="str">
        <f>IF($B57="","",IF(COUNTIF(BF$16:BF$21,$B57)&gt;0,COUNTA(BF$7:BF$15),0)+IF(COUNTIF(BF$37:BF$42,$B57)&gt;0,COUNTA(BF$27:BF$35),0))</f>
        <v/>
      </c>
      <c r="BG57" s="55" t="str">
        <f>IF($B57="","",IF(COUNTIF(BG$16:BG$21,$B57)&gt;0,COUNTA(BG$7:BG$15),0)+IF(COUNTIF(BG$37:BG$42,$B57)&gt;0,COUNTA(BG$27:BG$35),0))</f>
        <v/>
      </c>
      <c r="BH57" s="55" t="str">
        <f>IF($B57="","",IF(COUNTIF(BH$16:BH$21,$B57)&gt;0,COUNTA(BH$7:BH$15),0)+IF(COUNTIF(BH$37:BH$42,$B57)&gt;0,COUNTA(BH$27:BH$35),0))</f>
        <v/>
      </c>
      <c r="BI57" s="55" t="str">
        <f>IF($B57="","",IF(COUNTIF(BI$16:BI$21,$B57)&gt;0,COUNTA(BI$7:BI$15),0)+IF(COUNTIF(BI$37:BI$42,$B57)&gt;0,COUNTA(BI$27:BI$35),0))</f>
        <v/>
      </c>
      <c r="BJ57" s="55" t="str">
        <f>IF($B57="","",IF(COUNTIF(BJ$16:BJ$21,$B57)&gt;0,COUNTA(BJ$7:BJ$15),0)+IF(COUNTIF(BJ$37:BJ$42,$B57)&gt;0,COUNTA(BJ$27:BJ$35),0))</f>
        <v/>
      </c>
      <c r="BK57" s="55" t="str">
        <f>IF($B57="","",IF(COUNTIF(BK$16:BK$21,$B57)&gt;0,COUNTA(BK$7:BK$15),0)+IF(COUNTIF(BK$37:BK$42,$B57)&gt;0,COUNTA(BK$27:BK$35),0))</f>
        <v/>
      </c>
      <c r="BL57" s="55" t="str">
        <f>IF($B57="","",IF(COUNTIF(BL$16:BL$21,$B57)&gt;0,COUNTA(BL$7:BL$15),0)+IF(COUNTIF(BL$37:BL$42,$B57)&gt;0,COUNTA(BL$27:BL$35),0))</f>
        <v/>
      </c>
      <c r="BM57" s="55" t="str">
        <f>IF($B57="","",IF(COUNTIF(BM$16:BM$21,$B57)&gt;0,COUNTA(BM$7:BM$15),0)+IF(COUNTIF(BM$37:BM$42,$B57)&gt;0,COUNTA(BM$27:BM$35),0))</f>
        <v/>
      </c>
      <c r="BN57" s="55" t="str">
        <f>IF($B57="","",IF(COUNTIF(BN$16:BN$21,$B57)&gt;0,COUNTA(BN$7:BN$15),0)+IF(COUNTIF(BN$37:BN$42,$B57)&gt;0,COUNTA(BN$27:BN$35),0))</f>
        <v/>
      </c>
      <c r="BO57" s="55" t="str">
        <f>IF($B57="","",IF(COUNTIF(BO$16:BO$21,$B57)&gt;0,COUNTA(BO$7:BO$15),0)+IF(COUNTIF(BO$37:BO$42,$B57)&gt;0,COUNTA(BO$27:BO$35),0))</f>
        <v/>
      </c>
      <c r="BP57" s="55" t="str">
        <f>IF($B57="","",IF(COUNTIF(BP$16:BP$21,$B57)&gt;0,COUNTA(BP$7:BP$15),0)+IF(COUNTIF(BP$37:BP$42,$B57)&gt;0,COUNTA(BP$27:BP$35),0))</f>
        <v/>
      </c>
      <c r="BQ57" s="55" t="str">
        <f>IF($B57="","",IF(COUNTIF(BQ$16:BQ$21,$B57)&gt;0,COUNTA(BQ$7:BQ$15),0)+IF(COUNTIF(BQ$37:BQ$42,$B57)&gt;0,COUNTA(BQ$27:BQ$35),0))</f>
        <v/>
      </c>
      <c r="BR57" s="55" t="str">
        <f>IF($B57="","",IF(COUNTIF(BR$16:BR$21,$B57)&gt;0,COUNTA(BR$7:BR$15),0)+IF(COUNTIF(BR$37:BR$42,$B57)&gt;0,COUNTA(BR$27:BR$35),0))</f>
        <v/>
      </c>
      <c r="BS57" s="55" t="str">
        <f>IF($B57="","",IF(COUNTIF(BS$16:BS$21,$B57)&gt;0,COUNTA(BS$7:BS$15),0)+IF(COUNTIF(BS$37:BS$42,$B57)&gt;0,COUNTA(BS$27:BS$35),0))</f>
        <v/>
      </c>
      <c r="BT57" s="55" t="str">
        <f>IF($B57="","",IF(COUNTIF(BT$16:BT$21,$B57)&gt;0,COUNTA(BT$7:BT$15),0)+IF(COUNTIF(BT$37:BT$42,$B57)&gt;0,COUNTA(BT$27:BT$35),0))</f>
        <v/>
      </c>
      <c r="BU57" s="55" t="str">
        <f>IF($B57="","",IF(COUNTIF(BU$16:BU$21,$B57)&gt;0,COUNTA(BU$7:BU$15),0)+IF(COUNTIF(BU$37:BU$42,$B57)&gt;0,COUNTA(BU$27:BU$35),0))</f>
        <v/>
      </c>
      <c r="BV57" s="55" t="str">
        <f>IF($B57="","",IF(COUNTIF(BV$16:BV$21,$B57)&gt;0,COUNTA(BV$7:BV$15),0)+IF(COUNTIF(BV$37:BV$42,$B57)&gt;0,COUNTA(BV$27:BV$35),0))</f>
        <v/>
      </c>
      <c r="BW57" s="55" t="str">
        <f>IF($B57="","",IF(COUNTIF(BW$16:BW$21,$B57)&gt;0,COUNTA(BW$7:BW$15),0)+IF(COUNTIF(BW$37:BW$42,$B57)&gt;0,COUNTA(BW$27:BW$35),0))</f>
        <v/>
      </c>
      <c r="BX57" s="55" t="str">
        <f>IF($B57="","",IF(COUNTIF(BX$16:BX$21,$B57)&gt;0,COUNTA(BX$7:BX$15),0)+IF(COUNTIF(BX$37:BX$42,$B57)&gt;0,COUNTA(BX$27:BX$35),0))</f>
        <v/>
      </c>
      <c r="BY57" s="55" t="str">
        <f>IF($B57="","",IF(COUNTIF(BY$16:BY$21,$B57)&gt;0,COUNTA(BY$7:BY$15),0)+IF(COUNTIF(BY$37:BY$42,$B57)&gt;0,COUNTA(BY$27:BY$35),0))</f>
        <v/>
      </c>
      <c r="BZ57" s="55" t="str">
        <f>IF($B57="","",IF(COUNTIF(BZ$16:BZ$21,$B57)&gt;0,COUNTA(BZ$7:BZ$15),0)+IF(COUNTIF(BZ$37:BZ$42,$B57)&gt;0,COUNTA(BZ$27:BZ$35),0))</f>
        <v/>
      </c>
      <c r="CA57" s="55" t="str">
        <f>IF($B57="","",IF(COUNTIF(CA$16:CA$21,$B57)&gt;0,COUNTA(CA$7:CA$15),0)+IF(COUNTIF(CA$37:CA$42,$B57)&gt;0,COUNTA(CA$27:CA$35),0))</f>
        <v/>
      </c>
      <c r="CB57" s="55" t="str">
        <f>IF($B57="","",IF(COUNTIF(CB$16:CB$21,$B57)&gt;0,COUNTA(CB$7:CB$15),0)+IF(COUNTIF(CB$37:CB$42,$B57)&gt;0,COUNTA(CB$27:CB$35),0))</f>
        <v/>
      </c>
      <c r="CC57" s="55" t="str">
        <f>IF($B57="","",IF(COUNTIF(CC$16:CC$21,$B57)&gt;0,COUNTA(CC$7:CC$15),0)+IF(COUNTIF(CC$37:CC$42,$B57)&gt;0,COUNTA(CC$27:CC$35),0))</f>
        <v/>
      </c>
      <c r="CD57" s="55" t="str">
        <f>IF($B57="","",IF(COUNTIF(CD$16:CD$21,$B57)&gt;0,COUNTA(CD$7:CD$15),0)+IF(COUNTIF(CD$37:CD$42,$B57)&gt;0,COUNTA(CD$27:CD$35),0))</f>
        <v/>
      </c>
      <c r="CE57" s="55" t="str">
        <f>IF($B57="","",IF(COUNTIF(CE$16:CE$21,$B57)&gt;0,COUNTA(CE$7:CE$15),0)+IF(COUNTIF(CE$37:CE$42,$B57)&gt;0,COUNTA(CE$27:CE$35),0))</f>
        <v/>
      </c>
      <c r="CF57" s="55" t="str">
        <f>IF($B57="","",IF(COUNTIF(CF$16:CF$21,$B57)&gt;0,COUNTA(CF$7:CF$15),0)+IF(COUNTIF(CF$37:CF$42,$B57)&gt;0,COUNTA(CF$27:CF$35),0))</f>
        <v/>
      </c>
      <c r="CG57" s="55" t="str">
        <f>IF($B57="","",IF(COUNTIF(CG$16:CG$21,$B57)&gt;0,COUNTA(CG$7:CG$15),0)+IF(COUNTIF(CG$37:CG$42,$B57)&gt;0,COUNTA(CG$27:CG$35),0))</f>
        <v/>
      </c>
      <c r="CH57" s="55" t="str">
        <f>IF($B57="","",IF(COUNTIF(CH$16:CH$21,$B57)&gt;0,COUNTA(CH$7:CH$15),0)+IF(COUNTIF(CH$37:CH$42,$B57)&gt;0,COUNTA(CH$27:CH$35),0))</f>
        <v/>
      </c>
      <c r="CI57" s="55" t="str">
        <f>IF($B57="","",IF(COUNTIF(CI$16:CI$21,$B57)&gt;0,COUNTA(CI$7:CI$15),0)+IF(COUNTIF(CI$37:CI$42,$B57)&gt;0,COUNTA(CI$27:CI$35),0))</f>
        <v/>
      </c>
      <c r="CJ57" s="55" t="str">
        <f>IF($B57="","",IF(COUNTIF(CJ$16:CJ$21,$B57)&gt;0,COUNTA(CJ$7:CJ$15),0)+IF(COUNTIF(CJ$37:CJ$42,$B57)&gt;0,COUNTA(CJ$27:CJ$35),0))</f>
        <v/>
      </c>
      <c r="CK57" s="55" t="str">
        <f>IF($B57="","",IF(COUNTIF(CK$16:CK$21,$B57)&gt;0,COUNTA(CK$7:CK$15),0)+IF(COUNTIF(CK$37:CK$42,$B57)&gt;0,COUNTA(CK$27:CK$35),0))</f>
        <v/>
      </c>
      <c r="CL57" s="55" t="str">
        <f>IF($B57="","",IF(COUNTIF(CL$16:CL$21,$B57)&gt;0,COUNTA(CL$7:CL$15),0)+IF(COUNTIF(CL$37:CL$42,$B57)&gt;0,COUNTA(CL$27:CL$35),0))</f>
        <v/>
      </c>
      <c r="CM57" s="55" t="str">
        <f>IF($B57="","",IF(COUNTIF(CM$16:CM$21,$B57)&gt;0,COUNTA(CM$7:CM$15),0)+IF(COUNTIF(CM$37:CM$42,$B57)&gt;0,COUNTA(CM$27:CM$35),0))</f>
        <v/>
      </c>
      <c r="CN57" s="55" t="str">
        <f>IF($B57="","",IF(COUNTIF(CN$16:CN$21,$B57)&gt;0,COUNTA(CN$7:CN$15),0)+IF(COUNTIF(CN$37:CN$42,$B57)&gt;0,COUNTA(CN$27:CN$35),0))</f>
        <v/>
      </c>
      <c r="CO57" s="55" t="str">
        <f>IF($B57="","",IF(COUNTIF(CO$16:CO$21,$B57)&gt;0,COUNTA(CO$7:CO$15),0)+IF(COUNTIF(CO$37:CO$42,$B57)&gt;0,COUNTA(CO$27:CO$35),0))</f>
        <v/>
      </c>
      <c r="CP57" s="55" t="str">
        <f>IF($B57="","",IF(COUNTIF(CP$16:CP$21,$B57)&gt;0,COUNTA(CP$7:CP$15),0)+IF(COUNTIF(CP$37:CP$42,$B57)&gt;0,COUNTA(CP$27:CP$35),0))</f>
        <v/>
      </c>
      <c r="CQ57" s="55" t="str">
        <f>IF($B57="","",IF(COUNTIF(CQ$16:CQ$21,$B57)&gt;0,COUNTA(CQ$7:CQ$15),0)+IF(COUNTIF(CQ$37:CQ$42,$B57)&gt;0,COUNTA(CQ$27:CQ$35),0))</f>
        <v/>
      </c>
      <c r="CR57" s="55" t="str">
        <f>IF($B57="","",IF(COUNTIF(CR$16:CR$21,$B57)&gt;0,COUNTA(CR$7:CR$15),0)+IF(COUNTIF(CR$37:CR$42,$B57)&gt;0,COUNTA(CR$27:CR$35),0))</f>
        <v/>
      </c>
      <c r="CS57" s="55" t="str">
        <f>IF($B57="","",IF(COUNTIF(CS$16:CS$21,$B57)&gt;0,COUNTA(CS$7:CS$15),0)+IF(COUNTIF(CS$37:CS$42,$B57)&gt;0,COUNTA(CS$27:CS$35),0))</f>
        <v/>
      </c>
      <c r="CT57" s="55" t="str">
        <f>IF($B57="","",IF(COUNTIF(CT$16:CT$21,$B57)&gt;0,COUNTA(CT$7:CT$15),0)+IF(COUNTIF(CT$37:CT$42,$B57)&gt;0,COUNTA(CT$27:CT$35),0))</f>
        <v/>
      </c>
      <c r="CU57" s="55" t="str">
        <f>IF($B57="","",IF(COUNTIF(CU$16:CU$21,$B57)&gt;0,COUNTA(CU$7:CU$15),0)+IF(COUNTIF(CU$37:CU$42,$B57)&gt;0,COUNTA(CU$27:CU$35),0))</f>
        <v/>
      </c>
      <c r="CV57" s="55" t="str">
        <f>IF($B57="","",IF(COUNTIF(CV$16:CV$21,$B57)&gt;0,COUNTA(CV$7:CV$15),0)+IF(COUNTIF(CV$37:CV$42,$B57)&gt;0,COUNTA(CV$27:CV$35),0))</f>
        <v/>
      </c>
      <c r="CW57" s="55" t="str">
        <f>IF($B57="","",IF(COUNTIF(CW$16:CW$21,$B57)&gt;0,COUNTA(CW$7:CW$15),0)+IF(COUNTIF(CW$37:CW$42,$B57)&gt;0,COUNTA(CW$27:CW$35),0))</f>
        <v/>
      </c>
      <c r="CX57" s="55" t="str">
        <f>IF($B57="","",IF(COUNTIF(CX$16:CX$21,$B57)&gt;0,COUNTA(CX$7:CX$15),0)+IF(COUNTIF(CX$37:CX$42,$B57)&gt;0,COUNTA(CX$27:CX$35),0))</f>
        <v/>
      </c>
      <c r="CY57" s="55" t="str">
        <f>IF($B57="","",IF(COUNTIF(CY$16:CY$21,$B57)&gt;0,COUNTA(CY$7:CY$15),0)+IF(COUNTIF(CY$37:CY$42,$B57)&gt;0,COUNTA(CY$27:CY$35),0))</f>
        <v/>
      </c>
      <c r="CZ57" s="55" t="str">
        <f>IF($B57="","",IF(COUNTIF(CZ$16:CZ$21,$B57)&gt;0,COUNTA(CZ$7:CZ$15),0)+IF(COUNTIF(CZ$37:CZ$42,$B57)&gt;0,COUNTA(CZ$27:CZ$35),0))</f>
        <v/>
      </c>
      <c r="DA57" s="55" t="str">
        <f>IF($B57="","",IF(COUNTIF(DA$16:DA$21,$B57)&gt;0,COUNTA(DA$7:DA$15),0)+IF(COUNTIF(DA$37:DA$42,$B57)&gt;0,COUNTA(DA$27:DA$35),0))</f>
        <v/>
      </c>
      <c r="DB57" s="55" t="str">
        <f>IF($B57="","",IF(COUNTIF(DB$16:DB$21,$B57)&gt;0,COUNTA(DB$7:DB$15),0)+IF(COUNTIF(DB$37:DB$42,$B57)&gt;0,COUNTA(DB$27:DB$35),0))</f>
        <v/>
      </c>
      <c r="DC57" s="55" t="str">
        <f>IF($B57="","",IF(COUNTIF(DC$16:DC$21,$B57)&gt;0,COUNTA(DC$7:DC$15),0)+IF(COUNTIF(DC$37:DC$42,$B57)&gt;0,COUNTA(DC$27:DC$35),0))</f>
        <v/>
      </c>
      <c r="DD57" s="55" t="str">
        <f>IF($B57="","",IF(COUNTIF(DD$16:DD$21,$B57)&gt;0,COUNTA(DD$7:DD$15),0)+IF(COUNTIF(DD$37:DD$42,$B57)&gt;0,COUNTA(DD$27:DD$35),0))</f>
        <v/>
      </c>
      <c r="DE57" s="58" t="str">
        <f>IF($B57="","",IF(COUNTIF(DE$16:DE$21,$B57)&gt;0,COUNTA(DE$7:DE$15),0)+IF(COUNTIF(DE$37:DE$42,$B57)&gt;0,COUNTA(DE$27:DE$35),0))</f>
        <v/>
      </c>
    </row>
    <row r="58" spans="2:109" x14ac:dyDescent="0.2">
      <c r="B58" s="84" t="str">
        <f>IFERROR(INDEX(_xlfn._xlws.FILTER(Ressourcer!$B$1:$X$1,_xlfn.BYCOL(Ressourcer!$B$12:$X$15,_xlfn.LAMBDA(_xlpm.c,COUNTIF(_xlpm.c,"&lt;&gt;" )&gt;0))),ROWS($B$2:B15)),"")</f>
        <v/>
      </c>
      <c r="C58" s="79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)&gt;0))),_xlfn.LAMBDA(_xlpm.col,SUM(INDEX(Ressourcer!$B$12:$X$15,,_xlpm.col-COLUMN(Ressourcer!$B$12:$X$15)+1)))),ROWS($B$2:B15))/2,"")</f>
        <v/>
      </c>
      <c r="D58" s="106" t="str">
        <f>IF(SUM(E58:DE58)=0,"",SUM(E58:DE58))</f>
        <v/>
      </c>
      <c r="E58" s="57" t="str">
        <f>IF($B58="","",IF(COUNTIF(E$16:E$21,$B58)&gt;0,COUNTA(E$7:E$15),0)+IF(COUNTIF(E$37:E$42,$B58)&gt;0,COUNTA(E$27:E$35),0))</f>
        <v/>
      </c>
      <c r="F58" s="55" t="str">
        <f>IF($B58="","",IF(COUNTIF(F$16:F$21,$B58)&gt;0,COUNTA(F$7:F$15),0)+IF(COUNTIF(F$37:F$42,$B58)&gt;0,COUNTA(F$27:F$35),0))</f>
        <v/>
      </c>
      <c r="G58" s="55" t="str">
        <f>IF($B58="","",IF(COUNTIF(G$16:G$21,$B58)&gt;0,COUNTA(G$7:G$15),0)+IF(COUNTIF(G$37:G$42,$B58)&gt;0,COUNTA(G$27:G$35),0))</f>
        <v/>
      </c>
      <c r="H58" s="55" t="str">
        <f>IF($B58="","",IF(COUNTIF(H$16:H$21,$B58)&gt;0,COUNTA(H$7:H$15),0)+IF(COUNTIF(H$37:H$42,$B58)&gt;0,COUNTA(H$27:H$35),0))</f>
        <v/>
      </c>
      <c r="I58" s="55" t="str">
        <f>IF($B58="","",IF(COUNTIF(I$16:I$21,$B58)&gt;0,COUNTA(I$7:I$15),0)+IF(COUNTIF(I$37:I$42,$B58)&gt;0,COUNTA(I$27:I$35),0))</f>
        <v/>
      </c>
      <c r="J58" s="55" t="str">
        <f>IF($B58="","",IF(COUNTIF(J$16:J$21,$B58)&gt;0,COUNTA(J$7:J$15),0)+IF(COUNTIF(J$37:J$42,$B58)&gt;0,COUNTA(J$27:J$35),0))</f>
        <v/>
      </c>
      <c r="K58" s="55" t="str">
        <f>IF($B58="","",IF(COUNTIF(K$16:K$21,$B58)&gt;0,COUNTA(K$7:K$15),0)+IF(COUNTIF(K$37:K$42,$B58)&gt;0,COUNTA(K$27:K$35),0))</f>
        <v/>
      </c>
      <c r="L58" s="55" t="str">
        <f>IF($B58="","",IF(COUNTIF(L$16:L$21,$B58)&gt;0,COUNTA(L$7:L$15),0)+IF(COUNTIF(L$37:L$42,$B58)&gt;0,COUNTA(L$27:L$35),0))</f>
        <v/>
      </c>
      <c r="M58" s="55" t="str">
        <f>IF($B58="","",IF(COUNTIF(M$16:M$21,$B58)&gt;0,COUNTA(M$7:M$15),0)+IF(COUNTIF(M$37:M$42,$B58)&gt;0,COUNTA(M$27:M$35),0))</f>
        <v/>
      </c>
      <c r="N58" s="55" t="str">
        <f>IF($B58="","",IF(COUNTIF(N$16:N$21,$B58)&gt;0,COUNTA(N$7:N$15),0)+IF(COUNTIF(N$37:N$42,$B58)&gt;0,COUNTA(N$27:N$35),0))</f>
        <v/>
      </c>
      <c r="O58" s="55" t="str">
        <f>IF($B58="","",IF(COUNTIF(O$16:O$21,$B58)&gt;0,COUNTA(O$7:O$15),0)+IF(COUNTIF(O$37:O$42,$B58)&gt;0,COUNTA(O$27:O$35),0))</f>
        <v/>
      </c>
      <c r="P58" s="55" t="str">
        <f>IF($B58="","",IF(COUNTIF(P$16:P$21,$B58)&gt;0,COUNTA(P$7:P$15),0)+IF(COUNTIF(P$37:P$42,$B58)&gt;0,COUNTA(P$27:P$35),0))</f>
        <v/>
      </c>
      <c r="Q58" s="55" t="str">
        <f>IF($B58="","",IF(COUNTIF(Q$16:Q$21,$B58)&gt;0,COUNTA(Q$7:Q$15),0)+IF(COUNTIF(Q$37:Q$42,$B58)&gt;0,COUNTA(Q$27:Q$35),0))</f>
        <v/>
      </c>
      <c r="R58" s="55" t="str">
        <f>IF($B58="","",IF(COUNTIF(R$16:R$21,$B58)&gt;0,COUNTA(R$7:R$15),0)+IF(COUNTIF(R$37:R$42,$B58)&gt;0,COUNTA(R$27:R$35),0))</f>
        <v/>
      </c>
      <c r="S58" s="55" t="str">
        <f>IF($B58="","",IF(COUNTIF(S$16:S$21,$B58)&gt;0,COUNTA(S$7:S$15),0)+IF(COUNTIF(S$37:S$42,$B58)&gt;0,COUNTA(S$27:S$35),0))</f>
        <v/>
      </c>
      <c r="T58" s="55" t="str">
        <f>IF($B58="","",IF(COUNTIF(T$16:T$21,$B58)&gt;0,COUNTA(T$7:T$15),0)+IF(COUNTIF(T$37:T$42,$B58)&gt;0,COUNTA(T$27:T$35),0))</f>
        <v/>
      </c>
      <c r="U58" s="55" t="str">
        <f>IF($B58="","",IF(COUNTIF(U$16:U$21,$B58)&gt;0,COUNTA(U$7:U$15),0)+IF(COUNTIF(U$37:U$42,$B58)&gt;0,COUNTA(U$27:U$35),0))</f>
        <v/>
      </c>
      <c r="V58" s="55" t="str">
        <f>IF($B58="","",IF(COUNTIF(V$16:V$21,$B58)&gt;0,COUNTA(V$7:V$15),0)+IF(COUNTIF(V$37:V$42,$B58)&gt;0,COUNTA(V$27:V$35),0))</f>
        <v/>
      </c>
      <c r="W58" s="55" t="str">
        <f>IF($B58="","",IF(COUNTIF(W$16:W$21,$B58)&gt;0,COUNTA(W$7:W$15),0)+IF(COUNTIF(W$37:W$42,$B58)&gt;0,COUNTA(W$27:W$35),0))</f>
        <v/>
      </c>
      <c r="X58" s="55" t="str">
        <f>IF($B58="","",IF(COUNTIF(X$16:X$21,$B58)&gt;0,COUNTA(X$7:X$15),0)+IF(COUNTIF(X$37:X$42,$B58)&gt;0,COUNTA(X$27:X$35),0))</f>
        <v/>
      </c>
      <c r="Y58" s="55" t="str">
        <f>IF($B58="","",IF(COUNTIF(Y$16:Y$21,$B58)&gt;0,COUNTA(Y$7:Y$15),0)+IF(COUNTIF(Y$37:Y$42,$B58)&gt;0,COUNTA(Y$27:Y$35),0))</f>
        <v/>
      </c>
      <c r="Z58" s="55" t="str">
        <f>IF($B58="","",IF(COUNTIF(Z$16:Z$21,$B58)&gt;0,COUNTA(Z$7:Z$15),0)+IF(COUNTIF(Z$37:Z$42,$B58)&gt;0,COUNTA(Z$27:Z$35),0))</f>
        <v/>
      </c>
      <c r="AA58" s="55" t="str">
        <f>IF($B58="","",IF(COUNTIF(AA$16:AA$21,$B58)&gt;0,COUNTA(AA$7:AA$15),0)+IF(COUNTIF(AA$37:AA$42,$B58)&gt;0,COUNTA(AA$27:AA$35),0))</f>
        <v/>
      </c>
      <c r="AB58" s="55" t="str">
        <f>IF($B58="","",IF(COUNTIF(AB$16:AB$21,$B58)&gt;0,COUNTA(AB$7:AB$15),0)+IF(COUNTIF(AB$37:AB$42,$B58)&gt;0,COUNTA(AB$27:AB$35),0))</f>
        <v/>
      </c>
      <c r="AC58" s="55" t="str">
        <f>IF($B58="","",IF(COUNTIF(AC$16:AC$21,$B58)&gt;0,COUNTA(AC$7:AC$15),0)+IF(COUNTIF(AC$37:AC$42,$B58)&gt;0,COUNTA(AC$27:AC$35),0))</f>
        <v/>
      </c>
      <c r="AD58" s="55" t="str">
        <f>IF($B58="","",IF(COUNTIF(AD$16:AD$21,$B58)&gt;0,COUNTA(AD$7:AD$15),0)+IF(COUNTIF(AD$37:AD$42,$B58)&gt;0,COUNTA(AD$27:AD$35),0))</f>
        <v/>
      </c>
      <c r="AE58" s="55" t="str">
        <f>IF($B58="","",IF(COUNTIF(AE$16:AE$21,$B58)&gt;0,COUNTA(AE$7:AE$15),0)+IF(COUNTIF(AE$37:AE$42,$B58)&gt;0,COUNTA(AE$27:AE$35),0))</f>
        <v/>
      </c>
      <c r="AF58" s="55" t="str">
        <f>IF($B58="","",IF(COUNTIF(AF$16:AF$21,$B58)&gt;0,COUNTA(AF$7:AF$15),0)+IF(COUNTIF(AF$37:AF$42,$B58)&gt;0,COUNTA(AF$27:AF$35),0))</f>
        <v/>
      </c>
      <c r="AG58" s="55" t="str">
        <f>IF($B58="","",IF(COUNTIF(AG$16:AG$21,$B58)&gt;0,COUNTA(AG$7:AG$15),0)+IF(COUNTIF(AG$37:AG$42,$B58)&gt;0,COUNTA(AG$27:AG$35),0))</f>
        <v/>
      </c>
      <c r="AH58" s="55" t="str">
        <f>IF($B58="","",IF(COUNTIF(AH$16:AH$21,$B58)&gt;0,COUNTA(AH$7:AH$15),0)+IF(COUNTIF(AH$37:AH$42,$B58)&gt;0,COUNTA(AH$27:AH$35),0))</f>
        <v/>
      </c>
      <c r="AI58" s="55" t="str">
        <f>IF($B58="","",IF(COUNTIF(AI$16:AI$21,$B58)&gt;0,COUNTA(AI$7:AI$15),0)+IF(COUNTIF(AI$37:AI$42,$B58)&gt;0,COUNTA(AI$27:AI$35),0))</f>
        <v/>
      </c>
      <c r="AJ58" s="55" t="str">
        <f>IF($B58="","",IF(COUNTIF(AJ$16:AJ$21,$B58)&gt;0,COUNTA(AJ$7:AJ$15),0)+IF(COUNTIF(AJ$37:AJ$42,$B58)&gt;0,COUNTA(AJ$27:AJ$35),0))</f>
        <v/>
      </c>
      <c r="AK58" s="55" t="str">
        <f>IF($B58="","",IF(COUNTIF(AK$16:AK$21,$B58)&gt;0,COUNTA(AK$7:AK$15),0)+IF(COUNTIF(AK$37:AK$42,$B58)&gt;0,COUNTA(AK$27:AK$35),0))</f>
        <v/>
      </c>
      <c r="AL58" s="55" t="str">
        <f>IF($B58="","",IF(COUNTIF(AL$16:AL$21,$B58)&gt;0,COUNTA(AL$7:AL$15),0)+IF(COUNTIF(AL$37:AL$42,$B58)&gt;0,COUNTA(AL$27:AL$35),0))</f>
        <v/>
      </c>
      <c r="AM58" s="55" t="str">
        <f>IF($B58="","",IF(COUNTIF(AM$16:AM$21,$B58)&gt;0,COUNTA(AM$7:AM$15),0)+IF(COUNTIF(AM$37:AM$42,$B58)&gt;0,COUNTA(AM$27:AM$35),0))</f>
        <v/>
      </c>
      <c r="AN58" s="55" t="str">
        <f>IF($B58="","",IF(COUNTIF(AN$16:AN$21,$B58)&gt;0,COUNTA(AN$7:AN$15),0)+IF(COUNTIF(AN$37:AN$42,$B58)&gt;0,COUNTA(AN$27:AN$35),0))</f>
        <v/>
      </c>
      <c r="AO58" s="55" t="str">
        <f>IF($B58="","",IF(COUNTIF(AO$16:AO$21,$B58)&gt;0,COUNTA(AO$7:AO$15),0)+IF(COUNTIF(AO$37:AO$42,$B58)&gt;0,COUNTA(AO$27:AO$35),0))</f>
        <v/>
      </c>
      <c r="AP58" s="55" t="str">
        <f>IF($B58="","",IF(COUNTIF(AP$16:AP$21,$B58)&gt;0,COUNTA(AP$7:AP$15),0)+IF(COUNTIF(AP$37:AP$42,$B58)&gt;0,COUNTA(AP$27:AP$35),0))</f>
        <v/>
      </c>
      <c r="AQ58" s="55" t="str">
        <f>IF($B58="","",IF(COUNTIF(AQ$16:AQ$21,$B58)&gt;0,COUNTA(AQ$7:AQ$15),0)+IF(COUNTIF(AQ$37:AQ$42,$B58)&gt;0,COUNTA(AQ$27:AQ$35),0))</f>
        <v/>
      </c>
      <c r="AR58" s="55" t="str">
        <f>IF($B58="","",IF(COUNTIF(AR$16:AR$21,$B58)&gt;0,COUNTA(AR$7:AR$15),0)+IF(COUNTIF(AR$37:AR$42,$B58)&gt;0,COUNTA(AR$27:AR$35),0))</f>
        <v/>
      </c>
      <c r="AS58" s="55" t="str">
        <f>IF($B58="","",IF(COUNTIF(AS$16:AS$21,$B58)&gt;0,COUNTA(AS$7:AS$15),0)+IF(COUNTIF(AS$37:AS$42,$B58)&gt;0,COUNTA(AS$27:AS$35),0))</f>
        <v/>
      </c>
      <c r="AT58" s="55" t="str">
        <f>IF($B58="","",IF(COUNTIF(AT$16:AT$21,$B58)&gt;0,COUNTA(AT$7:AT$15),0)+IF(COUNTIF(AT$37:AT$42,$B58)&gt;0,COUNTA(AT$27:AT$35),0))</f>
        <v/>
      </c>
      <c r="AU58" s="55" t="str">
        <f>IF($B58="","",IF(COUNTIF(AU$16:AU$21,$B58)&gt;0,COUNTA(AU$7:AU$15),0)+IF(COUNTIF(AU$37:AU$42,$B58)&gt;0,COUNTA(AU$27:AU$35),0))</f>
        <v/>
      </c>
      <c r="AV58" s="55" t="str">
        <f>IF($B58="","",IF(COUNTIF(AV$16:AV$21,$B58)&gt;0,COUNTA(AV$7:AV$15),0)+IF(COUNTIF(AV$37:AV$42,$B58)&gt;0,COUNTA(AV$27:AV$35),0))</f>
        <v/>
      </c>
      <c r="AW58" s="55" t="str">
        <f>IF($B58="","",IF(COUNTIF(AW$16:AW$21,$B58)&gt;0,COUNTA(AW$7:AW$15),0)+IF(COUNTIF(AW$37:AW$42,$B58)&gt;0,COUNTA(AW$27:AW$35),0))</f>
        <v/>
      </c>
      <c r="AX58" s="55" t="str">
        <f>IF($B58="","",IF(COUNTIF(AX$16:AX$21,$B58)&gt;0,COUNTA(AX$7:AX$15),0)+IF(COUNTIF(AX$37:AX$42,$B58)&gt;0,COUNTA(AX$27:AX$35),0))</f>
        <v/>
      </c>
      <c r="AY58" s="55" t="str">
        <f>IF($B58="","",IF(COUNTIF(AY$16:AY$21,$B58)&gt;0,COUNTA(AY$7:AY$15),0)+IF(COUNTIF(AY$37:AY$42,$B58)&gt;0,COUNTA(AY$27:AY$35),0))</f>
        <v/>
      </c>
      <c r="AZ58" s="55" t="str">
        <f>IF($B58="","",IF(COUNTIF(AZ$16:AZ$21,$B58)&gt;0,COUNTA(AZ$7:AZ$15),0)+IF(COUNTIF(AZ$37:AZ$42,$B58)&gt;0,COUNTA(AZ$27:AZ$35),0))</f>
        <v/>
      </c>
      <c r="BA58" s="55" t="str">
        <f>IF($B58="","",IF(COUNTIF(BA$16:BA$21,$B58)&gt;0,COUNTA(BA$7:BA$15),0)+IF(COUNTIF(BA$37:BA$42,$B58)&gt;0,COUNTA(BA$27:BA$35),0))</f>
        <v/>
      </c>
      <c r="BB58" s="55" t="str">
        <f>IF($B58="","",IF(COUNTIF(BB$16:BB$21,$B58)&gt;0,COUNTA(BB$7:BB$15),0)+IF(COUNTIF(BB$37:BB$42,$B58)&gt;0,COUNTA(BB$27:BB$35),0))</f>
        <v/>
      </c>
      <c r="BC58" s="55" t="str">
        <f>IF($B58="","",IF(COUNTIF(BC$16:BC$21,$B58)&gt;0,COUNTA(BC$7:BC$15),0)+IF(COUNTIF(BC$37:BC$42,$B58)&gt;0,COUNTA(BC$27:BC$35),0))</f>
        <v/>
      </c>
      <c r="BD58" s="55" t="str">
        <f>IF($B58="","",IF(COUNTIF(BD$16:BD$21,$B58)&gt;0,COUNTA(BD$7:BD$15),0)+IF(COUNTIF(BD$37:BD$42,$B58)&gt;0,COUNTA(BD$27:BD$35),0))</f>
        <v/>
      </c>
      <c r="BE58" s="55" t="str">
        <f>IF($B58="","",IF(COUNTIF(BE$16:BE$21,$B58)&gt;0,COUNTA(BE$7:BE$15),0)+IF(COUNTIF(BE$37:BE$42,$B58)&gt;0,COUNTA(BE$27:BE$35),0))</f>
        <v/>
      </c>
      <c r="BF58" s="55" t="str">
        <f>IF($B58="","",IF(COUNTIF(BF$16:BF$21,$B58)&gt;0,COUNTA(BF$7:BF$15),0)+IF(COUNTIF(BF$37:BF$42,$B58)&gt;0,COUNTA(BF$27:BF$35),0))</f>
        <v/>
      </c>
      <c r="BG58" s="55" t="str">
        <f>IF($B58="","",IF(COUNTIF(BG$16:BG$21,$B58)&gt;0,COUNTA(BG$7:BG$15),0)+IF(COUNTIF(BG$37:BG$42,$B58)&gt;0,COUNTA(BG$27:BG$35),0))</f>
        <v/>
      </c>
      <c r="BH58" s="55" t="str">
        <f>IF($B58="","",IF(COUNTIF(BH$16:BH$21,$B58)&gt;0,COUNTA(BH$7:BH$15),0)+IF(COUNTIF(BH$37:BH$42,$B58)&gt;0,COUNTA(BH$27:BH$35),0))</f>
        <v/>
      </c>
      <c r="BI58" s="55" t="str">
        <f>IF($B58="","",IF(COUNTIF(BI$16:BI$21,$B58)&gt;0,COUNTA(BI$7:BI$15),0)+IF(COUNTIF(BI$37:BI$42,$B58)&gt;0,COUNTA(BI$27:BI$35),0))</f>
        <v/>
      </c>
      <c r="BJ58" s="55" t="str">
        <f>IF($B58="","",IF(COUNTIF(BJ$16:BJ$21,$B58)&gt;0,COUNTA(BJ$7:BJ$15),0)+IF(COUNTIF(BJ$37:BJ$42,$B58)&gt;0,COUNTA(BJ$27:BJ$35),0))</f>
        <v/>
      </c>
      <c r="BK58" s="55" t="str">
        <f>IF($B58="","",IF(COUNTIF(BK$16:BK$21,$B58)&gt;0,COUNTA(BK$7:BK$15),0)+IF(COUNTIF(BK$37:BK$42,$B58)&gt;0,COUNTA(BK$27:BK$35),0))</f>
        <v/>
      </c>
      <c r="BL58" s="55" t="str">
        <f>IF($B58="","",IF(COUNTIF(BL$16:BL$21,$B58)&gt;0,COUNTA(BL$7:BL$15),0)+IF(COUNTIF(BL$37:BL$42,$B58)&gt;0,COUNTA(BL$27:BL$35),0))</f>
        <v/>
      </c>
      <c r="BM58" s="55" t="str">
        <f>IF($B58="","",IF(COUNTIF(BM$16:BM$21,$B58)&gt;0,COUNTA(BM$7:BM$15),0)+IF(COUNTIF(BM$37:BM$42,$B58)&gt;0,COUNTA(BM$27:BM$35),0))</f>
        <v/>
      </c>
      <c r="BN58" s="55" t="str">
        <f>IF($B58="","",IF(COUNTIF(BN$16:BN$21,$B58)&gt;0,COUNTA(BN$7:BN$15),0)+IF(COUNTIF(BN$37:BN$42,$B58)&gt;0,COUNTA(BN$27:BN$35),0))</f>
        <v/>
      </c>
      <c r="BO58" s="55" t="str">
        <f>IF($B58="","",IF(COUNTIF(BO$16:BO$21,$B58)&gt;0,COUNTA(BO$7:BO$15),0)+IF(COUNTIF(BO$37:BO$42,$B58)&gt;0,COUNTA(BO$27:BO$35),0))</f>
        <v/>
      </c>
      <c r="BP58" s="55" t="str">
        <f>IF($B58="","",IF(COUNTIF(BP$16:BP$21,$B58)&gt;0,COUNTA(BP$7:BP$15),0)+IF(COUNTIF(BP$37:BP$42,$B58)&gt;0,COUNTA(BP$27:BP$35),0))</f>
        <v/>
      </c>
      <c r="BQ58" s="55" t="str">
        <f>IF($B58="","",IF(COUNTIF(BQ$16:BQ$21,$B58)&gt;0,COUNTA(BQ$7:BQ$15),0)+IF(COUNTIF(BQ$37:BQ$42,$B58)&gt;0,COUNTA(BQ$27:BQ$35),0))</f>
        <v/>
      </c>
      <c r="BR58" s="55" t="str">
        <f>IF($B58="","",IF(COUNTIF(BR$16:BR$21,$B58)&gt;0,COUNTA(BR$7:BR$15),0)+IF(COUNTIF(BR$37:BR$42,$B58)&gt;0,COUNTA(BR$27:BR$35),0))</f>
        <v/>
      </c>
      <c r="BS58" s="55" t="str">
        <f>IF($B58="","",IF(COUNTIF(BS$16:BS$21,$B58)&gt;0,COUNTA(BS$7:BS$15),0)+IF(COUNTIF(BS$37:BS$42,$B58)&gt;0,COUNTA(BS$27:BS$35),0))</f>
        <v/>
      </c>
      <c r="BT58" s="55" t="str">
        <f>IF($B58="","",IF(COUNTIF(BT$16:BT$21,$B58)&gt;0,COUNTA(BT$7:BT$15),0)+IF(COUNTIF(BT$37:BT$42,$B58)&gt;0,COUNTA(BT$27:BT$35),0))</f>
        <v/>
      </c>
      <c r="BU58" s="55" t="str">
        <f>IF($B58="","",IF(COUNTIF(BU$16:BU$21,$B58)&gt;0,COUNTA(BU$7:BU$15),0)+IF(COUNTIF(BU$37:BU$42,$B58)&gt;0,COUNTA(BU$27:BU$35),0))</f>
        <v/>
      </c>
      <c r="BV58" s="55" t="str">
        <f>IF($B58="","",IF(COUNTIF(BV$16:BV$21,$B58)&gt;0,COUNTA(BV$7:BV$15),0)+IF(COUNTIF(BV$37:BV$42,$B58)&gt;0,COUNTA(BV$27:BV$35),0))</f>
        <v/>
      </c>
      <c r="BW58" s="55" t="str">
        <f>IF($B58="","",IF(COUNTIF(BW$16:BW$21,$B58)&gt;0,COUNTA(BW$7:BW$15),0)+IF(COUNTIF(BW$37:BW$42,$B58)&gt;0,COUNTA(BW$27:BW$35),0))</f>
        <v/>
      </c>
      <c r="BX58" s="55" t="str">
        <f>IF($B58="","",IF(COUNTIF(BX$16:BX$21,$B58)&gt;0,COUNTA(BX$7:BX$15),0)+IF(COUNTIF(BX$37:BX$42,$B58)&gt;0,COUNTA(BX$27:BX$35),0))</f>
        <v/>
      </c>
      <c r="BY58" s="55" t="str">
        <f>IF($B58="","",IF(COUNTIF(BY$16:BY$21,$B58)&gt;0,COUNTA(BY$7:BY$15),0)+IF(COUNTIF(BY$37:BY$42,$B58)&gt;0,COUNTA(BY$27:BY$35),0))</f>
        <v/>
      </c>
      <c r="BZ58" s="55" t="str">
        <f>IF($B58="","",IF(COUNTIF(BZ$16:BZ$21,$B58)&gt;0,COUNTA(BZ$7:BZ$15),0)+IF(COUNTIF(BZ$37:BZ$42,$B58)&gt;0,COUNTA(BZ$27:BZ$35),0))</f>
        <v/>
      </c>
      <c r="CA58" s="55" t="str">
        <f>IF($B58="","",IF(COUNTIF(CA$16:CA$21,$B58)&gt;0,COUNTA(CA$7:CA$15),0)+IF(COUNTIF(CA$37:CA$42,$B58)&gt;0,COUNTA(CA$27:CA$35),0))</f>
        <v/>
      </c>
      <c r="CB58" s="55" t="str">
        <f>IF($B58="","",IF(COUNTIF(CB$16:CB$21,$B58)&gt;0,COUNTA(CB$7:CB$15),0)+IF(COUNTIF(CB$37:CB$42,$B58)&gt;0,COUNTA(CB$27:CB$35),0))</f>
        <v/>
      </c>
      <c r="CC58" s="55" t="str">
        <f>IF($B58="","",IF(COUNTIF(CC$16:CC$21,$B58)&gt;0,COUNTA(CC$7:CC$15),0)+IF(COUNTIF(CC$37:CC$42,$B58)&gt;0,COUNTA(CC$27:CC$35),0))</f>
        <v/>
      </c>
      <c r="CD58" s="55" t="str">
        <f>IF($B58="","",IF(COUNTIF(CD$16:CD$21,$B58)&gt;0,COUNTA(CD$7:CD$15),0)+IF(COUNTIF(CD$37:CD$42,$B58)&gt;0,COUNTA(CD$27:CD$35),0))</f>
        <v/>
      </c>
      <c r="CE58" s="55" t="str">
        <f>IF($B58="","",IF(COUNTIF(CE$16:CE$21,$B58)&gt;0,COUNTA(CE$7:CE$15),0)+IF(COUNTIF(CE$37:CE$42,$B58)&gt;0,COUNTA(CE$27:CE$35),0))</f>
        <v/>
      </c>
      <c r="CF58" s="55" t="str">
        <f>IF($B58="","",IF(COUNTIF(CF$16:CF$21,$B58)&gt;0,COUNTA(CF$7:CF$15),0)+IF(COUNTIF(CF$37:CF$42,$B58)&gt;0,COUNTA(CF$27:CF$35),0))</f>
        <v/>
      </c>
      <c r="CG58" s="55" t="str">
        <f>IF($B58="","",IF(COUNTIF(CG$16:CG$21,$B58)&gt;0,COUNTA(CG$7:CG$15),0)+IF(COUNTIF(CG$37:CG$42,$B58)&gt;0,COUNTA(CG$27:CG$35),0))</f>
        <v/>
      </c>
      <c r="CH58" s="55" t="str">
        <f>IF($B58="","",IF(COUNTIF(CH$16:CH$21,$B58)&gt;0,COUNTA(CH$7:CH$15),0)+IF(COUNTIF(CH$37:CH$42,$B58)&gt;0,COUNTA(CH$27:CH$35),0))</f>
        <v/>
      </c>
      <c r="CI58" s="55" t="str">
        <f>IF($B58="","",IF(COUNTIF(CI$16:CI$21,$B58)&gt;0,COUNTA(CI$7:CI$15),0)+IF(COUNTIF(CI$37:CI$42,$B58)&gt;0,COUNTA(CI$27:CI$35),0))</f>
        <v/>
      </c>
      <c r="CJ58" s="55" t="str">
        <f>IF($B58="","",IF(COUNTIF(CJ$16:CJ$21,$B58)&gt;0,COUNTA(CJ$7:CJ$15),0)+IF(COUNTIF(CJ$37:CJ$42,$B58)&gt;0,COUNTA(CJ$27:CJ$35),0))</f>
        <v/>
      </c>
      <c r="CK58" s="55" t="str">
        <f>IF($B58="","",IF(COUNTIF(CK$16:CK$21,$B58)&gt;0,COUNTA(CK$7:CK$15),0)+IF(COUNTIF(CK$37:CK$42,$B58)&gt;0,COUNTA(CK$27:CK$35),0))</f>
        <v/>
      </c>
      <c r="CL58" s="55" t="str">
        <f>IF($B58="","",IF(COUNTIF(CL$16:CL$21,$B58)&gt;0,COUNTA(CL$7:CL$15),0)+IF(COUNTIF(CL$37:CL$42,$B58)&gt;0,COUNTA(CL$27:CL$35),0))</f>
        <v/>
      </c>
      <c r="CM58" s="55" t="str">
        <f>IF($B58="","",IF(COUNTIF(CM$16:CM$21,$B58)&gt;0,COUNTA(CM$7:CM$15),0)+IF(COUNTIF(CM$37:CM$42,$B58)&gt;0,COUNTA(CM$27:CM$35),0))</f>
        <v/>
      </c>
      <c r="CN58" s="55" t="str">
        <f>IF($B58="","",IF(COUNTIF(CN$16:CN$21,$B58)&gt;0,COUNTA(CN$7:CN$15),0)+IF(COUNTIF(CN$37:CN$42,$B58)&gt;0,COUNTA(CN$27:CN$35),0))</f>
        <v/>
      </c>
      <c r="CO58" s="55" t="str">
        <f>IF($B58="","",IF(COUNTIF(CO$16:CO$21,$B58)&gt;0,COUNTA(CO$7:CO$15),0)+IF(COUNTIF(CO$37:CO$42,$B58)&gt;0,COUNTA(CO$27:CO$35),0))</f>
        <v/>
      </c>
      <c r="CP58" s="55" t="str">
        <f>IF($B58="","",IF(COUNTIF(CP$16:CP$21,$B58)&gt;0,COUNTA(CP$7:CP$15),0)+IF(COUNTIF(CP$37:CP$42,$B58)&gt;0,COUNTA(CP$27:CP$35),0))</f>
        <v/>
      </c>
      <c r="CQ58" s="55" t="str">
        <f>IF($B58="","",IF(COUNTIF(CQ$16:CQ$21,$B58)&gt;0,COUNTA(CQ$7:CQ$15),0)+IF(COUNTIF(CQ$37:CQ$42,$B58)&gt;0,COUNTA(CQ$27:CQ$35),0))</f>
        <v/>
      </c>
      <c r="CR58" s="55" t="str">
        <f>IF($B58="","",IF(COUNTIF(CR$16:CR$21,$B58)&gt;0,COUNTA(CR$7:CR$15),0)+IF(COUNTIF(CR$37:CR$42,$B58)&gt;0,COUNTA(CR$27:CR$35),0))</f>
        <v/>
      </c>
      <c r="CS58" s="55" t="str">
        <f>IF($B58="","",IF(COUNTIF(CS$16:CS$21,$B58)&gt;0,COUNTA(CS$7:CS$15),0)+IF(COUNTIF(CS$37:CS$42,$B58)&gt;0,COUNTA(CS$27:CS$35),0))</f>
        <v/>
      </c>
      <c r="CT58" s="55" t="str">
        <f>IF($B58="","",IF(COUNTIF(CT$16:CT$21,$B58)&gt;0,COUNTA(CT$7:CT$15),0)+IF(COUNTIF(CT$37:CT$42,$B58)&gt;0,COUNTA(CT$27:CT$35),0))</f>
        <v/>
      </c>
      <c r="CU58" s="55" t="str">
        <f>IF($B58="","",IF(COUNTIF(CU$16:CU$21,$B58)&gt;0,COUNTA(CU$7:CU$15),0)+IF(COUNTIF(CU$37:CU$42,$B58)&gt;0,COUNTA(CU$27:CU$35),0))</f>
        <v/>
      </c>
      <c r="CV58" s="55" t="str">
        <f>IF($B58="","",IF(COUNTIF(CV$16:CV$21,$B58)&gt;0,COUNTA(CV$7:CV$15),0)+IF(COUNTIF(CV$37:CV$42,$B58)&gt;0,COUNTA(CV$27:CV$35),0))</f>
        <v/>
      </c>
      <c r="CW58" s="55" t="str">
        <f>IF($B58="","",IF(COUNTIF(CW$16:CW$21,$B58)&gt;0,COUNTA(CW$7:CW$15),0)+IF(COUNTIF(CW$37:CW$42,$B58)&gt;0,COUNTA(CW$27:CW$35),0))</f>
        <v/>
      </c>
      <c r="CX58" s="55" t="str">
        <f>IF($B58="","",IF(COUNTIF(CX$16:CX$21,$B58)&gt;0,COUNTA(CX$7:CX$15),0)+IF(COUNTIF(CX$37:CX$42,$B58)&gt;0,COUNTA(CX$27:CX$35),0))</f>
        <v/>
      </c>
      <c r="CY58" s="55" t="str">
        <f>IF($B58="","",IF(COUNTIF(CY$16:CY$21,$B58)&gt;0,COUNTA(CY$7:CY$15),0)+IF(COUNTIF(CY$37:CY$42,$B58)&gt;0,COUNTA(CY$27:CY$35),0))</f>
        <v/>
      </c>
      <c r="CZ58" s="55" t="str">
        <f>IF($B58="","",IF(COUNTIF(CZ$16:CZ$21,$B58)&gt;0,COUNTA(CZ$7:CZ$15),0)+IF(COUNTIF(CZ$37:CZ$42,$B58)&gt;0,COUNTA(CZ$27:CZ$35),0))</f>
        <v/>
      </c>
      <c r="DA58" s="55" t="str">
        <f>IF($B58="","",IF(COUNTIF(DA$16:DA$21,$B58)&gt;0,COUNTA(DA$7:DA$15),0)+IF(COUNTIF(DA$37:DA$42,$B58)&gt;0,COUNTA(DA$27:DA$35),0))</f>
        <v/>
      </c>
      <c r="DB58" s="55" t="str">
        <f>IF($B58="","",IF(COUNTIF(DB$16:DB$21,$B58)&gt;0,COUNTA(DB$7:DB$15),0)+IF(COUNTIF(DB$37:DB$42,$B58)&gt;0,COUNTA(DB$27:DB$35),0))</f>
        <v/>
      </c>
      <c r="DC58" s="55" t="str">
        <f>IF($B58="","",IF(COUNTIF(DC$16:DC$21,$B58)&gt;0,COUNTA(DC$7:DC$15),0)+IF(COUNTIF(DC$37:DC$42,$B58)&gt;0,COUNTA(DC$27:DC$35),0))</f>
        <v/>
      </c>
      <c r="DD58" s="55" t="str">
        <f>IF($B58="","",IF(COUNTIF(DD$16:DD$21,$B58)&gt;0,COUNTA(DD$7:DD$15),0)+IF(COUNTIF(DD$37:DD$42,$B58)&gt;0,COUNTA(DD$27:DD$35),0))</f>
        <v/>
      </c>
      <c r="DE58" s="58" t="str">
        <f>IF($B58="","",IF(COUNTIF(DE$16:DE$21,$B58)&gt;0,COUNTA(DE$7:DE$15),0)+IF(COUNTIF(DE$37:DE$42,$B58)&gt;0,COUNTA(DE$27:DE$35),0))</f>
        <v/>
      </c>
    </row>
    <row r="59" spans="2:109" ht="17" thickBot="1" x14ac:dyDescent="0.25">
      <c r="B59" s="85" t="str">
        <f>IFERROR(INDEX(_xlfn._xlws.FILTER(Ressourcer!$B$1:$X$1,_xlfn.BYCOL(Ressourcer!$B$12:$X$15,_xlfn.LAMBDA(_xlpm.c,COUNTIF(_xlpm.c,"&lt;&gt;" )&gt;0))),ROWS($B$2:B16)),"")</f>
        <v/>
      </c>
      <c r="C59" s="86" t="str">
        <f>IFERROR(INDEX(_xlfn.MAP(_xlfn._xlws.FILTER(COLUMN(Ressourcer!$B$1:$X$1),_xlfn.BYCOL(Ressourcer!$B$12:$X$15,_xlfn.LAMBDA(_xlpm.c,COUNTIF(_xlpm.c,"&lt;&gt;" )&gt;0))),_xlfn.LAMBDA(_xlpm.col,SUM(INDEX(Ressourcer!$B$12:$X$15,,_xlpm.col-COLUMN(Ressourcer!$B$12:$X$15)+1)))),ROWS($B$2:B16))/2,"")</f>
        <v/>
      </c>
      <c r="D59" s="106" t="str">
        <f>IF(SUM(E59:DE59)=0,"",SUM(E59:DE59))</f>
        <v/>
      </c>
      <c r="E59" s="59" t="str">
        <f>IF($B59="","",IF(COUNTIF(E$16:E$21,$B59)&gt;0,COUNTA(E$7:E$15),0)+IF(COUNTIF(E$37:E$42,$B59)&gt;0,COUNTA(E$27:E$35),0))</f>
        <v/>
      </c>
      <c r="F59" s="60" t="str">
        <f>IF($B59="","",IF(COUNTIF(F$16:F$21,$B59)&gt;0,COUNTA(F$7:F$15),0)+IF(COUNTIF(F$37:F$42,$B59)&gt;0,COUNTA(F$27:F$35),0))</f>
        <v/>
      </c>
      <c r="G59" s="60" t="str">
        <f>IF($B59="","",IF(COUNTIF(G$16:G$21,$B59)&gt;0,COUNTA(G$7:G$15),0)+IF(COUNTIF(G$37:G$42,$B59)&gt;0,COUNTA(G$27:G$35),0))</f>
        <v/>
      </c>
      <c r="H59" s="60" t="str">
        <f>IF($B59="","",IF(COUNTIF(H$16:H$21,$B59)&gt;0,COUNTA(H$7:H$15),0)+IF(COUNTIF(H$37:H$42,$B59)&gt;0,COUNTA(H$27:H$35),0))</f>
        <v/>
      </c>
      <c r="I59" s="60" t="str">
        <f>IF($B59="","",IF(COUNTIF(I$16:I$21,$B59)&gt;0,COUNTA(I$7:I$15),0)+IF(COUNTIF(I$37:I$42,$B59)&gt;0,COUNTA(I$27:I$35),0))</f>
        <v/>
      </c>
      <c r="J59" s="60" t="str">
        <f>IF($B59="","",IF(COUNTIF(J$16:J$21,$B59)&gt;0,COUNTA(J$7:J$15),0)+IF(COUNTIF(J$37:J$42,$B59)&gt;0,COUNTA(J$27:J$35),0))</f>
        <v/>
      </c>
      <c r="K59" s="60" t="str">
        <f>IF($B59="","",IF(COUNTIF(K$16:K$21,$B59)&gt;0,COUNTA(K$7:K$15),0)+IF(COUNTIF(K$37:K$42,$B59)&gt;0,COUNTA(K$27:K$35),0))</f>
        <v/>
      </c>
      <c r="L59" s="60" t="str">
        <f>IF($B59="","",IF(COUNTIF(L$16:L$21,$B59)&gt;0,COUNTA(L$7:L$15),0)+IF(COUNTIF(L$37:L$42,$B59)&gt;0,COUNTA(L$27:L$35),0))</f>
        <v/>
      </c>
      <c r="M59" s="60" t="str">
        <f>IF($B59="","",IF(COUNTIF(M$16:M$21,$B59)&gt;0,COUNTA(M$7:M$15),0)+IF(COUNTIF(M$37:M$42,$B59)&gt;0,COUNTA(M$27:M$35),0))</f>
        <v/>
      </c>
      <c r="N59" s="60" t="str">
        <f>IF($B59="","",IF(COUNTIF(N$16:N$21,$B59)&gt;0,COUNTA(N$7:N$15),0)+IF(COUNTIF(N$37:N$42,$B59)&gt;0,COUNTA(N$27:N$35),0))</f>
        <v/>
      </c>
      <c r="O59" s="60" t="str">
        <f>IF($B59="","",IF(COUNTIF(O$16:O$21,$B59)&gt;0,COUNTA(O$7:O$15),0)+IF(COUNTIF(O$37:O$42,$B59)&gt;0,COUNTA(O$27:O$35),0))</f>
        <v/>
      </c>
      <c r="P59" s="60" t="str">
        <f>IF($B59="","",IF(COUNTIF(P$16:P$21,$B59)&gt;0,COUNTA(P$7:P$15),0)+IF(COUNTIF(P$37:P$42,$B59)&gt;0,COUNTA(P$27:P$35),0))</f>
        <v/>
      </c>
      <c r="Q59" s="60" t="str">
        <f>IF($B59="","",IF(COUNTIF(Q$16:Q$21,$B59)&gt;0,COUNTA(Q$7:Q$15),0)+IF(COUNTIF(Q$37:Q$42,$B59)&gt;0,COUNTA(Q$27:Q$35),0))</f>
        <v/>
      </c>
      <c r="R59" s="60" t="str">
        <f>IF($B59="","",IF(COUNTIF(R$16:R$21,$B59)&gt;0,COUNTA(R$7:R$15),0)+IF(COUNTIF(R$37:R$42,$B59)&gt;0,COUNTA(R$27:R$35),0))</f>
        <v/>
      </c>
      <c r="S59" s="60" t="str">
        <f>IF($B59="","",IF(COUNTIF(S$16:S$21,$B59)&gt;0,COUNTA(S$7:S$15),0)+IF(COUNTIF(S$37:S$42,$B59)&gt;0,COUNTA(S$27:S$35),0))</f>
        <v/>
      </c>
      <c r="T59" s="60" t="str">
        <f>IF($B59="","",IF(COUNTIF(T$16:T$21,$B59)&gt;0,COUNTA(T$7:T$15),0)+IF(COUNTIF(T$37:T$42,$B59)&gt;0,COUNTA(T$27:T$35),0))</f>
        <v/>
      </c>
      <c r="U59" s="60" t="str">
        <f>IF($B59="","",IF(COUNTIF(U$16:U$21,$B59)&gt;0,COUNTA(U$7:U$15),0)+IF(COUNTIF(U$37:U$42,$B59)&gt;0,COUNTA(U$27:U$35),0))</f>
        <v/>
      </c>
      <c r="V59" s="60" t="str">
        <f>IF($B59="","",IF(COUNTIF(V$16:V$21,$B59)&gt;0,COUNTA(V$7:V$15),0)+IF(COUNTIF(V$37:V$42,$B59)&gt;0,COUNTA(V$27:V$35),0))</f>
        <v/>
      </c>
      <c r="W59" s="60" t="str">
        <f>IF($B59="","",IF(COUNTIF(W$16:W$21,$B59)&gt;0,COUNTA(W$7:W$15),0)+IF(COUNTIF(W$37:W$42,$B59)&gt;0,COUNTA(W$27:W$35),0))</f>
        <v/>
      </c>
      <c r="X59" s="60" t="str">
        <f>IF($B59="","",IF(COUNTIF(X$16:X$21,$B59)&gt;0,COUNTA(X$7:X$15),0)+IF(COUNTIF(X$37:X$42,$B59)&gt;0,COUNTA(X$27:X$35),0))</f>
        <v/>
      </c>
      <c r="Y59" s="60" t="str">
        <f>IF($B59="","",IF(COUNTIF(Y$16:Y$21,$B59)&gt;0,COUNTA(Y$7:Y$15),0)+IF(COUNTIF(Y$37:Y$42,$B59)&gt;0,COUNTA(Y$27:Y$35),0))</f>
        <v/>
      </c>
      <c r="Z59" s="60" t="str">
        <f>IF($B59="","",IF(COUNTIF(Z$16:Z$21,$B59)&gt;0,COUNTA(Z$7:Z$15),0)+IF(COUNTIF(Z$37:Z$42,$B59)&gt;0,COUNTA(Z$27:Z$35),0))</f>
        <v/>
      </c>
      <c r="AA59" s="60" t="str">
        <f>IF($B59="","",IF(COUNTIF(AA$16:AA$21,$B59)&gt;0,COUNTA(AA$7:AA$15),0)+IF(COUNTIF(AA$37:AA$42,$B59)&gt;0,COUNTA(AA$27:AA$35),0))</f>
        <v/>
      </c>
      <c r="AB59" s="60" t="str">
        <f>IF($B59="","",IF(COUNTIF(AB$16:AB$21,$B59)&gt;0,COUNTA(AB$7:AB$15),0)+IF(COUNTIF(AB$37:AB$42,$B59)&gt;0,COUNTA(AB$27:AB$35),0))</f>
        <v/>
      </c>
      <c r="AC59" s="60" t="str">
        <f>IF($B59="","",IF(COUNTIF(AC$16:AC$21,$B59)&gt;0,COUNTA(AC$7:AC$15),0)+IF(COUNTIF(AC$37:AC$42,$B59)&gt;0,COUNTA(AC$27:AC$35),0))</f>
        <v/>
      </c>
      <c r="AD59" s="60" t="str">
        <f>IF($B59="","",IF(COUNTIF(AD$16:AD$21,$B59)&gt;0,COUNTA(AD$7:AD$15),0)+IF(COUNTIF(AD$37:AD$42,$B59)&gt;0,COUNTA(AD$27:AD$35),0))</f>
        <v/>
      </c>
      <c r="AE59" s="60" t="str">
        <f>IF($B59="","",IF(COUNTIF(AE$16:AE$21,$B59)&gt;0,COUNTA(AE$7:AE$15),0)+IF(COUNTIF(AE$37:AE$42,$B59)&gt;0,COUNTA(AE$27:AE$35),0))</f>
        <v/>
      </c>
      <c r="AF59" s="60" t="str">
        <f>IF($B59="","",IF(COUNTIF(AF$16:AF$21,$B59)&gt;0,COUNTA(AF$7:AF$15),0)+IF(COUNTIF(AF$37:AF$42,$B59)&gt;0,COUNTA(AF$27:AF$35),0))</f>
        <v/>
      </c>
      <c r="AG59" s="60" t="str">
        <f>IF($B59="","",IF(COUNTIF(AG$16:AG$21,$B59)&gt;0,COUNTA(AG$7:AG$15),0)+IF(COUNTIF(AG$37:AG$42,$B59)&gt;0,COUNTA(AG$27:AG$35),0))</f>
        <v/>
      </c>
      <c r="AH59" s="60" t="str">
        <f>IF($B59="","",IF(COUNTIF(AH$16:AH$21,$B59)&gt;0,COUNTA(AH$7:AH$15),0)+IF(COUNTIF(AH$37:AH$42,$B59)&gt;0,COUNTA(AH$27:AH$35),0))</f>
        <v/>
      </c>
      <c r="AI59" s="60" t="str">
        <f>IF($B59="","",IF(COUNTIF(AI$16:AI$21,$B59)&gt;0,COUNTA(AI$7:AI$15),0)+IF(COUNTIF(AI$37:AI$42,$B59)&gt;0,COUNTA(AI$27:AI$35),0))</f>
        <v/>
      </c>
      <c r="AJ59" s="60" t="str">
        <f>IF($B59="","",IF(COUNTIF(AJ$16:AJ$21,$B59)&gt;0,COUNTA(AJ$7:AJ$15),0)+IF(COUNTIF(AJ$37:AJ$42,$B59)&gt;0,COUNTA(AJ$27:AJ$35),0))</f>
        <v/>
      </c>
      <c r="AK59" s="60" t="str">
        <f>IF($B59="","",IF(COUNTIF(AK$16:AK$21,$B59)&gt;0,COUNTA(AK$7:AK$15),0)+IF(COUNTIF(AK$37:AK$42,$B59)&gt;0,COUNTA(AK$27:AK$35),0))</f>
        <v/>
      </c>
      <c r="AL59" s="60" t="str">
        <f>IF($B59="","",IF(COUNTIF(AL$16:AL$21,$B59)&gt;0,COUNTA(AL$7:AL$15),0)+IF(COUNTIF(AL$37:AL$42,$B59)&gt;0,COUNTA(AL$27:AL$35),0))</f>
        <v/>
      </c>
      <c r="AM59" s="60" t="str">
        <f>IF($B59="","",IF(COUNTIF(AM$16:AM$21,$B59)&gt;0,COUNTA(AM$7:AM$15),0)+IF(COUNTIF(AM$37:AM$42,$B59)&gt;0,COUNTA(AM$27:AM$35),0))</f>
        <v/>
      </c>
      <c r="AN59" s="60" t="str">
        <f>IF($B59="","",IF(COUNTIF(AN$16:AN$21,$B59)&gt;0,COUNTA(AN$7:AN$15),0)+IF(COUNTIF(AN$37:AN$42,$B59)&gt;0,COUNTA(AN$27:AN$35),0))</f>
        <v/>
      </c>
      <c r="AO59" s="60" t="str">
        <f>IF($B59="","",IF(COUNTIF(AO$16:AO$21,$B59)&gt;0,COUNTA(AO$7:AO$15),0)+IF(COUNTIF(AO$37:AO$42,$B59)&gt;0,COUNTA(AO$27:AO$35),0))</f>
        <v/>
      </c>
      <c r="AP59" s="60" t="str">
        <f>IF($B59="","",IF(COUNTIF(AP$16:AP$21,$B59)&gt;0,COUNTA(AP$7:AP$15),0)+IF(COUNTIF(AP$37:AP$42,$B59)&gt;0,COUNTA(AP$27:AP$35),0))</f>
        <v/>
      </c>
      <c r="AQ59" s="60" t="str">
        <f>IF($B59="","",IF(COUNTIF(AQ$16:AQ$21,$B59)&gt;0,COUNTA(AQ$7:AQ$15),0)+IF(COUNTIF(AQ$37:AQ$42,$B59)&gt;0,COUNTA(AQ$27:AQ$35),0))</f>
        <v/>
      </c>
      <c r="AR59" s="60" t="str">
        <f>IF($B59="","",IF(COUNTIF(AR$16:AR$21,$B59)&gt;0,COUNTA(AR$7:AR$15),0)+IF(COUNTIF(AR$37:AR$42,$B59)&gt;0,COUNTA(AR$27:AR$35),0))</f>
        <v/>
      </c>
      <c r="AS59" s="60" t="str">
        <f>IF($B59="","",IF(COUNTIF(AS$16:AS$21,$B59)&gt;0,COUNTA(AS$7:AS$15),0)+IF(COUNTIF(AS$37:AS$42,$B59)&gt;0,COUNTA(AS$27:AS$35),0))</f>
        <v/>
      </c>
      <c r="AT59" s="60" t="str">
        <f>IF($B59="","",IF(COUNTIF(AT$16:AT$21,$B59)&gt;0,COUNTA(AT$7:AT$15),0)+IF(COUNTIF(AT$37:AT$42,$B59)&gt;0,COUNTA(AT$27:AT$35),0))</f>
        <v/>
      </c>
      <c r="AU59" s="60" t="str">
        <f>IF($B59="","",IF(COUNTIF(AU$16:AU$21,$B59)&gt;0,COUNTA(AU$7:AU$15),0)+IF(COUNTIF(AU$37:AU$42,$B59)&gt;0,COUNTA(AU$27:AU$35),0))</f>
        <v/>
      </c>
      <c r="AV59" s="60" t="str">
        <f>IF($B59="","",IF(COUNTIF(AV$16:AV$21,$B59)&gt;0,COUNTA(AV$7:AV$15),0)+IF(COUNTIF(AV$37:AV$42,$B59)&gt;0,COUNTA(AV$27:AV$35),0))</f>
        <v/>
      </c>
      <c r="AW59" s="60" t="str">
        <f>IF($B59="","",IF(COUNTIF(AW$16:AW$21,$B59)&gt;0,COUNTA(AW$7:AW$15),0)+IF(COUNTIF(AW$37:AW$42,$B59)&gt;0,COUNTA(AW$27:AW$35),0))</f>
        <v/>
      </c>
      <c r="AX59" s="60" t="str">
        <f>IF($B59="","",IF(COUNTIF(AX$16:AX$21,$B59)&gt;0,COUNTA(AX$7:AX$15),0)+IF(COUNTIF(AX$37:AX$42,$B59)&gt;0,COUNTA(AX$27:AX$35),0))</f>
        <v/>
      </c>
      <c r="AY59" s="60" t="str">
        <f>IF($B59="","",IF(COUNTIF(AY$16:AY$21,$B59)&gt;0,COUNTA(AY$7:AY$15),0)+IF(COUNTIF(AY$37:AY$42,$B59)&gt;0,COUNTA(AY$27:AY$35),0))</f>
        <v/>
      </c>
      <c r="AZ59" s="60" t="str">
        <f>IF($B59="","",IF(COUNTIF(AZ$16:AZ$21,$B59)&gt;0,COUNTA(AZ$7:AZ$15),0)+IF(COUNTIF(AZ$37:AZ$42,$B59)&gt;0,COUNTA(AZ$27:AZ$35),0))</f>
        <v/>
      </c>
      <c r="BA59" s="60" t="str">
        <f>IF($B59="","",IF(COUNTIF(BA$16:BA$21,$B59)&gt;0,COUNTA(BA$7:BA$15),0)+IF(COUNTIF(BA$37:BA$42,$B59)&gt;0,COUNTA(BA$27:BA$35),0))</f>
        <v/>
      </c>
      <c r="BB59" s="60" t="str">
        <f>IF($B59="","",IF(COUNTIF(BB$16:BB$21,$B59)&gt;0,COUNTA(BB$7:BB$15),0)+IF(COUNTIF(BB$37:BB$42,$B59)&gt;0,COUNTA(BB$27:BB$35),0))</f>
        <v/>
      </c>
      <c r="BC59" s="60" t="str">
        <f>IF($B59="","",IF(COUNTIF(BC$16:BC$21,$B59)&gt;0,COUNTA(BC$7:BC$15),0)+IF(COUNTIF(BC$37:BC$42,$B59)&gt;0,COUNTA(BC$27:BC$35),0))</f>
        <v/>
      </c>
      <c r="BD59" s="60" t="str">
        <f>IF($B59="","",IF(COUNTIF(BD$16:BD$21,$B59)&gt;0,COUNTA(BD$7:BD$15),0)+IF(COUNTIF(BD$37:BD$42,$B59)&gt;0,COUNTA(BD$27:BD$35),0))</f>
        <v/>
      </c>
      <c r="BE59" s="60" t="str">
        <f>IF($B59="","",IF(COUNTIF(BE$16:BE$21,$B59)&gt;0,COUNTA(BE$7:BE$15),0)+IF(COUNTIF(BE$37:BE$42,$B59)&gt;0,COUNTA(BE$27:BE$35),0))</f>
        <v/>
      </c>
      <c r="BF59" s="60" t="str">
        <f>IF($B59="","",IF(COUNTIF(BF$16:BF$21,$B59)&gt;0,COUNTA(BF$7:BF$15),0)+IF(COUNTIF(BF$37:BF$42,$B59)&gt;0,COUNTA(BF$27:BF$35),0))</f>
        <v/>
      </c>
      <c r="BG59" s="60" t="str">
        <f>IF($B59="","",IF(COUNTIF(BG$16:BG$21,$B59)&gt;0,COUNTA(BG$7:BG$15),0)+IF(COUNTIF(BG$37:BG$42,$B59)&gt;0,COUNTA(BG$27:BG$35),0))</f>
        <v/>
      </c>
      <c r="BH59" s="60" t="str">
        <f>IF($B59="","",IF(COUNTIF(BH$16:BH$21,$B59)&gt;0,COUNTA(BH$7:BH$15),0)+IF(COUNTIF(BH$37:BH$42,$B59)&gt;0,COUNTA(BH$27:BH$35),0))</f>
        <v/>
      </c>
      <c r="BI59" s="60" t="str">
        <f>IF($B59="","",IF(COUNTIF(BI$16:BI$21,$B59)&gt;0,COUNTA(BI$7:BI$15),0)+IF(COUNTIF(BI$37:BI$42,$B59)&gt;0,COUNTA(BI$27:BI$35),0))</f>
        <v/>
      </c>
      <c r="BJ59" s="60" t="str">
        <f>IF($B59="","",IF(COUNTIF(BJ$16:BJ$21,$B59)&gt;0,COUNTA(BJ$7:BJ$15),0)+IF(COUNTIF(BJ$37:BJ$42,$B59)&gt;0,COUNTA(BJ$27:BJ$35),0))</f>
        <v/>
      </c>
      <c r="BK59" s="60" t="str">
        <f>IF($B59="","",IF(COUNTIF(BK$16:BK$21,$B59)&gt;0,COUNTA(BK$7:BK$15),0)+IF(COUNTIF(BK$37:BK$42,$B59)&gt;0,COUNTA(BK$27:BK$35),0))</f>
        <v/>
      </c>
      <c r="BL59" s="60" t="str">
        <f>IF($B59="","",IF(COUNTIF(BL$16:BL$21,$B59)&gt;0,COUNTA(BL$7:BL$15),0)+IF(COUNTIF(BL$37:BL$42,$B59)&gt;0,COUNTA(BL$27:BL$35),0))</f>
        <v/>
      </c>
      <c r="BM59" s="60" t="str">
        <f>IF($B59="","",IF(COUNTIF(BM$16:BM$21,$B59)&gt;0,COUNTA(BM$7:BM$15),0)+IF(COUNTIF(BM$37:BM$42,$B59)&gt;0,COUNTA(BM$27:BM$35),0))</f>
        <v/>
      </c>
      <c r="BN59" s="60" t="str">
        <f>IF($B59="","",IF(COUNTIF(BN$16:BN$21,$B59)&gt;0,COUNTA(BN$7:BN$15),0)+IF(COUNTIF(BN$37:BN$42,$B59)&gt;0,COUNTA(BN$27:BN$35),0))</f>
        <v/>
      </c>
      <c r="BO59" s="60" t="str">
        <f>IF($B59="","",IF(COUNTIF(BO$16:BO$21,$B59)&gt;0,COUNTA(BO$7:BO$15),0)+IF(COUNTIF(BO$37:BO$42,$B59)&gt;0,COUNTA(BO$27:BO$35),0))</f>
        <v/>
      </c>
      <c r="BP59" s="60" t="str">
        <f>IF($B59="","",IF(COUNTIF(BP$16:BP$21,$B59)&gt;0,COUNTA(BP$7:BP$15),0)+IF(COUNTIF(BP$37:BP$42,$B59)&gt;0,COUNTA(BP$27:BP$35),0))</f>
        <v/>
      </c>
      <c r="BQ59" s="60" t="str">
        <f>IF($B59="","",IF(COUNTIF(BQ$16:BQ$21,$B59)&gt;0,COUNTA(BQ$7:BQ$15),0)+IF(COUNTIF(BQ$37:BQ$42,$B59)&gt;0,COUNTA(BQ$27:BQ$35),0))</f>
        <v/>
      </c>
      <c r="BR59" s="60" t="str">
        <f>IF($B59="","",IF(COUNTIF(BR$16:BR$21,$B59)&gt;0,COUNTA(BR$7:BR$15),0)+IF(COUNTIF(BR$37:BR$42,$B59)&gt;0,COUNTA(BR$27:BR$35),0))</f>
        <v/>
      </c>
      <c r="BS59" s="60" t="str">
        <f>IF($B59="","",IF(COUNTIF(BS$16:BS$21,$B59)&gt;0,COUNTA(BS$7:BS$15),0)+IF(COUNTIF(BS$37:BS$42,$B59)&gt;0,COUNTA(BS$27:BS$35),0))</f>
        <v/>
      </c>
      <c r="BT59" s="60" t="str">
        <f>IF($B59="","",IF(COUNTIF(BT$16:BT$21,$B59)&gt;0,COUNTA(BT$7:BT$15),0)+IF(COUNTIF(BT$37:BT$42,$B59)&gt;0,COUNTA(BT$27:BT$35),0))</f>
        <v/>
      </c>
      <c r="BU59" s="60" t="str">
        <f>IF($B59="","",IF(COUNTIF(BU$16:BU$21,$B59)&gt;0,COUNTA(BU$7:BU$15),0)+IF(COUNTIF(BU$37:BU$42,$B59)&gt;0,COUNTA(BU$27:BU$35),0))</f>
        <v/>
      </c>
      <c r="BV59" s="60" t="str">
        <f>IF($B59="","",IF(COUNTIF(BV$16:BV$21,$B59)&gt;0,COUNTA(BV$7:BV$15),0)+IF(COUNTIF(BV$37:BV$42,$B59)&gt;0,COUNTA(BV$27:BV$35),0))</f>
        <v/>
      </c>
      <c r="BW59" s="60" t="str">
        <f>IF($B59="","",IF(COUNTIF(BW$16:BW$21,$B59)&gt;0,COUNTA(BW$7:BW$15),0)+IF(COUNTIF(BW$37:BW$42,$B59)&gt;0,COUNTA(BW$27:BW$35),0))</f>
        <v/>
      </c>
      <c r="BX59" s="60" t="str">
        <f>IF($B59="","",IF(COUNTIF(BX$16:BX$21,$B59)&gt;0,COUNTA(BX$7:BX$15),0)+IF(COUNTIF(BX$37:BX$42,$B59)&gt;0,COUNTA(BX$27:BX$35),0))</f>
        <v/>
      </c>
      <c r="BY59" s="60" t="str">
        <f>IF($B59="","",IF(COUNTIF(BY$16:BY$21,$B59)&gt;0,COUNTA(BY$7:BY$15),0)+IF(COUNTIF(BY$37:BY$42,$B59)&gt;0,COUNTA(BY$27:BY$35),0))</f>
        <v/>
      </c>
      <c r="BZ59" s="60" t="str">
        <f>IF($B59="","",IF(COUNTIF(BZ$16:BZ$21,$B59)&gt;0,COUNTA(BZ$7:BZ$15),0)+IF(COUNTIF(BZ$37:BZ$42,$B59)&gt;0,COUNTA(BZ$27:BZ$35),0))</f>
        <v/>
      </c>
      <c r="CA59" s="60" t="str">
        <f>IF($B59="","",IF(COUNTIF(CA$16:CA$21,$B59)&gt;0,COUNTA(CA$7:CA$15),0)+IF(COUNTIF(CA$37:CA$42,$B59)&gt;0,COUNTA(CA$27:CA$35),0))</f>
        <v/>
      </c>
      <c r="CB59" s="60" t="str">
        <f>IF($B59="","",IF(COUNTIF(CB$16:CB$21,$B59)&gt;0,COUNTA(CB$7:CB$15),0)+IF(COUNTIF(CB$37:CB$42,$B59)&gt;0,COUNTA(CB$27:CB$35),0))</f>
        <v/>
      </c>
      <c r="CC59" s="60" t="str">
        <f>IF($B59="","",IF(COUNTIF(CC$16:CC$21,$B59)&gt;0,COUNTA(CC$7:CC$15),0)+IF(COUNTIF(CC$37:CC$42,$B59)&gt;0,COUNTA(CC$27:CC$35),0))</f>
        <v/>
      </c>
      <c r="CD59" s="60" t="str">
        <f>IF($B59="","",IF(COUNTIF(CD$16:CD$21,$B59)&gt;0,COUNTA(CD$7:CD$15),0)+IF(COUNTIF(CD$37:CD$42,$B59)&gt;0,COUNTA(CD$27:CD$35),0))</f>
        <v/>
      </c>
      <c r="CE59" s="60" t="str">
        <f>IF($B59="","",IF(COUNTIF(CE$16:CE$21,$B59)&gt;0,COUNTA(CE$7:CE$15),0)+IF(COUNTIF(CE$37:CE$42,$B59)&gt;0,COUNTA(CE$27:CE$35),0))</f>
        <v/>
      </c>
      <c r="CF59" s="60" t="str">
        <f>IF($B59="","",IF(COUNTIF(CF$16:CF$21,$B59)&gt;0,COUNTA(CF$7:CF$15),0)+IF(COUNTIF(CF$37:CF$42,$B59)&gt;0,COUNTA(CF$27:CF$35),0))</f>
        <v/>
      </c>
      <c r="CG59" s="60" t="str">
        <f>IF($B59="","",IF(COUNTIF(CG$16:CG$21,$B59)&gt;0,COUNTA(CG$7:CG$15),0)+IF(COUNTIF(CG$37:CG$42,$B59)&gt;0,COUNTA(CG$27:CG$35),0))</f>
        <v/>
      </c>
      <c r="CH59" s="60" t="str">
        <f>IF($B59="","",IF(COUNTIF(CH$16:CH$21,$B59)&gt;0,COUNTA(CH$7:CH$15),0)+IF(COUNTIF(CH$37:CH$42,$B59)&gt;0,COUNTA(CH$27:CH$35),0))</f>
        <v/>
      </c>
      <c r="CI59" s="60" t="str">
        <f>IF($B59="","",IF(COUNTIF(CI$16:CI$21,$B59)&gt;0,COUNTA(CI$7:CI$15),0)+IF(COUNTIF(CI$37:CI$42,$B59)&gt;0,COUNTA(CI$27:CI$35),0))</f>
        <v/>
      </c>
      <c r="CJ59" s="60" t="str">
        <f>IF($B59="","",IF(COUNTIF(CJ$16:CJ$21,$B59)&gt;0,COUNTA(CJ$7:CJ$15),0)+IF(COUNTIF(CJ$37:CJ$42,$B59)&gt;0,COUNTA(CJ$27:CJ$35),0))</f>
        <v/>
      </c>
      <c r="CK59" s="60" t="str">
        <f>IF($B59="","",IF(COUNTIF(CK$16:CK$21,$B59)&gt;0,COUNTA(CK$7:CK$15),0)+IF(COUNTIF(CK$37:CK$42,$B59)&gt;0,COUNTA(CK$27:CK$35),0))</f>
        <v/>
      </c>
      <c r="CL59" s="60" t="str">
        <f>IF($B59="","",IF(COUNTIF(CL$16:CL$21,$B59)&gt;0,COUNTA(CL$7:CL$15),0)+IF(COUNTIF(CL$37:CL$42,$B59)&gt;0,COUNTA(CL$27:CL$35),0))</f>
        <v/>
      </c>
      <c r="CM59" s="60" t="str">
        <f>IF($B59="","",IF(COUNTIF(CM$16:CM$21,$B59)&gt;0,COUNTA(CM$7:CM$15),0)+IF(COUNTIF(CM$37:CM$42,$B59)&gt;0,COUNTA(CM$27:CM$35),0))</f>
        <v/>
      </c>
      <c r="CN59" s="60" t="str">
        <f>IF($B59="","",IF(COUNTIF(CN$16:CN$21,$B59)&gt;0,COUNTA(CN$7:CN$15),0)+IF(COUNTIF(CN$37:CN$42,$B59)&gt;0,COUNTA(CN$27:CN$35),0))</f>
        <v/>
      </c>
      <c r="CO59" s="60" t="str">
        <f>IF($B59="","",IF(COUNTIF(CO$16:CO$21,$B59)&gt;0,COUNTA(CO$7:CO$15),0)+IF(COUNTIF(CO$37:CO$42,$B59)&gt;0,COUNTA(CO$27:CO$35),0))</f>
        <v/>
      </c>
      <c r="CP59" s="60" t="str">
        <f>IF($B59="","",IF(COUNTIF(CP$16:CP$21,$B59)&gt;0,COUNTA(CP$7:CP$15),0)+IF(COUNTIF(CP$37:CP$42,$B59)&gt;0,COUNTA(CP$27:CP$35),0))</f>
        <v/>
      </c>
      <c r="CQ59" s="60" t="str">
        <f>IF($B59="","",IF(COUNTIF(CQ$16:CQ$21,$B59)&gt;0,COUNTA(CQ$7:CQ$15),0)+IF(COUNTIF(CQ$37:CQ$42,$B59)&gt;0,COUNTA(CQ$27:CQ$35),0))</f>
        <v/>
      </c>
      <c r="CR59" s="60" t="str">
        <f>IF($B59="","",IF(COUNTIF(CR$16:CR$21,$B59)&gt;0,COUNTA(CR$7:CR$15),0)+IF(COUNTIF(CR$37:CR$42,$B59)&gt;0,COUNTA(CR$27:CR$35),0))</f>
        <v/>
      </c>
      <c r="CS59" s="60" t="str">
        <f>IF($B59="","",IF(COUNTIF(CS$16:CS$21,$B59)&gt;0,COUNTA(CS$7:CS$15),0)+IF(COUNTIF(CS$37:CS$42,$B59)&gt;0,COUNTA(CS$27:CS$35),0))</f>
        <v/>
      </c>
      <c r="CT59" s="60" t="str">
        <f>IF($B59="","",IF(COUNTIF(CT$16:CT$21,$B59)&gt;0,COUNTA(CT$7:CT$15),0)+IF(COUNTIF(CT$37:CT$42,$B59)&gt;0,COUNTA(CT$27:CT$35),0))</f>
        <v/>
      </c>
      <c r="CU59" s="60" t="str">
        <f>IF($B59="","",IF(COUNTIF(CU$16:CU$21,$B59)&gt;0,COUNTA(CU$7:CU$15),0)+IF(COUNTIF(CU$37:CU$42,$B59)&gt;0,COUNTA(CU$27:CU$35),0))</f>
        <v/>
      </c>
      <c r="CV59" s="60" t="str">
        <f>IF($B59="","",IF(COUNTIF(CV$16:CV$21,$B59)&gt;0,COUNTA(CV$7:CV$15),0)+IF(COUNTIF(CV$37:CV$42,$B59)&gt;0,COUNTA(CV$27:CV$35),0))</f>
        <v/>
      </c>
      <c r="CW59" s="60" t="str">
        <f>IF($B59="","",IF(COUNTIF(CW$16:CW$21,$B59)&gt;0,COUNTA(CW$7:CW$15),0)+IF(COUNTIF(CW$37:CW$42,$B59)&gt;0,COUNTA(CW$27:CW$35),0))</f>
        <v/>
      </c>
      <c r="CX59" s="60" t="str">
        <f>IF($B59="","",IF(COUNTIF(CX$16:CX$21,$B59)&gt;0,COUNTA(CX$7:CX$15),0)+IF(COUNTIF(CX$37:CX$42,$B59)&gt;0,COUNTA(CX$27:CX$35),0))</f>
        <v/>
      </c>
      <c r="CY59" s="60" t="str">
        <f>IF($B59="","",IF(COUNTIF(CY$16:CY$21,$B59)&gt;0,COUNTA(CY$7:CY$15),0)+IF(COUNTIF(CY$37:CY$42,$B59)&gt;0,COUNTA(CY$27:CY$35),0))</f>
        <v/>
      </c>
      <c r="CZ59" s="60" t="str">
        <f>IF($B59="","",IF(COUNTIF(CZ$16:CZ$21,$B59)&gt;0,COUNTA(CZ$7:CZ$15),0)+IF(COUNTIF(CZ$37:CZ$42,$B59)&gt;0,COUNTA(CZ$27:CZ$35),0))</f>
        <v/>
      </c>
      <c r="DA59" s="60" t="str">
        <f>IF($B59="","",IF(COUNTIF(DA$16:DA$21,$B59)&gt;0,COUNTA(DA$7:DA$15),0)+IF(COUNTIF(DA$37:DA$42,$B59)&gt;0,COUNTA(DA$27:DA$35),0))</f>
        <v/>
      </c>
      <c r="DB59" s="60" t="str">
        <f>IF($B59="","",IF(COUNTIF(DB$16:DB$21,$B59)&gt;0,COUNTA(DB$7:DB$15),0)+IF(COUNTIF(DB$37:DB$42,$B59)&gt;0,COUNTA(DB$27:DB$35),0))</f>
        <v/>
      </c>
      <c r="DC59" s="60" t="str">
        <f>IF($B59="","",IF(COUNTIF(DC$16:DC$21,$B59)&gt;0,COUNTA(DC$7:DC$15),0)+IF(COUNTIF(DC$37:DC$42,$B59)&gt;0,COUNTA(DC$27:DC$35),0))</f>
        <v/>
      </c>
      <c r="DD59" s="60" t="str">
        <f>IF($B59="","",IF(COUNTIF(DD$16:DD$21,$B59)&gt;0,COUNTA(DD$7:DD$15),0)+IF(COUNTIF(DD$37:DD$42,$B59)&gt;0,COUNTA(DD$27:DD$35),0))</f>
        <v/>
      </c>
      <c r="DE59" s="61" t="str">
        <f>IF($B59="","",IF(COUNTIF(DE$16:DE$21,$B59)&gt;0,COUNTA(DE$7:DE$15),0)+IF(COUNTIF(DE$37:DE$42,$B59)&gt;0,COUNTA(DE$27:DE$35),0))</f>
        <v/>
      </c>
    </row>
    <row r="60" spans="2:109" ht="17" thickBot="1" x14ac:dyDescent="0.25">
      <c r="C60" s="87">
        <f>SUM(C45:C59)</f>
        <v>675</v>
      </c>
      <c r="D60" s="88">
        <f>SUM(D45:D59)</f>
        <v>0</v>
      </c>
      <c r="E60" s="139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</row>
    <row r="61" spans="2:109" x14ac:dyDescent="0.2">
      <c r="E61" s="139"/>
      <c r="F61" s="140"/>
      <c r="G61" s="141"/>
      <c r="H61" s="142"/>
      <c r="I61" s="142"/>
      <c r="J61" s="142"/>
      <c r="K61" s="142"/>
      <c r="L61" s="142"/>
      <c r="M61" s="142"/>
      <c r="N61" s="142"/>
      <c r="O61" s="142"/>
      <c r="P61" s="140"/>
    </row>
  </sheetData>
  <mergeCells count="114">
    <mergeCell ref="B39:D39"/>
    <mergeCell ref="B40:D40"/>
    <mergeCell ref="B41:D41"/>
    <mergeCell ref="B42:D42"/>
    <mergeCell ref="B31:D31"/>
    <mergeCell ref="B34:D34"/>
    <mergeCell ref="B35:D35"/>
    <mergeCell ref="B36:D36"/>
    <mergeCell ref="B37:D37"/>
    <mergeCell ref="B38:D38"/>
    <mergeCell ref="CQ24:CU24"/>
    <mergeCell ref="CV24:CZ24"/>
    <mergeCell ref="DA24:DE24"/>
    <mergeCell ref="B27:D27"/>
    <mergeCell ref="B28:D28"/>
    <mergeCell ref="B30:D30"/>
    <mergeCell ref="BM24:BQ24"/>
    <mergeCell ref="BR24:BV24"/>
    <mergeCell ref="BW24:CA24"/>
    <mergeCell ref="CB24:CF24"/>
    <mergeCell ref="CG24:CK24"/>
    <mergeCell ref="CL24:CP24"/>
    <mergeCell ref="AI24:AM24"/>
    <mergeCell ref="AN24:AR24"/>
    <mergeCell ref="AS24:AW24"/>
    <mergeCell ref="AX24:BB24"/>
    <mergeCell ref="BC24:BG24"/>
    <mergeCell ref="BH24:BL24"/>
    <mergeCell ref="CQ23:CU23"/>
    <mergeCell ref="CV23:CZ23"/>
    <mergeCell ref="DA23:DE23"/>
    <mergeCell ref="B24:D26"/>
    <mergeCell ref="E24:I24"/>
    <mergeCell ref="J24:N24"/>
    <mergeCell ref="O24:S24"/>
    <mergeCell ref="T24:X24"/>
    <mergeCell ref="Y24:AC24"/>
    <mergeCell ref="AD24:AH24"/>
    <mergeCell ref="BM23:BQ23"/>
    <mergeCell ref="BR23:BV23"/>
    <mergeCell ref="BW23:CA23"/>
    <mergeCell ref="CB23:CF23"/>
    <mergeCell ref="CG23:CK23"/>
    <mergeCell ref="CL23:CP23"/>
    <mergeCell ref="AI23:AM23"/>
    <mergeCell ref="AN23:AR23"/>
    <mergeCell ref="AS23:AW23"/>
    <mergeCell ref="AX23:BB23"/>
    <mergeCell ref="BC23:BG23"/>
    <mergeCell ref="BH23:BL23"/>
    <mergeCell ref="E23:I23"/>
    <mergeCell ref="J23:N23"/>
    <mergeCell ref="O23:S23"/>
    <mergeCell ref="T23:X23"/>
    <mergeCell ref="Y23:AC23"/>
    <mergeCell ref="AD23:AH23"/>
    <mergeCell ref="B17:D17"/>
    <mergeCell ref="B18:D18"/>
    <mergeCell ref="B19:D19"/>
    <mergeCell ref="B20:D20"/>
    <mergeCell ref="B21:D21"/>
    <mergeCell ref="B23:D23"/>
    <mergeCell ref="B9:D9"/>
    <mergeCell ref="B10:D10"/>
    <mergeCell ref="B13:D13"/>
    <mergeCell ref="B14:D14"/>
    <mergeCell ref="B15:D15"/>
    <mergeCell ref="B16:D16"/>
    <mergeCell ref="CL3:CP3"/>
    <mergeCell ref="CQ3:CU3"/>
    <mergeCell ref="CV3:CZ3"/>
    <mergeCell ref="DA3:DE3"/>
    <mergeCell ref="B6:D6"/>
    <mergeCell ref="B7:D7"/>
    <mergeCell ref="BH3:BL3"/>
    <mergeCell ref="BM3:BQ3"/>
    <mergeCell ref="BR3:BV3"/>
    <mergeCell ref="BW3:CA3"/>
    <mergeCell ref="CB3:CF3"/>
    <mergeCell ref="CG3:CK3"/>
    <mergeCell ref="AD3:AH3"/>
    <mergeCell ref="AI3:AM3"/>
    <mergeCell ref="AN3:AR3"/>
    <mergeCell ref="AS3:AW3"/>
    <mergeCell ref="AX3:BB3"/>
    <mergeCell ref="BC3:BG3"/>
    <mergeCell ref="CL2:CP2"/>
    <mergeCell ref="CQ2:CU2"/>
    <mergeCell ref="CV2:CZ2"/>
    <mergeCell ref="DA2:DE2"/>
    <mergeCell ref="B3:D5"/>
    <mergeCell ref="E3:I3"/>
    <mergeCell ref="J3:N3"/>
    <mergeCell ref="O3:S3"/>
    <mergeCell ref="T3:X3"/>
    <mergeCell ref="Y3:AC3"/>
    <mergeCell ref="BH2:BL2"/>
    <mergeCell ref="BM2:BQ2"/>
    <mergeCell ref="BR2:BV2"/>
    <mergeCell ref="BW2:CA2"/>
    <mergeCell ref="CB2:CF2"/>
    <mergeCell ref="CG2:CK2"/>
    <mergeCell ref="AD2:AH2"/>
    <mergeCell ref="AI2:AM2"/>
    <mergeCell ref="AN2:AR2"/>
    <mergeCell ref="AS2:AW2"/>
    <mergeCell ref="AX2:BB2"/>
    <mergeCell ref="BC2:BG2"/>
    <mergeCell ref="B2:D2"/>
    <mergeCell ref="E2:I2"/>
    <mergeCell ref="J2:N2"/>
    <mergeCell ref="O2:S2"/>
    <mergeCell ref="T2:X2"/>
    <mergeCell ref="Y2:AC2"/>
  </mergeCells>
  <conditionalFormatting sqref="E6:BV6">
    <cfRule type="containsText" dxfId="772" priority="179" operator="containsText" text="BLOCKED">
      <formula>NOT(ISERROR(SEARCH("BLOCKED",E6)))</formula>
    </cfRule>
  </conditionalFormatting>
  <conditionalFormatting sqref="BX6:CO6 CQ6:DE6">
    <cfRule type="containsText" dxfId="771" priority="180" operator="containsText" text="BLOCKED">
      <formula>NOT(ISERROR(SEARCH("BLOCKED",BX6)))</formula>
    </cfRule>
  </conditionalFormatting>
  <conditionalFormatting sqref="F11:AJ11 AL11:BD11 BF11:BJ11 BM11:DE11">
    <cfRule type="containsText" dxfId="768" priority="167" operator="containsText" text="BLOCKED">
      <formula>NOT(ISERROR(SEARCH("BLOCKED",F11)))</formula>
    </cfRule>
  </conditionalFormatting>
  <conditionalFormatting sqref="F11:AJ11 AL11:BD11 BF11:BJ11 BM11:DE11">
    <cfRule type="containsText" dxfId="767" priority="168" operator="containsText" text="Eksamen">
      <formula>NOT(ISERROR(SEARCH("Eksamen",F11)))</formula>
    </cfRule>
    <cfRule type="containsText" dxfId="766" priority="169" operator="containsText" text="Øvelser">
      <formula>NOT(ISERROR(SEARCH("Øvelser",F11)))</formula>
    </cfRule>
    <cfRule type="containsText" dxfId="765" priority="170" operator="containsText" text="FORET_ARK">
      <formula>NOT(ISERROR(SEARCH("FORET_ARK",F11)))</formula>
    </cfRule>
    <cfRule type="containsText" dxfId="764" priority="171" operator="containsText" text="DATA_ARK">
      <formula>NOT(ISERROR(SEARCH("DATA_ARK",F11)))</formula>
    </cfRule>
    <cfRule type="containsText" dxfId="763" priority="172" operator="containsText" text="DRIFT ANALYSE">
      <formula>NOT(ISERROR(SEARCH("DRIFT ANALYSE",F11)))</formula>
    </cfRule>
    <cfRule type="containsText" dxfId="762" priority="173" operator="containsText" text="PROJ_STYR">
      <formula>NOT(ISERROR(SEARCH("PROJ_STYR",F11)))</formula>
    </cfRule>
    <cfRule type="containsText" dxfId="761" priority="174" operator="containsText" text="Coaching">
      <formula>NOT(ISERROR(SEARCH("Coaching",F11)))</formula>
    </cfRule>
    <cfRule type="containsText" dxfId="760" priority="175" operator="containsText" text="CasePræs">
      <formula>NOT(ISERROR(SEARCH("CasePræs",F11)))</formula>
    </cfRule>
    <cfRule type="containsText" dxfId="759" priority="176" operator="containsText" text="Feedback">
      <formula>NOT(ISERROR(SEARCH("Feedback",F11)))</formula>
    </cfRule>
  </conditionalFormatting>
  <conditionalFormatting sqref="F11:AJ11 AL11:BD11 BF11:BJ11 BM11:DE11">
    <cfRule type="expression" dxfId="758" priority="166">
      <formula>INDIRECT("R5C" &amp; COLUMN(),FALSE)="BLOCKED"</formula>
    </cfRule>
  </conditionalFormatting>
  <conditionalFormatting sqref="E11">
    <cfRule type="containsText" dxfId="636" priority="35" operator="containsText" text="BLOCKED">
      <formula>NOT(ISERROR(SEARCH("BLOCKED",E11)))</formula>
    </cfRule>
  </conditionalFormatting>
  <conditionalFormatting sqref="E11">
    <cfRule type="containsText" dxfId="635" priority="36" operator="containsText" text="Eksamen">
      <formula>NOT(ISERROR(SEARCH("Eksamen",E11)))</formula>
    </cfRule>
    <cfRule type="containsText" dxfId="634" priority="37" operator="containsText" text="Øvelser">
      <formula>NOT(ISERROR(SEARCH("Øvelser",E11)))</formula>
    </cfRule>
    <cfRule type="containsText" dxfId="633" priority="38" operator="containsText" text="FORET_ARK">
      <formula>NOT(ISERROR(SEARCH("FORET_ARK",E11)))</formula>
    </cfRule>
    <cfRule type="containsText" dxfId="632" priority="39" operator="containsText" text="DATA_ARK">
      <formula>NOT(ISERROR(SEARCH("DATA_ARK",E11)))</formula>
    </cfRule>
    <cfRule type="containsText" dxfId="631" priority="40" operator="containsText" text="DRIFT ANALYSE">
      <formula>NOT(ISERROR(SEARCH("DRIFT ANALYSE",E11)))</formula>
    </cfRule>
    <cfRule type="containsText" dxfId="630" priority="41" operator="containsText" text="PROJ_STYR">
      <formula>NOT(ISERROR(SEARCH("PROJ_STYR",E11)))</formula>
    </cfRule>
    <cfRule type="containsText" dxfId="629" priority="42" operator="containsText" text="Coaching">
      <formula>NOT(ISERROR(SEARCH("Coaching",E11)))</formula>
    </cfRule>
    <cfRule type="containsText" dxfId="628" priority="43" operator="containsText" text="CasePræs">
      <formula>NOT(ISERROR(SEARCH("CasePræs",E11)))</formula>
    </cfRule>
    <cfRule type="containsText" dxfId="627" priority="44" operator="containsText" text="Feedback">
      <formula>NOT(ISERROR(SEARCH("Feedback",E11)))</formula>
    </cfRule>
  </conditionalFormatting>
  <conditionalFormatting sqref="E11">
    <cfRule type="expression" dxfId="626" priority="34">
      <formula>INDIRECT("R5C" &amp; COLUMN(),FALSE)="BLOCKED"</formula>
    </cfRule>
  </conditionalFormatting>
  <conditionalFormatting sqref="AK11">
    <cfRule type="containsText" dxfId="625" priority="24" operator="containsText" text="BLOCKED">
      <formula>NOT(ISERROR(SEARCH("BLOCKED",AK11)))</formula>
    </cfRule>
  </conditionalFormatting>
  <conditionalFormatting sqref="AK11">
    <cfRule type="containsText" dxfId="624" priority="25" operator="containsText" text="Eksamen">
      <formula>NOT(ISERROR(SEARCH("Eksamen",AK11)))</formula>
    </cfRule>
    <cfRule type="containsText" dxfId="623" priority="26" operator="containsText" text="Øvelser">
      <formula>NOT(ISERROR(SEARCH("Øvelser",AK11)))</formula>
    </cfRule>
    <cfRule type="containsText" dxfId="622" priority="27" operator="containsText" text="FORET_ARK">
      <formula>NOT(ISERROR(SEARCH("FORET_ARK",AK11)))</formula>
    </cfRule>
    <cfRule type="containsText" dxfId="621" priority="28" operator="containsText" text="DATA_ARK">
      <formula>NOT(ISERROR(SEARCH("DATA_ARK",AK11)))</formula>
    </cfRule>
    <cfRule type="containsText" dxfId="620" priority="29" operator="containsText" text="DRIFT ANALYSE">
      <formula>NOT(ISERROR(SEARCH("DRIFT ANALYSE",AK11)))</formula>
    </cfRule>
    <cfRule type="containsText" dxfId="619" priority="30" operator="containsText" text="PROJ_STYR">
      <formula>NOT(ISERROR(SEARCH("PROJ_STYR",AK11)))</formula>
    </cfRule>
    <cfRule type="containsText" dxfId="618" priority="31" operator="containsText" text="Coaching">
      <formula>NOT(ISERROR(SEARCH("Coaching",AK11)))</formula>
    </cfRule>
    <cfRule type="containsText" dxfId="617" priority="32" operator="containsText" text="CasePræs">
      <formula>NOT(ISERROR(SEARCH("CasePræs",AK11)))</formula>
    </cfRule>
    <cfRule type="containsText" dxfId="616" priority="33" operator="containsText" text="Feedback">
      <formula>NOT(ISERROR(SEARCH("Feedback",AK11)))</formula>
    </cfRule>
  </conditionalFormatting>
  <conditionalFormatting sqref="AK11">
    <cfRule type="expression" dxfId="615" priority="23">
      <formula>INDIRECT("R5C" &amp; COLUMN(),FALSE)="BLOCKED"</formula>
    </cfRule>
  </conditionalFormatting>
  <conditionalFormatting sqref="BE11">
    <cfRule type="containsText" dxfId="614" priority="13" operator="containsText" text="BLOCKED">
      <formula>NOT(ISERROR(SEARCH("BLOCKED",BE11)))</formula>
    </cfRule>
  </conditionalFormatting>
  <conditionalFormatting sqref="BE11">
    <cfRule type="containsText" dxfId="613" priority="14" operator="containsText" text="Eksamen">
      <formula>NOT(ISERROR(SEARCH("Eksamen",BE11)))</formula>
    </cfRule>
    <cfRule type="containsText" dxfId="612" priority="15" operator="containsText" text="Øvelser">
      <formula>NOT(ISERROR(SEARCH("Øvelser",BE11)))</formula>
    </cfRule>
    <cfRule type="containsText" dxfId="611" priority="16" operator="containsText" text="FORET_ARK">
      <formula>NOT(ISERROR(SEARCH("FORET_ARK",BE11)))</formula>
    </cfRule>
    <cfRule type="containsText" dxfId="610" priority="17" operator="containsText" text="DATA_ARK">
      <formula>NOT(ISERROR(SEARCH("DATA_ARK",BE11)))</formula>
    </cfRule>
    <cfRule type="containsText" dxfId="609" priority="18" operator="containsText" text="DRIFT ANALYSE">
      <formula>NOT(ISERROR(SEARCH("DRIFT ANALYSE",BE11)))</formula>
    </cfRule>
    <cfRule type="containsText" dxfId="608" priority="19" operator="containsText" text="PROJ_STYR">
      <formula>NOT(ISERROR(SEARCH("PROJ_STYR",BE11)))</formula>
    </cfRule>
    <cfRule type="containsText" dxfId="607" priority="20" operator="containsText" text="Coaching">
      <formula>NOT(ISERROR(SEARCH("Coaching",BE11)))</formula>
    </cfRule>
    <cfRule type="containsText" dxfId="606" priority="21" operator="containsText" text="CasePræs">
      <formula>NOT(ISERROR(SEARCH("CasePræs",BE11)))</formula>
    </cfRule>
    <cfRule type="containsText" dxfId="605" priority="22" operator="containsText" text="Feedback">
      <formula>NOT(ISERROR(SEARCH("Feedback",BE11)))</formula>
    </cfRule>
  </conditionalFormatting>
  <conditionalFormatting sqref="BE11">
    <cfRule type="expression" dxfId="604" priority="12">
      <formula>INDIRECT("R5C" &amp; COLUMN(),FALSE)="BLOCKED"</formula>
    </cfRule>
  </conditionalFormatting>
  <conditionalFormatting sqref="BK11:BL11">
    <cfRule type="containsText" dxfId="603" priority="2" operator="containsText" text="BLOCKED">
      <formula>NOT(ISERROR(SEARCH("BLOCKED",BK11)))</formula>
    </cfRule>
  </conditionalFormatting>
  <conditionalFormatting sqref="BK11:BL11">
    <cfRule type="containsText" dxfId="602" priority="3" operator="containsText" text="Eksamen">
      <formula>NOT(ISERROR(SEARCH("Eksamen",BK11)))</formula>
    </cfRule>
    <cfRule type="containsText" dxfId="601" priority="4" operator="containsText" text="Øvelser">
      <formula>NOT(ISERROR(SEARCH("Øvelser",BK11)))</formula>
    </cfRule>
    <cfRule type="containsText" dxfId="600" priority="5" operator="containsText" text="FORET_ARK">
      <formula>NOT(ISERROR(SEARCH("FORET_ARK",BK11)))</formula>
    </cfRule>
    <cfRule type="containsText" dxfId="599" priority="6" operator="containsText" text="DATA_ARK">
      <formula>NOT(ISERROR(SEARCH("DATA_ARK",BK11)))</formula>
    </cfRule>
    <cfRule type="containsText" dxfId="598" priority="7" operator="containsText" text="DRIFT ANALYSE">
      <formula>NOT(ISERROR(SEARCH("DRIFT ANALYSE",BK11)))</formula>
    </cfRule>
    <cfRule type="containsText" dxfId="597" priority="8" operator="containsText" text="PROJ_STYR">
      <formula>NOT(ISERROR(SEARCH("PROJ_STYR",BK11)))</formula>
    </cfRule>
    <cfRule type="containsText" dxfId="596" priority="9" operator="containsText" text="Coaching">
      <formula>NOT(ISERROR(SEARCH("Coaching",BK11)))</formula>
    </cfRule>
    <cfRule type="containsText" dxfId="595" priority="10" operator="containsText" text="CasePræs">
      <formula>NOT(ISERROR(SEARCH("CasePræs",BK11)))</formula>
    </cfRule>
    <cfRule type="containsText" dxfId="594" priority="11" operator="containsText" text="Feedback">
      <formula>NOT(ISERROR(SEARCH("Feedback",BK11)))</formula>
    </cfRule>
  </conditionalFormatting>
  <conditionalFormatting sqref="BK11:BL11">
    <cfRule type="expression" dxfId="593" priority="1">
      <formula>INDIRECT("R5C" &amp; COLUMN(),FALSE)="BLOCKED"</formula>
    </cfRule>
  </conditionalFormatting>
  <conditionalFormatting sqref="E7:DE10 E12:DE15">
    <cfRule type="containsText" dxfId="343" priority="181" stopIfTrue="1" operator="containsText" text="DRIFT">
      <formula>NOT(ISERROR(SEARCH("DRIFT",E7)))</formula>
    </cfRule>
  </conditionalFormatting>
  <conditionalFormatting sqref="E7:DE10 E12:DE15">
    <cfRule type="containsText" dxfId="337" priority="182" stopIfTrue="1" operator="containsText" text="ARKIT">
      <formula>NOT(ISERROR(SEARCH("ARKIT",E7)))</formula>
    </cfRule>
    <cfRule type="containsText" dxfId="336" priority="189" stopIfTrue="1" operator="containsText" text="EKSAM">
      <formula>NOT(ISERROR(SEARCH("EKSAM",E7)))</formula>
    </cfRule>
  </conditionalFormatting>
  <conditionalFormatting sqref="E7:DE10 E12:DE15">
    <cfRule type="containsText" dxfId="342" priority="183" stopIfTrue="1" operator="containsText" text="PROJEKT">
      <formula>NOT(ISERROR(SEARCH("PROJEKT",E7)))</formula>
    </cfRule>
  </conditionalFormatting>
  <conditionalFormatting sqref="E7:DE10 E12:DE15">
    <cfRule type="containsText" dxfId="341" priority="184" stopIfTrue="1" operator="containsText" text="DATARK">
      <formula>NOT(ISERROR(SEARCH("DATARK",E7)))</formula>
    </cfRule>
  </conditionalFormatting>
  <conditionalFormatting sqref="E7:DE10 E12:DE15">
    <cfRule type="containsText" dxfId="340" priority="185" stopIfTrue="1" operator="containsText" text="COACH">
      <formula>NOT(ISERROR(SEARCH("COACH",E7)))</formula>
    </cfRule>
  </conditionalFormatting>
  <conditionalFormatting sqref="E7:DE10 E12:DE15">
    <cfRule type="containsText" dxfId="339" priority="186" stopIfTrue="1" operator="containsText" text="CASEPRÆS">
      <formula>NOT(ISERROR(SEARCH("CASEPRÆS",E7)))</formula>
    </cfRule>
  </conditionalFormatting>
  <conditionalFormatting sqref="E7:DE10 E12:DE15">
    <cfRule type="containsText" dxfId="338" priority="187" stopIfTrue="1" operator="containsText" text="FEEDBACK">
      <formula>NOT(ISERROR(SEARCH("FEEDBACK",E7)))</formula>
    </cfRule>
  </conditionalFormatting>
  <conditionalFormatting sqref="E7:DE10 E12:DE15">
    <cfRule type="containsText" dxfId="335" priority="188" stopIfTrue="1" operator="containsText" text="ØVELSER">
      <formula>NOT(ISERROR(SEARCH("ØVELSER",E7)))</formula>
    </cfRule>
    <cfRule type="containsText" dxfId="334" priority="190" stopIfTrue="1" operator="containsText" text="INTRO">
      <formula>NOT(ISERROR(SEARCH("INTRO",E7)))</formula>
    </cfRule>
  </conditionalFormatting>
  <conditionalFormatting sqref="E27:DE35">
    <cfRule type="containsText" dxfId="333" priority="191" stopIfTrue="1" operator="containsText" text="DRIFT">
      <formula>NOT(ISERROR(SEARCH("DRIFT",E27)))</formula>
    </cfRule>
  </conditionalFormatting>
  <conditionalFormatting sqref="E27:DE35">
    <cfRule type="containsText" dxfId="332" priority="192" stopIfTrue="1" operator="containsText" text="ARKIT">
      <formula>NOT(ISERROR(SEARCH("ARKIT",E27)))</formula>
    </cfRule>
  </conditionalFormatting>
  <conditionalFormatting sqref="E27:DE35">
    <cfRule type="containsText" dxfId="331" priority="193" stopIfTrue="1" operator="containsText" text="PROJEKT">
      <formula>NOT(ISERROR(SEARCH("PROJEKT",E27)))</formula>
    </cfRule>
  </conditionalFormatting>
  <conditionalFormatting sqref="E27:DE35">
    <cfRule type="containsText" dxfId="330" priority="194" stopIfTrue="1" operator="containsText" text="DATARK">
      <formula>NOT(ISERROR(SEARCH("DATARK",E27)))</formula>
    </cfRule>
  </conditionalFormatting>
  <conditionalFormatting sqref="E27:DE35">
    <cfRule type="containsText" dxfId="329" priority="195" stopIfTrue="1" operator="containsText" text="COACH">
      <formula>NOT(ISERROR(SEARCH("COACH",E27)))</formula>
    </cfRule>
  </conditionalFormatting>
  <conditionalFormatting sqref="E27:DE35">
    <cfRule type="containsText" dxfId="328" priority="196" stopIfTrue="1" operator="containsText" text="CASEPRÆS">
      <formula>NOT(ISERROR(SEARCH("CASEPRÆS",E27)))</formula>
    </cfRule>
  </conditionalFormatting>
  <conditionalFormatting sqref="E27:DE35">
    <cfRule type="containsText" dxfId="327" priority="197" stopIfTrue="1" operator="containsText" text="FEEDBACK">
      <formula>NOT(ISERROR(SEARCH("FEEDBACK",E27)))</formula>
    </cfRule>
  </conditionalFormatting>
  <conditionalFormatting sqref="E27:DE35">
    <cfRule type="containsText" dxfId="326" priority="198" stopIfTrue="1" operator="containsText" text="ØVELSER">
      <formula>NOT(ISERROR(SEARCH("ØVELSER",E27)))</formula>
    </cfRule>
  </conditionalFormatting>
  <conditionalFormatting sqref="E27:DE35">
    <cfRule type="containsText" dxfId="325" priority="199" stopIfTrue="1" operator="containsText" text="EKSAM">
      <formula>NOT(ISERROR(SEARCH("EKSAM",E27)))</formula>
    </cfRule>
  </conditionalFormatting>
  <conditionalFormatting sqref="E27:DE35">
    <cfRule type="containsText" dxfId="324" priority="200" stopIfTrue="1" operator="containsText" text="INTRO">
      <formula>NOT(ISERROR(SEARCH("INTRO",E27)))</formula>
    </cfRule>
  </conditionalFormatting>
  <conditionalFormatting sqref="D45:D59">
    <cfRule type="expression" dxfId="323" priority="201" stopIfTrue="1">
      <formula>ABS($D45-$C45)&lt;=10</formula>
    </cfRule>
  </conditionalFormatting>
  <conditionalFormatting sqref="D45:D59">
    <cfRule type="expression" dxfId="322" priority="202" stopIfTrue="1">
      <formula>ABS($D45-$C45)&gt;10</formula>
    </cfRule>
  </conditionalFormatting>
  <dataValidations count="1">
    <dataValidation type="list" allowBlank="1" showInputMessage="1" showErrorMessage="1" sqref="E16:DE21 E37:DE42" xr:uid="{FC1B03DB-FF63-3743-8553-B3533959E672}">
      <formula1>$B$45:$B$59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BD07874-B58C-8E4B-8A8B-FA4A667799D7}">
          <x14:formula1>
            <xm:f>Data!$G$3:$G$40</xm:f>
          </x14:formula1>
          <xm:sqref>E7:DE15 E27:DE35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B2C570-870D-B541-82BD-AEE56D23B2B0}">
  <sheetPr codeName="Sheet13"/>
  <dimension ref="A1:FI40"/>
  <sheetViews>
    <sheetView workbookViewId="0">
      <pane xSplit="4" topLeftCell="E1" activePane="topRight" state="frozen"/>
      <selection pane="topRight" activeCell="E1" sqref="E1"/>
    </sheetView>
  </sheetViews>
  <sheetFormatPr baseColWidth="10" defaultColWidth="10.83203125" defaultRowHeight="16" x14ac:dyDescent="0.2"/>
  <cols>
    <col min="1" max="1" width="3.83203125" style="134" customWidth="1"/>
    <col min="2" max="109" width="12.83203125" style="134" customWidth="1"/>
    <col min="110" max="16384" width="10.83203125" style="134"/>
  </cols>
  <sheetData>
    <row r="1" spans="1:165" ht="17" thickBot="1" x14ac:dyDescent="0.25"/>
    <row r="2" spans="1:165" ht="17" thickBot="1" x14ac:dyDescent="0.25">
      <c r="B2" s="477" t="s">
        <v>373</v>
      </c>
      <c r="C2" s="477"/>
      <c r="D2" s="477"/>
      <c r="E2" s="464" t="str">
        <f>_xlfn.CONCAT("Uge ",_xlfn.ISOWEEKNUM(E5))</f>
        <v>Uge 5</v>
      </c>
      <c r="F2" s="465"/>
      <c r="G2" s="465"/>
      <c r="H2" s="465"/>
      <c r="I2" s="466"/>
      <c r="J2" s="464" t="str">
        <f t="shared" ref="J2" si="0">_xlfn.CONCAT("Uge ",_xlfn.ISOWEEKNUM(J5))</f>
        <v>Uge 6</v>
      </c>
      <c r="K2" s="465"/>
      <c r="L2" s="465"/>
      <c r="M2" s="465"/>
      <c r="N2" s="466"/>
      <c r="O2" s="464" t="str">
        <f t="shared" ref="O2" si="1">_xlfn.CONCAT("Uge ",_xlfn.ISOWEEKNUM(O5))</f>
        <v>Uge 7</v>
      </c>
      <c r="P2" s="465"/>
      <c r="Q2" s="465"/>
      <c r="R2" s="465"/>
      <c r="S2" s="466"/>
      <c r="T2" s="464" t="str">
        <f t="shared" ref="T2" si="2">_xlfn.CONCAT("Uge ",_xlfn.ISOWEEKNUM(T5))</f>
        <v>Uge 8</v>
      </c>
      <c r="U2" s="465"/>
      <c r="V2" s="465"/>
      <c r="W2" s="465"/>
      <c r="X2" s="466"/>
      <c r="Y2" s="464" t="str">
        <f t="shared" ref="Y2" si="3">_xlfn.CONCAT("Uge ",_xlfn.ISOWEEKNUM(Y5))</f>
        <v>Uge 9</v>
      </c>
      <c r="Z2" s="465"/>
      <c r="AA2" s="465"/>
      <c r="AB2" s="465"/>
      <c r="AC2" s="466"/>
      <c r="AD2" s="464" t="str">
        <f t="shared" ref="AD2" si="4">_xlfn.CONCAT("Uge ",_xlfn.ISOWEEKNUM(AD5))</f>
        <v>Uge 10</v>
      </c>
      <c r="AE2" s="465"/>
      <c r="AF2" s="465"/>
      <c r="AG2" s="465"/>
      <c r="AH2" s="466"/>
      <c r="AI2" s="464" t="str">
        <f t="shared" ref="AI2" si="5">_xlfn.CONCAT("Uge ",_xlfn.ISOWEEKNUM(AI5))</f>
        <v>Uge 11</v>
      </c>
      <c r="AJ2" s="465"/>
      <c r="AK2" s="465"/>
      <c r="AL2" s="465"/>
      <c r="AM2" s="466"/>
      <c r="AN2" s="464" t="str">
        <f t="shared" ref="AN2" si="6">_xlfn.CONCAT("Uge ",_xlfn.ISOWEEKNUM(AN5))</f>
        <v>Uge 12</v>
      </c>
      <c r="AO2" s="465"/>
      <c r="AP2" s="465"/>
      <c r="AQ2" s="465"/>
      <c r="AR2" s="466"/>
      <c r="AS2" s="464" t="str">
        <f t="shared" ref="AS2" si="7">_xlfn.CONCAT("Uge ",_xlfn.ISOWEEKNUM(AS5))</f>
        <v>Uge 13</v>
      </c>
      <c r="AT2" s="465"/>
      <c r="AU2" s="465"/>
      <c r="AV2" s="465"/>
      <c r="AW2" s="466"/>
      <c r="AX2" s="464" t="str">
        <f t="shared" ref="AX2" si="8">_xlfn.CONCAT("Uge ",_xlfn.ISOWEEKNUM(AX5))</f>
        <v>Uge 14</v>
      </c>
      <c r="AY2" s="465"/>
      <c r="AZ2" s="465"/>
      <c r="BA2" s="465"/>
      <c r="BB2" s="466"/>
      <c r="BC2" s="464" t="str">
        <f t="shared" ref="BC2" si="9">_xlfn.CONCAT("Uge ",_xlfn.ISOWEEKNUM(BC5))</f>
        <v>Uge 15</v>
      </c>
      <c r="BD2" s="465"/>
      <c r="BE2" s="465"/>
      <c r="BF2" s="465"/>
      <c r="BG2" s="466"/>
      <c r="BH2" s="464" t="str">
        <f t="shared" ref="BH2" si="10">_xlfn.CONCAT("Uge ",_xlfn.ISOWEEKNUM(BH5))</f>
        <v>Uge 16</v>
      </c>
      <c r="BI2" s="465"/>
      <c r="BJ2" s="465"/>
      <c r="BK2" s="465"/>
      <c r="BL2" s="466"/>
      <c r="BM2" s="464" t="str">
        <f t="shared" ref="BM2" si="11">_xlfn.CONCAT("Uge ",_xlfn.ISOWEEKNUM(BM5))</f>
        <v>Uge 17</v>
      </c>
      <c r="BN2" s="465"/>
      <c r="BO2" s="465"/>
      <c r="BP2" s="465"/>
      <c r="BQ2" s="466"/>
      <c r="BR2" s="464" t="str">
        <f t="shared" ref="BR2" si="12">_xlfn.CONCAT("Uge ",_xlfn.ISOWEEKNUM(BR5))</f>
        <v>Uge 18</v>
      </c>
      <c r="BS2" s="465"/>
      <c r="BT2" s="465"/>
      <c r="BU2" s="465"/>
      <c r="BV2" s="466"/>
      <c r="BW2" s="464" t="str">
        <f t="shared" ref="BW2" si="13">_xlfn.CONCAT("Uge ",_xlfn.ISOWEEKNUM(BW5))</f>
        <v>Uge 19</v>
      </c>
      <c r="BX2" s="465"/>
      <c r="BY2" s="465"/>
      <c r="BZ2" s="465"/>
      <c r="CA2" s="466"/>
      <c r="CB2" s="464" t="str">
        <f t="shared" ref="CB2" si="14">_xlfn.CONCAT("Uge ",_xlfn.ISOWEEKNUM(CB5))</f>
        <v>Uge 20</v>
      </c>
      <c r="CC2" s="465"/>
      <c r="CD2" s="465"/>
      <c r="CE2" s="465"/>
      <c r="CF2" s="466"/>
      <c r="CG2" s="464" t="str">
        <f t="shared" ref="CG2" si="15">_xlfn.CONCAT("Uge ",_xlfn.ISOWEEKNUM(CG5))</f>
        <v>Uge 21</v>
      </c>
      <c r="CH2" s="465"/>
      <c r="CI2" s="465"/>
      <c r="CJ2" s="465"/>
      <c r="CK2" s="466"/>
      <c r="CL2" s="464" t="str">
        <f t="shared" ref="CL2" si="16">_xlfn.CONCAT("Uge ",_xlfn.ISOWEEKNUM(CL5))</f>
        <v>Uge 22</v>
      </c>
      <c r="CM2" s="465"/>
      <c r="CN2" s="465"/>
      <c r="CO2" s="465"/>
      <c r="CP2" s="466"/>
      <c r="CQ2" s="464" t="str">
        <f t="shared" ref="CQ2" si="17">_xlfn.CONCAT("Uge ",_xlfn.ISOWEEKNUM(CQ5))</f>
        <v>Uge 23</v>
      </c>
      <c r="CR2" s="465"/>
      <c r="CS2" s="465"/>
      <c r="CT2" s="465"/>
      <c r="CU2" s="466"/>
      <c r="CV2" s="464" t="str">
        <f t="shared" ref="CV2" si="18">_xlfn.CONCAT("Uge ",_xlfn.ISOWEEKNUM(CV5))</f>
        <v>Uge 24</v>
      </c>
      <c r="CW2" s="465"/>
      <c r="CX2" s="465"/>
      <c r="CY2" s="465"/>
      <c r="CZ2" s="466"/>
      <c r="DA2" s="464" t="str">
        <f t="shared" ref="DA2" si="19">_xlfn.CONCAT("Uge ",_xlfn.ISOWEEKNUM(DA5))</f>
        <v>Uge 25</v>
      </c>
      <c r="DB2" s="465"/>
      <c r="DC2" s="465"/>
      <c r="DD2" s="465"/>
      <c r="DE2" s="466"/>
    </row>
    <row r="3" spans="1:165" ht="17" thickBot="1" x14ac:dyDescent="0.25">
      <c r="B3" s="645" t="s">
        <v>393</v>
      </c>
      <c r="C3" s="646"/>
      <c r="D3" s="647"/>
      <c r="E3" s="476" t="s">
        <v>374</v>
      </c>
      <c r="F3" s="532"/>
      <c r="G3" s="532"/>
      <c r="H3" s="532"/>
      <c r="I3" s="533"/>
      <c r="J3" s="463" t="s">
        <v>375</v>
      </c>
      <c r="K3" s="532"/>
      <c r="L3" s="532"/>
      <c r="M3" s="532"/>
      <c r="N3" s="533"/>
      <c r="O3" s="463" t="s">
        <v>375</v>
      </c>
      <c r="P3" s="532"/>
      <c r="Q3" s="532"/>
      <c r="R3" s="532"/>
      <c r="S3" s="533"/>
      <c r="T3" s="463" t="s">
        <v>375</v>
      </c>
      <c r="U3" s="532"/>
      <c r="V3" s="532"/>
      <c r="W3" s="532"/>
      <c r="X3" s="533"/>
      <c r="Y3" s="463" t="s">
        <v>375</v>
      </c>
      <c r="Z3" s="532"/>
      <c r="AA3" s="532"/>
      <c r="AB3" s="532"/>
      <c r="AC3" s="533"/>
      <c r="AD3" s="463" t="s">
        <v>375</v>
      </c>
      <c r="AE3" s="532"/>
      <c r="AF3" s="532"/>
      <c r="AG3" s="532"/>
      <c r="AH3" s="533"/>
      <c r="AI3" s="461" t="s">
        <v>376</v>
      </c>
      <c r="AJ3" s="532"/>
      <c r="AK3" s="532"/>
      <c r="AL3" s="532"/>
      <c r="AM3" s="533"/>
      <c r="AN3" s="461" t="s">
        <v>376</v>
      </c>
      <c r="AO3" s="532"/>
      <c r="AP3" s="532"/>
      <c r="AQ3" s="532"/>
      <c r="AR3" s="533"/>
      <c r="AS3" s="461" t="s">
        <v>376</v>
      </c>
      <c r="AT3" s="532"/>
      <c r="AU3" s="532"/>
      <c r="AV3" s="532"/>
      <c r="AW3" s="533"/>
      <c r="AX3" s="461" t="s">
        <v>376</v>
      </c>
      <c r="AY3" s="532"/>
      <c r="AZ3" s="532"/>
      <c r="BA3" s="532"/>
      <c r="BB3" s="533"/>
      <c r="BC3" s="461" t="s">
        <v>376</v>
      </c>
      <c r="BD3" s="532"/>
      <c r="BE3" s="532"/>
      <c r="BF3" s="532"/>
      <c r="BG3" s="533"/>
      <c r="BH3" s="461" t="s">
        <v>376</v>
      </c>
      <c r="BI3" s="532"/>
      <c r="BJ3" s="532"/>
      <c r="BK3" s="532"/>
      <c r="BL3" s="533"/>
      <c r="BM3" s="462" t="s">
        <v>377</v>
      </c>
      <c r="BN3" s="532"/>
      <c r="BO3" s="532"/>
      <c r="BP3" s="532"/>
      <c r="BQ3" s="533"/>
      <c r="BR3" s="462" t="s">
        <v>377</v>
      </c>
      <c r="BS3" s="532"/>
      <c r="BT3" s="532"/>
      <c r="BU3" s="532"/>
      <c r="BV3" s="533"/>
      <c r="BW3" s="462" t="s">
        <v>377</v>
      </c>
      <c r="BX3" s="532"/>
      <c r="BY3" s="532"/>
      <c r="BZ3" s="532"/>
      <c r="CA3" s="533"/>
      <c r="CB3" s="462" t="s">
        <v>377</v>
      </c>
      <c r="CC3" s="532"/>
      <c r="CD3" s="532"/>
      <c r="CE3" s="532"/>
      <c r="CF3" s="533"/>
      <c r="CG3" s="454" t="s">
        <v>378</v>
      </c>
      <c r="CH3" s="532"/>
      <c r="CI3" s="532"/>
      <c r="CJ3" s="532"/>
      <c r="CK3" s="533"/>
      <c r="CL3" s="454" t="s">
        <v>378</v>
      </c>
      <c r="CM3" s="532"/>
      <c r="CN3" s="532"/>
      <c r="CO3" s="532"/>
      <c r="CP3" s="533"/>
      <c r="CQ3" s="531"/>
      <c r="CR3" s="532"/>
      <c r="CS3" s="532"/>
      <c r="CT3" s="532"/>
      <c r="CU3" s="533"/>
      <c r="CV3" s="531"/>
      <c r="CW3" s="532"/>
      <c r="CX3" s="532"/>
      <c r="CY3" s="532"/>
      <c r="CZ3" s="533"/>
      <c r="DA3" s="531"/>
      <c r="DB3" s="532"/>
      <c r="DC3" s="532"/>
      <c r="DD3" s="532"/>
      <c r="DE3" s="533"/>
    </row>
    <row r="4" spans="1:165" s="135" customFormat="1" x14ac:dyDescent="0.2">
      <c r="B4" s="648"/>
      <c r="C4" s="649"/>
      <c r="D4" s="650"/>
      <c r="E4" s="316">
        <f>E5</f>
        <v>46419</v>
      </c>
      <c r="F4" s="317">
        <f t="shared" ref="F4:BQ4" si="20">F5</f>
        <v>46420</v>
      </c>
      <c r="G4" s="318">
        <f t="shared" si="20"/>
        <v>46421</v>
      </c>
      <c r="H4" s="318">
        <f t="shared" si="20"/>
        <v>46422</v>
      </c>
      <c r="I4" s="319">
        <f t="shared" si="20"/>
        <v>46423</v>
      </c>
      <c r="J4" s="320">
        <f t="shared" si="20"/>
        <v>46426</v>
      </c>
      <c r="K4" s="321">
        <f t="shared" si="20"/>
        <v>46427</v>
      </c>
      <c r="L4" s="322">
        <f t="shared" si="20"/>
        <v>46428</v>
      </c>
      <c r="M4" s="322">
        <f t="shared" si="20"/>
        <v>46429</v>
      </c>
      <c r="N4" s="323">
        <f t="shared" si="20"/>
        <v>46430</v>
      </c>
      <c r="O4" s="316">
        <f t="shared" si="20"/>
        <v>46433</v>
      </c>
      <c r="P4" s="317">
        <f t="shared" si="20"/>
        <v>46434</v>
      </c>
      <c r="Q4" s="318">
        <f t="shared" si="20"/>
        <v>46435</v>
      </c>
      <c r="R4" s="318">
        <f t="shared" si="20"/>
        <v>46436</v>
      </c>
      <c r="S4" s="319">
        <f t="shared" si="20"/>
        <v>46437</v>
      </c>
      <c r="T4" s="320">
        <f t="shared" si="20"/>
        <v>46440</v>
      </c>
      <c r="U4" s="322">
        <f t="shared" si="20"/>
        <v>46441</v>
      </c>
      <c r="V4" s="322">
        <f t="shared" si="20"/>
        <v>46442</v>
      </c>
      <c r="W4" s="322">
        <f t="shared" si="20"/>
        <v>46443</v>
      </c>
      <c r="X4" s="323">
        <f t="shared" si="20"/>
        <v>46444</v>
      </c>
      <c r="Y4" s="316">
        <f t="shared" si="20"/>
        <v>46447</v>
      </c>
      <c r="Z4" s="318">
        <f t="shared" si="20"/>
        <v>46448</v>
      </c>
      <c r="AA4" s="318">
        <f t="shared" si="20"/>
        <v>46449</v>
      </c>
      <c r="AB4" s="318">
        <f t="shared" si="20"/>
        <v>46450</v>
      </c>
      <c r="AC4" s="319">
        <f t="shared" si="20"/>
        <v>46451</v>
      </c>
      <c r="AD4" s="320">
        <f t="shared" si="20"/>
        <v>46454</v>
      </c>
      <c r="AE4" s="322">
        <f t="shared" si="20"/>
        <v>46455</v>
      </c>
      <c r="AF4" s="322">
        <f t="shared" si="20"/>
        <v>46456</v>
      </c>
      <c r="AG4" s="322">
        <f t="shared" si="20"/>
        <v>46457</v>
      </c>
      <c r="AH4" s="323">
        <f t="shared" si="20"/>
        <v>46458</v>
      </c>
      <c r="AI4" s="316">
        <f t="shared" si="20"/>
        <v>46461</v>
      </c>
      <c r="AJ4" s="318">
        <f t="shared" si="20"/>
        <v>46462</v>
      </c>
      <c r="AK4" s="318">
        <f t="shared" si="20"/>
        <v>46463</v>
      </c>
      <c r="AL4" s="318">
        <f t="shared" si="20"/>
        <v>46464</v>
      </c>
      <c r="AM4" s="319">
        <f t="shared" si="20"/>
        <v>46465</v>
      </c>
      <c r="AN4" s="320">
        <f t="shared" si="20"/>
        <v>46468</v>
      </c>
      <c r="AO4" s="322">
        <f t="shared" si="20"/>
        <v>46469</v>
      </c>
      <c r="AP4" s="322">
        <f t="shared" si="20"/>
        <v>46470</v>
      </c>
      <c r="AQ4" s="322">
        <f t="shared" si="20"/>
        <v>46471</v>
      </c>
      <c r="AR4" s="323">
        <f t="shared" si="20"/>
        <v>46472</v>
      </c>
      <c r="AS4" s="316">
        <f t="shared" si="20"/>
        <v>46475</v>
      </c>
      <c r="AT4" s="318">
        <f t="shared" si="20"/>
        <v>46476</v>
      </c>
      <c r="AU4" s="318">
        <f t="shared" si="20"/>
        <v>46477</v>
      </c>
      <c r="AV4" s="318">
        <f t="shared" si="20"/>
        <v>46478</v>
      </c>
      <c r="AW4" s="324">
        <f t="shared" si="20"/>
        <v>46479</v>
      </c>
      <c r="AX4" s="320">
        <f t="shared" si="20"/>
        <v>46482</v>
      </c>
      <c r="AY4" s="322">
        <f t="shared" si="20"/>
        <v>46483</v>
      </c>
      <c r="AZ4" s="322">
        <f t="shared" si="20"/>
        <v>46484</v>
      </c>
      <c r="BA4" s="322">
        <f t="shared" si="20"/>
        <v>46485</v>
      </c>
      <c r="BB4" s="325">
        <f t="shared" si="20"/>
        <v>46486</v>
      </c>
      <c r="BC4" s="316">
        <f t="shared" si="20"/>
        <v>46489</v>
      </c>
      <c r="BD4" s="318">
        <f t="shared" si="20"/>
        <v>46490</v>
      </c>
      <c r="BE4" s="318">
        <f t="shared" si="20"/>
        <v>46491</v>
      </c>
      <c r="BF4" s="318">
        <f t="shared" si="20"/>
        <v>46492</v>
      </c>
      <c r="BG4" s="324">
        <f t="shared" si="20"/>
        <v>46493</v>
      </c>
      <c r="BH4" s="320">
        <f t="shared" si="20"/>
        <v>46496</v>
      </c>
      <c r="BI4" s="322">
        <f t="shared" si="20"/>
        <v>46497</v>
      </c>
      <c r="BJ4" s="322">
        <f t="shared" si="20"/>
        <v>46498</v>
      </c>
      <c r="BK4" s="322">
        <f t="shared" si="20"/>
        <v>46499</v>
      </c>
      <c r="BL4" s="325">
        <f t="shared" si="20"/>
        <v>46500</v>
      </c>
      <c r="BM4" s="316">
        <f t="shared" si="20"/>
        <v>46503</v>
      </c>
      <c r="BN4" s="318">
        <f t="shared" si="20"/>
        <v>46504</v>
      </c>
      <c r="BO4" s="318">
        <f t="shared" si="20"/>
        <v>46505</v>
      </c>
      <c r="BP4" s="318">
        <f t="shared" si="20"/>
        <v>46506</v>
      </c>
      <c r="BQ4" s="324">
        <f t="shared" si="20"/>
        <v>46507</v>
      </c>
      <c r="BR4" s="320">
        <f t="shared" ref="BR4:DE4" si="21">BR5</f>
        <v>46510</v>
      </c>
      <c r="BS4" s="322">
        <f t="shared" si="21"/>
        <v>46511</v>
      </c>
      <c r="BT4" s="322">
        <f t="shared" si="21"/>
        <v>46512</v>
      </c>
      <c r="BU4" s="322">
        <f t="shared" si="21"/>
        <v>46513</v>
      </c>
      <c r="BV4" s="325">
        <f t="shared" si="21"/>
        <v>46514</v>
      </c>
      <c r="BW4" s="316">
        <f t="shared" si="21"/>
        <v>46517</v>
      </c>
      <c r="BX4" s="318">
        <f t="shared" si="21"/>
        <v>46518</v>
      </c>
      <c r="BY4" s="318">
        <f t="shared" si="21"/>
        <v>46519</v>
      </c>
      <c r="BZ4" s="318">
        <f t="shared" si="21"/>
        <v>46520</v>
      </c>
      <c r="CA4" s="324">
        <f t="shared" si="21"/>
        <v>46521</v>
      </c>
      <c r="CB4" s="320">
        <f t="shared" si="21"/>
        <v>46524</v>
      </c>
      <c r="CC4" s="322">
        <f t="shared" si="21"/>
        <v>46525</v>
      </c>
      <c r="CD4" s="322">
        <f t="shared" si="21"/>
        <v>46526</v>
      </c>
      <c r="CE4" s="322">
        <f t="shared" si="21"/>
        <v>46527</v>
      </c>
      <c r="CF4" s="325">
        <f t="shared" si="21"/>
        <v>46528</v>
      </c>
      <c r="CG4" s="316">
        <f t="shared" si="21"/>
        <v>46531</v>
      </c>
      <c r="CH4" s="318">
        <f t="shared" si="21"/>
        <v>46532</v>
      </c>
      <c r="CI4" s="318">
        <f t="shared" si="21"/>
        <v>46533</v>
      </c>
      <c r="CJ4" s="318">
        <f t="shared" si="21"/>
        <v>46534</v>
      </c>
      <c r="CK4" s="324">
        <f t="shared" si="21"/>
        <v>46535</v>
      </c>
      <c r="CL4" s="320">
        <f t="shared" si="21"/>
        <v>46538</v>
      </c>
      <c r="CM4" s="322">
        <f t="shared" si="21"/>
        <v>46539</v>
      </c>
      <c r="CN4" s="322">
        <f t="shared" si="21"/>
        <v>46540</v>
      </c>
      <c r="CO4" s="322">
        <f t="shared" si="21"/>
        <v>46541</v>
      </c>
      <c r="CP4" s="325">
        <f t="shared" si="21"/>
        <v>46542</v>
      </c>
      <c r="CQ4" s="316">
        <f t="shared" si="21"/>
        <v>46545</v>
      </c>
      <c r="CR4" s="318">
        <f t="shared" si="21"/>
        <v>46546</v>
      </c>
      <c r="CS4" s="318">
        <f t="shared" si="21"/>
        <v>46547</v>
      </c>
      <c r="CT4" s="318">
        <f t="shared" si="21"/>
        <v>46548</v>
      </c>
      <c r="CU4" s="319">
        <f t="shared" si="21"/>
        <v>46549</v>
      </c>
      <c r="CV4" s="320">
        <f t="shared" si="21"/>
        <v>46552</v>
      </c>
      <c r="CW4" s="322">
        <f t="shared" si="21"/>
        <v>46553</v>
      </c>
      <c r="CX4" s="322">
        <f t="shared" si="21"/>
        <v>46554</v>
      </c>
      <c r="CY4" s="322">
        <f t="shared" si="21"/>
        <v>46555</v>
      </c>
      <c r="CZ4" s="323">
        <f t="shared" si="21"/>
        <v>46556</v>
      </c>
      <c r="DA4" s="316">
        <f t="shared" si="21"/>
        <v>46559</v>
      </c>
      <c r="DB4" s="318">
        <f t="shared" si="21"/>
        <v>46560</v>
      </c>
      <c r="DC4" s="318">
        <f t="shared" si="21"/>
        <v>46561</v>
      </c>
      <c r="DD4" s="318">
        <f t="shared" si="21"/>
        <v>46562</v>
      </c>
      <c r="DE4" s="319">
        <f t="shared" si="21"/>
        <v>46563</v>
      </c>
    </row>
    <row r="5" spans="1:165" s="135" customFormat="1" ht="17" thickBot="1" x14ac:dyDescent="0.25">
      <c r="B5" s="651"/>
      <c r="C5" s="652"/>
      <c r="D5" s="653"/>
      <c r="E5" s="31">
        <f>Data!M2</f>
        <v>46419</v>
      </c>
      <c r="F5" s="32">
        <f>E5+1</f>
        <v>46420</v>
      </c>
      <c r="G5" s="33">
        <f>F5+1</f>
        <v>46421</v>
      </c>
      <c r="H5" s="33">
        <f>G5+1</f>
        <v>46422</v>
      </c>
      <c r="I5" s="34">
        <f>H5+1</f>
        <v>46423</v>
      </c>
      <c r="J5" s="35">
        <f>I5+3</f>
        <v>46426</v>
      </c>
      <c r="K5" s="36">
        <f>J5+1</f>
        <v>46427</v>
      </c>
      <c r="L5" s="37">
        <f>K5+1</f>
        <v>46428</v>
      </c>
      <c r="M5" s="37">
        <f>L5+1</f>
        <v>46429</v>
      </c>
      <c r="N5" s="38">
        <f>M5+1</f>
        <v>46430</v>
      </c>
      <c r="O5" s="31">
        <f>N5+3</f>
        <v>46433</v>
      </c>
      <c r="P5" s="32">
        <f>O5+1</f>
        <v>46434</v>
      </c>
      <c r="Q5" s="33">
        <f>P5+1</f>
        <v>46435</v>
      </c>
      <c r="R5" s="33">
        <f>Q5+1</f>
        <v>46436</v>
      </c>
      <c r="S5" s="34">
        <f>R5+1</f>
        <v>46437</v>
      </c>
      <c r="T5" s="35">
        <f>S5+3</f>
        <v>46440</v>
      </c>
      <c r="U5" s="37">
        <f>T5+1</f>
        <v>46441</v>
      </c>
      <c r="V5" s="37">
        <f>U5+1</f>
        <v>46442</v>
      </c>
      <c r="W5" s="37">
        <f>V5+1</f>
        <v>46443</v>
      </c>
      <c r="X5" s="38">
        <f>W5+1</f>
        <v>46444</v>
      </c>
      <c r="Y5" s="31">
        <f>X5+3</f>
        <v>46447</v>
      </c>
      <c r="Z5" s="33">
        <f>Y5+1</f>
        <v>46448</v>
      </c>
      <c r="AA5" s="33">
        <f>Z5+1</f>
        <v>46449</v>
      </c>
      <c r="AB5" s="33">
        <f>AA5+1</f>
        <v>46450</v>
      </c>
      <c r="AC5" s="34">
        <f>AB5+1</f>
        <v>46451</v>
      </c>
      <c r="AD5" s="35">
        <f>AC5+3</f>
        <v>46454</v>
      </c>
      <c r="AE5" s="37">
        <f>AD5+1</f>
        <v>46455</v>
      </c>
      <c r="AF5" s="37">
        <f>AE5+1</f>
        <v>46456</v>
      </c>
      <c r="AG5" s="37">
        <f>AF5+1</f>
        <v>46457</v>
      </c>
      <c r="AH5" s="38">
        <f>AG5+1</f>
        <v>46458</v>
      </c>
      <c r="AI5" s="31">
        <f>AH5+3</f>
        <v>46461</v>
      </c>
      <c r="AJ5" s="33">
        <f>AI5+1</f>
        <v>46462</v>
      </c>
      <c r="AK5" s="33">
        <f>AJ5+1</f>
        <v>46463</v>
      </c>
      <c r="AL5" s="33">
        <f>AK5+1</f>
        <v>46464</v>
      </c>
      <c r="AM5" s="34">
        <f>AL5+1</f>
        <v>46465</v>
      </c>
      <c r="AN5" s="35">
        <f>AM5+3</f>
        <v>46468</v>
      </c>
      <c r="AO5" s="37">
        <f>AN5+1</f>
        <v>46469</v>
      </c>
      <c r="AP5" s="37">
        <f>AO5+1</f>
        <v>46470</v>
      </c>
      <c r="AQ5" s="37">
        <f>AP5+1</f>
        <v>46471</v>
      </c>
      <c r="AR5" s="38">
        <f>AQ5+1</f>
        <v>46472</v>
      </c>
      <c r="AS5" s="31">
        <f>AR5+3</f>
        <v>46475</v>
      </c>
      <c r="AT5" s="33">
        <f>AS5+1</f>
        <v>46476</v>
      </c>
      <c r="AU5" s="33">
        <f>AT5+1</f>
        <v>46477</v>
      </c>
      <c r="AV5" s="33">
        <f>AU5+1</f>
        <v>46478</v>
      </c>
      <c r="AW5" s="39">
        <f>AV5+1</f>
        <v>46479</v>
      </c>
      <c r="AX5" s="35">
        <f>AW5+3</f>
        <v>46482</v>
      </c>
      <c r="AY5" s="37">
        <f>AX5+1</f>
        <v>46483</v>
      </c>
      <c r="AZ5" s="37">
        <f>AY5+1</f>
        <v>46484</v>
      </c>
      <c r="BA5" s="37">
        <f>AZ5+1</f>
        <v>46485</v>
      </c>
      <c r="BB5" s="40">
        <f>BA5+1</f>
        <v>46486</v>
      </c>
      <c r="BC5" s="31">
        <f>BB5+3</f>
        <v>46489</v>
      </c>
      <c r="BD5" s="33">
        <f>BC5+1</f>
        <v>46490</v>
      </c>
      <c r="BE5" s="33">
        <f>BD5+1</f>
        <v>46491</v>
      </c>
      <c r="BF5" s="33">
        <f>BE5+1</f>
        <v>46492</v>
      </c>
      <c r="BG5" s="39">
        <f>BF5+1</f>
        <v>46493</v>
      </c>
      <c r="BH5" s="35">
        <f>BG5+3</f>
        <v>46496</v>
      </c>
      <c r="BI5" s="37">
        <f>BH5+1</f>
        <v>46497</v>
      </c>
      <c r="BJ5" s="37">
        <f>BI5+1</f>
        <v>46498</v>
      </c>
      <c r="BK5" s="37">
        <f>BJ5+1</f>
        <v>46499</v>
      </c>
      <c r="BL5" s="40">
        <f>BK5+1</f>
        <v>46500</v>
      </c>
      <c r="BM5" s="31">
        <f>BL5+3</f>
        <v>46503</v>
      </c>
      <c r="BN5" s="33">
        <f>BM5+1</f>
        <v>46504</v>
      </c>
      <c r="BO5" s="33">
        <f>BN5+1</f>
        <v>46505</v>
      </c>
      <c r="BP5" s="33">
        <f>BO5+1</f>
        <v>46506</v>
      </c>
      <c r="BQ5" s="39">
        <f>BP5+1</f>
        <v>46507</v>
      </c>
      <c r="BR5" s="35">
        <f>BQ5+3</f>
        <v>46510</v>
      </c>
      <c r="BS5" s="37">
        <f>BR5+1</f>
        <v>46511</v>
      </c>
      <c r="BT5" s="37">
        <f>BS5+1</f>
        <v>46512</v>
      </c>
      <c r="BU5" s="37">
        <f>BT5+1</f>
        <v>46513</v>
      </c>
      <c r="BV5" s="40">
        <f>BU5+1</f>
        <v>46514</v>
      </c>
      <c r="BW5" s="31">
        <f>BV5+3</f>
        <v>46517</v>
      </c>
      <c r="BX5" s="33">
        <f>BW5+1</f>
        <v>46518</v>
      </c>
      <c r="BY5" s="33">
        <f>BX5+1</f>
        <v>46519</v>
      </c>
      <c r="BZ5" s="33">
        <f>BY5+1</f>
        <v>46520</v>
      </c>
      <c r="CA5" s="39">
        <f>BZ5+1</f>
        <v>46521</v>
      </c>
      <c r="CB5" s="35">
        <f>CA5+3</f>
        <v>46524</v>
      </c>
      <c r="CC5" s="37">
        <f>CB5+1</f>
        <v>46525</v>
      </c>
      <c r="CD5" s="37">
        <f>CC5+1</f>
        <v>46526</v>
      </c>
      <c r="CE5" s="37">
        <f>CD5+1</f>
        <v>46527</v>
      </c>
      <c r="CF5" s="40">
        <f>CE5+1</f>
        <v>46528</v>
      </c>
      <c r="CG5" s="31">
        <f>CF5+3</f>
        <v>46531</v>
      </c>
      <c r="CH5" s="33">
        <f>CG5+1</f>
        <v>46532</v>
      </c>
      <c r="CI5" s="33">
        <f>CH5+1</f>
        <v>46533</v>
      </c>
      <c r="CJ5" s="33">
        <f>CI5+1</f>
        <v>46534</v>
      </c>
      <c r="CK5" s="39">
        <f>CJ5+1</f>
        <v>46535</v>
      </c>
      <c r="CL5" s="35">
        <f>CK5+3</f>
        <v>46538</v>
      </c>
      <c r="CM5" s="37">
        <f>CL5+1</f>
        <v>46539</v>
      </c>
      <c r="CN5" s="37">
        <f>CM5+1</f>
        <v>46540</v>
      </c>
      <c r="CO5" s="37">
        <f>CN5+1</f>
        <v>46541</v>
      </c>
      <c r="CP5" s="40">
        <f>CO5+1</f>
        <v>46542</v>
      </c>
      <c r="CQ5" s="31">
        <f>CP5+3</f>
        <v>46545</v>
      </c>
      <c r="CR5" s="33">
        <f>CQ5+1</f>
        <v>46546</v>
      </c>
      <c r="CS5" s="33">
        <f>CR5+1</f>
        <v>46547</v>
      </c>
      <c r="CT5" s="33">
        <f>CS5+1</f>
        <v>46548</v>
      </c>
      <c r="CU5" s="34">
        <f>CT5+1</f>
        <v>46549</v>
      </c>
      <c r="CV5" s="35">
        <f>CU5+3</f>
        <v>46552</v>
      </c>
      <c r="CW5" s="37">
        <f>CV5+1</f>
        <v>46553</v>
      </c>
      <c r="CX5" s="37">
        <f>CW5+1</f>
        <v>46554</v>
      </c>
      <c r="CY5" s="37">
        <f>CX5+1</f>
        <v>46555</v>
      </c>
      <c r="CZ5" s="38">
        <f>CY5+1</f>
        <v>46556</v>
      </c>
      <c r="DA5" s="31">
        <f>CZ5+3</f>
        <v>46559</v>
      </c>
      <c r="DB5" s="33">
        <f>DA5+1</f>
        <v>46560</v>
      </c>
      <c r="DC5" s="33">
        <f>DB5+1</f>
        <v>46561</v>
      </c>
      <c r="DD5" s="33">
        <f>DC5+1</f>
        <v>46562</v>
      </c>
      <c r="DE5" s="34">
        <f>DD5+1</f>
        <v>46563</v>
      </c>
    </row>
    <row r="6" spans="1:165" s="138" customFormat="1" ht="17" thickBot="1" x14ac:dyDescent="0.25">
      <c r="A6" s="134"/>
      <c r="B6" s="457"/>
      <c r="C6" s="457"/>
      <c r="D6" s="45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6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5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</row>
    <row r="7" spans="1:165" x14ac:dyDescent="0.2">
      <c r="B7" s="458" t="s">
        <v>7</v>
      </c>
      <c r="C7" s="459"/>
      <c r="D7" s="460"/>
      <c r="E7" s="81"/>
      <c r="F7" s="42"/>
      <c r="G7" s="42"/>
      <c r="H7" s="42"/>
      <c r="I7" s="43"/>
      <c r="J7" s="77"/>
      <c r="K7" s="62"/>
      <c r="L7" s="62"/>
      <c r="M7" s="62"/>
      <c r="N7" s="44"/>
      <c r="O7" s="41"/>
      <c r="P7" s="42"/>
      <c r="Q7" s="42"/>
      <c r="R7" s="42"/>
      <c r="S7" s="43"/>
      <c r="T7" s="77"/>
      <c r="U7" s="62"/>
      <c r="V7" s="62"/>
      <c r="W7" s="62"/>
      <c r="X7" s="44"/>
      <c r="Y7" s="41"/>
      <c r="Z7" s="42"/>
      <c r="AA7" s="42"/>
      <c r="AB7" s="42"/>
      <c r="AC7" s="43"/>
      <c r="AD7" s="77"/>
      <c r="AE7" s="62"/>
      <c r="AF7" s="62"/>
      <c r="AG7" s="62"/>
      <c r="AH7" s="44"/>
      <c r="AI7" s="41"/>
      <c r="AJ7" s="42"/>
      <c r="AK7" s="42"/>
      <c r="AL7" s="42"/>
      <c r="AM7" s="43"/>
      <c r="AN7" s="219"/>
      <c r="AO7" s="200"/>
      <c r="AP7" s="200"/>
      <c r="AQ7" s="200"/>
      <c r="AR7" s="209"/>
      <c r="AS7" s="223"/>
      <c r="AT7" s="42"/>
      <c r="AU7" s="42"/>
      <c r="AV7" s="42"/>
      <c r="AW7" s="43"/>
      <c r="AX7" s="77"/>
      <c r="AY7" s="62"/>
      <c r="AZ7" s="62"/>
      <c r="BA7" s="62"/>
      <c r="BB7" s="44"/>
      <c r="BC7" s="41"/>
      <c r="BD7" s="42"/>
      <c r="BE7" s="42"/>
      <c r="BF7" s="42"/>
      <c r="BG7" s="43"/>
      <c r="BH7" s="77"/>
      <c r="BI7" s="62"/>
      <c r="BJ7" s="62"/>
      <c r="BK7" s="62"/>
      <c r="BL7" s="44"/>
      <c r="BM7" s="41"/>
      <c r="BN7" s="42"/>
      <c r="BO7" s="42"/>
      <c r="BP7" s="42"/>
      <c r="BQ7" s="43"/>
      <c r="BR7" s="77"/>
      <c r="BS7" s="62"/>
      <c r="BT7" s="62"/>
      <c r="BU7" s="200"/>
      <c r="BV7" s="209"/>
      <c r="BW7" s="41"/>
      <c r="BX7" s="42"/>
      <c r="BY7" s="42"/>
      <c r="BZ7" s="42"/>
      <c r="CA7" s="43"/>
      <c r="CB7" s="219"/>
      <c r="CC7" s="62"/>
      <c r="CD7" s="62"/>
      <c r="CE7" s="62"/>
      <c r="CF7" s="44"/>
      <c r="CG7" s="41"/>
      <c r="CH7" s="42"/>
      <c r="CI7" s="42"/>
      <c r="CJ7" s="42"/>
      <c r="CK7" s="43"/>
      <c r="CL7" s="77"/>
      <c r="CM7" s="62"/>
      <c r="CN7" s="62"/>
      <c r="CO7" s="62"/>
      <c r="CP7" s="44"/>
      <c r="CQ7" s="41"/>
      <c r="CR7" s="42"/>
      <c r="CS7" s="42"/>
      <c r="CT7" s="42"/>
      <c r="CU7" s="43"/>
      <c r="CV7" s="77"/>
      <c r="CW7" s="62"/>
      <c r="CX7" s="62"/>
      <c r="CY7" s="62"/>
      <c r="CZ7" s="44"/>
      <c r="DA7" s="41"/>
      <c r="DB7" s="42"/>
      <c r="DC7" s="42"/>
      <c r="DD7" s="42"/>
      <c r="DE7" s="43"/>
    </row>
    <row r="8" spans="1:165" x14ac:dyDescent="0.2">
      <c r="B8" s="48" t="s">
        <v>15</v>
      </c>
      <c r="C8" s="82"/>
      <c r="D8" s="49"/>
      <c r="E8" s="214"/>
      <c r="F8" s="51"/>
      <c r="G8" s="51"/>
      <c r="H8" s="51"/>
      <c r="I8" s="52"/>
      <c r="J8" s="69"/>
      <c r="K8" s="64"/>
      <c r="L8" s="64"/>
      <c r="M8" s="64"/>
      <c r="N8" s="53"/>
      <c r="O8" s="50"/>
      <c r="P8" s="51"/>
      <c r="Q8" s="51"/>
      <c r="R8" s="51"/>
      <c r="S8" s="52"/>
      <c r="T8" s="69"/>
      <c r="U8" s="64"/>
      <c r="V8" s="64"/>
      <c r="W8" s="64"/>
      <c r="X8" s="53"/>
      <c r="Y8" s="50"/>
      <c r="Z8" s="51"/>
      <c r="AA8" s="51"/>
      <c r="AB8" s="51"/>
      <c r="AC8" s="52"/>
      <c r="AD8" s="69"/>
      <c r="AE8" s="64"/>
      <c r="AF8" s="64"/>
      <c r="AG8" s="64"/>
      <c r="AH8" s="53"/>
      <c r="AI8" s="50"/>
      <c r="AJ8" s="51"/>
      <c r="AK8" s="51"/>
      <c r="AL8" s="51"/>
      <c r="AM8" s="52"/>
      <c r="AN8" s="220"/>
      <c r="AO8" s="201"/>
      <c r="AP8" s="201"/>
      <c r="AQ8" s="201"/>
      <c r="AR8" s="210"/>
      <c r="AS8" s="225"/>
      <c r="AT8" s="51"/>
      <c r="AU8" s="51"/>
      <c r="AV8" s="51"/>
      <c r="AW8" s="52"/>
      <c r="AX8" s="69"/>
      <c r="AY8" s="64"/>
      <c r="AZ8" s="64"/>
      <c r="BA8" s="64"/>
      <c r="BB8" s="53"/>
      <c r="BC8" s="50"/>
      <c r="BD8" s="51"/>
      <c r="BE8" s="51"/>
      <c r="BF8" s="51"/>
      <c r="BG8" s="52"/>
      <c r="BH8" s="69"/>
      <c r="BI8" s="64"/>
      <c r="BJ8" s="64"/>
      <c r="BK8" s="64"/>
      <c r="BL8" s="53"/>
      <c r="BM8" s="50"/>
      <c r="BN8" s="51"/>
      <c r="BO8" s="51"/>
      <c r="BP8" s="51"/>
      <c r="BQ8" s="52"/>
      <c r="BR8" s="69"/>
      <c r="BS8" s="64"/>
      <c r="BT8" s="64"/>
      <c r="BU8" s="201"/>
      <c r="BV8" s="210"/>
      <c r="BW8" s="50"/>
      <c r="BX8" s="51"/>
      <c r="BY8" s="51"/>
      <c r="BZ8" s="51"/>
      <c r="CA8" s="52"/>
      <c r="CB8" s="220"/>
      <c r="CC8" s="64"/>
      <c r="CD8" s="64"/>
      <c r="CE8" s="64"/>
      <c r="CF8" s="53"/>
      <c r="CG8" s="50"/>
      <c r="CH8" s="51"/>
      <c r="CI8" s="51"/>
      <c r="CJ8" s="51"/>
      <c r="CK8" s="52"/>
      <c r="CL8" s="69"/>
      <c r="CM8" s="64"/>
      <c r="CN8" s="64"/>
      <c r="CO8" s="64"/>
      <c r="CP8" s="53"/>
      <c r="CQ8" s="50"/>
      <c r="CR8" s="51"/>
      <c r="CS8" s="51"/>
      <c r="CT8" s="51"/>
      <c r="CU8" s="52"/>
      <c r="CV8" s="69"/>
      <c r="CW8" s="64"/>
      <c r="CX8" s="64"/>
      <c r="CY8" s="64"/>
      <c r="CZ8" s="53"/>
      <c r="DA8" s="50"/>
      <c r="DB8" s="51"/>
      <c r="DC8" s="51"/>
      <c r="DD8" s="51"/>
      <c r="DE8" s="52"/>
    </row>
    <row r="9" spans="1:165" x14ac:dyDescent="0.2">
      <c r="B9" s="448" t="s">
        <v>16</v>
      </c>
      <c r="C9" s="449"/>
      <c r="D9" s="450"/>
      <c r="E9" s="57"/>
      <c r="F9" s="51"/>
      <c r="G9" s="51"/>
      <c r="H9" s="51"/>
      <c r="I9" s="52"/>
      <c r="J9" s="69"/>
      <c r="K9" s="64"/>
      <c r="L9" s="64"/>
      <c r="M9" s="64"/>
      <c r="N9" s="45"/>
      <c r="O9" s="54"/>
      <c r="P9" s="51"/>
      <c r="Q9" s="51"/>
      <c r="R9" s="51"/>
      <c r="S9" s="52"/>
      <c r="T9" s="69"/>
      <c r="U9" s="64"/>
      <c r="V9" s="64"/>
      <c r="W9" s="64"/>
      <c r="X9" s="45"/>
      <c r="Y9" s="54"/>
      <c r="Z9" s="51"/>
      <c r="AA9" s="51"/>
      <c r="AB9" s="51"/>
      <c r="AC9" s="52"/>
      <c r="AD9" s="69"/>
      <c r="AE9" s="64"/>
      <c r="AF9" s="64"/>
      <c r="AG9" s="64"/>
      <c r="AH9" s="45"/>
      <c r="AI9" s="54"/>
      <c r="AJ9" s="51"/>
      <c r="AK9" s="51"/>
      <c r="AL9" s="51"/>
      <c r="AM9" s="52"/>
      <c r="AN9" s="220"/>
      <c r="AO9" s="201"/>
      <c r="AP9" s="201"/>
      <c r="AQ9" s="201"/>
      <c r="AR9" s="211"/>
      <c r="AS9" s="227"/>
      <c r="AT9" s="51"/>
      <c r="AU9" s="51"/>
      <c r="AV9" s="51"/>
      <c r="AW9" s="52"/>
      <c r="AX9" s="69"/>
      <c r="AY9" s="64"/>
      <c r="AZ9" s="64"/>
      <c r="BA9" s="64"/>
      <c r="BB9" s="45"/>
      <c r="BC9" s="54"/>
      <c r="BD9" s="51"/>
      <c r="BE9" s="51"/>
      <c r="BF9" s="51"/>
      <c r="BG9" s="52"/>
      <c r="BH9" s="69"/>
      <c r="BI9" s="64"/>
      <c r="BJ9" s="64"/>
      <c r="BK9" s="64"/>
      <c r="BL9" s="45"/>
      <c r="BM9" s="54"/>
      <c r="BN9" s="51"/>
      <c r="BO9" s="51"/>
      <c r="BP9" s="51"/>
      <c r="BQ9" s="52"/>
      <c r="BR9" s="69"/>
      <c r="BS9" s="64"/>
      <c r="BT9" s="64"/>
      <c r="BU9" s="201"/>
      <c r="BV9" s="211"/>
      <c r="BW9" s="54"/>
      <c r="BX9" s="51"/>
      <c r="BY9" s="51"/>
      <c r="BZ9" s="51"/>
      <c r="CA9" s="52"/>
      <c r="CB9" s="220"/>
      <c r="CC9" s="64"/>
      <c r="CD9" s="64"/>
      <c r="CE9" s="64"/>
      <c r="CF9" s="45"/>
      <c r="CG9" s="54"/>
      <c r="CH9" s="51"/>
      <c r="CI9" s="51"/>
      <c r="CJ9" s="51"/>
      <c r="CK9" s="52"/>
      <c r="CL9" s="69"/>
      <c r="CM9" s="64"/>
      <c r="CN9" s="64"/>
      <c r="CO9" s="64"/>
      <c r="CP9" s="45"/>
      <c r="CQ9" s="54"/>
      <c r="CR9" s="51"/>
      <c r="CS9" s="51"/>
      <c r="CT9" s="51"/>
      <c r="CU9" s="52"/>
      <c r="CV9" s="69"/>
      <c r="CW9" s="64"/>
      <c r="CX9" s="64"/>
      <c r="CY9" s="64"/>
      <c r="CZ9" s="45"/>
      <c r="DA9" s="54"/>
      <c r="DB9" s="51"/>
      <c r="DC9" s="51"/>
      <c r="DD9" s="51"/>
      <c r="DE9" s="52"/>
    </row>
    <row r="10" spans="1:165" ht="17" thickBot="1" x14ac:dyDescent="0.25">
      <c r="B10" s="448" t="s">
        <v>17</v>
      </c>
      <c r="C10" s="449"/>
      <c r="D10" s="450"/>
      <c r="E10" s="57"/>
      <c r="F10" s="51"/>
      <c r="G10" s="51"/>
      <c r="H10" s="51"/>
      <c r="I10" s="52"/>
      <c r="J10" s="69"/>
      <c r="K10" s="64"/>
      <c r="L10" s="64"/>
      <c r="M10" s="64"/>
      <c r="N10" s="45"/>
      <c r="O10" s="54"/>
      <c r="P10" s="51"/>
      <c r="Q10" s="51"/>
      <c r="R10" s="51"/>
      <c r="S10" s="52"/>
      <c r="T10" s="69"/>
      <c r="U10" s="64"/>
      <c r="V10" s="64"/>
      <c r="W10" s="64"/>
      <c r="X10" s="45"/>
      <c r="Y10" s="54"/>
      <c r="Z10" s="51"/>
      <c r="AA10" s="51"/>
      <c r="AB10" s="51"/>
      <c r="AC10" s="52"/>
      <c r="AD10" s="69"/>
      <c r="AE10" s="64"/>
      <c r="AF10" s="64"/>
      <c r="AG10" s="64"/>
      <c r="AH10" s="45"/>
      <c r="AI10" s="54"/>
      <c r="AJ10" s="51"/>
      <c r="AK10" s="51"/>
      <c r="AL10" s="51"/>
      <c r="AM10" s="52"/>
      <c r="AN10" s="220"/>
      <c r="AO10" s="201"/>
      <c r="AP10" s="201"/>
      <c r="AQ10" s="201"/>
      <c r="AR10" s="211"/>
      <c r="AS10" s="227"/>
      <c r="AT10" s="51"/>
      <c r="AU10" s="51"/>
      <c r="AV10" s="51"/>
      <c r="AW10" s="52"/>
      <c r="AX10" s="69"/>
      <c r="AY10" s="64"/>
      <c r="AZ10" s="64"/>
      <c r="BA10" s="64"/>
      <c r="BB10" s="45"/>
      <c r="BC10" s="54"/>
      <c r="BD10" s="51"/>
      <c r="BE10" s="51"/>
      <c r="BF10" s="51"/>
      <c r="BG10" s="52"/>
      <c r="BH10" s="69"/>
      <c r="BI10" s="64"/>
      <c r="BJ10" s="64"/>
      <c r="BK10" s="64"/>
      <c r="BL10" s="45"/>
      <c r="BM10" s="54"/>
      <c r="BN10" s="51"/>
      <c r="BO10" s="51"/>
      <c r="BP10" s="51"/>
      <c r="BQ10" s="52"/>
      <c r="BR10" s="69"/>
      <c r="BS10" s="64"/>
      <c r="BT10" s="64"/>
      <c r="BU10" s="201"/>
      <c r="BV10" s="211"/>
      <c r="BW10" s="54"/>
      <c r="BX10" s="51"/>
      <c r="BY10" s="51"/>
      <c r="BZ10" s="51"/>
      <c r="CA10" s="52"/>
      <c r="CB10" s="220"/>
      <c r="CC10" s="64"/>
      <c r="CD10" s="64"/>
      <c r="CE10" s="64"/>
      <c r="CF10" s="45"/>
      <c r="CG10" s="54"/>
      <c r="CH10" s="51"/>
      <c r="CI10" s="51"/>
      <c r="CJ10" s="51"/>
      <c r="CK10" s="52"/>
      <c r="CL10" s="69"/>
      <c r="CM10" s="64"/>
      <c r="CN10" s="64"/>
      <c r="CO10" s="64"/>
      <c r="CP10" s="45"/>
      <c r="CQ10" s="54"/>
      <c r="CR10" s="51"/>
      <c r="CS10" s="51"/>
      <c r="CT10" s="51"/>
      <c r="CU10" s="52"/>
      <c r="CV10" s="69"/>
      <c r="CW10" s="64"/>
      <c r="CX10" s="64"/>
      <c r="CY10" s="64"/>
      <c r="CZ10" s="45"/>
      <c r="DA10" s="54"/>
      <c r="DB10" s="51"/>
      <c r="DC10" s="51"/>
      <c r="DD10" s="51"/>
      <c r="DE10" s="52"/>
    </row>
    <row r="11" spans="1:165" ht="17" thickBot="1" x14ac:dyDescent="0.25">
      <c r="B11" s="48" t="s">
        <v>18</v>
      </c>
      <c r="C11" s="82"/>
      <c r="D11" s="49"/>
      <c r="E11" s="100"/>
      <c r="F11" s="101"/>
      <c r="G11" s="101"/>
      <c r="H11" s="101"/>
      <c r="I11" s="102"/>
      <c r="J11" s="103"/>
      <c r="K11" s="104"/>
      <c r="L11" s="104"/>
      <c r="M11" s="104"/>
      <c r="N11" s="105"/>
      <c r="O11" s="100"/>
      <c r="P11" s="101"/>
      <c r="Q11" s="101"/>
      <c r="R11" s="101"/>
      <c r="S11" s="102"/>
      <c r="T11" s="103"/>
      <c r="U11" s="104"/>
      <c r="V11" s="104"/>
      <c r="W11" s="104"/>
      <c r="X11" s="105"/>
      <c r="Y11" s="100"/>
      <c r="Z11" s="101"/>
      <c r="AA11" s="101"/>
      <c r="AB11" s="101"/>
      <c r="AC11" s="102"/>
      <c r="AD11" s="103"/>
      <c r="AE11" s="104"/>
      <c r="AF11" s="104"/>
      <c r="AG11" s="104"/>
      <c r="AH11" s="105"/>
      <c r="AI11" s="100"/>
      <c r="AJ11" s="101"/>
      <c r="AK11" s="101"/>
      <c r="AL11" s="101"/>
      <c r="AM11" s="102"/>
      <c r="AN11" s="221"/>
      <c r="AO11" s="208"/>
      <c r="AP11" s="208"/>
      <c r="AQ11" s="208"/>
      <c r="AR11" s="212"/>
      <c r="AS11" s="228"/>
      <c r="AT11" s="101"/>
      <c r="AU11" s="101"/>
      <c r="AV11" s="101"/>
      <c r="AW11" s="102"/>
      <c r="AX11" s="103"/>
      <c r="AY11" s="104"/>
      <c r="AZ11" s="104"/>
      <c r="BA11" s="104"/>
      <c r="BB11" s="105"/>
      <c r="BC11" s="100"/>
      <c r="BD11" s="101"/>
      <c r="BE11" s="101"/>
      <c r="BF11" s="101"/>
      <c r="BG11" s="102"/>
      <c r="BH11" s="103"/>
      <c r="BI11" s="104"/>
      <c r="BJ11" s="104"/>
      <c r="BK11" s="104"/>
      <c r="BL11" s="105"/>
      <c r="BM11" s="100"/>
      <c r="BN11" s="101"/>
      <c r="BO11" s="101"/>
      <c r="BP11" s="101"/>
      <c r="BQ11" s="102"/>
      <c r="BR11" s="103"/>
      <c r="BS11" s="104"/>
      <c r="BT11" s="104"/>
      <c r="BU11" s="208"/>
      <c r="BV11" s="212"/>
      <c r="BW11" s="100"/>
      <c r="BX11" s="101"/>
      <c r="BY11" s="101"/>
      <c r="BZ11" s="101"/>
      <c r="CA11" s="102"/>
      <c r="CB11" s="221"/>
      <c r="CC11" s="104"/>
      <c r="CD11" s="104"/>
      <c r="CE11" s="104"/>
      <c r="CF11" s="105"/>
      <c r="CG11" s="100"/>
      <c r="CH11" s="101"/>
      <c r="CI11" s="101"/>
      <c r="CJ11" s="101"/>
      <c r="CK11" s="102"/>
      <c r="CL11" s="103"/>
      <c r="CM11" s="104"/>
      <c r="CN11" s="104"/>
      <c r="CO11" s="104"/>
      <c r="CP11" s="105"/>
      <c r="CQ11" s="100"/>
      <c r="CR11" s="101"/>
      <c r="CS11" s="101"/>
      <c r="CT11" s="101"/>
      <c r="CU11" s="102"/>
      <c r="CV11" s="103"/>
      <c r="CW11" s="104"/>
      <c r="CX11" s="104"/>
      <c r="CY11" s="104"/>
      <c r="CZ11" s="105"/>
      <c r="DA11" s="100"/>
      <c r="DB11" s="101"/>
      <c r="DC11" s="101"/>
      <c r="DD11" s="101"/>
      <c r="DE11" s="102"/>
    </row>
    <row r="12" spans="1:165" x14ac:dyDescent="0.2">
      <c r="B12" s="48" t="s">
        <v>19</v>
      </c>
      <c r="C12" s="82"/>
      <c r="D12" s="49"/>
      <c r="E12" s="81"/>
      <c r="F12" s="42"/>
      <c r="G12" s="200"/>
      <c r="H12" s="42"/>
      <c r="I12" s="43"/>
      <c r="J12" s="77"/>
      <c r="K12" s="62"/>
      <c r="L12" s="200"/>
      <c r="M12" s="62"/>
      <c r="N12" s="44"/>
      <c r="O12" s="41"/>
      <c r="P12" s="42"/>
      <c r="Q12" s="200"/>
      <c r="R12" s="42"/>
      <c r="S12" s="43"/>
      <c r="T12" s="77"/>
      <c r="U12" s="62"/>
      <c r="V12" s="200"/>
      <c r="W12" s="62"/>
      <c r="X12" s="44"/>
      <c r="Y12" s="41"/>
      <c r="Z12" s="42"/>
      <c r="AA12" s="200"/>
      <c r="AB12" s="42"/>
      <c r="AC12" s="43"/>
      <c r="AD12" s="77"/>
      <c r="AE12" s="62"/>
      <c r="AF12" s="200"/>
      <c r="AG12" s="62"/>
      <c r="AH12" s="44"/>
      <c r="AI12" s="41"/>
      <c r="AJ12" s="42"/>
      <c r="AK12" s="200"/>
      <c r="AL12" s="42"/>
      <c r="AM12" s="43"/>
      <c r="AN12" s="219"/>
      <c r="AO12" s="200"/>
      <c r="AP12" s="200"/>
      <c r="AQ12" s="200"/>
      <c r="AR12" s="209"/>
      <c r="AS12" s="223"/>
      <c r="AT12" s="42"/>
      <c r="AU12" s="200"/>
      <c r="AV12" s="42"/>
      <c r="AW12" s="43"/>
      <c r="AX12" s="77"/>
      <c r="AY12" s="62"/>
      <c r="AZ12" s="200"/>
      <c r="BA12" s="62"/>
      <c r="BB12" s="44"/>
      <c r="BC12" s="41"/>
      <c r="BD12" s="42"/>
      <c r="BE12" s="200"/>
      <c r="BF12" s="42"/>
      <c r="BG12" s="43"/>
      <c r="BH12" s="77"/>
      <c r="BI12" s="62"/>
      <c r="BJ12" s="200"/>
      <c r="BK12" s="62"/>
      <c r="BL12" s="44"/>
      <c r="BM12" s="41"/>
      <c r="BN12" s="42"/>
      <c r="BO12" s="200"/>
      <c r="BP12" s="42"/>
      <c r="BQ12" s="43"/>
      <c r="BR12" s="77"/>
      <c r="BS12" s="62"/>
      <c r="BT12" s="200"/>
      <c r="BU12" s="200"/>
      <c r="BV12" s="209"/>
      <c r="BW12" s="41"/>
      <c r="BX12" s="42"/>
      <c r="BY12" s="200"/>
      <c r="BZ12" s="42"/>
      <c r="CA12" s="43"/>
      <c r="CB12" s="219"/>
      <c r="CC12" s="62"/>
      <c r="CD12" s="200"/>
      <c r="CE12" s="62"/>
      <c r="CF12" s="44"/>
      <c r="CG12" s="41"/>
      <c r="CH12" s="42"/>
      <c r="CI12" s="200"/>
      <c r="CJ12" s="42"/>
      <c r="CK12" s="43"/>
      <c r="CL12" s="77"/>
      <c r="CM12" s="62"/>
      <c r="CN12" s="200"/>
      <c r="CO12" s="62"/>
      <c r="CP12" s="44"/>
      <c r="CQ12" s="41"/>
      <c r="CR12" s="42"/>
      <c r="CS12" s="200"/>
      <c r="CT12" s="42"/>
      <c r="CU12" s="43"/>
      <c r="CV12" s="77"/>
      <c r="CW12" s="62"/>
      <c r="CX12" s="200"/>
      <c r="CY12" s="62"/>
      <c r="CZ12" s="44"/>
      <c r="DA12" s="41"/>
      <c r="DB12" s="42"/>
      <c r="DC12" s="200"/>
      <c r="DD12" s="42"/>
      <c r="DE12" s="43"/>
    </row>
    <row r="13" spans="1:165" x14ac:dyDescent="0.2">
      <c r="B13" s="448" t="s">
        <v>21</v>
      </c>
      <c r="C13" s="449"/>
      <c r="D13" s="450"/>
      <c r="E13" s="214"/>
      <c r="F13" s="51"/>
      <c r="G13" s="201"/>
      <c r="H13" s="51"/>
      <c r="I13" s="52"/>
      <c r="J13" s="69"/>
      <c r="K13" s="64"/>
      <c r="L13" s="201"/>
      <c r="M13" s="64"/>
      <c r="N13" s="53"/>
      <c r="O13" s="50"/>
      <c r="P13" s="51"/>
      <c r="Q13" s="201"/>
      <c r="R13" s="51"/>
      <c r="S13" s="52"/>
      <c r="T13" s="69"/>
      <c r="U13" s="64"/>
      <c r="V13" s="201"/>
      <c r="W13" s="64"/>
      <c r="X13" s="53"/>
      <c r="Y13" s="50"/>
      <c r="Z13" s="51"/>
      <c r="AA13" s="201"/>
      <c r="AB13" s="51"/>
      <c r="AC13" s="52"/>
      <c r="AD13" s="69"/>
      <c r="AE13" s="64"/>
      <c r="AF13" s="201"/>
      <c r="AG13" s="64"/>
      <c r="AH13" s="53"/>
      <c r="AI13" s="50"/>
      <c r="AJ13" s="51"/>
      <c r="AK13" s="201"/>
      <c r="AL13" s="51"/>
      <c r="AM13" s="52"/>
      <c r="AN13" s="220"/>
      <c r="AO13" s="201"/>
      <c r="AP13" s="201"/>
      <c r="AQ13" s="201"/>
      <c r="AR13" s="210"/>
      <c r="AS13" s="225"/>
      <c r="AT13" s="51"/>
      <c r="AU13" s="201"/>
      <c r="AV13" s="51"/>
      <c r="AW13" s="52"/>
      <c r="AX13" s="69"/>
      <c r="AY13" s="64"/>
      <c r="AZ13" s="201"/>
      <c r="BA13" s="64"/>
      <c r="BB13" s="53"/>
      <c r="BC13" s="50"/>
      <c r="BD13" s="51"/>
      <c r="BE13" s="201"/>
      <c r="BF13" s="51"/>
      <c r="BG13" s="52"/>
      <c r="BH13" s="69"/>
      <c r="BI13" s="64"/>
      <c r="BJ13" s="201"/>
      <c r="BK13" s="64"/>
      <c r="BL13" s="53"/>
      <c r="BM13" s="50"/>
      <c r="BN13" s="51"/>
      <c r="BO13" s="201"/>
      <c r="BP13" s="51"/>
      <c r="BQ13" s="52"/>
      <c r="BR13" s="69"/>
      <c r="BS13" s="64"/>
      <c r="BT13" s="201"/>
      <c r="BU13" s="201"/>
      <c r="BV13" s="210"/>
      <c r="BW13" s="50"/>
      <c r="BX13" s="51"/>
      <c r="BY13" s="201"/>
      <c r="BZ13" s="51"/>
      <c r="CA13" s="52"/>
      <c r="CB13" s="220"/>
      <c r="CC13" s="64"/>
      <c r="CD13" s="201"/>
      <c r="CE13" s="64"/>
      <c r="CF13" s="53"/>
      <c r="CG13" s="50"/>
      <c r="CH13" s="51"/>
      <c r="CI13" s="201"/>
      <c r="CJ13" s="51"/>
      <c r="CK13" s="52"/>
      <c r="CL13" s="69"/>
      <c r="CM13" s="64"/>
      <c r="CN13" s="201"/>
      <c r="CO13" s="64"/>
      <c r="CP13" s="53"/>
      <c r="CQ13" s="50"/>
      <c r="CR13" s="51"/>
      <c r="CS13" s="201"/>
      <c r="CT13" s="51"/>
      <c r="CU13" s="52"/>
      <c r="CV13" s="69"/>
      <c r="CW13" s="64"/>
      <c r="CX13" s="201"/>
      <c r="CY13" s="64"/>
      <c r="CZ13" s="53"/>
      <c r="DA13" s="50"/>
      <c r="DB13" s="51"/>
      <c r="DC13" s="201"/>
      <c r="DD13" s="51"/>
      <c r="DE13" s="52"/>
    </row>
    <row r="14" spans="1:165" x14ac:dyDescent="0.2">
      <c r="B14" s="448" t="s">
        <v>22</v>
      </c>
      <c r="C14" s="449"/>
      <c r="D14" s="450"/>
      <c r="E14" s="57"/>
      <c r="F14" s="51"/>
      <c r="G14" s="201"/>
      <c r="H14" s="51"/>
      <c r="I14" s="52"/>
      <c r="J14" s="69"/>
      <c r="K14" s="64"/>
      <c r="L14" s="201"/>
      <c r="M14" s="64"/>
      <c r="N14" s="45"/>
      <c r="O14" s="54"/>
      <c r="P14" s="51"/>
      <c r="Q14" s="201"/>
      <c r="R14" s="51"/>
      <c r="S14" s="52"/>
      <c r="T14" s="69"/>
      <c r="U14" s="64"/>
      <c r="V14" s="201"/>
      <c r="W14" s="64"/>
      <c r="X14" s="45"/>
      <c r="Y14" s="54"/>
      <c r="Z14" s="51"/>
      <c r="AA14" s="201"/>
      <c r="AB14" s="51"/>
      <c r="AC14" s="52"/>
      <c r="AD14" s="69"/>
      <c r="AE14" s="64"/>
      <c r="AF14" s="201"/>
      <c r="AG14" s="64"/>
      <c r="AH14" s="45"/>
      <c r="AI14" s="54"/>
      <c r="AJ14" s="51"/>
      <c r="AK14" s="201"/>
      <c r="AL14" s="51"/>
      <c r="AM14" s="52"/>
      <c r="AN14" s="220"/>
      <c r="AO14" s="201"/>
      <c r="AP14" s="201"/>
      <c r="AQ14" s="201"/>
      <c r="AR14" s="211"/>
      <c r="AS14" s="227"/>
      <c r="AT14" s="51"/>
      <c r="AU14" s="201"/>
      <c r="AV14" s="51"/>
      <c r="AW14" s="52"/>
      <c r="AX14" s="69"/>
      <c r="AY14" s="64"/>
      <c r="AZ14" s="201"/>
      <c r="BA14" s="64"/>
      <c r="BB14" s="45"/>
      <c r="BC14" s="54"/>
      <c r="BD14" s="51"/>
      <c r="BE14" s="201"/>
      <c r="BF14" s="51"/>
      <c r="BG14" s="52"/>
      <c r="BH14" s="69"/>
      <c r="BI14" s="64"/>
      <c r="BJ14" s="201"/>
      <c r="BK14" s="64"/>
      <c r="BL14" s="45"/>
      <c r="BM14" s="54"/>
      <c r="BN14" s="51"/>
      <c r="BO14" s="201"/>
      <c r="BP14" s="51"/>
      <c r="BQ14" s="52"/>
      <c r="BR14" s="69"/>
      <c r="BS14" s="64"/>
      <c r="BT14" s="201"/>
      <c r="BU14" s="201"/>
      <c r="BV14" s="211"/>
      <c r="BW14" s="54"/>
      <c r="BX14" s="51"/>
      <c r="BY14" s="201"/>
      <c r="BZ14" s="51"/>
      <c r="CA14" s="52"/>
      <c r="CB14" s="220"/>
      <c r="CC14" s="64"/>
      <c r="CD14" s="201"/>
      <c r="CE14" s="64"/>
      <c r="CF14" s="45"/>
      <c r="CG14" s="54"/>
      <c r="CH14" s="51"/>
      <c r="CI14" s="201"/>
      <c r="CJ14" s="51"/>
      <c r="CK14" s="52"/>
      <c r="CL14" s="69"/>
      <c r="CM14" s="64"/>
      <c r="CN14" s="201"/>
      <c r="CO14" s="64"/>
      <c r="CP14" s="45"/>
      <c r="CQ14" s="54"/>
      <c r="CR14" s="51"/>
      <c r="CS14" s="201"/>
      <c r="CT14" s="51"/>
      <c r="CU14" s="52"/>
      <c r="CV14" s="69"/>
      <c r="CW14" s="64"/>
      <c r="CX14" s="201"/>
      <c r="CY14" s="64"/>
      <c r="CZ14" s="45"/>
      <c r="DA14" s="54"/>
      <c r="DB14" s="51"/>
      <c r="DC14" s="201"/>
      <c r="DD14" s="51"/>
      <c r="DE14" s="52"/>
    </row>
    <row r="15" spans="1:165" ht="17" thickBot="1" x14ac:dyDescent="0.25">
      <c r="B15" s="448" t="s">
        <v>23</v>
      </c>
      <c r="C15" s="449"/>
      <c r="D15" s="450"/>
      <c r="E15" s="215"/>
      <c r="F15" s="90"/>
      <c r="G15" s="202"/>
      <c r="H15" s="90"/>
      <c r="I15" s="91"/>
      <c r="J15" s="92"/>
      <c r="K15" s="93"/>
      <c r="L15" s="202"/>
      <c r="M15" s="93"/>
      <c r="N15" s="94"/>
      <c r="O15" s="89"/>
      <c r="P15" s="90"/>
      <c r="Q15" s="202"/>
      <c r="R15" s="90"/>
      <c r="S15" s="91"/>
      <c r="T15" s="92"/>
      <c r="U15" s="93"/>
      <c r="V15" s="202"/>
      <c r="W15" s="93"/>
      <c r="X15" s="94"/>
      <c r="Y15" s="89"/>
      <c r="Z15" s="90"/>
      <c r="AA15" s="202"/>
      <c r="AB15" s="90"/>
      <c r="AC15" s="91"/>
      <c r="AD15" s="92"/>
      <c r="AE15" s="93"/>
      <c r="AF15" s="202"/>
      <c r="AG15" s="93"/>
      <c r="AH15" s="94"/>
      <c r="AI15" s="89"/>
      <c r="AJ15" s="90"/>
      <c r="AK15" s="202"/>
      <c r="AL15" s="90"/>
      <c r="AM15" s="91"/>
      <c r="AN15" s="222"/>
      <c r="AO15" s="202"/>
      <c r="AP15" s="202"/>
      <c r="AQ15" s="202"/>
      <c r="AR15" s="213"/>
      <c r="AS15" s="230"/>
      <c r="AT15" s="90"/>
      <c r="AU15" s="202"/>
      <c r="AV15" s="90"/>
      <c r="AW15" s="91"/>
      <c r="AX15" s="92"/>
      <c r="AY15" s="93"/>
      <c r="AZ15" s="202"/>
      <c r="BA15" s="93"/>
      <c r="BB15" s="94"/>
      <c r="BC15" s="89"/>
      <c r="BD15" s="90"/>
      <c r="BE15" s="202"/>
      <c r="BF15" s="90"/>
      <c r="BG15" s="91"/>
      <c r="BH15" s="92"/>
      <c r="BI15" s="93"/>
      <c r="BJ15" s="202"/>
      <c r="BK15" s="93"/>
      <c r="BL15" s="94"/>
      <c r="BM15" s="89"/>
      <c r="BN15" s="90"/>
      <c r="BO15" s="202"/>
      <c r="BP15" s="90"/>
      <c r="BQ15" s="91"/>
      <c r="BR15" s="92"/>
      <c r="BS15" s="93"/>
      <c r="BT15" s="202"/>
      <c r="BU15" s="202"/>
      <c r="BV15" s="213"/>
      <c r="BW15" s="89"/>
      <c r="BX15" s="90"/>
      <c r="BY15" s="202"/>
      <c r="BZ15" s="90"/>
      <c r="CA15" s="91"/>
      <c r="CB15" s="222"/>
      <c r="CC15" s="93"/>
      <c r="CD15" s="202"/>
      <c r="CE15" s="93"/>
      <c r="CF15" s="94"/>
      <c r="CG15" s="89"/>
      <c r="CH15" s="90"/>
      <c r="CI15" s="202"/>
      <c r="CJ15" s="90"/>
      <c r="CK15" s="91"/>
      <c r="CL15" s="92"/>
      <c r="CM15" s="93"/>
      <c r="CN15" s="202"/>
      <c r="CO15" s="93"/>
      <c r="CP15" s="94"/>
      <c r="CQ15" s="89"/>
      <c r="CR15" s="90"/>
      <c r="CS15" s="202"/>
      <c r="CT15" s="90"/>
      <c r="CU15" s="91"/>
      <c r="CV15" s="92"/>
      <c r="CW15" s="93"/>
      <c r="CX15" s="202"/>
      <c r="CY15" s="93"/>
      <c r="CZ15" s="94"/>
      <c r="DA15" s="89"/>
      <c r="DB15" s="90"/>
      <c r="DC15" s="202"/>
      <c r="DD15" s="90"/>
      <c r="DE15" s="91"/>
    </row>
    <row r="16" spans="1:165" x14ac:dyDescent="0.2">
      <c r="B16" s="448" t="s">
        <v>24</v>
      </c>
      <c r="C16" s="449"/>
      <c r="D16" s="450"/>
      <c r="E16" s="95"/>
      <c r="F16" s="96"/>
      <c r="G16" s="96"/>
      <c r="H16" s="96"/>
      <c r="I16" s="97"/>
      <c r="J16" s="98"/>
      <c r="K16" s="47"/>
      <c r="L16" s="47"/>
      <c r="M16" s="47"/>
      <c r="N16" s="63"/>
      <c r="O16" s="95"/>
      <c r="P16" s="96"/>
      <c r="Q16" s="96"/>
      <c r="R16" s="96"/>
      <c r="S16" s="97"/>
      <c r="T16" s="98"/>
      <c r="U16" s="47"/>
      <c r="V16" s="47"/>
      <c r="W16" s="47"/>
      <c r="X16" s="63"/>
      <c r="Y16" s="95"/>
      <c r="Z16" s="96"/>
      <c r="AA16" s="96"/>
      <c r="AB16" s="96"/>
      <c r="AC16" s="97"/>
      <c r="AD16" s="98"/>
      <c r="AE16" s="47"/>
      <c r="AF16" s="47"/>
      <c r="AG16" s="47"/>
      <c r="AH16" s="63"/>
      <c r="AI16" s="95"/>
      <c r="AJ16" s="96"/>
      <c r="AK16" s="96"/>
      <c r="AL16" s="96"/>
      <c r="AM16" s="97"/>
      <c r="AN16" s="98"/>
      <c r="AO16" s="47"/>
      <c r="AP16" s="47"/>
      <c r="AQ16" s="47"/>
      <c r="AR16" s="63"/>
      <c r="AS16" s="95"/>
      <c r="AT16" s="96"/>
      <c r="AU16" s="96"/>
      <c r="AV16" s="96"/>
      <c r="AW16" s="97"/>
      <c r="AX16" s="98"/>
      <c r="AY16" s="47"/>
      <c r="AZ16" s="47"/>
      <c r="BA16" s="47"/>
      <c r="BB16" s="63"/>
      <c r="BC16" s="95"/>
      <c r="BD16" s="96"/>
      <c r="BE16" s="96"/>
      <c r="BF16" s="96"/>
      <c r="BG16" s="97"/>
      <c r="BH16" s="98"/>
      <c r="BI16" s="47"/>
      <c r="BJ16" s="47"/>
      <c r="BK16" s="47"/>
      <c r="BL16" s="63"/>
      <c r="BM16" s="95"/>
      <c r="BN16" s="96"/>
      <c r="BO16" s="96"/>
      <c r="BP16" s="96"/>
      <c r="BQ16" s="97"/>
      <c r="BR16" s="98"/>
      <c r="BS16" s="47"/>
      <c r="BT16" s="47"/>
      <c r="BU16" s="47"/>
      <c r="BV16" s="63"/>
      <c r="BW16" s="95"/>
      <c r="BX16" s="96"/>
      <c r="BY16" s="96"/>
      <c r="BZ16" s="96"/>
      <c r="CA16" s="97"/>
      <c r="CB16" s="98"/>
      <c r="CC16" s="47"/>
      <c r="CD16" s="47"/>
      <c r="CE16" s="47"/>
      <c r="CF16" s="63"/>
      <c r="CG16" s="95"/>
      <c r="CH16" s="96"/>
      <c r="CI16" s="96"/>
      <c r="CJ16" s="96"/>
      <c r="CK16" s="97"/>
      <c r="CL16" s="98"/>
      <c r="CM16" s="47"/>
      <c r="CN16" s="47"/>
      <c r="CO16" s="47"/>
      <c r="CP16" s="63"/>
      <c r="CQ16" s="95"/>
      <c r="CR16" s="96"/>
      <c r="CS16" s="96"/>
      <c r="CT16" s="96"/>
      <c r="CU16" s="97"/>
      <c r="CV16" s="98"/>
      <c r="CW16" s="47"/>
      <c r="CX16" s="47"/>
      <c r="CY16" s="47"/>
      <c r="CZ16" s="63"/>
      <c r="DA16" s="95"/>
      <c r="DB16" s="96"/>
      <c r="DC16" s="96"/>
      <c r="DD16" s="96"/>
      <c r="DE16" s="97"/>
    </row>
    <row r="17" spans="2:109" x14ac:dyDescent="0.2">
      <c r="B17" s="448" t="s">
        <v>30</v>
      </c>
      <c r="C17" s="449"/>
      <c r="D17" s="450"/>
      <c r="E17" s="68"/>
      <c r="F17" s="65"/>
      <c r="G17" s="65"/>
      <c r="H17" s="65"/>
      <c r="I17" s="70"/>
      <c r="J17" s="67"/>
      <c r="K17" s="56"/>
      <c r="L17" s="56"/>
      <c r="M17" s="56"/>
      <c r="N17" s="66"/>
      <c r="O17" s="68"/>
      <c r="P17" s="65"/>
      <c r="Q17" s="65"/>
      <c r="R17" s="65"/>
      <c r="S17" s="70"/>
      <c r="T17" s="67"/>
      <c r="U17" s="56"/>
      <c r="V17" s="56"/>
      <c r="W17" s="56"/>
      <c r="X17" s="66"/>
      <c r="Y17" s="68"/>
      <c r="Z17" s="65"/>
      <c r="AA17" s="65"/>
      <c r="AB17" s="65"/>
      <c r="AC17" s="70"/>
      <c r="AD17" s="67"/>
      <c r="AE17" s="56"/>
      <c r="AF17" s="56"/>
      <c r="AG17" s="56"/>
      <c r="AH17" s="66"/>
      <c r="AI17" s="68"/>
      <c r="AJ17" s="65"/>
      <c r="AK17" s="65"/>
      <c r="AL17" s="65"/>
      <c r="AM17" s="70"/>
      <c r="AN17" s="67"/>
      <c r="AO17" s="56"/>
      <c r="AP17" s="56"/>
      <c r="AQ17" s="56"/>
      <c r="AR17" s="66"/>
      <c r="AS17" s="68"/>
      <c r="AT17" s="65"/>
      <c r="AU17" s="65"/>
      <c r="AV17" s="65"/>
      <c r="AW17" s="70"/>
      <c r="AX17" s="67"/>
      <c r="AY17" s="56"/>
      <c r="AZ17" s="56"/>
      <c r="BA17" s="56"/>
      <c r="BB17" s="66"/>
      <c r="BC17" s="68"/>
      <c r="BD17" s="65"/>
      <c r="BE17" s="65"/>
      <c r="BF17" s="65"/>
      <c r="BG17" s="70"/>
      <c r="BH17" s="67"/>
      <c r="BI17" s="56"/>
      <c r="BJ17" s="56"/>
      <c r="BK17" s="56"/>
      <c r="BL17" s="66"/>
      <c r="BM17" s="68"/>
      <c r="BN17" s="65"/>
      <c r="BO17" s="65"/>
      <c r="BP17" s="65"/>
      <c r="BQ17" s="70"/>
      <c r="BR17" s="67"/>
      <c r="BS17" s="56"/>
      <c r="BT17" s="56"/>
      <c r="BU17" s="56"/>
      <c r="BV17" s="66"/>
      <c r="BW17" s="68"/>
      <c r="BX17" s="65"/>
      <c r="BY17" s="65"/>
      <c r="BZ17" s="65"/>
      <c r="CA17" s="70"/>
      <c r="CB17" s="67"/>
      <c r="CC17" s="56"/>
      <c r="CD17" s="56"/>
      <c r="CE17" s="56"/>
      <c r="CF17" s="66"/>
      <c r="CG17" s="68"/>
      <c r="CH17" s="65"/>
      <c r="CI17" s="65"/>
      <c r="CJ17" s="65"/>
      <c r="CK17" s="70"/>
      <c r="CL17" s="67"/>
      <c r="CM17" s="56"/>
      <c r="CN17" s="56"/>
      <c r="CO17" s="56"/>
      <c r="CP17" s="66"/>
      <c r="CQ17" s="68"/>
      <c r="CR17" s="65"/>
      <c r="CS17" s="65"/>
      <c r="CT17" s="65"/>
      <c r="CU17" s="70"/>
      <c r="CV17" s="67"/>
      <c r="CW17" s="56"/>
      <c r="CX17" s="56"/>
      <c r="CY17" s="56"/>
      <c r="CZ17" s="66"/>
      <c r="DA17" s="68"/>
      <c r="DB17" s="65"/>
      <c r="DC17" s="65"/>
      <c r="DD17" s="65"/>
      <c r="DE17" s="70"/>
    </row>
    <row r="18" spans="2:109" x14ac:dyDescent="0.2">
      <c r="B18" s="448" t="s">
        <v>31</v>
      </c>
      <c r="C18" s="449"/>
      <c r="D18" s="450"/>
      <c r="E18" s="68"/>
      <c r="F18" s="65"/>
      <c r="G18" s="65"/>
      <c r="H18" s="65"/>
      <c r="I18" s="70"/>
      <c r="J18" s="67"/>
      <c r="K18" s="56"/>
      <c r="L18" s="56"/>
      <c r="M18" s="56"/>
      <c r="N18" s="66"/>
      <c r="O18" s="68"/>
      <c r="P18" s="65"/>
      <c r="Q18" s="65"/>
      <c r="R18" s="65"/>
      <c r="S18" s="70"/>
      <c r="T18" s="67"/>
      <c r="U18" s="56"/>
      <c r="V18" s="56"/>
      <c r="W18" s="56"/>
      <c r="X18" s="66"/>
      <c r="Y18" s="68"/>
      <c r="Z18" s="65"/>
      <c r="AA18" s="65"/>
      <c r="AB18" s="65"/>
      <c r="AC18" s="70"/>
      <c r="AD18" s="67"/>
      <c r="AE18" s="56"/>
      <c r="AF18" s="56"/>
      <c r="AG18" s="56"/>
      <c r="AH18" s="66"/>
      <c r="AI18" s="68"/>
      <c r="AJ18" s="65"/>
      <c r="AK18" s="65"/>
      <c r="AL18" s="65"/>
      <c r="AM18" s="70"/>
      <c r="AN18" s="67"/>
      <c r="AO18" s="56"/>
      <c r="AP18" s="56"/>
      <c r="AQ18" s="56"/>
      <c r="AR18" s="66"/>
      <c r="AS18" s="68"/>
      <c r="AT18" s="65"/>
      <c r="AU18" s="65"/>
      <c r="AV18" s="65"/>
      <c r="AW18" s="70"/>
      <c r="AX18" s="67"/>
      <c r="AY18" s="56"/>
      <c r="AZ18" s="56"/>
      <c r="BA18" s="56"/>
      <c r="BB18" s="66"/>
      <c r="BC18" s="68"/>
      <c r="BD18" s="65"/>
      <c r="BE18" s="65"/>
      <c r="BF18" s="65"/>
      <c r="BG18" s="70"/>
      <c r="BH18" s="67"/>
      <c r="BI18" s="56"/>
      <c r="BJ18" s="56"/>
      <c r="BK18" s="56"/>
      <c r="BL18" s="66"/>
      <c r="BM18" s="68"/>
      <c r="BN18" s="65"/>
      <c r="BO18" s="65"/>
      <c r="BP18" s="65"/>
      <c r="BQ18" s="70"/>
      <c r="BR18" s="67"/>
      <c r="BS18" s="56"/>
      <c r="BT18" s="56"/>
      <c r="BU18" s="56"/>
      <c r="BV18" s="66"/>
      <c r="BW18" s="68"/>
      <c r="BX18" s="65"/>
      <c r="BY18" s="65"/>
      <c r="BZ18" s="65"/>
      <c r="CA18" s="70"/>
      <c r="CB18" s="67"/>
      <c r="CC18" s="56"/>
      <c r="CD18" s="56"/>
      <c r="CE18" s="56"/>
      <c r="CF18" s="66"/>
      <c r="CG18" s="68"/>
      <c r="CH18" s="65"/>
      <c r="CI18" s="65"/>
      <c r="CJ18" s="65"/>
      <c r="CK18" s="70"/>
      <c r="CL18" s="67"/>
      <c r="CM18" s="56"/>
      <c r="CN18" s="56"/>
      <c r="CO18" s="56"/>
      <c r="CP18" s="66"/>
      <c r="CQ18" s="68"/>
      <c r="CR18" s="65"/>
      <c r="CS18" s="65"/>
      <c r="CT18" s="65"/>
      <c r="CU18" s="70"/>
      <c r="CV18" s="67"/>
      <c r="CW18" s="56"/>
      <c r="CX18" s="56"/>
      <c r="CY18" s="56"/>
      <c r="CZ18" s="66"/>
      <c r="DA18" s="68"/>
      <c r="DB18" s="65"/>
      <c r="DC18" s="65"/>
      <c r="DD18" s="65"/>
      <c r="DE18" s="70"/>
    </row>
    <row r="19" spans="2:109" x14ac:dyDescent="0.2">
      <c r="B19" s="448" t="s">
        <v>32</v>
      </c>
      <c r="C19" s="449"/>
      <c r="D19" s="450"/>
      <c r="E19" s="68"/>
      <c r="F19" s="65"/>
      <c r="G19" s="65"/>
      <c r="H19" s="65"/>
      <c r="I19" s="70"/>
      <c r="J19" s="67"/>
      <c r="K19" s="56"/>
      <c r="L19" s="56"/>
      <c r="M19" s="56"/>
      <c r="N19" s="66"/>
      <c r="O19" s="68"/>
      <c r="P19" s="65"/>
      <c r="Q19" s="65"/>
      <c r="R19" s="65"/>
      <c r="S19" s="70"/>
      <c r="T19" s="67"/>
      <c r="U19" s="56"/>
      <c r="V19" s="56"/>
      <c r="W19" s="56"/>
      <c r="X19" s="66"/>
      <c r="Y19" s="68"/>
      <c r="Z19" s="65"/>
      <c r="AA19" s="65"/>
      <c r="AB19" s="65"/>
      <c r="AC19" s="70"/>
      <c r="AD19" s="67"/>
      <c r="AE19" s="56"/>
      <c r="AF19" s="56"/>
      <c r="AG19" s="56"/>
      <c r="AH19" s="66"/>
      <c r="AI19" s="68"/>
      <c r="AJ19" s="65"/>
      <c r="AK19" s="65"/>
      <c r="AL19" s="65"/>
      <c r="AM19" s="70"/>
      <c r="AN19" s="67"/>
      <c r="AO19" s="56"/>
      <c r="AP19" s="56"/>
      <c r="AQ19" s="56"/>
      <c r="AR19" s="66"/>
      <c r="AS19" s="68"/>
      <c r="AT19" s="65"/>
      <c r="AU19" s="65"/>
      <c r="AV19" s="65"/>
      <c r="AW19" s="70"/>
      <c r="AX19" s="67"/>
      <c r="AY19" s="56"/>
      <c r="AZ19" s="56"/>
      <c r="BA19" s="56"/>
      <c r="BB19" s="66"/>
      <c r="BC19" s="68"/>
      <c r="BD19" s="65"/>
      <c r="BE19" s="65"/>
      <c r="BF19" s="65"/>
      <c r="BG19" s="70"/>
      <c r="BH19" s="67"/>
      <c r="BI19" s="56"/>
      <c r="BJ19" s="56"/>
      <c r="BK19" s="56"/>
      <c r="BL19" s="66"/>
      <c r="BM19" s="68"/>
      <c r="BN19" s="65"/>
      <c r="BO19" s="65"/>
      <c r="BP19" s="65"/>
      <c r="BQ19" s="70"/>
      <c r="BR19" s="67"/>
      <c r="BS19" s="56"/>
      <c r="BT19" s="56"/>
      <c r="BU19" s="56"/>
      <c r="BV19" s="66"/>
      <c r="BW19" s="68"/>
      <c r="BX19" s="65"/>
      <c r="BY19" s="65"/>
      <c r="BZ19" s="65"/>
      <c r="CA19" s="70"/>
      <c r="CB19" s="67"/>
      <c r="CC19" s="56"/>
      <c r="CD19" s="56"/>
      <c r="CE19" s="56"/>
      <c r="CF19" s="66"/>
      <c r="CG19" s="68"/>
      <c r="CH19" s="65"/>
      <c r="CI19" s="65"/>
      <c r="CJ19" s="65"/>
      <c r="CK19" s="70"/>
      <c r="CL19" s="67"/>
      <c r="CM19" s="56"/>
      <c r="CN19" s="56"/>
      <c r="CO19" s="56"/>
      <c r="CP19" s="66"/>
      <c r="CQ19" s="68"/>
      <c r="CR19" s="65"/>
      <c r="CS19" s="65"/>
      <c r="CT19" s="65"/>
      <c r="CU19" s="70"/>
      <c r="CV19" s="67"/>
      <c r="CW19" s="56"/>
      <c r="CX19" s="56"/>
      <c r="CY19" s="56"/>
      <c r="CZ19" s="66"/>
      <c r="DA19" s="68"/>
      <c r="DB19" s="65"/>
      <c r="DC19" s="65"/>
      <c r="DD19" s="65"/>
      <c r="DE19" s="70"/>
    </row>
    <row r="20" spans="2:109" x14ac:dyDescent="0.2">
      <c r="B20" s="448" t="s">
        <v>33</v>
      </c>
      <c r="C20" s="449"/>
      <c r="D20" s="450"/>
      <c r="E20" s="68"/>
      <c r="F20" s="65"/>
      <c r="G20" s="65"/>
      <c r="H20" s="65"/>
      <c r="I20" s="70"/>
      <c r="J20" s="67"/>
      <c r="K20" s="56"/>
      <c r="L20" s="56"/>
      <c r="M20" s="56"/>
      <c r="N20" s="66"/>
      <c r="O20" s="68"/>
      <c r="P20" s="65"/>
      <c r="Q20" s="65"/>
      <c r="R20" s="65"/>
      <c r="S20" s="70"/>
      <c r="T20" s="67"/>
      <c r="U20" s="56"/>
      <c r="V20" s="56"/>
      <c r="W20" s="56"/>
      <c r="X20" s="66"/>
      <c r="Y20" s="68"/>
      <c r="Z20" s="65"/>
      <c r="AA20" s="65"/>
      <c r="AB20" s="65"/>
      <c r="AC20" s="70"/>
      <c r="AD20" s="67"/>
      <c r="AE20" s="56"/>
      <c r="AF20" s="56"/>
      <c r="AG20" s="56"/>
      <c r="AH20" s="66"/>
      <c r="AI20" s="68"/>
      <c r="AJ20" s="65"/>
      <c r="AK20" s="65"/>
      <c r="AL20" s="65"/>
      <c r="AM20" s="70"/>
      <c r="AN20" s="67"/>
      <c r="AO20" s="56"/>
      <c r="AP20" s="56"/>
      <c r="AQ20" s="56"/>
      <c r="AR20" s="66"/>
      <c r="AS20" s="68"/>
      <c r="AT20" s="65"/>
      <c r="AU20" s="65"/>
      <c r="AV20" s="65"/>
      <c r="AW20" s="70"/>
      <c r="AX20" s="67"/>
      <c r="AY20" s="56"/>
      <c r="AZ20" s="56"/>
      <c r="BA20" s="56"/>
      <c r="BB20" s="66"/>
      <c r="BC20" s="68"/>
      <c r="BD20" s="65"/>
      <c r="BE20" s="65"/>
      <c r="BF20" s="65"/>
      <c r="BG20" s="70"/>
      <c r="BH20" s="67"/>
      <c r="BI20" s="56"/>
      <c r="BJ20" s="56"/>
      <c r="BK20" s="56"/>
      <c r="BL20" s="66"/>
      <c r="BM20" s="68"/>
      <c r="BN20" s="65"/>
      <c r="BO20" s="65"/>
      <c r="BP20" s="65"/>
      <c r="BQ20" s="70"/>
      <c r="BR20" s="67"/>
      <c r="BS20" s="56"/>
      <c r="BT20" s="56"/>
      <c r="BU20" s="56"/>
      <c r="BV20" s="66"/>
      <c r="BW20" s="68"/>
      <c r="BX20" s="65"/>
      <c r="BY20" s="65"/>
      <c r="BZ20" s="65"/>
      <c r="CA20" s="70"/>
      <c r="CB20" s="67"/>
      <c r="CC20" s="56"/>
      <c r="CD20" s="56"/>
      <c r="CE20" s="56"/>
      <c r="CF20" s="66"/>
      <c r="CG20" s="68"/>
      <c r="CH20" s="65"/>
      <c r="CI20" s="65"/>
      <c r="CJ20" s="65"/>
      <c r="CK20" s="70"/>
      <c r="CL20" s="67"/>
      <c r="CM20" s="56"/>
      <c r="CN20" s="56"/>
      <c r="CO20" s="56"/>
      <c r="CP20" s="66"/>
      <c r="CQ20" s="68"/>
      <c r="CR20" s="65"/>
      <c r="CS20" s="65"/>
      <c r="CT20" s="65"/>
      <c r="CU20" s="70"/>
      <c r="CV20" s="67"/>
      <c r="CW20" s="56"/>
      <c r="CX20" s="56"/>
      <c r="CY20" s="56"/>
      <c r="CZ20" s="66"/>
      <c r="DA20" s="68"/>
      <c r="DB20" s="65"/>
      <c r="DC20" s="65"/>
      <c r="DD20" s="65"/>
      <c r="DE20" s="70"/>
    </row>
    <row r="21" spans="2:109" ht="17" thickBot="1" x14ac:dyDescent="0.25">
      <c r="B21" s="451" t="s">
        <v>34</v>
      </c>
      <c r="C21" s="452"/>
      <c r="D21" s="453"/>
      <c r="E21" s="71"/>
      <c r="F21" s="72"/>
      <c r="G21" s="72"/>
      <c r="H21" s="72"/>
      <c r="I21" s="73"/>
      <c r="J21" s="74"/>
      <c r="K21" s="75"/>
      <c r="L21" s="75"/>
      <c r="M21" s="75"/>
      <c r="N21" s="76"/>
      <c r="O21" s="71"/>
      <c r="P21" s="72"/>
      <c r="Q21" s="72"/>
      <c r="R21" s="72"/>
      <c r="S21" s="73"/>
      <c r="T21" s="74"/>
      <c r="U21" s="75"/>
      <c r="V21" s="75"/>
      <c r="W21" s="75"/>
      <c r="X21" s="76"/>
      <c r="Y21" s="71"/>
      <c r="Z21" s="72"/>
      <c r="AA21" s="72"/>
      <c r="AB21" s="72"/>
      <c r="AC21" s="73"/>
      <c r="AD21" s="74"/>
      <c r="AE21" s="75"/>
      <c r="AF21" s="75"/>
      <c r="AG21" s="75"/>
      <c r="AH21" s="76"/>
      <c r="AI21" s="71"/>
      <c r="AJ21" s="72"/>
      <c r="AK21" s="72"/>
      <c r="AL21" s="72"/>
      <c r="AM21" s="73"/>
      <c r="AN21" s="74"/>
      <c r="AO21" s="75"/>
      <c r="AP21" s="75"/>
      <c r="AQ21" s="75"/>
      <c r="AR21" s="76"/>
      <c r="AS21" s="71"/>
      <c r="AT21" s="72"/>
      <c r="AU21" s="72"/>
      <c r="AV21" s="72"/>
      <c r="AW21" s="73"/>
      <c r="AX21" s="74"/>
      <c r="AY21" s="75"/>
      <c r="AZ21" s="75"/>
      <c r="BA21" s="75"/>
      <c r="BB21" s="76"/>
      <c r="BC21" s="71"/>
      <c r="BD21" s="72"/>
      <c r="BE21" s="72"/>
      <c r="BF21" s="72"/>
      <c r="BG21" s="73"/>
      <c r="BH21" s="74"/>
      <c r="BI21" s="75"/>
      <c r="BJ21" s="75"/>
      <c r="BK21" s="75"/>
      <c r="BL21" s="76"/>
      <c r="BM21" s="71"/>
      <c r="BN21" s="72"/>
      <c r="BO21" s="72"/>
      <c r="BP21" s="72"/>
      <c r="BQ21" s="73"/>
      <c r="BR21" s="74"/>
      <c r="BS21" s="75"/>
      <c r="BT21" s="75"/>
      <c r="BU21" s="75"/>
      <c r="BV21" s="76"/>
      <c r="BW21" s="71"/>
      <c r="BX21" s="72"/>
      <c r="BY21" s="72"/>
      <c r="BZ21" s="72"/>
      <c r="CA21" s="73"/>
      <c r="CB21" s="74"/>
      <c r="CC21" s="75"/>
      <c r="CD21" s="75"/>
      <c r="CE21" s="75"/>
      <c r="CF21" s="76"/>
      <c r="CG21" s="71"/>
      <c r="CH21" s="72"/>
      <c r="CI21" s="72"/>
      <c r="CJ21" s="72"/>
      <c r="CK21" s="73"/>
      <c r="CL21" s="74"/>
      <c r="CM21" s="75"/>
      <c r="CN21" s="75"/>
      <c r="CO21" s="75"/>
      <c r="CP21" s="76"/>
      <c r="CQ21" s="71"/>
      <c r="CR21" s="72"/>
      <c r="CS21" s="72"/>
      <c r="CT21" s="72"/>
      <c r="CU21" s="73"/>
      <c r="CV21" s="74"/>
      <c r="CW21" s="75"/>
      <c r="CX21" s="75"/>
      <c r="CY21" s="75"/>
      <c r="CZ21" s="76"/>
      <c r="DA21" s="71"/>
      <c r="DB21" s="72"/>
      <c r="DC21" s="72"/>
      <c r="DD21" s="72"/>
      <c r="DE21" s="73"/>
    </row>
    <row r="22" spans="2:109" s="136" customFormat="1" ht="17" thickBot="1" x14ac:dyDescent="0.25"/>
    <row r="23" spans="2:109" ht="17" thickBot="1" x14ac:dyDescent="0.25">
      <c r="C23" s="198" t="s">
        <v>37</v>
      </c>
      <c r="D23" s="199" t="s">
        <v>38</v>
      </c>
    </row>
    <row r="24" spans="2:109" x14ac:dyDescent="0.2">
      <c r="B24" s="83" t="str">
        <f>IFERROR(INDEX(_xlfn._xlws.FILTER(Ressourcer!$B$1:$X$1,_xlfn.BYCOL(Ressourcer!$B$17:$X$20,_xlfn.LAMBDA(_xlpm.c,COUNTIF(_xlpm.c,"&lt;&gt;" )&gt;0))),ROWS($B$2:B2)),"")</f>
        <v>AJKS</v>
      </c>
      <c r="C24" s="80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)&gt;0))),_xlfn.LAMBDA(_xlpm.col,SUM(INDEX(Ressourcer!$B$17:$X$20,,_xlpm.col-COLUMN(Ressourcer!$B$17:$X$20)+1)))),ROWS($B$2:B2))/2,"")</f>
        <v>45</v>
      </c>
      <c r="D24" s="106" t="str">
        <f t="shared" ref="D24:D36" si="22">IF(SUM(E24:DE24)=0,"",SUM(E24:DE24))</f>
        <v/>
      </c>
      <c r="E24" s="81">
        <f>IF($B24="","",IF(COUNTIF(E$16:E$21,$B24)&gt;0,COUNTA(E$7:E$15),0))</f>
        <v>0</v>
      </c>
      <c r="F24" s="46">
        <f>IF($B24="","",IF(COUNTIF(F$16:F$21,$B24)&gt;0,COUNTA(F$7:F$15),0))</f>
        <v>0</v>
      </c>
      <c r="G24" s="46">
        <f>IF($B24="","",IF(COUNTIF(G$16:G$21,$B24)&gt;0,COUNTA(G$7:G$15),0))</f>
        <v>0</v>
      </c>
      <c r="H24" s="46">
        <f>IF($B24="","",IF(COUNTIF(H$16:H$21,$B24)&gt;0,COUNTA(H$7:H$15),0))</f>
        <v>0</v>
      </c>
      <c r="I24" s="46">
        <f>IF($B24="","",IF(COUNTIF(I$16:I$21,$B24)&gt;0,COUNTA(I$7:I$15),0))</f>
        <v>0</v>
      </c>
      <c r="J24" s="46">
        <f>IF($B24="","",IF(COUNTIF(J$16:J$21,$B24)&gt;0,COUNTA(J$7:J$15),0))</f>
        <v>0</v>
      </c>
      <c r="K24" s="46">
        <f>IF($B24="","",IF(COUNTIF(K$16:K$21,$B24)&gt;0,COUNTA(K$7:K$15),0))</f>
        <v>0</v>
      </c>
      <c r="L24" s="46">
        <f>IF($B24="","",IF(COUNTIF(L$16:L$21,$B24)&gt;0,COUNTA(L$7:L$15),0))</f>
        <v>0</v>
      </c>
      <c r="M24" s="46">
        <f>IF($B24="","",IF(COUNTIF(M$16:M$21,$B24)&gt;0,COUNTA(M$7:M$15),0))</f>
        <v>0</v>
      </c>
      <c r="N24" s="46">
        <f>IF($B24="","",IF(COUNTIF(N$16:N$21,$B24)&gt;0,COUNTA(N$7:N$15),0))</f>
        <v>0</v>
      </c>
      <c r="O24" s="46">
        <f>IF($B24="","",IF(COUNTIF(O$16:O$21,$B24)&gt;0,COUNTA(O$7:O$15),0))</f>
        <v>0</v>
      </c>
      <c r="P24" s="46">
        <f>IF($B24="","",IF(COUNTIF(P$16:P$21,$B24)&gt;0,COUNTA(P$7:P$15),0))</f>
        <v>0</v>
      </c>
      <c r="Q24" s="46">
        <f>IF($B24="","",IF(COUNTIF(Q$16:Q$21,$B24)&gt;0,COUNTA(Q$7:Q$15),0))</f>
        <v>0</v>
      </c>
      <c r="R24" s="46">
        <f>IF($B24="","",IF(COUNTIF(R$16:R$21,$B24)&gt;0,COUNTA(R$7:R$15),0))</f>
        <v>0</v>
      </c>
      <c r="S24" s="46">
        <f>IF($B24="","",IF(COUNTIF(S$16:S$21,$B24)&gt;0,COUNTA(S$7:S$15),0))</f>
        <v>0</v>
      </c>
      <c r="T24" s="46">
        <f>IF($B24="","",IF(COUNTIF(T$16:T$21,$B24)&gt;0,COUNTA(T$7:T$15),0))</f>
        <v>0</v>
      </c>
      <c r="U24" s="46">
        <f>IF($B24="","",IF(COUNTIF(U$16:U$21,$B24)&gt;0,COUNTA(U$7:U$15),0))</f>
        <v>0</v>
      </c>
      <c r="V24" s="46">
        <f>IF($B24="","",IF(COUNTIF(V$16:V$21,$B24)&gt;0,COUNTA(V$7:V$15),0))</f>
        <v>0</v>
      </c>
      <c r="W24" s="46">
        <f>IF($B24="","",IF(COUNTIF(W$16:W$21,$B24)&gt;0,COUNTA(W$7:W$15),0))</f>
        <v>0</v>
      </c>
      <c r="X24" s="46">
        <f>IF($B24="","",IF(COUNTIF(X$16:X$21,$B24)&gt;0,COUNTA(X$7:X$15),0))</f>
        <v>0</v>
      </c>
      <c r="Y24" s="46">
        <f>IF($B24="","",IF(COUNTIF(Y$16:Y$21,$B24)&gt;0,COUNTA(Y$7:Y$15),0))</f>
        <v>0</v>
      </c>
      <c r="Z24" s="46">
        <f>IF($B24="","",IF(COUNTIF(Z$16:Z$21,$B24)&gt;0,COUNTA(Z$7:Z$15),0))</f>
        <v>0</v>
      </c>
      <c r="AA24" s="46">
        <f>IF($B24="","",IF(COUNTIF(AA$16:AA$21,$B24)&gt;0,COUNTA(AA$7:AA$15),0))</f>
        <v>0</v>
      </c>
      <c r="AB24" s="46">
        <f>IF($B24="","",IF(COUNTIF(AB$16:AB$21,$B24)&gt;0,COUNTA(AB$7:AB$15),0))</f>
        <v>0</v>
      </c>
      <c r="AC24" s="46">
        <f>IF($B24="","",IF(COUNTIF(AC$16:AC$21,$B24)&gt;0,COUNTA(AC$7:AC$15),0))</f>
        <v>0</v>
      </c>
      <c r="AD24" s="46">
        <f>IF($B24="","",IF(COUNTIF(AD$16:AD$21,$B24)&gt;0,COUNTA(AD$7:AD$15),0))</f>
        <v>0</v>
      </c>
      <c r="AE24" s="46">
        <f>IF($B24="","",IF(COUNTIF(AE$16:AE$21,$B24)&gt;0,COUNTA(AE$7:AE$15),0))</f>
        <v>0</v>
      </c>
      <c r="AF24" s="46">
        <f>IF($B24="","",IF(COUNTIF(AF$16:AF$21,$B24)&gt;0,COUNTA(AF$7:AF$15),0))</f>
        <v>0</v>
      </c>
      <c r="AG24" s="46">
        <f>IF($B24="","",IF(COUNTIF(AG$16:AG$21,$B24)&gt;0,COUNTA(AG$7:AG$15),0))</f>
        <v>0</v>
      </c>
      <c r="AH24" s="46">
        <f>IF($B24="","",IF(COUNTIF(AH$16:AH$21,$B24)&gt;0,COUNTA(AH$7:AH$15),0))</f>
        <v>0</v>
      </c>
      <c r="AI24" s="46">
        <f>IF($B24="","",IF(COUNTIF(AI$16:AI$21,$B24)&gt;0,COUNTA(AI$7:AI$15),0))</f>
        <v>0</v>
      </c>
      <c r="AJ24" s="46">
        <f>IF($B24="","",IF(COUNTIF(AJ$16:AJ$21,$B24)&gt;0,COUNTA(AJ$7:AJ$15),0))</f>
        <v>0</v>
      </c>
      <c r="AK24" s="46">
        <f>IF($B24="","",IF(COUNTIF(AK$16:AK$21,$B24)&gt;0,COUNTA(AK$7:AK$15),0))</f>
        <v>0</v>
      </c>
      <c r="AL24" s="46">
        <f>IF($B24="","",IF(COUNTIF(AL$16:AL$21,$B24)&gt;0,COUNTA(AL$7:AL$15),0))</f>
        <v>0</v>
      </c>
      <c r="AM24" s="46">
        <f>IF($B24="","",IF(COUNTIF(AM$16:AM$21,$B24)&gt;0,COUNTA(AM$7:AM$15),0))</f>
        <v>0</v>
      </c>
      <c r="AN24" s="46">
        <f>IF($B24="","",IF(COUNTIF(AN$16:AN$21,$B24)&gt;0,COUNTA(AN$7:AN$15),0))</f>
        <v>0</v>
      </c>
      <c r="AO24" s="46">
        <f>IF($B24="","",IF(COUNTIF(AO$16:AO$21,$B24)&gt;0,COUNTA(AO$7:AO$15),0))</f>
        <v>0</v>
      </c>
      <c r="AP24" s="46">
        <f>IF($B24="","",IF(COUNTIF(AP$16:AP$21,$B24)&gt;0,COUNTA(AP$7:AP$15),0))</f>
        <v>0</v>
      </c>
      <c r="AQ24" s="46">
        <f>IF($B24="","",IF(COUNTIF(AQ$16:AQ$21,$B24)&gt;0,COUNTA(AQ$7:AQ$15),0))</f>
        <v>0</v>
      </c>
      <c r="AR24" s="46">
        <f>IF($B24="","",IF(COUNTIF(AR$16:AR$21,$B24)&gt;0,COUNTA(AR$7:AR$15),0))</f>
        <v>0</v>
      </c>
      <c r="AS24" s="46">
        <f>IF($B24="","",IF(COUNTIF(AS$16:AS$21,$B24)&gt;0,COUNTA(AS$7:AS$15),0))</f>
        <v>0</v>
      </c>
      <c r="AT24" s="46">
        <f>IF($B24="","",IF(COUNTIF(AT$16:AT$21,$B24)&gt;0,COUNTA(AT$7:AT$15),0))</f>
        <v>0</v>
      </c>
      <c r="AU24" s="46">
        <f>IF($B24="","",IF(COUNTIF(AU$16:AU$21,$B24)&gt;0,COUNTA(AU$7:AU$15),0))</f>
        <v>0</v>
      </c>
      <c r="AV24" s="46">
        <f>IF($B24="","",IF(COUNTIF(AV$16:AV$21,$B24)&gt;0,COUNTA(AV$7:AV$15),0))</f>
        <v>0</v>
      </c>
      <c r="AW24" s="46">
        <f>IF($B24="","",IF(COUNTIF(AW$16:AW$21,$B24)&gt;0,COUNTA(AW$7:AW$15),0))</f>
        <v>0</v>
      </c>
      <c r="AX24" s="46">
        <f>IF($B24="","",IF(COUNTIF(AX$16:AX$21,$B24)&gt;0,COUNTA(AX$7:AX$15),0))</f>
        <v>0</v>
      </c>
      <c r="AY24" s="46">
        <f>IF($B24="","",IF(COUNTIF(AY$16:AY$21,$B24)&gt;0,COUNTA(AY$7:AY$15),0))</f>
        <v>0</v>
      </c>
      <c r="AZ24" s="46">
        <f>IF($B24="","",IF(COUNTIF(AZ$16:AZ$21,$B24)&gt;0,COUNTA(AZ$7:AZ$15),0))</f>
        <v>0</v>
      </c>
      <c r="BA24" s="46">
        <f>IF($B24="","",IF(COUNTIF(BA$16:BA$21,$B24)&gt;0,COUNTA(BA$7:BA$15),0))</f>
        <v>0</v>
      </c>
      <c r="BB24" s="46">
        <f>IF($B24="","",IF(COUNTIF(BB$16:BB$21,$B24)&gt;0,COUNTA(BB$7:BB$15),0))</f>
        <v>0</v>
      </c>
      <c r="BC24" s="46">
        <f>IF($B24="","",IF(COUNTIF(BC$16:BC$21,$B24)&gt;0,COUNTA(BC$7:BC$15),0))</f>
        <v>0</v>
      </c>
      <c r="BD24" s="46">
        <f>IF($B24="","",IF(COUNTIF(BD$16:BD$21,$B24)&gt;0,COUNTA(BD$7:BD$15),0))</f>
        <v>0</v>
      </c>
      <c r="BE24" s="46">
        <f>IF($B24="","",IF(COUNTIF(BE$16:BE$21,$B24)&gt;0,COUNTA(BE$7:BE$15),0))</f>
        <v>0</v>
      </c>
      <c r="BF24" s="46">
        <f>IF($B24="","",IF(COUNTIF(BF$16:BF$21,$B24)&gt;0,COUNTA(BF$7:BF$15),0))</f>
        <v>0</v>
      </c>
      <c r="BG24" s="46">
        <f>IF($B24="","",IF(COUNTIF(BG$16:BG$21,$B24)&gt;0,COUNTA(BG$7:BG$15),0))</f>
        <v>0</v>
      </c>
      <c r="BH24" s="46">
        <f>IF($B24="","",IF(COUNTIF(BH$16:BH$21,$B24)&gt;0,COUNTA(BH$7:BH$15),0))</f>
        <v>0</v>
      </c>
      <c r="BI24" s="46">
        <f>IF($B24="","",IF(COUNTIF(BI$16:BI$21,$B24)&gt;0,COUNTA(BI$7:BI$15),0))</f>
        <v>0</v>
      </c>
      <c r="BJ24" s="46">
        <f>IF($B24="","",IF(COUNTIF(BJ$16:BJ$21,$B24)&gt;0,COUNTA(BJ$7:BJ$15),0))</f>
        <v>0</v>
      </c>
      <c r="BK24" s="46">
        <f>IF($B24="","",IF(COUNTIF(BK$16:BK$21,$B24)&gt;0,COUNTA(BK$7:BK$15),0))</f>
        <v>0</v>
      </c>
      <c r="BL24" s="46">
        <f>IF($B24="","",IF(COUNTIF(BL$16:BL$21,$B24)&gt;0,COUNTA(BL$7:BL$15),0))</f>
        <v>0</v>
      </c>
      <c r="BM24" s="46">
        <f>IF($B24="","",IF(COUNTIF(BM$16:BM$21,$B24)&gt;0,COUNTA(BM$7:BM$15),0))</f>
        <v>0</v>
      </c>
      <c r="BN24" s="46">
        <f>IF($B24="","",IF(COUNTIF(BN$16:BN$21,$B24)&gt;0,COUNTA(BN$7:BN$15),0))</f>
        <v>0</v>
      </c>
      <c r="BO24" s="46">
        <f>IF($B24="","",IF(COUNTIF(BO$16:BO$21,$B24)&gt;0,COUNTA(BO$7:BO$15),0))</f>
        <v>0</v>
      </c>
      <c r="BP24" s="46">
        <f>IF($B24="","",IF(COUNTIF(BP$16:BP$21,$B24)&gt;0,COUNTA(BP$7:BP$15),0))</f>
        <v>0</v>
      </c>
      <c r="BQ24" s="46">
        <f>IF($B24="","",IF(COUNTIF(BQ$16:BQ$21,$B24)&gt;0,COUNTA(BQ$7:BQ$15),0))</f>
        <v>0</v>
      </c>
      <c r="BR24" s="46">
        <f>IF($B24="","",IF(COUNTIF(BR$16:BR$21,$B24)&gt;0,COUNTA(BR$7:BR$15),0))</f>
        <v>0</v>
      </c>
      <c r="BS24" s="46">
        <f>IF($B24="","",IF(COUNTIF(BS$16:BS$21,$B24)&gt;0,COUNTA(BS$7:BS$15),0))</f>
        <v>0</v>
      </c>
      <c r="BT24" s="46">
        <f>IF($B24="","",IF(COUNTIF(BT$16:BT$21,$B24)&gt;0,COUNTA(BT$7:BT$15),0))</f>
        <v>0</v>
      </c>
      <c r="BU24" s="46">
        <f>IF($B24="","",IF(COUNTIF(BU$16:BU$21,$B24)&gt;0,COUNTA(BU$7:BU$15),0))</f>
        <v>0</v>
      </c>
      <c r="BV24" s="46">
        <f>IF($B24="","",IF(COUNTIF(BV$16:BV$21,$B24)&gt;0,COUNTA(BV$7:BV$15),0))</f>
        <v>0</v>
      </c>
      <c r="BW24" s="46">
        <f>IF($B24="","",IF(COUNTIF(BW$16:BW$21,$B24)&gt;0,COUNTA(BW$7:BW$15),0))</f>
        <v>0</v>
      </c>
      <c r="BX24" s="46">
        <f>IF($B24="","",IF(COUNTIF(BX$16:BX$21,$B24)&gt;0,COUNTA(BX$7:BX$15),0))</f>
        <v>0</v>
      </c>
      <c r="BY24" s="46">
        <f>IF($B24="","",IF(COUNTIF(BY$16:BY$21,$B24)&gt;0,COUNTA(BY$7:BY$15),0))</f>
        <v>0</v>
      </c>
      <c r="BZ24" s="46">
        <f>IF($B24="","",IF(COUNTIF(BZ$16:BZ$21,$B24)&gt;0,COUNTA(BZ$7:BZ$15),0))</f>
        <v>0</v>
      </c>
      <c r="CA24" s="46">
        <f>IF($B24="","",IF(COUNTIF(CA$16:CA$21,$B24)&gt;0,COUNTA(CA$7:CA$15),0))</f>
        <v>0</v>
      </c>
      <c r="CB24" s="46">
        <f>IF($B24="","",IF(COUNTIF(CB$16:CB$21,$B24)&gt;0,COUNTA(CB$7:CB$15),0))</f>
        <v>0</v>
      </c>
      <c r="CC24" s="46">
        <f>IF($B24="","",IF(COUNTIF(CC$16:CC$21,$B24)&gt;0,COUNTA(CC$7:CC$15),0))</f>
        <v>0</v>
      </c>
      <c r="CD24" s="46">
        <f>IF($B24="","",IF(COUNTIF(CD$16:CD$21,$B24)&gt;0,COUNTA(CD$7:CD$15),0))</f>
        <v>0</v>
      </c>
      <c r="CE24" s="46">
        <f>IF($B24="","",IF(COUNTIF(CE$16:CE$21,$B24)&gt;0,COUNTA(CE$7:CE$15),0))</f>
        <v>0</v>
      </c>
      <c r="CF24" s="46">
        <f>IF($B24="","",IF(COUNTIF(CF$16:CF$21,$B24)&gt;0,COUNTA(CF$7:CF$15),0))</f>
        <v>0</v>
      </c>
      <c r="CG24" s="46">
        <f>IF($B24="","",IF(COUNTIF(CG$16:CG$21,$B24)&gt;0,COUNTA(CG$7:CG$15),0))</f>
        <v>0</v>
      </c>
      <c r="CH24" s="46">
        <f>IF($B24="","",IF(COUNTIF(CH$16:CH$21,$B24)&gt;0,COUNTA(CH$7:CH$15),0))</f>
        <v>0</v>
      </c>
      <c r="CI24" s="46">
        <f>IF($B24="","",IF(COUNTIF(CI$16:CI$21,$B24)&gt;0,COUNTA(CI$7:CI$15),0))</f>
        <v>0</v>
      </c>
      <c r="CJ24" s="46">
        <f>IF($B24="","",IF(COUNTIF(CJ$16:CJ$21,$B24)&gt;0,COUNTA(CJ$7:CJ$15),0))</f>
        <v>0</v>
      </c>
      <c r="CK24" s="46">
        <f>IF($B24="","",IF(COUNTIF(CK$16:CK$21,$B24)&gt;0,COUNTA(CK$7:CK$15),0))</f>
        <v>0</v>
      </c>
      <c r="CL24" s="46">
        <f>IF($B24="","",IF(COUNTIF(CL$16:CL$21,$B24)&gt;0,COUNTA(CL$7:CL$15),0))</f>
        <v>0</v>
      </c>
      <c r="CM24" s="46">
        <f>IF($B24="","",IF(COUNTIF(CM$16:CM$21,$B24)&gt;0,COUNTA(CM$7:CM$15),0))</f>
        <v>0</v>
      </c>
      <c r="CN24" s="46">
        <f>IF($B24="","",IF(COUNTIF(CN$16:CN$21,$B24)&gt;0,COUNTA(CN$7:CN$15),0))</f>
        <v>0</v>
      </c>
      <c r="CO24" s="46">
        <f>IF($B24="","",IF(COUNTIF(CO$16:CO$21,$B24)&gt;0,COUNTA(CO$7:CO$15),0))</f>
        <v>0</v>
      </c>
      <c r="CP24" s="46">
        <f>IF($B24="","",IF(COUNTIF(CP$16:CP$21,$B24)&gt;0,COUNTA(CP$7:CP$15),0))</f>
        <v>0</v>
      </c>
      <c r="CQ24" s="46">
        <f>IF($B24="","",IF(COUNTIF(CQ$16:CQ$21,$B24)&gt;0,COUNTA(CQ$7:CQ$15),0))</f>
        <v>0</v>
      </c>
      <c r="CR24" s="46">
        <f>IF($B24="","",IF(COUNTIF(CR$16:CR$21,$B24)&gt;0,COUNTA(CR$7:CR$15),0))</f>
        <v>0</v>
      </c>
      <c r="CS24" s="46">
        <f>IF($B24="","",IF(COUNTIF(CS$16:CS$21,$B24)&gt;0,COUNTA(CS$7:CS$15),0))</f>
        <v>0</v>
      </c>
      <c r="CT24" s="46">
        <f>IF($B24="","",IF(COUNTIF(CT$16:CT$21,$B24)&gt;0,COUNTA(CT$7:CT$15),0))</f>
        <v>0</v>
      </c>
      <c r="CU24" s="46">
        <f>IF($B24="","",IF(COUNTIF(CU$16:CU$21,$B24)&gt;0,COUNTA(CU$7:CU$15),0))</f>
        <v>0</v>
      </c>
      <c r="CV24" s="46">
        <f>IF($B24="","",IF(COUNTIF(CV$16:CV$21,$B24)&gt;0,COUNTA(CV$7:CV$15),0))</f>
        <v>0</v>
      </c>
      <c r="CW24" s="46">
        <f>IF($B24="","",IF(COUNTIF(CW$16:CW$21,$B24)&gt;0,COUNTA(CW$7:CW$15),0))</f>
        <v>0</v>
      </c>
      <c r="CX24" s="46">
        <f>IF($B24="","",IF(COUNTIF(CX$16:CX$21,$B24)&gt;0,COUNTA(CX$7:CX$15),0))</f>
        <v>0</v>
      </c>
      <c r="CY24" s="46">
        <f>IF($B24="","",IF(COUNTIF(CY$16:CY$21,$B24)&gt;0,COUNTA(CY$7:CY$15),0))</f>
        <v>0</v>
      </c>
      <c r="CZ24" s="46">
        <f>IF($B24="","",IF(COUNTIF(CZ$16:CZ$21,$B24)&gt;0,COUNTA(CZ$7:CZ$15),0))</f>
        <v>0</v>
      </c>
      <c r="DA24" s="46">
        <f>IF($B24="","",IF(COUNTIF(DA$16:DA$21,$B24)&gt;0,COUNTA(DA$7:DA$15),0))</f>
        <v>0</v>
      </c>
      <c r="DB24" s="46">
        <f>IF($B24="","",IF(COUNTIF(DB$16:DB$21,$B24)&gt;0,COUNTA(DB$7:DB$15),0))</f>
        <v>0</v>
      </c>
      <c r="DC24" s="46">
        <f>IF($B24="","",IF(COUNTIF(DC$16:DC$21,$B24)&gt;0,COUNTA(DC$7:DC$15),0))</f>
        <v>0</v>
      </c>
      <c r="DD24" s="46">
        <f>IF($B24="","",IF(COUNTIF(DD$16:DD$21,$B24)&gt;0,COUNTA(DD$7:DD$15),0))</f>
        <v>0</v>
      </c>
      <c r="DE24" s="78">
        <f>IF($B24="","",IF(COUNTIF(DE$16:DE$21,$B24)&gt;0,COUNTA(DE$7:DE$15),0))</f>
        <v>0</v>
      </c>
    </row>
    <row r="25" spans="2:109" x14ac:dyDescent="0.2">
      <c r="B25" s="84" t="str">
        <f>IFERROR(INDEX(_xlfn._xlws.FILTER(Ressourcer!$B$1:$X$1,_xlfn.BYCOL(Ressourcer!$B$17:$X$20,_xlfn.LAMBDA(_xlpm.c,COUNTIF(_xlpm.c,"&lt;&gt;" )&gt;0))),ROWS($B$2:B3)),"")</f>
        <v>HESS</v>
      </c>
      <c r="C25" s="79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)&gt;0))),_xlfn.LAMBDA(_xlpm.col,SUM(INDEX(Ressourcer!$B$17:$X$20,,_xlpm.col-COLUMN(Ressourcer!$B$17:$X$20)+1)))),ROWS($B$2:B3))/2,"")</f>
        <v>25</v>
      </c>
      <c r="D25" s="106" t="str">
        <f t="shared" si="22"/>
        <v/>
      </c>
      <c r="E25" s="57">
        <f>IF($B25="","",IF(COUNTIF(E$16:E$21,$B25)&gt;0,COUNTA(E$7:E$15),0))</f>
        <v>0</v>
      </c>
      <c r="F25" s="55">
        <f>IF($B25="","",IF(COUNTIF(F$16:F$21,$B25)&gt;0,COUNTA(F$7:F$15),0))</f>
        <v>0</v>
      </c>
      <c r="G25" s="55">
        <f>IF($B25="","",IF(COUNTIF(G$16:G$21,$B25)&gt;0,COUNTA(G$7:G$15),0))</f>
        <v>0</v>
      </c>
      <c r="H25" s="55">
        <f>IF($B25="","",IF(COUNTIF(H$16:H$21,$B25)&gt;0,COUNTA(H$7:H$15),0))</f>
        <v>0</v>
      </c>
      <c r="I25" s="55">
        <f>IF($B25="","",IF(COUNTIF(I$16:I$21,$B25)&gt;0,COUNTA(I$7:I$15),0))</f>
        <v>0</v>
      </c>
      <c r="J25" s="55">
        <f>IF($B25="","",IF(COUNTIF(J$16:J$21,$B25)&gt;0,COUNTA(J$7:J$15),0))</f>
        <v>0</v>
      </c>
      <c r="K25" s="55">
        <f>IF($B25="","",IF(COUNTIF(K$16:K$21,$B25)&gt;0,COUNTA(K$7:K$15),0))</f>
        <v>0</v>
      </c>
      <c r="L25" s="55">
        <f>IF($B25="","",IF(COUNTIF(L$16:L$21,$B25)&gt;0,COUNTA(L$7:L$15),0))</f>
        <v>0</v>
      </c>
      <c r="M25" s="55">
        <f>IF($B25="","",IF(COUNTIF(M$16:M$21,$B25)&gt;0,COUNTA(M$7:M$15),0))</f>
        <v>0</v>
      </c>
      <c r="N25" s="55">
        <f>IF($B25="","",IF(COUNTIF(N$16:N$21,$B25)&gt;0,COUNTA(N$7:N$15),0))</f>
        <v>0</v>
      </c>
      <c r="O25" s="55">
        <f>IF($B25="","",IF(COUNTIF(O$16:O$21,$B25)&gt;0,COUNTA(O$7:O$15),0))</f>
        <v>0</v>
      </c>
      <c r="P25" s="55">
        <f>IF($B25="","",IF(COUNTIF(P$16:P$21,$B25)&gt;0,COUNTA(P$7:P$15),0))</f>
        <v>0</v>
      </c>
      <c r="Q25" s="55">
        <f>IF($B25="","",IF(COUNTIF(Q$16:Q$21,$B25)&gt;0,COUNTA(Q$7:Q$15),0))</f>
        <v>0</v>
      </c>
      <c r="R25" s="55">
        <f>IF($B25="","",IF(COUNTIF(R$16:R$21,$B25)&gt;0,COUNTA(R$7:R$15),0))</f>
        <v>0</v>
      </c>
      <c r="S25" s="55">
        <f>IF($B25="","",IF(COUNTIF(S$16:S$21,$B25)&gt;0,COUNTA(S$7:S$15),0))</f>
        <v>0</v>
      </c>
      <c r="T25" s="55">
        <f>IF($B25="","",IF(COUNTIF(T$16:T$21,$B25)&gt;0,COUNTA(T$7:T$15),0))</f>
        <v>0</v>
      </c>
      <c r="U25" s="55">
        <f>IF($B25="","",IF(COUNTIF(U$16:U$21,$B25)&gt;0,COUNTA(U$7:U$15),0))</f>
        <v>0</v>
      </c>
      <c r="V25" s="55">
        <f>IF($B25="","",IF(COUNTIF(V$16:V$21,$B25)&gt;0,COUNTA(V$7:V$15),0))</f>
        <v>0</v>
      </c>
      <c r="W25" s="55">
        <f>IF($B25="","",IF(COUNTIF(W$16:W$21,$B25)&gt;0,COUNTA(W$7:W$15),0))</f>
        <v>0</v>
      </c>
      <c r="X25" s="55">
        <f>IF($B25="","",IF(COUNTIF(X$16:X$21,$B25)&gt;0,COUNTA(X$7:X$15),0))</f>
        <v>0</v>
      </c>
      <c r="Y25" s="55">
        <f>IF($B25="","",IF(COUNTIF(Y$16:Y$21,$B25)&gt;0,COUNTA(Y$7:Y$15),0))</f>
        <v>0</v>
      </c>
      <c r="Z25" s="55">
        <f>IF($B25="","",IF(COUNTIF(Z$16:Z$21,$B25)&gt;0,COUNTA(Z$7:Z$15),0))</f>
        <v>0</v>
      </c>
      <c r="AA25" s="55">
        <f>IF($B25="","",IF(COUNTIF(AA$16:AA$21,$B25)&gt;0,COUNTA(AA$7:AA$15),0))</f>
        <v>0</v>
      </c>
      <c r="AB25" s="55">
        <f>IF($B25="","",IF(COUNTIF(AB$16:AB$21,$B25)&gt;0,COUNTA(AB$7:AB$15),0))</f>
        <v>0</v>
      </c>
      <c r="AC25" s="55">
        <f>IF($B25="","",IF(COUNTIF(AC$16:AC$21,$B25)&gt;0,COUNTA(AC$7:AC$15),0))</f>
        <v>0</v>
      </c>
      <c r="AD25" s="55">
        <f>IF($B25="","",IF(COUNTIF(AD$16:AD$21,$B25)&gt;0,COUNTA(AD$7:AD$15),0))</f>
        <v>0</v>
      </c>
      <c r="AE25" s="55">
        <f>IF($B25="","",IF(COUNTIF(AE$16:AE$21,$B25)&gt;0,COUNTA(AE$7:AE$15),0))</f>
        <v>0</v>
      </c>
      <c r="AF25" s="55">
        <f>IF($B25="","",IF(COUNTIF(AF$16:AF$21,$B25)&gt;0,COUNTA(AF$7:AF$15),0))</f>
        <v>0</v>
      </c>
      <c r="AG25" s="55">
        <f>IF($B25="","",IF(COUNTIF(AG$16:AG$21,$B25)&gt;0,COUNTA(AG$7:AG$15),0))</f>
        <v>0</v>
      </c>
      <c r="AH25" s="55">
        <f>IF($B25="","",IF(COUNTIF(AH$16:AH$21,$B25)&gt;0,COUNTA(AH$7:AH$15),0))</f>
        <v>0</v>
      </c>
      <c r="AI25" s="55">
        <f>IF($B25="","",IF(COUNTIF(AI$16:AI$21,$B25)&gt;0,COUNTA(AI$7:AI$15),0))</f>
        <v>0</v>
      </c>
      <c r="AJ25" s="55">
        <f>IF($B25="","",IF(COUNTIF(AJ$16:AJ$21,$B25)&gt;0,COUNTA(AJ$7:AJ$15),0))</f>
        <v>0</v>
      </c>
      <c r="AK25" s="55">
        <f>IF($B25="","",IF(COUNTIF(AK$16:AK$21,$B25)&gt;0,COUNTA(AK$7:AK$15),0))</f>
        <v>0</v>
      </c>
      <c r="AL25" s="55">
        <f>IF($B25="","",IF(COUNTIF(AL$16:AL$21,$B25)&gt;0,COUNTA(AL$7:AL$15),0))</f>
        <v>0</v>
      </c>
      <c r="AM25" s="55">
        <f>IF($B25="","",IF(COUNTIF(AM$16:AM$21,$B25)&gt;0,COUNTA(AM$7:AM$15),0))</f>
        <v>0</v>
      </c>
      <c r="AN25" s="55">
        <f>IF($B25="","",IF(COUNTIF(AN$16:AN$21,$B25)&gt;0,COUNTA(AN$7:AN$15),0))</f>
        <v>0</v>
      </c>
      <c r="AO25" s="55">
        <f>IF($B25="","",IF(COUNTIF(AO$16:AO$21,$B25)&gt;0,COUNTA(AO$7:AO$15),0))</f>
        <v>0</v>
      </c>
      <c r="AP25" s="55">
        <f>IF($B25="","",IF(COUNTIF(AP$16:AP$21,$B25)&gt;0,COUNTA(AP$7:AP$15),0))</f>
        <v>0</v>
      </c>
      <c r="AQ25" s="55">
        <f>IF($B25="","",IF(COUNTIF(AQ$16:AQ$21,$B25)&gt;0,COUNTA(AQ$7:AQ$15),0))</f>
        <v>0</v>
      </c>
      <c r="AR25" s="55">
        <f>IF($B25="","",IF(COUNTIF(AR$16:AR$21,$B25)&gt;0,COUNTA(AR$7:AR$15),0))</f>
        <v>0</v>
      </c>
      <c r="AS25" s="55">
        <f>IF($B25="","",IF(COUNTIF(AS$16:AS$21,$B25)&gt;0,COUNTA(AS$7:AS$15),0))</f>
        <v>0</v>
      </c>
      <c r="AT25" s="55">
        <f>IF($B25="","",IF(COUNTIF(AT$16:AT$21,$B25)&gt;0,COUNTA(AT$7:AT$15),0))</f>
        <v>0</v>
      </c>
      <c r="AU25" s="55">
        <f>IF($B25="","",IF(COUNTIF(AU$16:AU$21,$B25)&gt;0,COUNTA(AU$7:AU$15),0))</f>
        <v>0</v>
      </c>
      <c r="AV25" s="55">
        <f>IF($B25="","",IF(COUNTIF(AV$16:AV$21,$B25)&gt;0,COUNTA(AV$7:AV$15),0))</f>
        <v>0</v>
      </c>
      <c r="AW25" s="55">
        <f>IF($B25="","",IF(COUNTIF(AW$16:AW$21,$B25)&gt;0,COUNTA(AW$7:AW$15),0))</f>
        <v>0</v>
      </c>
      <c r="AX25" s="55">
        <f>IF($B25="","",IF(COUNTIF(AX$16:AX$21,$B25)&gt;0,COUNTA(AX$7:AX$15),0))</f>
        <v>0</v>
      </c>
      <c r="AY25" s="55">
        <f>IF($B25="","",IF(COUNTIF(AY$16:AY$21,$B25)&gt;0,COUNTA(AY$7:AY$15),0))</f>
        <v>0</v>
      </c>
      <c r="AZ25" s="55">
        <f>IF($B25="","",IF(COUNTIF(AZ$16:AZ$21,$B25)&gt;0,COUNTA(AZ$7:AZ$15),0))</f>
        <v>0</v>
      </c>
      <c r="BA25" s="55">
        <f>IF($B25="","",IF(COUNTIF(BA$16:BA$21,$B25)&gt;0,COUNTA(BA$7:BA$15),0))</f>
        <v>0</v>
      </c>
      <c r="BB25" s="55">
        <f>IF($B25="","",IF(COUNTIF(BB$16:BB$21,$B25)&gt;0,COUNTA(BB$7:BB$15),0))</f>
        <v>0</v>
      </c>
      <c r="BC25" s="55">
        <f>IF($B25="","",IF(COUNTIF(BC$16:BC$21,$B25)&gt;0,COUNTA(BC$7:BC$15),0))</f>
        <v>0</v>
      </c>
      <c r="BD25" s="55">
        <f>IF($B25="","",IF(COUNTIF(BD$16:BD$21,$B25)&gt;0,COUNTA(BD$7:BD$15),0))</f>
        <v>0</v>
      </c>
      <c r="BE25" s="55">
        <f>IF($B25="","",IF(COUNTIF(BE$16:BE$21,$B25)&gt;0,COUNTA(BE$7:BE$15),0))</f>
        <v>0</v>
      </c>
      <c r="BF25" s="55">
        <f>IF($B25="","",IF(COUNTIF(BF$16:BF$21,$B25)&gt;0,COUNTA(BF$7:BF$15),0))</f>
        <v>0</v>
      </c>
      <c r="BG25" s="55">
        <f>IF($B25="","",IF(COUNTIF(BG$16:BG$21,$B25)&gt;0,COUNTA(BG$7:BG$15),0))</f>
        <v>0</v>
      </c>
      <c r="BH25" s="55">
        <f>IF($B25="","",IF(COUNTIF(BH$16:BH$21,$B25)&gt;0,COUNTA(BH$7:BH$15),0))</f>
        <v>0</v>
      </c>
      <c r="BI25" s="55">
        <f>IF($B25="","",IF(COUNTIF(BI$16:BI$21,$B25)&gt;0,COUNTA(BI$7:BI$15),0))</f>
        <v>0</v>
      </c>
      <c r="BJ25" s="55">
        <f>IF($B25="","",IF(COUNTIF(BJ$16:BJ$21,$B25)&gt;0,COUNTA(BJ$7:BJ$15),0))</f>
        <v>0</v>
      </c>
      <c r="BK25" s="55">
        <f>IF($B25="","",IF(COUNTIF(BK$16:BK$21,$B25)&gt;0,COUNTA(BK$7:BK$15),0))</f>
        <v>0</v>
      </c>
      <c r="BL25" s="55">
        <f>IF($B25="","",IF(COUNTIF(BL$16:BL$21,$B25)&gt;0,COUNTA(BL$7:BL$15),0))</f>
        <v>0</v>
      </c>
      <c r="BM25" s="55">
        <f>IF($B25="","",IF(COUNTIF(BM$16:BM$21,$B25)&gt;0,COUNTA(BM$7:BM$15),0))</f>
        <v>0</v>
      </c>
      <c r="BN25" s="55">
        <f>IF($B25="","",IF(COUNTIF(BN$16:BN$21,$B25)&gt;0,COUNTA(BN$7:BN$15),0))</f>
        <v>0</v>
      </c>
      <c r="BO25" s="55">
        <f>IF($B25="","",IF(COUNTIF(BO$16:BO$21,$B25)&gt;0,COUNTA(BO$7:BO$15),0))</f>
        <v>0</v>
      </c>
      <c r="BP25" s="55">
        <f>IF($B25="","",IF(COUNTIF(BP$16:BP$21,$B25)&gt;0,COUNTA(BP$7:BP$15),0))</f>
        <v>0</v>
      </c>
      <c r="BQ25" s="55">
        <f>IF($B25="","",IF(COUNTIF(BQ$16:BQ$21,$B25)&gt;0,COUNTA(BQ$7:BQ$15),0))</f>
        <v>0</v>
      </c>
      <c r="BR25" s="55">
        <f>IF($B25="","",IF(COUNTIF(BR$16:BR$21,$B25)&gt;0,COUNTA(BR$7:BR$15),0))</f>
        <v>0</v>
      </c>
      <c r="BS25" s="55">
        <f>IF($B25="","",IF(COUNTIF(BS$16:BS$21,$B25)&gt;0,COUNTA(BS$7:BS$15),0))</f>
        <v>0</v>
      </c>
      <c r="BT25" s="55">
        <f>IF($B25="","",IF(COUNTIF(BT$16:BT$21,$B25)&gt;0,COUNTA(BT$7:BT$15),0))</f>
        <v>0</v>
      </c>
      <c r="BU25" s="55">
        <f>IF($B25="","",IF(COUNTIF(BU$16:BU$21,$B25)&gt;0,COUNTA(BU$7:BU$15),0))</f>
        <v>0</v>
      </c>
      <c r="BV25" s="55">
        <f>IF($B25="","",IF(COUNTIF(BV$16:BV$21,$B25)&gt;0,COUNTA(BV$7:BV$15),0))</f>
        <v>0</v>
      </c>
      <c r="BW25" s="55">
        <f>IF($B25="","",IF(COUNTIF(BW$16:BW$21,$B25)&gt;0,COUNTA(BW$7:BW$15),0))</f>
        <v>0</v>
      </c>
      <c r="BX25" s="55">
        <f>IF($B25="","",IF(COUNTIF(BX$16:BX$21,$B25)&gt;0,COUNTA(BX$7:BX$15),0))</f>
        <v>0</v>
      </c>
      <c r="BY25" s="55">
        <f>IF($B25="","",IF(COUNTIF(BY$16:BY$21,$B25)&gt;0,COUNTA(BY$7:BY$15),0))</f>
        <v>0</v>
      </c>
      <c r="BZ25" s="55">
        <f>IF($B25="","",IF(COUNTIF(BZ$16:BZ$21,$B25)&gt;0,COUNTA(BZ$7:BZ$15),0))</f>
        <v>0</v>
      </c>
      <c r="CA25" s="55">
        <f>IF($B25="","",IF(COUNTIF(CA$16:CA$21,$B25)&gt;0,COUNTA(CA$7:CA$15),0))</f>
        <v>0</v>
      </c>
      <c r="CB25" s="55">
        <f>IF($B25="","",IF(COUNTIF(CB$16:CB$21,$B25)&gt;0,COUNTA(CB$7:CB$15),0))</f>
        <v>0</v>
      </c>
      <c r="CC25" s="55">
        <f>IF($B25="","",IF(COUNTIF(CC$16:CC$21,$B25)&gt;0,COUNTA(CC$7:CC$15),0))</f>
        <v>0</v>
      </c>
      <c r="CD25" s="55">
        <f>IF($B25="","",IF(COUNTIF(CD$16:CD$21,$B25)&gt;0,COUNTA(CD$7:CD$15),0))</f>
        <v>0</v>
      </c>
      <c r="CE25" s="55">
        <f>IF($B25="","",IF(COUNTIF(CE$16:CE$21,$B25)&gt;0,COUNTA(CE$7:CE$15),0))</f>
        <v>0</v>
      </c>
      <c r="CF25" s="55">
        <f>IF($B25="","",IF(COUNTIF(CF$16:CF$21,$B25)&gt;0,COUNTA(CF$7:CF$15),0))</f>
        <v>0</v>
      </c>
      <c r="CG25" s="55">
        <f>IF($B25="","",IF(COUNTIF(CG$16:CG$21,$B25)&gt;0,COUNTA(CG$7:CG$15),0))</f>
        <v>0</v>
      </c>
      <c r="CH25" s="55">
        <f>IF($B25="","",IF(COUNTIF(CH$16:CH$21,$B25)&gt;0,COUNTA(CH$7:CH$15),0))</f>
        <v>0</v>
      </c>
      <c r="CI25" s="55">
        <f>IF($B25="","",IF(COUNTIF(CI$16:CI$21,$B25)&gt;0,COUNTA(CI$7:CI$15),0))</f>
        <v>0</v>
      </c>
      <c r="CJ25" s="55">
        <f>IF($B25="","",IF(COUNTIF(CJ$16:CJ$21,$B25)&gt;0,COUNTA(CJ$7:CJ$15),0))</f>
        <v>0</v>
      </c>
      <c r="CK25" s="55">
        <f>IF($B25="","",IF(COUNTIF(CK$16:CK$21,$B25)&gt;0,COUNTA(CK$7:CK$15),0))</f>
        <v>0</v>
      </c>
      <c r="CL25" s="55">
        <f>IF($B25="","",IF(COUNTIF(CL$16:CL$21,$B25)&gt;0,COUNTA(CL$7:CL$15),0))</f>
        <v>0</v>
      </c>
      <c r="CM25" s="55">
        <f>IF($B25="","",IF(COUNTIF(CM$16:CM$21,$B25)&gt;0,COUNTA(CM$7:CM$15),0))</f>
        <v>0</v>
      </c>
      <c r="CN25" s="55">
        <f>IF($B25="","",IF(COUNTIF(CN$16:CN$21,$B25)&gt;0,COUNTA(CN$7:CN$15),0))</f>
        <v>0</v>
      </c>
      <c r="CO25" s="55">
        <f>IF($B25="","",IF(COUNTIF(CO$16:CO$21,$B25)&gt;0,COUNTA(CO$7:CO$15),0))</f>
        <v>0</v>
      </c>
      <c r="CP25" s="55">
        <f>IF($B25="","",IF(COUNTIF(CP$16:CP$21,$B25)&gt;0,COUNTA(CP$7:CP$15),0))</f>
        <v>0</v>
      </c>
      <c r="CQ25" s="55">
        <f>IF($B25="","",IF(COUNTIF(CQ$16:CQ$21,$B25)&gt;0,COUNTA(CQ$7:CQ$15),0))</f>
        <v>0</v>
      </c>
      <c r="CR25" s="55">
        <f>IF($B25="","",IF(COUNTIF(CR$16:CR$21,$B25)&gt;0,COUNTA(CR$7:CR$15),0))</f>
        <v>0</v>
      </c>
      <c r="CS25" s="55">
        <f>IF($B25="","",IF(COUNTIF(CS$16:CS$21,$B25)&gt;0,COUNTA(CS$7:CS$15),0))</f>
        <v>0</v>
      </c>
      <c r="CT25" s="55">
        <f>IF($B25="","",IF(COUNTIF(CT$16:CT$21,$B25)&gt;0,COUNTA(CT$7:CT$15),0))</f>
        <v>0</v>
      </c>
      <c r="CU25" s="55">
        <f>IF($B25="","",IF(COUNTIF(CU$16:CU$21,$B25)&gt;0,COUNTA(CU$7:CU$15),0))</f>
        <v>0</v>
      </c>
      <c r="CV25" s="55">
        <f>IF($B25="","",IF(COUNTIF(CV$16:CV$21,$B25)&gt;0,COUNTA(CV$7:CV$15),0))</f>
        <v>0</v>
      </c>
      <c r="CW25" s="55">
        <f>IF($B25="","",IF(COUNTIF(CW$16:CW$21,$B25)&gt;0,COUNTA(CW$7:CW$15),0))</f>
        <v>0</v>
      </c>
      <c r="CX25" s="55">
        <f>IF($B25="","",IF(COUNTIF(CX$16:CX$21,$B25)&gt;0,COUNTA(CX$7:CX$15),0))</f>
        <v>0</v>
      </c>
      <c r="CY25" s="55">
        <f>IF($B25="","",IF(COUNTIF(CY$16:CY$21,$B25)&gt;0,COUNTA(CY$7:CY$15),0))</f>
        <v>0</v>
      </c>
      <c r="CZ25" s="55">
        <f>IF($B25="","",IF(COUNTIF(CZ$16:CZ$21,$B25)&gt;0,COUNTA(CZ$7:CZ$15),0))</f>
        <v>0</v>
      </c>
      <c r="DA25" s="55">
        <f>IF($B25="","",IF(COUNTIF(DA$16:DA$21,$B25)&gt;0,COUNTA(DA$7:DA$15),0))</f>
        <v>0</v>
      </c>
      <c r="DB25" s="55">
        <f>IF($B25="","",IF(COUNTIF(DB$16:DB$21,$B25)&gt;0,COUNTA(DB$7:DB$15),0))</f>
        <v>0</v>
      </c>
      <c r="DC25" s="55">
        <f>IF($B25="","",IF(COUNTIF(DC$16:DC$21,$B25)&gt;0,COUNTA(DC$7:DC$15),0))</f>
        <v>0</v>
      </c>
      <c r="DD25" s="55">
        <f>IF($B25="","",IF(COUNTIF(DD$16:DD$21,$B25)&gt;0,COUNTA(DD$7:DD$15),0))</f>
        <v>0</v>
      </c>
      <c r="DE25" s="58">
        <f>IF($B25="","",IF(COUNTIF(DE$16:DE$21,$B25)&gt;0,COUNTA(DE$7:DE$15),0))</f>
        <v>0</v>
      </c>
    </row>
    <row r="26" spans="2:109" x14ac:dyDescent="0.2">
      <c r="B26" s="84" t="str">
        <f>IFERROR(INDEX(_xlfn._xlws.FILTER(Ressourcer!$B$1:$X$1,_xlfn.BYCOL(Ressourcer!$B$17:$X$20,_xlfn.LAMBDA(_xlpm.c,COUNTIF(_xlpm.c,"&lt;&gt;" )&gt;0))),ROWS($B$2:B4)),"")</f>
        <v>JAME</v>
      </c>
      <c r="C26" s="79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)&gt;0))),_xlfn.LAMBDA(_xlpm.col,SUM(INDEX(Ressourcer!$B$17:$X$20,,_xlpm.col-COLUMN(Ressourcer!$B$17:$X$20)+1)))),ROWS($B$2:B4))/2,"")</f>
        <v>20</v>
      </c>
      <c r="D26" s="106" t="str">
        <f t="shared" si="22"/>
        <v/>
      </c>
      <c r="E26" s="57">
        <f>IF($B26="","",IF(COUNTIF(E$16:E$21,$B26)&gt;0,COUNTA(E$7:E$15),0))</f>
        <v>0</v>
      </c>
      <c r="F26" s="55">
        <f>IF($B26="","",IF(COUNTIF(F$16:F$21,$B26)&gt;0,COUNTA(F$7:F$15),0))</f>
        <v>0</v>
      </c>
      <c r="G26" s="55">
        <f>IF($B26="","",IF(COUNTIF(G$16:G$21,$B26)&gt;0,COUNTA(G$7:G$15),0))</f>
        <v>0</v>
      </c>
      <c r="H26" s="55">
        <f>IF($B26="","",IF(COUNTIF(H$16:H$21,$B26)&gt;0,COUNTA(H$7:H$15),0))</f>
        <v>0</v>
      </c>
      <c r="I26" s="55">
        <f>IF($B26="","",IF(COUNTIF(I$16:I$21,$B26)&gt;0,COUNTA(I$7:I$15),0))</f>
        <v>0</v>
      </c>
      <c r="J26" s="55">
        <f>IF($B26="","",IF(COUNTIF(J$16:J$21,$B26)&gt;0,COUNTA(J$7:J$15),0))</f>
        <v>0</v>
      </c>
      <c r="K26" s="55">
        <f>IF($B26="","",IF(COUNTIF(K$16:K$21,$B26)&gt;0,COUNTA(K$7:K$15),0))</f>
        <v>0</v>
      </c>
      <c r="L26" s="55">
        <f>IF($B26="","",IF(COUNTIF(L$16:L$21,$B26)&gt;0,COUNTA(L$7:L$15),0))</f>
        <v>0</v>
      </c>
      <c r="M26" s="55">
        <f>IF($B26="","",IF(COUNTIF(M$16:M$21,$B26)&gt;0,COUNTA(M$7:M$15),0))</f>
        <v>0</v>
      </c>
      <c r="N26" s="55">
        <f>IF($B26="","",IF(COUNTIF(N$16:N$21,$B26)&gt;0,COUNTA(N$7:N$15),0))</f>
        <v>0</v>
      </c>
      <c r="O26" s="55">
        <f>IF($B26="","",IF(COUNTIF(O$16:O$21,$B26)&gt;0,COUNTA(O$7:O$15),0))</f>
        <v>0</v>
      </c>
      <c r="P26" s="55">
        <f>IF($B26="","",IF(COUNTIF(P$16:P$21,$B26)&gt;0,COUNTA(P$7:P$15),0))</f>
        <v>0</v>
      </c>
      <c r="Q26" s="55">
        <f>IF($B26="","",IF(COUNTIF(Q$16:Q$21,$B26)&gt;0,COUNTA(Q$7:Q$15),0))</f>
        <v>0</v>
      </c>
      <c r="R26" s="55">
        <f>IF($B26="","",IF(COUNTIF(R$16:R$21,$B26)&gt;0,COUNTA(R$7:R$15),0))</f>
        <v>0</v>
      </c>
      <c r="S26" s="55">
        <f>IF($B26="","",IF(COUNTIF(S$16:S$21,$B26)&gt;0,COUNTA(S$7:S$15),0))</f>
        <v>0</v>
      </c>
      <c r="T26" s="55">
        <f>IF($B26="","",IF(COUNTIF(T$16:T$21,$B26)&gt;0,COUNTA(T$7:T$15),0))</f>
        <v>0</v>
      </c>
      <c r="U26" s="55">
        <f>IF($B26="","",IF(COUNTIF(U$16:U$21,$B26)&gt;0,COUNTA(U$7:U$15),0))</f>
        <v>0</v>
      </c>
      <c r="V26" s="55">
        <f>IF($B26="","",IF(COUNTIF(V$16:V$21,$B26)&gt;0,COUNTA(V$7:V$15),0))</f>
        <v>0</v>
      </c>
      <c r="W26" s="55">
        <f>IF($B26="","",IF(COUNTIF(W$16:W$21,$B26)&gt;0,COUNTA(W$7:W$15),0))</f>
        <v>0</v>
      </c>
      <c r="X26" s="55">
        <f>IF($B26="","",IF(COUNTIF(X$16:X$21,$B26)&gt;0,COUNTA(X$7:X$15),0))</f>
        <v>0</v>
      </c>
      <c r="Y26" s="55">
        <f>IF($B26="","",IF(COUNTIF(Y$16:Y$21,$B26)&gt;0,COUNTA(Y$7:Y$15),0))</f>
        <v>0</v>
      </c>
      <c r="Z26" s="55">
        <f>IF($B26="","",IF(COUNTIF(Z$16:Z$21,$B26)&gt;0,COUNTA(Z$7:Z$15),0))</f>
        <v>0</v>
      </c>
      <c r="AA26" s="55">
        <f>IF($B26="","",IF(COUNTIF(AA$16:AA$21,$B26)&gt;0,COUNTA(AA$7:AA$15),0))</f>
        <v>0</v>
      </c>
      <c r="AB26" s="55">
        <f>IF($B26="","",IF(COUNTIF(AB$16:AB$21,$B26)&gt;0,COUNTA(AB$7:AB$15),0))</f>
        <v>0</v>
      </c>
      <c r="AC26" s="55">
        <f>IF($B26="","",IF(COUNTIF(AC$16:AC$21,$B26)&gt;0,COUNTA(AC$7:AC$15),0))</f>
        <v>0</v>
      </c>
      <c r="AD26" s="55">
        <f>IF($B26="","",IF(COUNTIF(AD$16:AD$21,$B26)&gt;0,COUNTA(AD$7:AD$15),0))</f>
        <v>0</v>
      </c>
      <c r="AE26" s="55">
        <f>IF($B26="","",IF(COUNTIF(AE$16:AE$21,$B26)&gt;0,COUNTA(AE$7:AE$15),0))</f>
        <v>0</v>
      </c>
      <c r="AF26" s="55">
        <f>IF($B26="","",IF(COUNTIF(AF$16:AF$21,$B26)&gt;0,COUNTA(AF$7:AF$15),0))</f>
        <v>0</v>
      </c>
      <c r="AG26" s="55">
        <f>IF($B26="","",IF(COUNTIF(AG$16:AG$21,$B26)&gt;0,COUNTA(AG$7:AG$15),0))</f>
        <v>0</v>
      </c>
      <c r="AH26" s="55">
        <f>IF($B26="","",IF(COUNTIF(AH$16:AH$21,$B26)&gt;0,COUNTA(AH$7:AH$15),0))</f>
        <v>0</v>
      </c>
      <c r="AI26" s="55">
        <f>IF($B26="","",IF(COUNTIF(AI$16:AI$21,$B26)&gt;0,COUNTA(AI$7:AI$15),0))</f>
        <v>0</v>
      </c>
      <c r="AJ26" s="55">
        <f>IF($B26="","",IF(COUNTIF(AJ$16:AJ$21,$B26)&gt;0,COUNTA(AJ$7:AJ$15),0))</f>
        <v>0</v>
      </c>
      <c r="AK26" s="55">
        <f>IF($B26="","",IF(COUNTIF(AK$16:AK$21,$B26)&gt;0,COUNTA(AK$7:AK$15),0))</f>
        <v>0</v>
      </c>
      <c r="AL26" s="55">
        <f>IF($B26="","",IF(COUNTIF(AL$16:AL$21,$B26)&gt;0,COUNTA(AL$7:AL$15),0))</f>
        <v>0</v>
      </c>
      <c r="AM26" s="55">
        <f>IF($B26="","",IF(COUNTIF(AM$16:AM$21,$B26)&gt;0,COUNTA(AM$7:AM$15),0))</f>
        <v>0</v>
      </c>
      <c r="AN26" s="55">
        <f>IF($B26="","",IF(COUNTIF(AN$16:AN$21,$B26)&gt;0,COUNTA(AN$7:AN$15),0))</f>
        <v>0</v>
      </c>
      <c r="AO26" s="55">
        <f>IF($B26="","",IF(COUNTIF(AO$16:AO$21,$B26)&gt;0,COUNTA(AO$7:AO$15),0))</f>
        <v>0</v>
      </c>
      <c r="AP26" s="55">
        <f>IF($B26="","",IF(COUNTIF(AP$16:AP$21,$B26)&gt;0,COUNTA(AP$7:AP$15),0))</f>
        <v>0</v>
      </c>
      <c r="AQ26" s="55">
        <f>IF($B26="","",IF(COUNTIF(AQ$16:AQ$21,$B26)&gt;0,COUNTA(AQ$7:AQ$15),0))</f>
        <v>0</v>
      </c>
      <c r="AR26" s="55">
        <f>IF($B26="","",IF(COUNTIF(AR$16:AR$21,$B26)&gt;0,COUNTA(AR$7:AR$15),0))</f>
        <v>0</v>
      </c>
      <c r="AS26" s="55">
        <f>IF($B26="","",IF(COUNTIF(AS$16:AS$21,$B26)&gt;0,COUNTA(AS$7:AS$15),0))</f>
        <v>0</v>
      </c>
      <c r="AT26" s="55">
        <f>IF($B26="","",IF(COUNTIF(AT$16:AT$21,$B26)&gt;0,COUNTA(AT$7:AT$15),0))</f>
        <v>0</v>
      </c>
      <c r="AU26" s="55">
        <f>IF($B26="","",IF(COUNTIF(AU$16:AU$21,$B26)&gt;0,COUNTA(AU$7:AU$15),0))</f>
        <v>0</v>
      </c>
      <c r="AV26" s="55">
        <f>IF($B26="","",IF(COUNTIF(AV$16:AV$21,$B26)&gt;0,COUNTA(AV$7:AV$15),0))</f>
        <v>0</v>
      </c>
      <c r="AW26" s="55">
        <f>IF($B26="","",IF(COUNTIF(AW$16:AW$21,$B26)&gt;0,COUNTA(AW$7:AW$15),0))</f>
        <v>0</v>
      </c>
      <c r="AX26" s="55">
        <f>IF($B26="","",IF(COUNTIF(AX$16:AX$21,$B26)&gt;0,COUNTA(AX$7:AX$15),0))</f>
        <v>0</v>
      </c>
      <c r="AY26" s="55">
        <f>IF($B26="","",IF(COUNTIF(AY$16:AY$21,$B26)&gt;0,COUNTA(AY$7:AY$15),0))</f>
        <v>0</v>
      </c>
      <c r="AZ26" s="55">
        <f>IF($B26="","",IF(COUNTIF(AZ$16:AZ$21,$B26)&gt;0,COUNTA(AZ$7:AZ$15),0))</f>
        <v>0</v>
      </c>
      <c r="BA26" s="55">
        <f>IF($B26="","",IF(COUNTIF(BA$16:BA$21,$B26)&gt;0,COUNTA(BA$7:BA$15),0))</f>
        <v>0</v>
      </c>
      <c r="BB26" s="55">
        <f>IF($B26="","",IF(COUNTIF(BB$16:BB$21,$B26)&gt;0,COUNTA(BB$7:BB$15),0))</f>
        <v>0</v>
      </c>
      <c r="BC26" s="55">
        <f>IF($B26="","",IF(COUNTIF(BC$16:BC$21,$B26)&gt;0,COUNTA(BC$7:BC$15),0))</f>
        <v>0</v>
      </c>
      <c r="BD26" s="55">
        <f>IF($B26="","",IF(COUNTIF(BD$16:BD$21,$B26)&gt;0,COUNTA(BD$7:BD$15),0))</f>
        <v>0</v>
      </c>
      <c r="BE26" s="55">
        <f>IF($B26="","",IF(COUNTIF(BE$16:BE$21,$B26)&gt;0,COUNTA(BE$7:BE$15),0))</f>
        <v>0</v>
      </c>
      <c r="BF26" s="55">
        <f>IF($B26="","",IF(COUNTIF(BF$16:BF$21,$B26)&gt;0,COUNTA(BF$7:BF$15),0))</f>
        <v>0</v>
      </c>
      <c r="BG26" s="55">
        <f>IF($B26="","",IF(COUNTIF(BG$16:BG$21,$B26)&gt;0,COUNTA(BG$7:BG$15),0))</f>
        <v>0</v>
      </c>
      <c r="BH26" s="55">
        <f>IF($B26="","",IF(COUNTIF(BH$16:BH$21,$B26)&gt;0,COUNTA(BH$7:BH$15),0))</f>
        <v>0</v>
      </c>
      <c r="BI26" s="55">
        <f>IF($B26="","",IF(COUNTIF(BI$16:BI$21,$B26)&gt;0,COUNTA(BI$7:BI$15),0))</f>
        <v>0</v>
      </c>
      <c r="BJ26" s="55">
        <f>IF($B26="","",IF(COUNTIF(BJ$16:BJ$21,$B26)&gt;0,COUNTA(BJ$7:BJ$15),0))</f>
        <v>0</v>
      </c>
      <c r="BK26" s="55">
        <f>IF($B26="","",IF(COUNTIF(BK$16:BK$21,$B26)&gt;0,COUNTA(BK$7:BK$15),0))</f>
        <v>0</v>
      </c>
      <c r="BL26" s="55">
        <f>IF($B26="","",IF(COUNTIF(BL$16:BL$21,$B26)&gt;0,COUNTA(BL$7:BL$15),0))</f>
        <v>0</v>
      </c>
      <c r="BM26" s="55">
        <f>IF($B26="","",IF(COUNTIF(BM$16:BM$21,$B26)&gt;0,COUNTA(BM$7:BM$15),0))</f>
        <v>0</v>
      </c>
      <c r="BN26" s="55">
        <f>IF($B26="","",IF(COUNTIF(BN$16:BN$21,$B26)&gt;0,COUNTA(BN$7:BN$15),0))</f>
        <v>0</v>
      </c>
      <c r="BO26" s="55">
        <f>IF($B26="","",IF(COUNTIF(BO$16:BO$21,$B26)&gt;0,COUNTA(BO$7:BO$15),0))</f>
        <v>0</v>
      </c>
      <c r="BP26" s="55">
        <f>IF($B26="","",IF(COUNTIF(BP$16:BP$21,$B26)&gt;0,COUNTA(BP$7:BP$15),0))</f>
        <v>0</v>
      </c>
      <c r="BQ26" s="55">
        <f>IF($B26="","",IF(COUNTIF(BQ$16:BQ$21,$B26)&gt;0,COUNTA(BQ$7:BQ$15),0))</f>
        <v>0</v>
      </c>
      <c r="BR26" s="55">
        <f>IF($B26="","",IF(COUNTIF(BR$16:BR$21,$B26)&gt;0,COUNTA(BR$7:BR$15),0))</f>
        <v>0</v>
      </c>
      <c r="BS26" s="55">
        <f>IF($B26="","",IF(COUNTIF(BS$16:BS$21,$B26)&gt;0,COUNTA(BS$7:BS$15),0))</f>
        <v>0</v>
      </c>
      <c r="BT26" s="55">
        <f>IF($B26="","",IF(COUNTIF(BT$16:BT$21,$B26)&gt;0,COUNTA(BT$7:BT$15),0))</f>
        <v>0</v>
      </c>
      <c r="BU26" s="55">
        <f>IF($B26="","",IF(COUNTIF(BU$16:BU$21,$B26)&gt;0,COUNTA(BU$7:BU$15),0))</f>
        <v>0</v>
      </c>
      <c r="BV26" s="55">
        <f>IF($B26="","",IF(COUNTIF(BV$16:BV$21,$B26)&gt;0,COUNTA(BV$7:BV$15),0))</f>
        <v>0</v>
      </c>
      <c r="BW26" s="55">
        <f>IF($B26="","",IF(COUNTIF(BW$16:BW$21,$B26)&gt;0,COUNTA(BW$7:BW$15),0))</f>
        <v>0</v>
      </c>
      <c r="BX26" s="55">
        <f>IF($B26="","",IF(COUNTIF(BX$16:BX$21,$B26)&gt;0,COUNTA(BX$7:BX$15),0))</f>
        <v>0</v>
      </c>
      <c r="BY26" s="55">
        <f>IF($B26="","",IF(COUNTIF(BY$16:BY$21,$B26)&gt;0,COUNTA(BY$7:BY$15),0))</f>
        <v>0</v>
      </c>
      <c r="BZ26" s="55">
        <f>IF($B26="","",IF(COUNTIF(BZ$16:BZ$21,$B26)&gt;0,COUNTA(BZ$7:BZ$15),0))</f>
        <v>0</v>
      </c>
      <c r="CA26" s="55">
        <f>IF($B26="","",IF(COUNTIF(CA$16:CA$21,$B26)&gt;0,COUNTA(CA$7:CA$15),0))</f>
        <v>0</v>
      </c>
      <c r="CB26" s="55">
        <f>IF($B26="","",IF(COUNTIF(CB$16:CB$21,$B26)&gt;0,COUNTA(CB$7:CB$15),0))</f>
        <v>0</v>
      </c>
      <c r="CC26" s="55">
        <f>IF($B26="","",IF(COUNTIF(CC$16:CC$21,$B26)&gt;0,COUNTA(CC$7:CC$15),0))</f>
        <v>0</v>
      </c>
      <c r="CD26" s="55">
        <f>IF($B26="","",IF(COUNTIF(CD$16:CD$21,$B26)&gt;0,COUNTA(CD$7:CD$15),0))</f>
        <v>0</v>
      </c>
      <c r="CE26" s="55">
        <f>IF($B26="","",IF(COUNTIF(CE$16:CE$21,$B26)&gt;0,COUNTA(CE$7:CE$15),0))</f>
        <v>0</v>
      </c>
      <c r="CF26" s="55">
        <f>IF($B26="","",IF(COUNTIF(CF$16:CF$21,$B26)&gt;0,COUNTA(CF$7:CF$15),0))</f>
        <v>0</v>
      </c>
      <c r="CG26" s="55">
        <f>IF($B26="","",IF(COUNTIF(CG$16:CG$21,$B26)&gt;0,COUNTA(CG$7:CG$15),0))</f>
        <v>0</v>
      </c>
      <c r="CH26" s="55">
        <f>IF($B26="","",IF(COUNTIF(CH$16:CH$21,$B26)&gt;0,COUNTA(CH$7:CH$15),0))</f>
        <v>0</v>
      </c>
      <c r="CI26" s="55">
        <f>IF($B26="","",IF(COUNTIF(CI$16:CI$21,$B26)&gt;0,COUNTA(CI$7:CI$15),0))</f>
        <v>0</v>
      </c>
      <c r="CJ26" s="55">
        <f>IF($B26="","",IF(COUNTIF(CJ$16:CJ$21,$B26)&gt;0,COUNTA(CJ$7:CJ$15),0))</f>
        <v>0</v>
      </c>
      <c r="CK26" s="55">
        <f>IF($B26="","",IF(COUNTIF(CK$16:CK$21,$B26)&gt;0,COUNTA(CK$7:CK$15),0))</f>
        <v>0</v>
      </c>
      <c r="CL26" s="55">
        <f>IF($B26="","",IF(COUNTIF(CL$16:CL$21,$B26)&gt;0,COUNTA(CL$7:CL$15),0))</f>
        <v>0</v>
      </c>
      <c r="CM26" s="55">
        <f>IF($B26="","",IF(COUNTIF(CM$16:CM$21,$B26)&gt;0,COUNTA(CM$7:CM$15),0))</f>
        <v>0</v>
      </c>
      <c r="CN26" s="55">
        <f>IF($B26="","",IF(COUNTIF(CN$16:CN$21,$B26)&gt;0,COUNTA(CN$7:CN$15),0))</f>
        <v>0</v>
      </c>
      <c r="CO26" s="55">
        <f>IF($B26="","",IF(COUNTIF(CO$16:CO$21,$B26)&gt;0,COUNTA(CO$7:CO$15),0))</f>
        <v>0</v>
      </c>
      <c r="CP26" s="55">
        <f>IF($B26="","",IF(COUNTIF(CP$16:CP$21,$B26)&gt;0,COUNTA(CP$7:CP$15),0))</f>
        <v>0</v>
      </c>
      <c r="CQ26" s="55">
        <f>IF($B26="","",IF(COUNTIF(CQ$16:CQ$21,$B26)&gt;0,COUNTA(CQ$7:CQ$15),0))</f>
        <v>0</v>
      </c>
      <c r="CR26" s="55">
        <f>IF($B26="","",IF(COUNTIF(CR$16:CR$21,$B26)&gt;0,COUNTA(CR$7:CR$15),0))</f>
        <v>0</v>
      </c>
      <c r="CS26" s="55">
        <f>IF($B26="","",IF(COUNTIF(CS$16:CS$21,$B26)&gt;0,COUNTA(CS$7:CS$15),0))</f>
        <v>0</v>
      </c>
      <c r="CT26" s="55">
        <f>IF($B26="","",IF(COUNTIF(CT$16:CT$21,$B26)&gt;0,COUNTA(CT$7:CT$15),0))</f>
        <v>0</v>
      </c>
      <c r="CU26" s="55">
        <f>IF($B26="","",IF(COUNTIF(CU$16:CU$21,$B26)&gt;0,COUNTA(CU$7:CU$15),0))</f>
        <v>0</v>
      </c>
      <c r="CV26" s="55">
        <f>IF($B26="","",IF(COUNTIF(CV$16:CV$21,$B26)&gt;0,COUNTA(CV$7:CV$15),0))</f>
        <v>0</v>
      </c>
      <c r="CW26" s="55">
        <f>IF($B26="","",IF(COUNTIF(CW$16:CW$21,$B26)&gt;0,COUNTA(CW$7:CW$15),0))</f>
        <v>0</v>
      </c>
      <c r="CX26" s="55">
        <f>IF($B26="","",IF(COUNTIF(CX$16:CX$21,$B26)&gt;0,COUNTA(CX$7:CX$15),0))</f>
        <v>0</v>
      </c>
      <c r="CY26" s="55">
        <f>IF($B26="","",IF(COUNTIF(CY$16:CY$21,$B26)&gt;0,COUNTA(CY$7:CY$15),0))</f>
        <v>0</v>
      </c>
      <c r="CZ26" s="55">
        <f>IF($B26="","",IF(COUNTIF(CZ$16:CZ$21,$B26)&gt;0,COUNTA(CZ$7:CZ$15),0))</f>
        <v>0</v>
      </c>
      <c r="DA26" s="55">
        <f>IF($B26="","",IF(COUNTIF(DA$16:DA$21,$B26)&gt;0,COUNTA(DA$7:DA$15),0))</f>
        <v>0</v>
      </c>
      <c r="DB26" s="55">
        <f>IF($B26="","",IF(COUNTIF(DB$16:DB$21,$B26)&gt;0,COUNTA(DB$7:DB$15),0))</f>
        <v>0</v>
      </c>
      <c r="DC26" s="55">
        <f>IF($B26="","",IF(COUNTIF(DC$16:DC$21,$B26)&gt;0,COUNTA(DC$7:DC$15),0))</f>
        <v>0</v>
      </c>
      <c r="DD26" s="55">
        <f>IF($B26="","",IF(COUNTIF(DD$16:DD$21,$B26)&gt;0,COUNTA(DD$7:DD$15),0))</f>
        <v>0</v>
      </c>
      <c r="DE26" s="58">
        <f>IF($B26="","",IF(COUNTIF(DE$16:DE$21,$B26)&gt;0,COUNTA(DE$7:DE$15),0))</f>
        <v>0</v>
      </c>
    </row>
    <row r="27" spans="2:109" x14ac:dyDescent="0.2">
      <c r="B27" s="84" t="str">
        <f>IFERROR(INDEX(_xlfn._xlws.FILTER(Ressourcer!$B$1:$X$1,_xlfn.BYCOL(Ressourcer!$B$17:$X$20,_xlfn.LAMBDA(_xlpm.c,COUNTIF(_xlpm.c,"&lt;&gt;" )&gt;0))),ROWS($B$2:B5)),"")</f>
        <v>JENR</v>
      </c>
      <c r="C27" s="79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)&gt;0))),_xlfn.LAMBDA(_xlpm.col,SUM(INDEX(Ressourcer!$B$17:$X$20,,_xlpm.col-COLUMN(Ressourcer!$B$17:$X$20)+1)))),ROWS($B$2:B5))/2,"")</f>
        <v>20</v>
      </c>
      <c r="D27" s="106" t="str">
        <f t="shared" si="22"/>
        <v/>
      </c>
      <c r="E27" s="57">
        <f>IF($B27="","",IF(COUNTIF(E$16:E$21,$B27)&gt;0,COUNTA(E$7:E$15),0))</f>
        <v>0</v>
      </c>
      <c r="F27" s="55">
        <f>IF($B27="","",IF(COUNTIF(F$16:F$21,$B27)&gt;0,COUNTA(F$7:F$15),0))</f>
        <v>0</v>
      </c>
      <c r="G27" s="55">
        <f>IF($B27="","",IF(COUNTIF(G$16:G$21,$B27)&gt;0,COUNTA(G$7:G$15),0))</f>
        <v>0</v>
      </c>
      <c r="H27" s="55">
        <f>IF($B27="","",IF(COUNTIF(H$16:H$21,$B27)&gt;0,COUNTA(H$7:H$15),0))</f>
        <v>0</v>
      </c>
      <c r="I27" s="55">
        <f>IF($B27="","",IF(COUNTIF(I$16:I$21,$B27)&gt;0,COUNTA(I$7:I$15),0))</f>
        <v>0</v>
      </c>
      <c r="J27" s="55">
        <f>IF($B27="","",IF(COUNTIF(J$16:J$21,$B27)&gt;0,COUNTA(J$7:J$15),0))</f>
        <v>0</v>
      </c>
      <c r="K27" s="55">
        <f>IF($B27="","",IF(COUNTIF(K$16:K$21,$B27)&gt;0,COUNTA(K$7:K$15),0))</f>
        <v>0</v>
      </c>
      <c r="L27" s="55">
        <f>IF($B27="","",IF(COUNTIF(L$16:L$21,$B27)&gt;0,COUNTA(L$7:L$15),0))</f>
        <v>0</v>
      </c>
      <c r="M27" s="55">
        <f>IF($B27="","",IF(COUNTIF(M$16:M$21,$B27)&gt;0,COUNTA(M$7:M$15),0))</f>
        <v>0</v>
      </c>
      <c r="N27" s="55">
        <f>IF($B27="","",IF(COUNTIF(N$16:N$21,$B27)&gt;0,COUNTA(N$7:N$15),0))</f>
        <v>0</v>
      </c>
      <c r="O27" s="55">
        <f>IF($B27="","",IF(COUNTIF(O$16:O$21,$B27)&gt;0,COUNTA(O$7:O$15),0))</f>
        <v>0</v>
      </c>
      <c r="P27" s="55">
        <f>IF($B27="","",IF(COUNTIF(P$16:P$21,$B27)&gt;0,COUNTA(P$7:P$15),0))</f>
        <v>0</v>
      </c>
      <c r="Q27" s="55">
        <f>IF($B27="","",IF(COUNTIF(Q$16:Q$21,$B27)&gt;0,COUNTA(Q$7:Q$15),0))</f>
        <v>0</v>
      </c>
      <c r="R27" s="55">
        <f>IF($B27="","",IF(COUNTIF(R$16:R$21,$B27)&gt;0,COUNTA(R$7:R$15),0))</f>
        <v>0</v>
      </c>
      <c r="S27" s="55">
        <f>IF($B27="","",IF(COUNTIF(S$16:S$21,$B27)&gt;0,COUNTA(S$7:S$15),0))</f>
        <v>0</v>
      </c>
      <c r="T27" s="55">
        <f>IF($B27="","",IF(COUNTIF(T$16:T$21,$B27)&gt;0,COUNTA(T$7:T$15),0))</f>
        <v>0</v>
      </c>
      <c r="U27" s="55">
        <f>IF($B27="","",IF(COUNTIF(U$16:U$21,$B27)&gt;0,COUNTA(U$7:U$15),0))</f>
        <v>0</v>
      </c>
      <c r="V27" s="55">
        <f>IF($B27="","",IF(COUNTIF(V$16:V$21,$B27)&gt;0,COUNTA(V$7:V$15),0))</f>
        <v>0</v>
      </c>
      <c r="W27" s="55">
        <f>IF($B27="","",IF(COUNTIF(W$16:W$21,$B27)&gt;0,COUNTA(W$7:W$15),0))</f>
        <v>0</v>
      </c>
      <c r="X27" s="55">
        <f>IF($B27="","",IF(COUNTIF(X$16:X$21,$B27)&gt;0,COUNTA(X$7:X$15),0))</f>
        <v>0</v>
      </c>
      <c r="Y27" s="55">
        <f>IF($B27="","",IF(COUNTIF(Y$16:Y$21,$B27)&gt;0,COUNTA(Y$7:Y$15),0))</f>
        <v>0</v>
      </c>
      <c r="Z27" s="55">
        <f>IF($B27="","",IF(COUNTIF(Z$16:Z$21,$B27)&gt;0,COUNTA(Z$7:Z$15),0))</f>
        <v>0</v>
      </c>
      <c r="AA27" s="55">
        <f>IF($B27="","",IF(COUNTIF(AA$16:AA$21,$B27)&gt;0,COUNTA(AA$7:AA$15),0))</f>
        <v>0</v>
      </c>
      <c r="AB27" s="55">
        <f>IF($B27="","",IF(COUNTIF(AB$16:AB$21,$B27)&gt;0,COUNTA(AB$7:AB$15),0))</f>
        <v>0</v>
      </c>
      <c r="AC27" s="55">
        <f>IF($B27="","",IF(COUNTIF(AC$16:AC$21,$B27)&gt;0,COUNTA(AC$7:AC$15),0))</f>
        <v>0</v>
      </c>
      <c r="AD27" s="55">
        <f>IF($B27="","",IF(COUNTIF(AD$16:AD$21,$B27)&gt;0,COUNTA(AD$7:AD$15),0))</f>
        <v>0</v>
      </c>
      <c r="AE27" s="55">
        <f>IF($B27="","",IF(COUNTIF(AE$16:AE$21,$B27)&gt;0,COUNTA(AE$7:AE$15),0))</f>
        <v>0</v>
      </c>
      <c r="AF27" s="55">
        <f>IF($B27="","",IF(COUNTIF(AF$16:AF$21,$B27)&gt;0,COUNTA(AF$7:AF$15),0))</f>
        <v>0</v>
      </c>
      <c r="AG27" s="55">
        <f>IF($B27="","",IF(COUNTIF(AG$16:AG$21,$B27)&gt;0,COUNTA(AG$7:AG$15),0))</f>
        <v>0</v>
      </c>
      <c r="AH27" s="55">
        <f>IF($B27="","",IF(COUNTIF(AH$16:AH$21,$B27)&gt;0,COUNTA(AH$7:AH$15),0))</f>
        <v>0</v>
      </c>
      <c r="AI27" s="55">
        <f>IF($B27="","",IF(COUNTIF(AI$16:AI$21,$B27)&gt;0,COUNTA(AI$7:AI$15),0))</f>
        <v>0</v>
      </c>
      <c r="AJ27" s="55">
        <f>IF($B27="","",IF(COUNTIF(AJ$16:AJ$21,$B27)&gt;0,COUNTA(AJ$7:AJ$15),0))</f>
        <v>0</v>
      </c>
      <c r="AK27" s="55">
        <f>IF($B27="","",IF(COUNTIF(AK$16:AK$21,$B27)&gt;0,COUNTA(AK$7:AK$15),0))</f>
        <v>0</v>
      </c>
      <c r="AL27" s="55">
        <f>IF($B27="","",IF(COUNTIF(AL$16:AL$21,$B27)&gt;0,COUNTA(AL$7:AL$15),0))</f>
        <v>0</v>
      </c>
      <c r="AM27" s="55">
        <f>IF($B27="","",IF(COUNTIF(AM$16:AM$21,$B27)&gt;0,COUNTA(AM$7:AM$15),0))</f>
        <v>0</v>
      </c>
      <c r="AN27" s="55">
        <f>IF($B27="","",IF(COUNTIF(AN$16:AN$21,$B27)&gt;0,COUNTA(AN$7:AN$15),0))</f>
        <v>0</v>
      </c>
      <c r="AO27" s="55">
        <f>IF($B27="","",IF(COUNTIF(AO$16:AO$21,$B27)&gt;0,COUNTA(AO$7:AO$15),0))</f>
        <v>0</v>
      </c>
      <c r="AP27" s="55">
        <f>IF($B27="","",IF(COUNTIF(AP$16:AP$21,$B27)&gt;0,COUNTA(AP$7:AP$15),0))</f>
        <v>0</v>
      </c>
      <c r="AQ27" s="55">
        <f>IF($B27="","",IF(COUNTIF(AQ$16:AQ$21,$B27)&gt;0,COUNTA(AQ$7:AQ$15),0))</f>
        <v>0</v>
      </c>
      <c r="AR27" s="55">
        <f>IF($B27="","",IF(COUNTIF(AR$16:AR$21,$B27)&gt;0,COUNTA(AR$7:AR$15),0))</f>
        <v>0</v>
      </c>
      <c r="AS27" s="55">
        <f>IF($B27="","",IF(COUNTIF(AS$16:AS$21,$B27)&gt;0,COUNTA(AS$7:AS$15),0))</f>
        <v>0</v>
      </c>
      <c r="AT27" s="55">
        <f>IF($B27="","",IF(COUNTIF(AT$16:AT$21,$B27)&gt;0,COUNTA(AT$7:AT$15),0))</f>
        <v>0</v>
      </c>
      <c r="AU27" s="55">
        <f>IF($B27="","",IF(COUNTIF(AU$16:AU$21,$B27)&gt;0,COUNTA(AU$7:AU$15),0))</f>
        <v>0</v>
      </c>
      <c r="AV27" s="55">
        <f>IF($B27="","",IF(COUNTIF(AV$16:AV$21,$B27)&gt;0,COUNTA(AV$7:AV$15),0))</f>
        <v>0</v>
      </c>
      <c r="AW27" s="55">
        <f>IF($B27="","",IF(COUNTIF(AW$16:AW$21,$B27)&gt;0,COUNTA(AW$7:AW$15),0))</f>
        <v>0</v>
      </c>
      <c r="AX27" s="55">
        <f>IF($B27="","",IF(COUNTIF(AX$16:AX$21,$B27)&gt;0,COUNTA(AX$7:AX$15),0))</f>
        <v>0</v>
      </c>
      <c r="AY27" s="55">
        <f>IF($B27="","",IF(COUNTIF(AY$16:AY$21,$B27)&gt;0,COUNTA(AY$7:AY$15),0))</f>
        <v>0</v>
      </c>
      <c r="AZ27" s="55">
        <f>IF($B27="","",IF(COUNTIF(AZ$16:AZ$21,$B27)&gt;0,COUNTA(AZ$7:AZ$15),0))</f>
        <v>0</v>
      </c>
      <c r="BA27" s="55">
        <f>IF($B27="","",IF(COUNTIF(BA$16:BA$21,$B27)&gt;0,COUNTA(BA$7:BA$15),0))</f>
        <v>0</v>
      </c>
      <c r="BB27" s="55">
        <f>IF($B27="","",IF(COUNTIF(BB$16:BB$21,$B27)&gt;0,COUNTA(BB$7:BB$15),0))</f>
        <v>0</v>
      </c>
      <c r="BC27" s="55">
        <f>IF($B27="","",IF(COUNTIF(BC$16:BC$21,$B27)&gt;0,COUNTA(BC$7:BC$15),0))</f>
        <v>0</v>
      </c>
      <c r="BD27" s="55">
        <f>IF($B27="","",IF(COUNTIF(BD$16:BD$21,$B27)&gt;0,COUNTA(BD$7:BD$15),0))</f>
        <v>0</v>
      </c>
      <c r="BE27" s="55">
        <f>IF($B27="","",IF(COUNTIF(BE$16:BE$21,$B27)&gt;0,COUNTA(BE$7:BE$15),0))</f>
        <v>0</v>
      </c>
      <c r="BF27" s="55">
        <f>IF($B27="","",IF(COUNTIF(BF$16:BF$21,$B27)&gt;0,COUNTA(BF$7:BF$15),0))</f>
        <v>0</v>
      </c>
      <c r="BG27" s="55">
        <f>IF($B27="","",IF(COUNTIF(BG$16:BG$21,$B27)&gt;0,COUNTA(BG$7:BG$15),0))</f>
        <v>0</v>
      </c>
      <c r="BH27" s="55">
        <f>IF($B27="","",IF(COUNTIF(BH$16:BH$21,$B27)&gt;0,COUNTA(BH$7:BH$15),0))</f>
        <v>0</v>
      </c>
      <c r="BI27" s="55">
        <f>IF($B27="","",IF(COUNTIF(BI$16:BI$21,$B27)&gt;0,COUNTA(BI$7:BI$15),0))</f>
        <v>0</v>
      </c>
      <c r="BJ27" s="55">
        <f>IF($B27="","",IF(COUNTIF(BJ$16:BJ$21,$B27)&gt;0,COUNTA(BJ$7:BJ$15),0))</f>
        <v>0</v>
      </c>
      <c r="BK27" s="55">
        <f>IF($B27="","",IF(COUNTIF(BK$16:BK$21,$B27)&gt;0,COUNTA(BK$7:BK$15),0))</f>
        <v>0</v>
      </c>
      <c r="BL27" s="55">
        <f>IF($B27="","",IF(COUNTIF(BL$16:BL$21,$B27)&gt;0,COUNTA(BL$7:BL$15),0))</f>
        <v>0</v>
      </c>
      <c r="BM27" s="55">
        <f>IF($B27="","",IF(COUNTIF(BM$16:BM$21,$B27)&gt;0,COUNTA(BM$7:BM$15),0))</f>
        <v>0</v>
      </c>
      <c r="BN27" s="55">
        <f>IF($B27="","",IF(COUNTIF(BN$16:BN$21,$B27)&gt;0,COUNTA(BN$7:BN$15),0))</f>
        <v>0</v>
      </c>
      <c r="BO27" s="55">
        <f>IF($B27="","",IF(COUNTIF(BO$16:BO$21,$B27)&gt;0,COUNTA(BO$7:BO$15),0))</f>
        <v>0</v>
      </c>
      <c r="BP27" s="55">
        <f>IF($B27="","",IF(COUNTIF(BP$16:BP$21,$B27)&gt;0,COUNTA(BP$7:BP$15),0))</f>
        <v>0</v>
      </c>
      <c r="BQ27" s="55">
        <f>IF($B27="","",IF(COUNTIF(BQ$16:BQ$21,$B27)&gt;0,COUNTA(BQ$7:BQ$15),0))</f>
        <v>0</v>
      </c>
      <c r="BR27" s="55">
        <f>IF($B27="","",IF(COUNTIF(BR$16:BR$21,$B27)&gt;0,COUNTA(BR$7:BR$15),0))</f>
        <v>0</v>
      </c>
      <c r="BS27" s="55">
        <f>IF($B27="","",IF(COUNTIF(BS$16:BS$21,$B27)&gt;0,COUNTA(BS$7:BS$15),0))</f>
        <v>0</v>
      </c>
      <c r="BT27" s="55">
        <f>IF($B27="","",IF(COUNTIF(BT$16:BT$21,$B27)&gt;0,COUNTA(BT$7:BT$15),0))</f>
        <v>0</v>
      </c>
      <c r="BU27" s="55">
        <f>IF($B27="","",IF(COUNTIF(BU$16:BU$21,$B27)&gt;0,COUNTA(BU$7:BU$15),0))</f>
        <v>0</v>
      </c>
      <c r="BV27" s="55">
        <f>IF($B27="","",IF(COUNTIF(BV$16:BV$21,$B27)&gt;0,COUNTA(BV$7:BV$15),0))</f>
        <v>0</v>
      </c>
      <c r="BW27" s="55">
        <f>IF($B27="","",IF(COUNTIF(BW$16:BW$21,$B27)&gt;0,COUNTA(BW$7:BW$15),0))</f>
        <v>0</v>
      </c>
      <c r="BX27" s="55">
        <f>IF($B27="","",IF(COUNTIF(BX$16:BX$21,$B27)&gt;0,COUNTA(BX$7:BX$15),0))</f>
        <v>0</v>
      </c>
      <c r="BY27" s="55">
        <f>IF($B27="","",IF(COUNTIF(BY$16:BY$21,$B27)&gt;0,COUNTA(BY$7:BY$15),0))</f>
        <v>0</v>
      </c>
      <c r="BZ27" s="55">
        <f>IF($B27="","",IF(COUNTIF(BZ$16:BZ$21,$B27)&gt;0,COUNTA(BZ$7:BZ$15),0))</f>
        <v>0</v>
      </c>
      <c r="CA27" s="55">
        <f>IF($B27="","",IF(COUNTIF(CA$16:CA$21,$B27)&gt;0,COUNTA(CA$7:CA$15),0))</f>
        <v>0</v>
      </c>
      <c r="CB27" s="55">
        <f>IF($B27="","",IF(COUNTIF(CB$16:CB$21,$B27)&gt;0,COUNTA(CB$7:CB$15),0))</f>
        <v>0</v>
      </c>
      <c r="CC27" s="55">
        <f>IF($B27="","",IF(COUNTIF(CC$16:CC$21,$B27)&gt;0,COUNTA(CC$7:CC$15),0))</f>
        <v>0</v>
      </c>
      <c r="CD27" s="55">
        <f>IF($B27="","",IF(COUNTIF(CD$16:CD$21,$B27)&gt;0,COUNTA(CD$7:CD$15),0))</f>
        <v>0</v>
      </c>
      <c r="CE27" s="55">
        <f>IF($B27="","",IF(COUNTIF(CE$16:CE$21,$B27)&gt;0,COUNTA(CE$7:CE$15),0))</f>
        <v>0</v>
      </c>
      <c r="CF27" s="55">
        <f>IF($B27="","",IF(COUNTIF(CF$16:CF$21,$B27)&gt;0,COUNTA(CF$7:CF$15),0))</f>
        <v>0</v>
      </c>
      <c r="CG27" s="55">
        <f>IF($B27="","",IF(COUNTIF(CG$16:CG$21,$B27)&gt;0,COUNTA(CG$7:CG$15),0))</f>
        <v>0</v>
      </c>
      <c r="CH27" s="55">
        <f>IF($B27="","",IF(COUNTIF(CH$16:CH$21,$B27)&gt;0,COUNTA(CH$7:CH$15),0))</f>
        <v>0</v>
      </c>
      <c r="CI27" s="55">
        <f>IF($B27="","",IF(COUNTIF(CI$16:CI$21,$B27)&gt;0,COUNTA(CI$7:CI$15),0))</f>
        <v>0</v>
      </c>
      <c r="CJ27" s="55">
        <f>IF($B27="","",IF(COUNTIF(CJ$16:CJ$21,$B27)&gt;0,COUNTA(CJ$7:CJ$15),0))</f>
        <v>0</v>
      </c>
      <c r="CK27" s="55">
        <f>IF($B27="","",IF(COUNTIF(CK$16:CK$21,$B27)&gt;0,COUNTA(CK$7:CK$15),0))</f>
        <v>0</v>
      </c>
      <c r="CL27" s="55">
        <f>IF($B27="","",IF(COUNTIF(CL$16:CL$21,$B27)&gt;0,COUNTA(CL$7:CL$15),0))</f>
        <v>0</v>
      </c>
      <c r="CM27" s="55">
        <f>IF($B27="","",IF(COUNTIF(CM$16:CM$21,$B27)&gt;0,COUNTA(CM$7:CM$15),0))</f>
        <v>0</v>
      </c>
      <c r="CN27" s="55">
        <f>IF($B27="","",IF(COUNTIF(CN$16:CN$21,$B27)&gt;0,COUNTA(CN$7:CN$15),0))</f>
        <v>0</v>
      </c>
      <c r="CO27" s="55">
        <f>IF($B27="","",IF(COUNTIF(CO$16:CO$21,$B27)&gt;0,COUNTA(CO$7:CO$15),0))</f>
        <v>0</v>
      </c>
      <c r="CP27" s="55">
        <f>IF($B27="","",IF(COUNTIF(CP$16:CP$21,$B27)&gt;0,COUNTA(CP$7:CP$15),0))</f>
        <v>0</v>
      </c>
      <c r="CQ27" s="55">
        <f>IF($B27="","",IF(COUNTIF(CQ$16:CQ$21,$B27)&gt;0,COUNTA(CQ$7:CQ$15),0))</f>
        <v>0</v>
      </c>
      <c r="CR27" s="55">
        <f>IF($B27="","",IF(COUNTIF(CR$16:CR$21,$B27)&gt;0,COUNTA(CR$7:CR$15),0))</f>
        <v>0</v>
      </c>
      <c r="CS27" s="55">
        <f>IF($B27="","",IF(COUNTIF(CS$16:CS$21,$B27)&gt;0,COUNTA(CS$7:CS$15),0))</f>
        <v>0</v>
      </c>
      <c r="CT27" s="55">
        <f>IF($B27="","",IF(COUNTIF(CT$16:CT$21,$B27)&gt;0,COUNTA(CT$7:CT$15),0))</f>
        <v>0</v>
      </c>
      <c r="CU27" s="55">
        <f>IF($B27="","",IF(COUNTIF(CU$16:CU$21,$B27)&gt;0,COUNTA(CU$7:CU$15),0))</f>
        <v>0</v>
      </c>
      <c r="CV27" s="55">
        <f>IF($B27="","",IF(COUNTIF(CV$16:CV$21,$B27)&gt;0,COUNTA(CV$7:CV$15),0))</f>
        <v>0</v>
      </c>
      <c r="CW27" s="55">
        <f>IF($B27="","",IF(COUNTIF(CW$16:CW$21,$B27)&gt;0,COUNTA(CW$7:CW$15),0))</f>
        <v>0</v>
      </c>
      <c r="CX27" s="55">
        <f>IF($B27="","",IF(COUNTIF(CX$16:CX$21,$B27)&gt;0,COUNTA(CX$7:CX$15),0))</f>
        <v>0</v>
      </c>
      <c r="CY27" s="55">
        <f>IF($B27="","",IF(COUNTIF(CY$16:CY$21,$B27)&gt;0,COUNTA(CY$7:CY$15),0))</f>
        <v>0</v>
      </c>
      <c r="CZ27" s="55">
        <f>IF($B27="","",IF(COUNTIF(CZ$16:CZ$21,$B27)&gt;0,COUNTA(CZ$7:CZ$15),0))</f>
        <v>0</v>
      </c>
      <c r="DA27" s="55">
        <f>IF($B27="","",IF(COUNTIF(DA$16:DA$21,$B27)&gt;0,COUNTA(DA$7:DA$15),0))</f>
        <v>0</v>
      </c>
      <c r="DB27" s="55">
        <f>IF($B27="","",IF(COUNTIF(DB$16:DB$21,$B27)&gt;0,COUNTA(DB$7:DB$15),0))</f>
        <v>0</v>
      </c>
      <c r="DC27" s="55">
        <f>IF($B27="","",IF(COUNTIF(DC$16:DC$21,$B27)&gt;0,COUNTA(DC$7:DC$15),0))</f>
        <v>0</v>
      </c>
      <c r="DD27" s="55">
        <f>IF($B27="","",IF(COUNTIF(DD$16:DD$21,$B27)&gt;0,COUNTA(DD$7:DD$15),0))</f>
        <v>0</v>
      </c>
      <c r="DE27" s="58">
        <f>IF($B27="","",IF(COUNTIF(DE$16:DE$21,$B27)&gt;0,COUNTA(DE$7:DE$15),0))</f>
        <v>0</v>
      </c>
    </row>
    <row r="28" spans="2:109" x14ac:dyDescent="0.2">
      <c r="B28" s="84" t="str">
        <f>IFERROR(INDEX(_xlfn._xlws.FILTER(Ressourcer!$B$1:$X$1,_xlfn.BYCOL(Ressourcer!$B$17:$X$20,_xlfn.LAMBDA(_xlpm.c,COUNTIF(_xlpm.c,"&lt;&gt;" )&gt;0))),ROWS($B$2:B6)),"")</f>
        <v>MDEI</v>
      </c>
      <c r="C28" s="79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)&gt;0))),_xlfn.LAMBDA(_xlpm.col,SUM(INDEX(Ressourcer!$B$17:$X$20,,_xlpm.col-COLUMN(Ressourcer!$B$17:$X$20)+1)))),ROWS($B$2:B6))/2,"")</f>
        <v>97.5</v>
      </c>
      <c r="D28" s="106" t="str">
        <f t="shared" si="22"/>
        <v/>
      </c>
      <c r="E28" s="57">
        <f>IF($B28="","",IF(COUNTIF(E$16:E$21,$B28)&gt;0,COUNTA(E$7:E$15),0))</f>
        <v>0</v>
      </c>
      <c r="F28" s="55">
        <f>IF($B28="","",IF(COUNTIF(F$16:F$21,$B28)&gt;0,COUNTA(F$7:F$15),0))</f>
        <v>0</v>
      </c>
      <c r="G28" s="55">
        <f>IF($B28="","",IF(COUNTIF(G$16:G$21,$B28)&gt;0,COUNTA(G$7:G$15),0))</f>
        <v>0</v>
      </c>
      <c r="H28" s="55">
        <f>IF($B28="","",IF(COUNTIF(H$16:H$21,$B28)&gt;0,COUNTA(H$7:H$15),0))</f>
        <v>0</v>
      </c>
      <c r="I28" s="55">
        <f>IF($B28="","",IF(COUNTIF(I$16:I$21,$B28)&gt;0,COUNTA(I$7:I$15),0))</f>
        <v>0</v>
      </c>
      <c r="J28" s="55">
        <f>IF($B28="","",IF(COUNTIF(J$16:J$21,$B28)&gt;0,COUNTA(J$7:J$15),0))</f>
        <v>0</v>
      </c>
      <c r="K28" s="55">
        <f>IF($B28="","",IF(COUNTIF(K$16:K$21,$B28)&gt;0,COUNTA(K$7:K$15),0))</f>
        <v>0</v>
      </c>
      <c r="L28" s="55">
        <f>IF($B28="","",IF(COUNTIF(L$16:L$21,$B28)&gt;0,COUNTA(L$7:L$15),0))</f>
        <v>0</v>
      </c>
      <c r="M28" s="55">
        <f>IF($B28="","",IF(COUNTIF(M$16:M$21,$B28)&gt;0,COUNTA(M$7:M$15),0))</f>
        <v>0</v>
      </c>
      <c r="N28" s="55">
        <f>IF($B28="","",IF(COUNTIF(N$16:N$21,$B28)&gt;0,COUNTA(N$7:N$15),0))</f>
        <v>0</v>
      </c>
      <c r="O28" s="55">
        <f>IF($B28="","",IF(COUNTIF(O$16:O$21,$B28)&gt;0,COUNTA(O$7:O$15),0))</f>
        <v>0</v>
      </c>
      <c r="P28" s="55">
        <f>IF($B28="","",IF(COUNTIF(P$16:P$21,$B28)&gt;0,COUNTA(P$7:P$15),0))</f>
        <v>0</v>
      </c>
      <c r="Q28" s="55">
        <f>IF($B28="","",IF(COUNTIF(Q$16:Q$21,$B28)&gt;0,COUNTA(Q$7:Q$15),0))</f>
        <v>0</v>
      </c>
      <c r="R28" s="55">
        <f>IF($B28="","",IF(COUNTIF(R$16:R$21,$B28)&gt;0,COUNTA(R$7:R$15),0))</f>
        <v>0</v>
      </c>
      <c r="S28" s="55">
        <f>IF($B28="","",IF(COUNTIF(S$16:S$21,$B28)&gt;0,COUNTA(S$7:S$15),0))</f>
        <v>0</v>
      </c>
      <c r="T28" s="55">
        <f>IF($B28="","",IF(COUNTIF(T$16:T$21,$B28)&gt;0,COUNTA(T$7:T$15),0))</f>
        <v>0</v>
      </c>
      <c r="U28" s="55">
        <f>IF($B28="","",IF(COUNTIF(U$16:U$21,$B28)&gt;0,COUNTA(U$7:U$15),0))</f>
        <v>0</v>
      </c>
      <c r="V28" s="55">
        <f>IF($B28="","",IF(COUNTIF(V$16:V$21,$B28)&gt;0,COUNTA(V$7:V$15),0))</f>
        <v>0</v>
      </c>
      <c r="W28" s="55">
        <f>IF($B28="","",IF(COUNTIF(W$16:W$21,$B28)&gt;0,COUNTA(W$7:W$15),0))</f>
        <v>0</v>
      </c>
      <c r="X28" s="55">
        <f>IF($B28="","",IF(COUNTIF(X$16:X$21,$B28)&gt;0,COUNTA(X$7:X$15),0))</f>
        <v>0</v>
      </c>
      <c r="Y28" s="55">
        <f>IF($B28="","",IF(COUNTIF(Y$16:Y$21,$B28)&gt;0,COUNTA(Y$7:Y$15),0))</f>
        <v>0</v>
      </c>
      <c r="Z28" s="55">
        <f>IF($B28="","",IF(COUNTIF(Z$16:Z$21,$B28)&gt;0,COUNTA(Z$7:Z$15),0))</f>
        <v>0</v>
      </c>
      <c r="AA28" s="55">
        <f>IF($B28="","",IF(COUNTIF(AA$16:AA$21,$B28)&gt;0,COUNTA(AA$7:AA$15),0))</f>
        <v>0</v>
      </c>
      <c r="AB28" s="55">
        <f>IF($B28="","",IF(COUNTIF(AB$16:AB$21,$B28)&gt;0,COUNTA(AB$7:AB$15),0))</f>
        <v>0</v>
      </c>
      <c r="AC28" s="55">
        <f>IF($B28="","",IF(COUNTIF(AC$16:AC$21,$B28)&gt;0,COUNTA(AC$7:AC$15),0))</f>
        <v>0</v>
      </c>
      <c r="AD28" s="55">
        <f>IF($B28="","",IF(COUNTIF(AD$16:AD$21,$B28)&gt;0,COUNTA(AD$7:AD$15),0))</f>
        <v>0</v>
      </c>
      <c r="AE28" s="55">
        <f>IF($B28="","",IF(COUNTIF(AE$16:AE$21,$B28)&gt;0,COUNTA(AE$7:AE$15),0))</f>
        <v>0</v>
      </c>
      <c r="AF28" s="55">
        <f>IF($B28="","",IF(COUNTIF(AF$16:AF$21,$B28)&gt;0,COUNTA(AF$7:AF$15),0))</f>
        <v>0</v>
      </c>
      <c r="AG28" s="55">
        <f>IF($B28="","",IF(COUNTIF(AG$16:AG$21,$B28)&gt;0,COUNTA(AG$7:AG$15),0))</f>
        <v>0</v>
      </c>
      <c r="AH28" s="55">
        <f>IF($B28="","",IF(COUNTIF(AH$16:AH$21,$B28)&gt;0,COUNTA(AH$7:AH$15),0))</f>
        <v>0</v>
      </c>
      <c r="AI28" s="55">
        <f>IF($B28="","",IF(COUNTIF(AI$16:AI$21,$B28)&gt;0,COUNTA(AI$7:AI$15),0))</f>
        <v>0</v>
      </c>
      <c r="AJ28" s="55">
        <f>IF($B28="","",IF(COUNTIF(AJ$16:AJ$21,$B28)&gt;0,COUNTA(AJ$7:AJ$15),0))</f>
        <v>0</v>
      </c>
      <c r="AK28" s="55">
        <f>IF($B28="","",IF(COUNTIF(AK$16:AK$21,$B28)&gt;0,COUNTA(AK$7:AK$15),0))</f>
        <v>0</v>
      </c>
      <c r="AL28" s="55">
        <f>IF($B28="","",IF(COUNTIF(AL$16:AL$21,$B28)&gt;0,COUNTA(AL$7:AL$15),0))</f>
        <v>0</v>
      </c>
      <c r="AM28" s="55">
        <f>IF($B28="","",IF(COUNTIF(AM$16:AM$21,$B28)&gt;0,COUNTA(AM$7:AM$15),0))</f>
        <v>0</v>
      </c>
      <c r="AN28" s="55">
        <f>IF($B28="","",IF(COUNTIF(AN$16:AN$21,$B28)&gt;0,COUNTA(AN$7:AN$15),0))</f>
        <v>0</v>
      </c>
      <c r="AO28" s="55">
        <f>IF($B28="","",IF(COUNTIF(AO$16:AO$21,$B28)&gt;0,COUNTA(AO$7:AO$15),0))</f>
        <v>0</v>
      </c>
      <c r="AP28" s="55">
        <f>IF($B28="","",IF(COUNTIF(AP$16:AP$21,$B28)&gt;0,COUNTA(AP$7:AP$15),0))</f>
        <v>0</v>
      </c>
      <c r="AQ28" s="55">
        <f>IF($B28="","",IF(COUNTIF(AQ$16:AQ$21,$B28)&gt;0,COUNTA(AQ$7:AQ$15),0))</f>
        <v>0</v>
      </c>
      <c r="AR28" s="55">
        <f>IF($B28="","",IF(COUNTIF(AR$16:AR$21,$B28)&gt;0,COUNTA(AR$7:AR$15),0))</f>
        <v>0</v>
      </c>
      <c r="AS28" s="55">
        <f>IF($B28="","",IF(COUNTIF(AS$16:AS$21,$B28)&gt;0,COUNTA(AS$7:AS$15),0))</f>
        <v>0</v>
      </c>
      <c r="AT28" s="55">
        <f>IF($B28="","",IF(COUNTIF(AT$16:AT$21,$B28)&gt;0,COUNTA(AT$7:AT$15),0))</f>
        <v>0</v>
      </c>
      <c r="AU28" s="55">
        <f>IF($B28="","",IF(COUNTIF(AU$16:AU$21,$B28)&gt;0,COUNTA(AU$7:AU$15),0))</f>
        <v>0</v>
      </c>
      <c r="AV28" s="55">
        <f>IF($B28="","",IF(COUNTIF(AV$16:AV$21,$B28)&gt;0,COUNTA(AV$7:AV$15),0))</f>
        <v>0</v>
      </c>
      <c r="AW28" s="55">
        <f>IF($B28="","",IF(COUNTIF(AW$16:AW$21,$B28)&gt;0,COUNTA(AW$7:AW$15),0))</f>
        <v>0</v>
      </c>
      <c r="AX28" s="55">
        <f>IF($B28="","",IF(COUNTIF(AX$16:AX$21,$B28)&gt;0,COUNTA(AX$7:AX$15),0))</f>
        <v>0</v>
      </c>
      <c r="AY28" s="55">
        <f>IF($B28="","",IF(COUNTIF(AY$16:AY$21,$B28)&gt;0,COUNTA(AY$7:AY$15),0))</f>
        <v>0</v>
      </c>
      <c r="AZ28" s="55">
        <f>IF($B28="","",IF(COUNTIF(AZ$16:AZ$21,$B28)&gt;0,COUNTA(AZ$7:AZ$15),0))</f>
        <v>0</v>
      </c>
      <c r="BA28" s="55">
        <f>IF($B28="","",IF(COUNTIF(BA$16:BA$21,$B28)&gt;0,COUNTA(BA$7:BA$15),0))</f>
        <v>0</v>
      </c>
      <c r="BB28" s="55">
        <f>IF($B28="","",IF(COUNTIF(BB$16:BB$21,$B28)&gt;0,COUNTA(BB$7:BB$15),0))</f>
        <v>0</v>
      </c>
      <c r="BC28" s="55">
        <f>IF($B28="","",IF(COUNTIF(BC$16:BC$21,$B28)&gt;0,COUNTA(BC$7:BC$15),0))</f>
        <v>0</v>
      </c>
      <c r="BD28" s="55">
        <f>IF($B28="","",IF(COUNTIF(BD$16:BD$21,$B28)&gt;0,COUNTA(BD$7:BD$15),0))</f>
        <v>0</v>
      </c>
      <c r="BE28" s="55">
        <f>IF($B28="","",IF(COUNTIF(BE$16:BE$21,$B28)&gt;0,COUNTA(BE$7:BE$15),0))</f>
        <v>0</v>
      </c>
      <c r="BF28" s="55">
        <f>IF($B28="","",IF(COUNTIF(BF$16:BF$21,$B28)&gt;0,COUNTA(BF$7:BF$15),0))</f>
        <v>0</v>
      </c>
      <c r="BG28" s="55">
        <f>IF($B28="","",IF(COUNTIF(BG$16:BG$21,$B28)&gt;0,COUNTA(BG$7:BG$15),0))</f>
        <v>0</v>
      </c>
      <c r="BH28" s="55">
        <f>IF($B28="","",IF(COUNTIF(BH$16:BH$21,$B28)&gt;0,COUNTA(BH$7:BH$15),0))</f>
        <v>0</v>
      </c>
      <c r="BI28" s="55">
        <f>IF($B28="","",IF(COUNTIF(BI$16:BI$21,$B28)&gt;0,COUNTA(BI$7:BI$15),0))</f>
        <v>0</v>
      </c>
      <c r="BJ28" s="55">
        <f>IF($B28="","",IF(COUNTIF(BJ$16:BJ$21,$B28)&gt;0,COUNTA(BJ$7:BJ$15),0))</f>
        <v>0</v>
      </c>
      <c r="BK28" s="55">
        <f>IF($B28="","",IF(COUNTIF(BK$16:BK$21,$B28)&gt;0,COUNTA(BK$7:BK$15),0))</f>
        <v>0</v>
      </c>
      <c r="BL28" s="55">
        <f>IF($B28="","",IF(COUNTIF(BL$16:BL$21,$B28)&gt;0,COUNTA(BL$7:BL$15),0))</f>
        <v>0</v>
      </c>
      <c r="BM28" s="55">
        <f>IF($B28="","",IF(COUNTIF(BM$16:BM$21,$B28)&gt;0,COUNTA(BM$7:BM$15),0))</f>
        <v>0</v>
      </c>
      <c r="BN28" s="55">
        <f>IF($B28="","",IF(COUNTIF(BN$16:BN$21,$B28)&gt;0,COUNTA(BN$7:BN$15),0))</f>
        <v>0</v>
      </c>
      <c r="BO28" s="55">
        <f>IF($B28="","",IF(COUNTIF(BO$16:BO$21,$B28)&gt;0,COUNTA(BO$7:BO$15),0))</f>
        <v>0</v>
      </c>
      <c r="BP28" s="55">
        <f>IF($B28="","",IF(COUNTIF(BP$16:BP$21,$B28)&gt;0,COUNTA(BP$7:BP$15),0))</f>
        <v>0</v>
      </c>
      <c r="BQ28" s="55">
        <f>IF($B28="","",IF(COUNTIF(BQ$16:BQ$21,$B28)&gt;0,COUNTA(BQ$7:BQ$15),0))</f>
        <v>0</v>
      </c>
      <c r="BR28" s="55">
        <f>IF($B28="","",IF(COUNTIF(BR$16:BR$21,$B28)&gt;0,COUNTA(BR$7:BR$15),0))</f>
        <v>0</v>
      </c>
      <c r="BS28" s="55">
        <f>IF($B28="","",IF(COUNTIF(BS$16:BS$21,$B28)&gt;0,COUNTA(BS$7:BS$15),0))</f>
        <v>0</v>
      </c>
      <c r="BT28" s="55">
        <f>IF($B28="","",IF(COUNTIF(BT$16:BT$21,$B28)&gt;0,COUNTA(BT$7:BT$15),0))</f>
        <v>0</v>
      </c>
      <c r="BU28" s="55">
        <f>IF($B28="","",IF(COUNTIF(BU$16:BU$21,$B28)&gt;0,COUNTA(BU$7:BU$15),0))</f>
        <v>0</v>
      </c>
      <c r="BV28" s="55">
        <f>IF($B28="","",IF(COUNTIF(BV$16:BV$21,$B28)&gt;0,COUNTA(BV$7:BV$15),0))</f>
        <v>0</v>
      </c>
      <c r="BW28" s="55">
        <f>IF($B28="","",IF(COUNTIF(BW$16:BW$21,$B28)&gt;0,COUNTA(BW$7:BW$15),0))</f>
        <v>0</v>
      </c>
      <c r="BX28" s="55">
        <f>IF($B28="","",IF(COUNTIF(BX$16:BX$21,$B28)&gt;0,COUNTA(BX$7:BX$15),0))</f>
        <v>0</v>
      </c>
      <c r="BY28" s="55">
        <f>IF($B28="","",IF(COUNTIF(BY$16:BY$21,$B28)&gt;0,COUNTA(BY$7:BY$15),0))</f>
        <v>0</v>
      </c>
      <c r="BZ28" s="55">
        <f>IF($B28="","",IF(COUNTIF(BZ$16:BZ$21,$B28)&gt;0,COUNTA(BZ$7:BZ$15),0))</f>
        <v>0</v>
      </c>
      <c r="CA28" s="55">
        <f>IF($B28="","",IF(COUNTIF(CA$16:CA$21,$B28)&gt;0,COUNTA(CA$7:CA$15),0))</f>
        <v>0</v>
      </c>
      <c r="CB28" s="55">
        <f>IF($B28="","",IF(COUNTIF(CB$16:CB$21,$B28)&gt;0,COUNTA(CB$7:CB$15),0))</f>
        <v>0</v>
      </c>
      <c r="CC28" s="55">
        <f>IF($B28="","",IF(COUNTIF(CC$16:CC$21,$B28)&gt;0,COUNTA(CC$7:CC$15),0))</f>
        <v>0</v>
      </c>
      <c r="CD28" s="55">
        <f>IF($B28="","",IF(COUNTIF(CD$16:CD$21,$B28)&gt;0,COUNTA(CD$7:CD$15),0))</f>
        <v>0</v>
      </c>
      <c r="CE28" s="55">
        <f>IF($B28="","",IF(COUNTIF(CE$16:CE$21,$B28)&gt;0,COUNTA(CE$7:CE$15),0))</f>
        <v>0</v>
      </c>
      <c r="CF28" s="55">
        <f>IF($B28="","",IF(COUNTIF(CF$16:CF$21,$B28)&gt;0,COUNTA(CF$7:CF$15),0))</f>
        <v>0</v>
      </c>
      <c r="CG28" s="55">
        <f>IF($B28="","",IF(COUNTIF(CG$16:CG$21,$B28)&gt;0,COUNTA(CG$7:CG$15),0))</f>
        <v>0</v>
      </c>
      <c r="CH28" s="55">
        <f>IF($B28="","",IF(COUNTIF(CH$16:CH$21,$B28)&gt;0,COUNTA(CH$7:CH$15),0))</f>
        <v>0</v>
      </c>
      <c r="CI28" s="55">
        <f>IF($B28="","",IF(COUNTIF(CI$16:CI$21,$B28)&gt;0,COUNTA(CI$7:CI$15),0))</f>
        <v>0</v>
      </c>
      <c r="CJ28" s="55">
        <f>IF($B28="","",IF(COUNTIF(CJ$16:CJ$21,$B28)&gt;0,COUNTA(CJ$7:CJ$15),0))</f>
        <v>0</v>
      </c>
      <c r="CK28" s="55">
        <f>IF($B28="","",IF(COUNTIF(CK$16:CK$21,$B28)&gt;0,COUNTA(CK$7:CK$15),0))</f>
        <v>0</v>
      </c>
      <c r="CL28" s="55">
        <f>IF($B28="","",IF(COUNTIF(CL$16:CL$21,$B28)&gt;0,COUNTA(CL$7:CL$15),0))</f>
        <v>0</v>
      </c>
      <c r="CM28" s="55">
        <f>IF($B28="","",IF(COUNTIF(CM$16:CM$21,$B28)&gt;0,COUNTA(CM$7:CM$15),0))</f>
        <v>0</v>
      </c>
      <c r="CN28" s="55">
        <f>IF($B28="","",IF(COUNTIF(CN$16:CN$21,$B28)&gt;0,COUNTA(CN$7:CN$15),0))</f>
        <v>0</v>
      </c>
      <c r="CO28" s="55">
        <f>IF($B28="","",IF(COUNTIF(CO$16:CO$21,$B28)&gt;0,COUNTA(CO$7:CO$15),0))</f>
        <v>0</v>
      </c>
      <c r="CP28" s="55">
        <f>IF($B28="","",IF(COUNTIF(CP$16:CP$21,$B28)&gt;0,COUNTA(CP$7:CP$15),0))</f>
        <v>0</v>
      </c>
      <c r="CQ28" s="55">
        <f>IF($B28="","",IF(COUNTIF(CQ$16:CQ$21,$B28)&gt;0,COUNTA(CQ$7:CQ$15),0))</f>
        <v>0</v>
      </c>
      <c r="CR28" s="55">
        <f>IF($B28="","",IF(COUNTIF(CR$16:CR$21,$B28)&gt;0,COUNTA(CR$7:CR$15),0))</f>
        <v>0</v>
      </c>
      <c r="CS28" s="55">
        <f>IF($B28="","",IF(COUNTIF(CS$16:CS$21,$B28)&gt;0,COUNTA(CS$7:CS$15),0))</f>
        <v>0</v>
      </c>
      <c r="CT28" s="55">
        <f>IF($B28="","",IF(COUNTIF(CT$16:CT$21,$B28)&gt;0,COUNTA(CT$7:CT$15),0))</f>
        <v>0</v>
      </c>
      <c r="CU28" s="55">
        <f>IF($B28="","",IF(COUNTIF(CU$16:CU$21,$B28)&gt;0,COUNTA(CU$7:CU$15),0))</f>
        <v>0</v>
      </c>
      <c r="CV28" s="55">
        <f>IF($B28="","",IF(COUNTIF(CV$16:CV$21,$B28)&gt;0,COUNTA(CV$7:CV$15),0))</f>
        <v>0</v>
      </c>
      <c r="CW28" s="55">
        <f>IF($B28="","",IF(COUNTIF(CW$16:CW$21,$B28)&gt;0,COUNTA(CW$7:CW$15),0))</f>
        <v>0</v>
      </c>
      <c r="CX28" s="55">
        <f>IF($B28="","",IF(COUNTIF(CX$16:CX$21,$B28)&gt;0,COUNTA(CX$7:CX$15),0))</f>
        <v>0</v>
      </c>
      <c r="CY28" s="55">
        <f>IF($B28="","",IF(COUNTIF(CY$16:CY$21,$B28)&gt;0,COUNTA(CY$7:CY$15),0))</f>
        <v>0</v>
      </c>
      <c r="CZ28" s="55">
        <f>IF($B28="","",IF(COUNTIF(CZ$16:CZ$21,$B28)&gt;0,COUNTA(CZ$7:CZ$15),0))</f>
        <v>0</v>
      </c>
      <c r="DA28" s="55">
        <f>IF($B28="","",IF(COUNTIF(DA$16:DA$21,$B28)&gt;0,COUNTA(DA$7:DA$15),0))</f>
        <v>0</v>
      </c>
      <c r="DB28" s="55">
        <f>IF($B28="","",IF(COUNTIF(DB$16:DB$21,$B28)&gt;0,COUNTA(DB$7:DB$15),0))</f>
        <v>0</v>
      </c>
      <c r="DC28" s="55">
        <f>IF($B28="","",IF(COUNTIF(DC$16:DC$21,$B28)&gt;0,COUNTA(DC$7:DC$15),0))</f>
        <v>0</v>
      </c>
      <c r="DD28" s="55">
        <f>IF($B28="","",IF(COUNTIF(DD$16:DD$21,$B28)&gt;0,COUNTA(DD$7:DD$15),0))</f>
        <v>0</v>
      </c>
      <c r="DE28" s="58">
        <f>IF($B28="","",IF(COUNTIF(DE$16:DE$21,$B28)&gt;0,COUNTA(DE$7:DE$15),0))</f>
        <v>0</v>
      </c>
    </row>
    <row r="29" spans="2:109" x14ac:dyDescent="0.2">
      <c r="B29" s="84" t="str">
        <f>IFERROR(INDEX(_xlfn._xlws.FILTER(Ressourcer!$B$1:$X$1,_xlfn.BYCOL(Ressourcer!$B$17:$X$20,_xlfn.LAMBDA(_xlpm.c,COUNTIF(_xlpm.c,"&lt;&gt;" )&gt;0))),ROWS($B$2:B7)),"")</f>
        <v>MIWN</v>
      </c>
      <c r="C29" s="79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)&gt;0))),_xlfn.LAMBDA(_xlpm.col,SUM(INDEX(Ressourcer!$B$17:$X$20,,_xlpm.col-COLUMN(Ressourcer!$B$17:$X$20)+1)))),ROWS($B$2:B7))/2,"")</f>
        <v>92.5</v>
      </c>
      <c r="D29" s="106" t="str">
        <f t="shared" si="22"/>
        <v/>
      </c>
      <c r="E29" s="57">
        <f>IF($B29="","",IF(COUNTIF(E$16:E$21,$B29)&gt;0,COUNTA(E$7:E$15),0))</f>
        <v>0</v>
      </c>
      <c r="F29" s="55">
        <f>IF($B29="","",IF(COUNTIF(F$16:F$21,$B29)&gt;0,COUNTA(F$7:F$15),0))</f>
        <v>0</v>
      </c>
      <c r="G29" s="55">
        <f>IF($B29="","",IF(COUNTIF(G$16:G$21,$B29)&gt;0,COUNTA(G$7:G$15),0))</f>
        <v>0</v>
      </c>
      <c r="H29" s="55">
        <f>IF($B29="","",IF(COUNTIF(H$16:H$21,$B29)&gt;0,COUNTA(H$7:H$15),0))</f>
        <v>0</v>
      </c>
      <c r="I29" s="55">
        <f>IF($B29="","",IF(COUNTIF(I$16:I$21,$B29)&gt;0,COUNTA(I$7:I$15),0))</f>
        <v>0</v>
      </c>
      <c r="J29" s="55">
        <f>IF($B29="","",IF(COUNTIF(J$16:J$21,$B29)&gt;0,COUNTA(J$7:J$15),0))</f>
        <v>0</v>
      </c>
      <c r="K29" s="55">
        <f>IF($B29="","",IF(COUNTIF(K$16:K$21,$B29)&gt;0,COUNTA(K$7:K$15),0))</f>
        <v>0</v>
      </c>
      <c r="L29" s="55">
        <f>IF($B29="","",IF(COUNTIF(L$16:L$21,$B29)&gt;0,COUNTA(L$7:L$15),0))</f>
        <v>0</v>
      </c>
      <c r="M29" s="55">
        <f>IF($B29="","",IF(COUNTIF(M$16:M$21,$B29)&gt;0,COUNTA(M$7:M$15),0))</f>
        <v>0</v>
      </c>
      <c r="N29" s="55">
        <f>IF($B29="","",IF(COUNTIF(N$16:N$21,$B29)&gt;0,COUNTA(N$7:N$15),0))</f>
        <v>0</v>
      </c>
      <c r="O29" s="55">
        <f>IF($B29="","",IF(COUNTIF(O$16:O$21,$B29)&gt;0,COUNTA(O$7:O$15),0))</f>
        <v>0</v>
      </c>
      <c r="P29" s="55">
        <f>IF($B29="","",IF(COUNTIF(P$16:P$21,$B29)&gt;0,COUNTA(P$7:P$15),0))</f>
        <v>0</v>
      </c>
      <c r="Q29" s="55">
        <f>IF($B29="","",IF(COUNTIF(Q$16:Q$21,$B29)&gt;0,COUNTA(Q$7:Q$15),0))</f>
        <v>0</v>
      </c>
      <c r="R29" s="55">
        <f>IF($B29="","",IF(COUNTIF(R$16:R$21,$B29)&gt;0,COUNTA(R$7:R$15),0))</f>
        <v>0</v>
      </c>
      <c r="S29" s="55">
        <f>IF($B29="","",IF(COUNTIF(S$16:S$21,$B29)&gt;0,COUNTA(S$7:S$15),0))</f>
        <v>0</v>
      </c>
      <c r="T29" s="55">
        <f>IF($B29="","",IF(COUNTIF(T$16:T$21,$B29)&gt;0,COUNTA(T$7:T$15),0))</f>
        <v>0</v>
      </c>
      <c r="U29" s="55">
        <f>IF($B29="","",IF(COUNTIF(U$16:U$21,$B29)&gt;0,COUNTA(U$7:U$15),0))</f>
        <v>0</v>
      </c>
      <c r="V29" s="55">
        <f>IF($B29="","",IF(COUNTIF(V$16:V$21,$B29)&gt;0,COUNTA(V$7:V$15),0))</f>
        <v>0</v>
      </c>
      <c r="W29" s="55">
        <f>IF($B29="","",IF(COUNTIF(W$16:W$21,$B29)&gt;0,COUNTA(W$7:W$15),0))</f>
        <v>0</v>
      </c>
      <c r="X29" s="55">
        <f>IF($B29="","",IF(COUNTIF(X$16:X$21,$B29)&gt;0,COUNTA(X$7:X$15),0))</f>
        <v>0</v>
      </c>
      <c r="Y29" s="55">
        <f>IF($B29="","",IF(COUNTIF(Y$16:Y$21,$B29)&gt;0,COUNTA(Y$7:Y$15),0))</f>
        <v>0</v>
      </c>
      <c r="Z29" s="55">
        <f>IF($B29="","",IF(COUNTIF(Z$16:Z$21,$B29)&gt;0,COUNTA(Z$7:Z$15),0))</f>
        <v>0</v>
      </c>
      <c r="AA29" s="55">
        <f>IF($B29="","",IF(COUNTIF(AA$16:AA$21,$B29)&gt;0,COUNTA(AA$7:AA$15),0))</f>
        <v>0</v>
      </c>
      <c r="AB29" s="55">
        <f>IF($B29="","",IF(COUNTIF(AB$16:AB$21,$B29)&gt;0,COUNTA(AB$7:AB$15),0))</f>
        <v>0</v>
      </c>
      <c r="AC29" s="55">
        <f>IF($B29="","",IF(COUNTIF(AC$16:AC$21,$B29)&gt;0,COUNTA(AC$7:AC$15),0))</f>
        <v>0</v>
      </c>
      <c r="AD29" s="55">
        <f>IF($B29="","",IF(COUNTIF(AD$16:AD$21,$B29)&gt;0,COUNTA(AD$7:AD$15),0))</f>
        <v>0</v>
      </c>
      <c r="AE29" s="55">
        <f>IF($B29="","",IF(COUNTIF(AE$16:AE$21,$B29)&gt;0,COUNTA(AE$7:AE$15),0))</f>
        <v>0</v>
      </c>
      <c r="AF29" s="55">
        <f>IF($B29="","",IF(COUNTIF(AF$16:AF$21,$B29)&gt;0,COUNTA(AF$7:AF$15),0))</f>
        <v>0</v>
      </c>
      <c r="AG29" s="55">
        <f>IF($B29="","",IF(COUNTIF(AG$16:AG$21,$B29)&gt;0,COUNTA(AG$7:AG$15),0))</f>
        <v>0</v>
      </c>
      <c r="AH29" s="55">
        <f>IF($B29="","",IF(COUNTIF(AH$16:AH$21,$B29)&gt;0,COUNTA(AH$7:AH$15),0))</f>
        <v>0</v>
      </c>
      <c r="AI29" s="55">
        <f>IF($B29="","",IF(COUNTIF(AI$16:AI$21,$B29)&gt;0,COUNTA(AI$7:AI$15),0))</f>
        <v>0</v>
      </c>
      <c r="AJ29" s="55">
        <f>IF($B29="","",IF(COUNTIF(AJ$16:AJ$21,$B29)&gt;0,COUNTA(AJ$7:AJ$15),0))</f>
        <v>0</v>
      </c>
      <c r="AK29" s="55">
        <f>IF($B29="","",IF(COUNTIF(AK$16:AK$21,$B29)&gt;0,COUNTA(AK$7:AK$15),0))</f>
        <v>0</v>
      </c>
      <c r="AL29" s="55">
        <f>IF($B29="","",IF(COUNTIF(AL$16:AL$21,$B29)&gt;0,COUNTA(AL$7:AL$15),0))</f>
        <v>0</v>
      </c>
      <c r="AM29" s="55">
        <f>IF($B29="","",IF(COUNTIF(AM$16:AM$21,$B29)&gt;0,COUNTA(AM$7:AM$15),0))</f>
        <v>0</v>
      </c>
      <c r="AN29" s="55">
        <f>IF($B29="","",IF(COUNTIF(AN$16:AN$21,$B29)&gt;0,COUNTA(AN$7:AN$15),0))</f>
        <v>0</v>
      </c>
      <c r="AO29" s="55">
        <f>IF($B29="","",IF(COUNTIF(AO$16:AO$21,$B29)&gt;0,COUNTA(AO$7:AO$15),0))</f>
        <v>0</v>
      </c>
      <c r="AP29" s="55">
        <f>IF($B29="","",IF(COUNTIF(AP$16:AP$21,$B29)&gt;0,COUNTA(AP$7:AP$15),0))</f>
        <v>0</v>
      </c>
      <c r="AQ29" s="55">
        <f>IF($B29="","",IF(COUNTIF(AQ$16:AQ$21,$B29)&gt;0,COUNTA(AQ$7:AQ$15),0))</f>
        <v>0</v>
      </c>
      <c r="AR29" s="55">
        <f>IF($B29="","",IF(COUNTIF(AR$16:AR$21,$B29)&gt;0,COUNTA(AR$7:AR$15),0))</f>
        <v>0</v>
      </c>
      <c r="AS29" s="55">
        <f>IF($B29="","",IF(COUNTIF(AS$16:AS$21,$B29)&gt;0,COUNTA(AS$7:AS$15),0))</f>
        <v>0</v>
      </c>
      <c r="AT29" s="55">
        <f>IF($B29="","",IF(COUNTIF(AT$16:AT$21,$B29)&gt;0,COUNTA(AT$7:AT$15),0))</f>
        <v>0</v>
      </c>
      <c r="AU29" s="55">
        <f>IF($B29="","",IF(COUNTIF(AU$16:AU$21,$B29)&gt;0,COUNTA(AU$7:AU$15),0))</f>
        <v>0</v>
      </c>
      <c r="AV29" s="55">
        <f>IF($B29="","",IF(COUNTIF(AV$16:AV$21,$B29)&gt;0,COUNTA(AV$7:AV$15),0))</f>
        <v>0</v>
      </c>
      <c r="AW29" s="55">
        <f>IF($B29="","",IF(COUNTIF(AW$16:AW$21,$B29)&gt;0,COUNTA(AW$7:AW$15),0))</f>
        <v>0</v>
      </c>
      <c r="AX29" s="55">
        <f>IF($B29="","",IF(COUNTIF(AX$16:AX$21,$B29)&gt;0,COUNTA(AX$7:AX$15),0))</f>
        <v>0</v>
      </c>
      <c r="AY29" s="55">
        <f>IF($B29="","",IF(COUNTIF(AY$16:AY$21,$B29)&gt;0,COUNTA(AY$7:AY$15),0))</f>
        <v>0</v>
      </c>
      <c r="AZ29" s="55">
        <f>IF($B29="","",IF(COUNTIF(AZ$16:AZ$21,$B29)&gt;0,COUNTA(AZ$7:AZ$15),0))</f>
        <v>0</v>
      </c>
      <c r="BA29" s="55">
        <f>IF($B29="","",IF(COUNTIF(BA$16:BA$21,$B29)&gt;0,COUNTA(BA$7:BA$15),0))</f>
        <v>0</v>
      </c>
      <c r="BB29" s="55">
        <f>IF($B29="","",IF(COUNTIF(BB$16:BB$21,$B29)&gt;0,COUNTA(BB$7:BB$15),0))</f>
        <v>0</v>
      </c>
      <c r="BC29" s="55">
        <f>IF($B29="","",IF(COUNTIF(BC$16:BC$21,$B29)&gt;0,COUNTA(BC$7:BC$15),0))</f>
        <v>0</v>
      </c>
      <c r="BD29" s="55">
        <f>IF($B29="","",IF(COUNTIF(BD$16:BD$21,$B29)&gt;0,COUNTA(BD$7:BD$15),0))</f>
        <v>0</v>
      </c>
      <c r="BE29" s="55">
        <f>IF($B29="","",IF(COUNTIF(BE$16:BE$21,$B29)&gt;0,COUNTA(BE$7:BE$15),0))</f>
        <v>0</v>
      </c>
      <c r="BF29" s="55">
        <f>IF($B29="","",IF(COUNTIF(BF$16:BF$21,$B29)&gt;0,COUNTA(BF$7:BF$15),0))</f>
        <v>0</v>
      </c>
      <c r="BG29" s="55">
        <f>IF($B29="","",IF(COUNTIF(BG$16:BG$21,$B29)&gt;0,COUNTA(BG$7:BG$15),0))</f>
        <v>0</v>
      </c>
      <c r="BH29" s="55">
        <f>IF($B29="","",IF(COUNTIF(BH$16:BH$21,$B29)&gt;0,COUNTA(BH$7:BH$15),0))</f>
        <v>0</v>
      </c>
      <c r="BI29" s="55">
        <f>IF($B29="","",IF(COUNTIF(BI$16:BI$21,$B29)&gt;0,COUNTA(BI$7:BI$15),0))</f>
        <v>0</v>
      </c>
      <c r="BJ29" s="55">
        <f>IF($B29="","",IF(COUNTIF(BJ$16:BJ$21,$B29)&gt;0,COUNTA(BJ$7:BJ$15),0))</f>
        <v>0</v>
      </c>
      <c r="BK29" s="55">
        <f>IF($B29="","",IF(COUNTIF(BK$16:BK$21,$B29)&gt;0,COUNTA(BK$7:BK$15),0))</f>
        <v>0</v>
      </c>
      <c r="BL29" s="55">
        <f>IF($B29="","",IF(COUNTIF(BL$16:BL$21,$B29)&gt;0,COUNTA(BL$7:BL$15),0))</f>
        <v>0</v>
      </c>
      <c r="BM29" s="55">
        <f>IF($B29="","",IF(COUNTIF(BM$16:BM$21,$B29)&gt;0,COUNTA(BM$7:BM$15),0))</f>
        <v>0</v>
      </c>
      <c r="BN29" s="55">
        <f>IF($B29="","",IF(COUNTIF(BN$16:BN$21,$B29)&gt;0,COUNTA(BN$7:BN$15),0))</f>
        <v>0</v>
      </c>
      <c r="BO29" s="55">
        <f>IF($B29="","",IF(COUNTIF(BO$16:BO$21,$B29)&gt;0,COUNTA(BO$7:BO$15),0))</f>
        <v>0</v>
      </c>
      <c r="BP29" s="55">
        <f>IF($B29="","",IF(COUNTIF(BP$16:BP$21,$B29)&gt;0,COUNTA(BP$7:BP$15),0))</f>
        <v>0</v>
      </c>
      <c r="BQ29" s="55">
        <f>IF($B29="","",IF(COUNTIF(BQ$16:BQ$21,$B29)&gt;0,COUNTA(BQ$7:BQ$15),0))</f>
        <v>0</v>
      </c>
      <c r="BR29" s="55">
        <f>IF($B29="","",IF(COUNTIF(BR$16:BR$21,$B29)&gt;0,COUNTA(BR$7:BR$15),0))</f>
        <v>0</v>
      </c>
      <c r="BS29" s="55">
        <f>IF($B29="","",IF(COUNTIF(BS$16:BS$21,$B29)&gt;0,COUNTA(BS$7:BS$15),0))</f>
        <v>0</v>
      </c>
      <c r="BT29" s="55">
        <f>IF($B29="","",IF(COUNTIF(BT$16:BT$21,$B29)&gt;0,COUNTA(BT$7:BT$15),0))</f>
        <v>0</v>
      </c>
      <c r="BU29" s="55">
        <f>IF($B29="","",IF(COUNTIF(BU$16:BU$21,$B29)&gt;0,COUNTA(BU$7:BU$15),0))</f>
        <v>0</v>
      </c>
      <c r="BV29" s="55">
        <f>IF($B29="","",IF(COUNTIF(BV$16:BV$21,$B29)&gt;0,COUNTA(BV$7:BV$15),0))</f>
        <v>0</v>
      </c>
      <c r="BW29" s="55">
        <f>IF($B29="","",IF(COUNTIF(BW$16:BW$21,$B29)&gt;0,COUNTA(BW$7:BW$15),0))</f>
        <v>0</v>
      </c>
      <c r="BX29" s="55">
        <f>IF($B29="","",IF(COUNTIF(BX$16:BX$21,$B29)&gt;0,COUNTA(BX$7:BX$15),0))</f>
        <v>0</v>
      </c>
      <c r="BY29" s="55">
        <f>IF($B29="","",IF(COUNTIF(BY$16:BY$21,$B29)&gt;0,COUNTA(BY$7:BY$15),0))</f>
        <v>0</v>
      </c>
      <c r="BZ29" s="55">
        <f>IF($B29="","",IF(COUNTIF(BZ$16:BZ$21,$B29)&gt;0,COUNTA(BZ$7:BZ$15),0))</f>
        <v>0</v>
      </c>
      <c r="CA29" s="55">
        <f>IF($B29="","",IF(COUNTIF(CA$16:CA$21,$B29)&gt;0,COUNTA(CA$7:CA$15),0))</f>
        <v>0</v>
      </c>
      <c r="CB29" s="55">
        <f>IF($B29="","",IF(COUNTIF(CB$16:CB$21,$B29)&gt;0,COUNTA(CB$7:CB$15),0))</f>
        <v>0</v>
      </c>
      <c r="CC29" s="55">
        <f>IF($B29="","",IF(COUNTIF(CC$16:CC$21,$B29)&gt;0,COUNTA(CC$7:CC$15),0))</f>
        <v>0</v>
      </c>
      <c r="CD29" s="55">
        <f>IF($B29="","",IF(COUNTIF(CD$16:CD$21,$B29)&gt;0,COUNTA(CD$7:CD$15),0))</f>
        <v>0</v>
      </c>
      <c r="CE29" s="55">
        <f>IF($B29="","",IF(COUNTIF(CE$16:CE$21,$B29)&gt;0,COUNTA(CE$7:CE$15),0))</f>
        <v>0</v>
      </c>
      <c r="CF29" s="55">
        <f>IF($B29="","",IF(COUNTIF(CF$16:CF$21,$B29)&gt;0,COUNTA(CF$7:CF$15),0))</f>
        <v>0</v>
      </c>
      <c r="CG29" s="55">
        <f>IF($B29="","",IF(COUNTIF(CG$16:CG$21,$B29)&gt;0,COUNTA(CG$7:CG$15),0))</f>
        <v>0</v>
      </c>
      <c r="CH29" s="55">
        <f>IF($B29="","",IF(COUNTIF(CH$16:CH$21,$B29)&gt;0,COUNTA(CH$7:CH$15),0))</f>
        <v>0</v>
      </c>
      <c r="CI29" s="55">
        <f>IF($B29="","",IF(COUNTIF(CI$16:CI$21,$B29)&gt;0,COUNTA(CI$7:CI$15),0))</f>
        <v>0</v>
      </c>
      <c r="CJ29" s="55">
        <f>IF($B29="","",IF(COUNTIF(CJ$16:CJ$21,$B29)&gt;0,COUNTA(CJ$7:CJ$15),0))</f>
        <v>0</v>
      </c>
      <c r="CK29" s="55">
        <f>IF($B29="","",IF(COUNTIF(CK$16:CK$21,$B29)&gt;0,COUNTA(CK$7:CK$15),0))</f>
        <v>0</v>
      </c>
      <c r="CL29" s="55">
        <f>IF($B29="","",IF(COUNTIF(CL$16:CL$21,$B29)&gt;0,COUNTA(CL$7:CL$15),0))</f>
        <v>0</v>
      </c>
      <c r="CM29" s="55">
        <f>IF($B29="","",IF(COUNTIF(CM$16:CM$21,$B29)&gt;0,COUNTA(CM$7:CM$15),0))</f>
        <v>0</v>
      </c>
      <c r="CN29" s="55">
        <f>IF($B29="","",IF(COUNTIF(CN$16:CN$21,$B29)&gt;0,COUNTA(CN$7:CN$15),0))</f>
        <v>0</v>
      </c>
      <c r="CO29" s="55">
        <f>IF($B29="","",IF(COUNTIF(CO$16:CO$21,$B29)&gt;0,COUNTA(CO$7:CO$15),0))</f>
        <v>0</v>
      </c>
      <c r="CP29" s="55">
        <f>IF($B29="","",IF(COUNTIF(CP$16:CP$21,$B29)&gt;0,COUNTA(CP$7:CP$15),0))</f>
        <v>0</v>
      </c>
      <c r="CQ29" s="55">
        <f>IF($B29="","",IF(COUNTIF(CQ$16:CQ$21,$B29)&gt;0,COUNTA(CQ$7:CQ$15),0))</f>
        <v>0</v>
      </c>
      <c r="CR29" s="55">
        <f>IF($B29="","",IF(COUNTIF(CR$16:CR$21,$B29)&gt;0,COUNTA(CR$7:CR$15),0))</f>
        <v>0</v>
      </c>
      <c r="CS29" s="55">
        <f>IF($B29="","",IF(COUNTIF(CS$16:CS$21,$B29)&gt;0,COUNTA(CS$7:CS$15),0))</f>
        <v>0</v>
      </c>
      <c r="CT29" s="55">
        <f>IF($B29="","",IF(COUNTIF(CT$16:CT$21,$B29)&gt;0,COUNTA(CT$7:CT$15),0))</f>
        <v>0</v>
      </c>
      <c r="CU29" s="55">
        <f>IF($B29="","",IF(COUNTIF(CU$16:CU$21,$B29)&gt;0,COUNTA(CU$7:CU$15),0))</f>
        <v>0</v>
      </c>
      <c r="CV29" s="55">
        <f>IF($B29="","",IF(COUNTIF(CV$16:CV$21,$B29)&gt;0,COUNTA(CV$7:CV$15),0))</f>
        <v>0</v>
      </c>
      <c r="CW29" s="55">
        <f>IF($B29="","",IF(COUNTIF(CW$16:CW$21,$B29)&gt;0,COUNTA(CW$7:CW$15),0))</f>
        <v>0</v>
      </c>
      <c r="CX29" s="55">
        <f>IF($B29="","",IF(COUNTIF(CX$16:CX$21,$B29)&gt;0,COUNTA(CX$7:CX$15),0))</f>
        <v>0</v>
      </c>
      <c r="CY29" s="55">
        <f>IF($B29="","",IF(COUNTIF(CY$16:CY$21,$B29)&gt;0,COUNTA(CY$7:CY$15),0))</f>
        <v>0</v>
      </c>
      <c r="CZ29" s="55">
        <f>IF($B29="","",IF(COUNTIF(CZ$16:CZ$21,$B29)&gt;0,COUNTA(CZ$7:CZ$15),0))</f>
        <v>0</v>
      </c>
      <c r="DA29" s="55">
        <f>IF($B29="","",IF(COUNTIF(DA$16:DA$21,$B29)&gt;0,COUNTA(DA$7:DA$15),0))</f>
        <v>0</v>
      </c>
      <c r="DB29" s="55">
        <f>IF($B29="","",IF(COUNTIF(DB$16:DB$21,$B29)&gt;0,COUNTA(DB$7:DB$15),0))</f>
        <v>0</v>
      </c>
      <c r="DC29" s="55">
        <f>IF($B29="","",IF(COUNTIF(DC$16:DC$21,$B29)&gt;0,COUNTA(DC$7:DC$15),0))</f>
        <v>0</v>
      </c>
      <c r="DD29" s="55">
        <f>IF($B29="","",IF(COUNTIF(DD$16:DD$21,$B29)&gt;0,COUNTA(DD$7:DD$15),0))</f>
        <v>0</v>
      </c>
      <c r="DE29" s="58">
        <f>IF($B29="","",IF(COUNTIF(DE$16:DE$21,$B29)&gt;0,COUNTA(DE$7:DE$15),0))</f>
        <v>0</v>
      </c>
    </row>
    <row r="30" spans="2:109" x14ac:dyDescent="0.2">
      <c r="B30" s="84" t="str">
        <f>IFERROR(INDEX(_xlfn._xlws.FILTER(Ressourcer!$B$1:$X$1,_xlfn.BYCOL(Ressourcer!$B$17:$X$20,_xlfn.LAMBDA(_xlpm.c,COUNTIF(_xlpm.c,"&lt;&gt;" )&gt;0))),ROWS($B$2:B8)),"")</f>
        <v>TRRI</v>
      </c>
      <c r="C30" s="79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)&gt;0))),_xlfn.LAMBDA(_xlpm.col,SUM(INDEX(Ressourcer!$B$17:$X$20,,_xlpm.col-COLUMN(Ressourcer!$B$17:$X$20)+1)))),ROWS($B$2:B8))/2,"")</f>
        <v>40</v>
      </c>
      <c r="D30" s="106" t="str">
        <f t="shared" si="22"/>
        <v/>
      </c>
      <c r="E30" s="57">
        <f>IF($B30="","",IF(COUNTIF(E$16:E$21,$B30)&gt;0,COUNTA(E$7:E$15),0))</f>
        <v>0</v>
      </c>
      <c r="F30" s="55">
        <f>IF($B30="","",IF(COUNTIF(F$16:F$21,$B30)&gt;0,COUNTA(F$7:F$15),0))</f>
        <v>0</v>
      </c>
      <c r="G30" s="55">
        <f>IF($B30="","",IF(COUNTIF(G$16:G$21,$B30)&gt;0,COUNTA(G$7:G$15),0))</f>
        <v>0</v>
      </c>
      <c r="H30" s="55">
        <f>IF($B30="","",IF(COUNTIF(H$16:H$21,$B30)&gt;0,COUNTA(H$7:H$15),0))</f>
        <v>0</v>
      </c>
      <c r="I30" s="55">
        <f>IF($B30="","",IF(COUNTIF(I$16:I$21,$B30)&gt;0,COUNTA(I$7:I$15),0))</f>
        <v>0</v>
      </c>
      <c r="J30" s="55">
        <f>IF($B30="","",IF(COUNTIF(J$16:J$21,$B30)&gt;0,COUNTA(J$7:J$15),0))</f>
        <v>0</v>
      </c>
      <c r="K30" s="55">
        <f>IF($B30="","",IF(COUNTIF(K$16:K$21,$B30)&gt;0,COUNTA(K$7:K$15),0))</f>
        <v>0</v>
      </c>
      <c r="L30" s="55">
        <f>IF($B30="","",IF(COUNTIF(L$16:L$21,$B30)&gt;0,COUNTA(L$7:L$15),0))</f>
        <v>0</v>
      </c>
      <c r="M30" s="55">
        <f>IF($B30="","",IF(COUNTIF(M$16:M$21,$B30)&gt;0,COUNTA(M$7:M$15),0))</f>
        <v>0</v>
      </c>
      <c r="N30" s="55">
        <f>IF($B30="","",IF(COUNTIF(N$16:N$21,$B30)&gt;0,COUNTA(N$7:N$15),0))</f>
        <v>0</v>
      </c>
      <c r="O30" s="55">
        <f>IF($B30="","",IF(COUNTIF(O$16:O$21,$B30)&gt;0,COUNTA(O$7:O$15),0))</f>
        <v>0</v>
      </c>
      <c r="P30" s="55">
        <f>IF($B30="","",IF(COUNTIF(P$16:P$21,$B30)&gt;0,COUNTA(P$7:P$15),0))</f>
        <v>0</v>
      </c>
      <c r="Q30" s="55">
        <f>IF($B30="","",IF(COUNTIF(Q$16:Q$21,$B30)&gt;0,COUNTA(Q$7:Q$15),0))</f>
        <v>0</v>
      </c>
      <c r="R30" s="55">
        <f>IF($B30="","",IF(COUNTIF(R$16:R$21,$B30)&gt;0,COUNTA(R$7:R$15),0))</f>
        <v>0</v>
      </c>
      <c r="S30" s="55">
        <f>IF($B30="","",IF(COUNTIF(S$16:S$21,$B30)&gt;0,COUNTA(S$7:S$15),0))</f>
        <v>0</v>
      </c>
      <c r="T30" s="55">
        <f>IF($B30="","",IF(COUNTIF(T$16:T$21,$B30)&gt;0,COUNTA(T$7:T$15),0))</f>
        <v>0</v>
      </c>
      <c r="U30" s="55">
        <f>IF($B30="","",IF(COUNTIF(U$16:U$21,$B30)&gt;0,COUNTA(U$7:U$15),0))</f>
        <v>0</v>
      </c>
      <c r="V30" s="55">
        <f>IF($B30="","",IF(COUNTIF(V$16:V$21,$B30)&gt;0,COUNTA(V$7:V$15),0))</f>
        <v>0</v>
      </c>
      <c r="W30" s="55">
        <f>IF($B30="","",IF(COUNTIF(W$16:W$21,$B30)&gt;0,COUNTA(W$7:W$15),0))</f>
        <v>0</v>
      </c>
      <c r="X30" s="55">
        <f>IF($B30="","",IF(COUNTIF(X$16:X$21,$B30)&gt;0,COUNTA(X$7:X$15),0))</f>
        <v>0</v>
      </c>
      <c r="Y30" s="55">
        <f>IF($B30="","",IF(COUNTIF(Y$16:Y$21,$B30)&gt;0,COUNTA(Y$7:Y$15),0))</f>
        <v>0</v>
      </c>
      <c r="Z30" s="55">
        <f>IF($B30="","",IF(COUNTIF(Z$16:Z$21,$B30)&gt;0,COUNTA(Z$7:Z$15),0))</f>
        <v>0</v>
      </c>
      <c r="AA30" s="55">
        <f>IF($B30="","",IF(COUNTIF(AA$16:AA$21,$B30)&gt;0,COUNTA(AA$7:AA$15),0))</f>
        <v>0</v>
      </c>
      <c r="AB30" s="55">
        <f>IF($B30="","",IF(COUNTIF(AB$16:AB$21,$B30)&gt;0,COUNTA(AB$7:AB$15),0))</f>
        <v>0</v>
      </c>
      <c r="AC30" s="55">
        <f>IF($B30="","",IF(COUNTIF(AC$16:AC$21,$B30)&gt;0,COUNTA(AC$7:AC$15),0))</f>
        <v>0</v>
      </c>
      <c r="AD30" s="55">
        <f>IF($B30="","",IF(COUNTIF(AD$16:AD$21,$B30)&gt;0,COUNTA(AD$7:AD$15),0))</f>
        <v>0</v>
      </c>
      <c r="AE30" s="55">
        <f>IF($B30="","",IF(COUNTIF(AE$16:AE$21,$B30)&gt;0,COUNTA(AE$7:AE$15),0))</f>
        <v>0</v>
      </c>
      <c r="AF30" s="55">
        <f>IF($B30="","",IF(COUNTIF(AF$16:AF$21,$B30)&gt;0,COUNTA(AF$7:AF$15),0))</f>
        <v>0</v>
      </c>
      <c r="AG30" s="55">
        <f>IF($B30="","",IF(COUNTIF(AG$16:AG$21,$B30)&gt;0,COUNTA(AG$7:AG$15),0))</f>
        <v>0</v>
      </c>
      <c r="AH30" s="55">
        <f>IF($B30="","",IF(COUNTIF(AH$16:AH$21,$B30)&gt;0,COUNTA(AH$7:AH$15),0))</f>
        <v>0</v>
      </c>
      <c r="AI30" s="55">
        <f>IF($B30="","",IF(COUNTIF(AI$16:AI$21,$B30)&gt;0,COUNTA(AI$7:AI$15),0))</f>
        <v>0</v>
      </c>
      <c r="AJ30" s="55">
        <f>IF($B30="","",IF(COUNTIF(AJ$16:AJ$21,$B30)&gt;0,COUNTA(AJ$7:AJ$15),0))</f>
        <v>0</v>
      </c>
      <c r="AK30" s="55">
        <f>IF($B30="","",IF(COUNTIF(AK$16:AK$21,$B30)&gt;0,COUNTA(AK$7:AK$15),0))</f>
        <v>0</v>
      </c>
      <c r="AL30" s="55">
        <f>IF($B30="","",IF(COUNTIF(AL$16:AL$21,$B30)&gt;0,COUNTA(AL$7:AL$15),0))</f>
        <v>0</v>
      </c>
      <c r="AM30" s="55">
        <f>IF($B30="","",IF(COUNTIF(AM$16:AM$21,$B30)&gt;0,COUNTA(AM$7:AM$15),0))</f>
        <v>0</v>
      </c>
      <c r="AN30" s="55">
        <f>IF($B30="","",IF(COUNTIF(AN$16:AN$21,$B30)&gt;0,COUNTA(AN$7:AN$15),0))</f>
        <v>0</v>
      </c>
      <c r="AO30" s="55">
        <f>IF($B30="","",IF(COUNTIF(AO$16:AO$21,$B30)&gt;0,COUNTA(AO$7:AO$15),0))</f>
        <v>0</v>
      </c>
      <c r="AP30" s="55">
        <f>IF($B30="","",IF(COUNTIF(AP$16:AP$21,$B30)&gt;0,COUNTA(AP$7:AP$15),0))</f>
        <v>0</v>
      </c>
      <c r="AQ30" s="55">
        <f>IF($B30="","",IF(COUNTIF(AQ$16:AQ$21,$B30)&gt;0,COUNTA(AQ$7:AQ$15),0))</f>
        <v>0</v>
      </c>
      <c r="AR30" s="55">
        <f>IF($B30="","",IF(COUNTIF(AR$16:AR$21,$B30)&gt;0,COUNTA(AR$7:AR$15),0))</f>
        <v>0</v>
      </c>
      <c r="AS30" s="55">
        <f>IF($B30="","",IF(COUNTIF(AS$16:AS$21,$B30)&gt;0,COUNTA(AS$7:AS$15),0))</f>
        <v>0</v>
      </c>
      <c r="AT30" s="55">
        <f>IF($B30="","",IF(COUNTIF(AT$16:AT$21,$B30)&gt;0,COUNTA(AT$7:AT$15),0))</f>
        <v>0</v>
      </c>
      <c r="AU30" s="55">
        <f>IF($B30="","",IF(COUNTIF(AU$16:AU$21,$B30)&gt;0,COUNTA(AU$7:AU$15),0))</f>
        <v>0</v>
      </c>
      <c r="AV30" s="55">
        <f>IF($B30="","",IF(COUNTIF(AV$16:AV$21,$B30)&gt;0,COUNTA(AV$7:AV$15),0))</f>
        <v>0</v>
      </c>
      <c r="AW30" s="55">
        <f>IF($B30="","",IF(COUNTIF(AW$16:AW$21,$B30)&gt;0,COUNTA(AW$7:AW$15),0))</f>
        <v>0</v>
      </c>
      <c r="AX30" s="55">
        <f>IF($B30="","",IF(COUNTIF(AX$16:AX$21,$B30)&gt;0,COUNTA(AX$7:AX$15),0))</f>
        <v>0</v>
      </c>
      <c r="AY30" s="55">
        <f>IF($B30="","",IF(COUNTIF(AY$16:AY$21,$B30)&gt;0,COUNTA(AY$7:AY$15),0))</f>
        <v>0</v>
      </c>
      <c r="AZ30" s="55">
        <f>IF($B30="","",IF(COUNTIF(AZ$16:AZ$21,$B30)&gt;0,COUNTA(AZ$7:AZ$15),0))</f>
        <v>0</v>
      </c>
      <c r="BA30" s="55">
        <f>IF($B30="","",IF(COUNTIF(BA$16:BA$21,$B30)&gt;0,COUNTA(BA$7:BA$15),0))</f>
        <v>0</v>
      </c>
      <c r="BB30" s="55">
        <f>IF($B30="","",IF(COUNTIF(BB$16:BB$21,$B30)&gt;0,COUNTA(BB$7:BB$15),0))</f>
        <v>0</v>
      </c>
      <c r="BC30" s="55">
        <f>IF($B30="","",IF(COUNTIF(BC$16:BC$21,$B30)&gt;0,COUNTA(BC$7:BC$15),0))</f>
        <v>0</v>
      </c>
      <c r="BD30" s="55">
        <f>IF($B30="","",IF(COUNTIF(BD$16:BD$21,$B30)&gt;0,COUNTA(BD$7:BD$15),0))</f>
        <v>0</v>
      </c>
      <c r="BE30" s="55">
        <f>IF($B30="","",IF(COUNTIF(BE$16:BE$21,$B30)&gt;0,COUNTA(BE$7:BE$15),0))</f>
        <v>0</v>
      </c>
      <c r="BF30" s="55">
        <f>IF($B30="","",IF(COUNTIF(BF$16:BF$21,$B30)&gt;0,COUNTA(BF$7:BF$15),0))</f>
        <v>0</v>
      </c>
      <c r="BG30" s="55">
        <f>IF($B30="","",IF(COUNTIF(BG$16:BG$21,$B30)&gt;0,COUNTA(BG$7:BG$15),0))</f>
        <v>0</v>
      </c>
      <c r="BH30" s="55">
        <f>IF($B30="","",IF(COUNTIF(BH$16:BH$21,$B30)&gt;0,COUNTA(BH$7:BH$15),0))</f>
        <v>0</v>
      </c>
      <c r="BI30" s="55">
        <f>IF($B30="","",IF(COUNTIF(BI$16:BI$21,$B30)&gt;0,COUNTA(BI$7:BI$15),0))</f>
        <v>0</v>
      </c>
      <c r="BJ30" s="55">
        <f>IF($B30="","",IF(COUNTIF(BJ$16:BJ$21,$B30)&gt;0,COUNTA(BJ$7:BJ$15),0))</f>
        <v>0</v>
      </c>
      <c r="BK30" s="55">
        <f>IF($B30="","",IF(COUNTIF(BK$16:BK$21,$B30)&gt;0,COUNTA(BK$7:BK$15),0))</f>
        <v>0</v>
      </c>
      <c r="BL30" s="55">
        <f>IF($B30="","",IF(COUNTIF(BL$16:BL$21,$B30)&gt;0,COUNTA(BL$7:BL$15),0))</f>
        <v>0</v>
      </c>
      <c r="BM30" s="55">
        <f>IF($B30="","",IF(COUNTIF(BM$16:BM$21,$B30)&gt;0,COUNTA(BM$7:BM$15),0))</f>
        <v>0</v>
      </c>
      <c r="BN30" s="55">
        <f>IF($B30="","",IF(COUNTIF(BN$16:BN$21,$B30)&gt;0,COUNTA(BN$7:BN$15),0))</f>
        <v>0</v>
      </c>
      <c r="BO30" s="55">
        <f>IF($B30="","",IF(COUNTIF(BO$16:BO$21,$B30)&gt;0,COUNTA(BO$7:BO$15),0))</f>
        <v>0</v>
      </c>
      <c r="BP30" s="55">
        <f>IF($B30="","",IF(COUNTIF(BP$16:BP$21,$B30)&gt;0,COUNTA(BP$7:BP$15),0))</f>
        <v>0</v>
      </c>
      <c r="BQ30" s="55">
        <f>IF($B30="","",IF(COUNTIF(BQ$16:BQ$21,$B30)&gt;0,COUNTA(BQ$7:BQ$15),0))</f>
        <v>0</v>
      </c>
      <c r="BR30" s="55">
        <f>IF($B30="","",IF(COUNTIF(BR$16:BR$21,$B30)&gt;0,COUNTA(BR$7:BR$15),0))</f>
        <v>0</v>
      </c>
      <c r="BS30" s="55">
        <f>IF($B30="","",IF(COUNTIF(BS$16:BS$21,$B30)&gt;0,COUNTA(BS$7:BS$15),0))</f>
        <v>0</v>
      </c>
      <c r="BT30" s="55">
        <f>IF($B30="","",IF(COUNTIF(BT$16:BT$21,$B30)&gt;0,COUNTA(BT$7:BT$15),0))</f>
        <v>0</v>
      </c>
      <c r="BU30" s="55">
        <f>IF($B30="","",IF(COUNTIF(BU$16:BU$21,$B30)&gt;0,COUNTA(BU$7:BU$15),0))</f>
        <v>0</v>
      </c>
      <c r="BV30" s="55">
        <f>IF($B30="","",IF(COUNTIF(BV$16:BV$21,$B30)&gt;0,COUNTA(BV$7:BV$15),0))</f>
        <v>0</v>
      </c>
      <c r="BW30" s="55">
        <f>IF($B30="","",IF(COUNTIF(BW$16:BW$21,$B30)&gt;0,COUNTA(BW$7:BW$15),0))</f>
        <v>0</v>
      </c>
      <c r="BX30" s="55">
        <f>IF($B30="","",IF(COUNTIF(BX$16:BX$21,$B30)&gt;0,COUNTA(BX$7:BX$15),0))</f>
        <v>0</v>
      </c>
      <c r="BY30" s="55">
        <f>IF($B30="","",IF(COUNTIF(BY$16:BY$21,$B30)&gt;0,COUNTA(BY$7:BY$15),0))</f>
        <v>0</v>
      </c>
      <c r="BZ30" s="55">
        <f>IF($B30="","",IF(COUNTIF(BZ$16:BZ$21,$B30)&gt;0,COUNTA(BZ$7:BZ$15),0))</f>
        <v>0</v>
      </c>
      <c r="CA30" s="55">
        <f>IF($B30="","",IF(COUNTIF(CA$16:CA$21,$B30)&gt;0,COUNTA(CA$7:CA$15),0))</f>
        <v>0</v>
      </c>
      <c r="CB30" s="55">
        <f>IF($B30="","",IF(COUNTIF(CB$16:CB$21,$B30)&gt;0,COUNTA(CB$7:CB$15),0))</f>
        <v>0</v>
      </c>
      <c r="CC30" s="55">
        <f>IF($B30="","",IF(COUNTIF(CC$16:CC$21,$B30)&gt;0,COUNTA(CC$7:CC$15),0))</f>
        <v>0</v>
      </c>
      <c r="CD30" s="55">
        <f>IF($B30="","",IF(COUNTIF(CD$16:CD$21,$B30)&gt;0,COUNTA(CD$7:CD$15),0))</f>
        <v>0</v>
      </c>
      <c r="CE30" s="55">
        <f>IF($B30="","",IF(COUNTIF(CE$16:CE$21,$B30)&gt;0,COUNTA(CE$7:CE$15),0))</f>
        <v>0</v>
      </c>
      <c r="CF30" s="55">
        <f>IF($B30="","",IF(COUNTIF(CF$16:CF$21,$B30)&gt;0,COUNTA(CF$7:CF$15),0))</f>
        <v>0</v>
      </c>
      <c r="CG30" s="55">
        <f>IF($B30="","",IF(COUNTIF(CG$16:CG$21,$B30)&gt;0,COUNTA(CG$7:CG$15),0))</f>
        <v>0</v>
      </c>
      <c r="CH30" s="55">
        <f>IF($B30="","",IF(COUNTIF(CH$16:CH$21,$B30)&gt;0,COUNTA(CH$7:CH$15),0))</f>
        <v>0</v>
      </c>
      <c r="CI30" s="55">
        <f>IF($B30="","",IF(COUNTIF(CI$16:CI$21,$B30)&gt;0,COUNTA(CI$7:CI$15),0))</f>
        <v>0</v>
      </c>
      <c r="CJ30" s="55">
        <f>IF($B30="","",IF(COUNTIF(CJ$16:CJ$21,$B30)&gt;0,COUNTA(CJ$7:CJ$15),0))</f>
        <v>0</v>
      </c>
      <c r="CK30" s="55">
        <f>IF($B30="","",IF(COUNTIF(CK$16:CK$21,$B30)&gt;0,COUNTA(CK$7:CK$15),0))</f>
        <v>0</v>
      </c>
      <c r="CL30" s="55">
        <f>IF($B30="","",IF(COUNTIF(CL$16:CL$21,$B30)&gt;0,COUNTA(CL$7:CL$15),0))</f>
        <v>0</v>
      </c>
      <c r="CM30" s="55">
        <f>IF($B30="","",IF(COUNTIF(CM$16:CM$21,$B30)&gt;0,COUNTA(CM$7:CM$15),0))</f>
        <v>0</v>
      </c>
      <c r="CN30" s="55">
        <f>IF($B30="","",IF(COUNTIF(CN$16:CN$21,$B30)&gt;0,COUNTA(CN$7:CN$15),0))</f>
        <v>0</v>
      </c>
      <c r="CO30" s="55">
        <f>IF($B30="","",IF(COUNTIF(CO$16:CO$21,$B30)&gt;0,COUNTA(CO$7:CO$15),0))</f>
        <v>0</v>
      </c>
      <c r="CP30" s="55">
        <f>IF($B30="","",IF(COUNTIF(CP$16:CP$21,$B30)&gt;0,COUNTA(CP$7:CP$15),0))</f>
        <v>0</v>
      </c>
      <c r="CQ30" s="55">
        <f>IF($B30="","",IF(COUNTIF(CQ$16:CQ$21,$B30)&gt;0,COUNTA(CQ$7:CQ$15),0))</f>
        <v>0</v>
      </c>
      <c r="CR30" s="55">
        <f>IF($B30="","",IF(COUNTIF(CR$16:CR$21,$B30)&gt;0,COUNTA(CR$7:CR$15),0))</f>
        <v>0</v>
      </c>
      <c r="CS30" s="55">
        <f>IF($B30="","",IF(COUNTIF(CS$16:CS$21,$B30)&gt;0,COUNTA(CS$7:CS$15),0))</f>
        <v>0</v>
      </c>
      <c r="CT30" s="55">
        <f>IF($B30="","",IF(COUNTIF(CT$16:CT$21,$B30)&gt;0,COUNTA(CT$7:CT$15),0))</f>
        <v>0</v>
      </c>
      <c r="CU30" s="55">
        <f>IF($B30="","",IF(COUNTIF(CU$16:CU$21,$B30)&gt;0,COUNTA(CU$7:CU$15),0))</f>
        <v>0</v>
      </c>
      <c r="CV30" s="55">
        <f>IF($B30="","",IF(COUNTIF(CV$16:CV$21,$B30)&gt;0,COUNTA(CV$7:CV$15),0))</f>
        <v>0</v>
      </c>
      <c r="CW30" s="55">
        <f>IF($B30="","",IF(COUNTIF(CW$16:CW$21,$B30)&gt;0,COUNTA(CW$7:CW$15),0))</f>
        <v>0</v>
      </c>
      <c r="CX30" s="55">
        <f>IF($B30="","",IF(COUNTIF(CX$16:CX$21,$B30)&gt;0,COUNTA(CX$7:CX$15),0))</f>
        <v>0</v>
      </c>
      <c r="CY30" s="55">
        <f>IF($B30="","",IF(COUNTIF(CY$16:CY$21,$B30)&gt;0,COUNTA(CY$7:CY$15),0))</f>
        <v>0</v>
      </c>
      <c r="CZ30" s="55">
        <f>IF($B30="","",IF(COUNTIF(CZ$16:CZ$21,$B30)&gt;0,COUNTA(CZ$7:CZ$15),0))</f>
        <v>0</v>
      </c>
      <c r="DA30" s="55">
        <f>IF($B30="","",IF(COUNTIF(DA$16:DA$21,$B30)&gt;0,COUNTA(DA$7:DA$15),0))</f>
        <v>0</v>
      </c>
      <c r="DB30" s="55">
        <f>IF($B30="","",IF(COUNTIF(DB$16:DB$21,$B30)&gt;0,COUNTA(DB$7:DB$15),0))</f>
        <v>0</v>
      </c>
      <c r="DC30" s="55">
        <f>IF($B30="","",IF(COUNTIF(DC$16:DC$21,$B30)&gt;0,COUNTA(DC$7:DC$15),0))</f>
        <v>0</v>
      </c>
      <c r="DD30" s="55">
        <f>IF($B30="","",IF(COUNTIF(DD$16:DD$21,$B30)&gt;0,COUNTA(DD$7:DD$15),0))</f>
        <v>0</v>
      </c>
      <c r="DE30" s="58">
        <f>IF($B30="","",IF(COUNTIF(DE$16:DE$21,$B30)&gt;0,COUNTA(DE$7:DE$15),0))</f>
        <v>0</v>
      </c>
    </row>
    <row r="31" spans="2:109" x14ac:dyDescent="0.2">
      <c r="B31" s="84" t="str">
        <f>IFERROR(INDEX(_xlfn._xlws.FILTER(Ressourcer!$B$1:$X$1,_xlfn.BYCOL(Ressourcer!$B$17:$X$20,_xlfn.LAMBDA(_xlpm.c,COUNTIF(_xlpm.c,"&lt;&gt;" )&gt;0))),ROWS($B$2:B9)),"")</f>
        <v/>
      </c>
      <c r="C31" s="79" t="str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)&gt;0))),_xlfn.LAMBDA(_xlpm.col,SUM(INDEX(Ressourcer!$B$17:$X$20,,_xlpm.col-COLUMN(Ressourcer!$B$17:$X$20)+1)))),ROWS($B$2:B9))/2,"")</f>
        <v/>
      </c>
      <c r="D31" s="106" t="str">
        <f t="shared" si="22"/>
        <v/>
      </c>
      <c r="E31" s="57" t="str">
        <f>IF($B31="","",IF(COUNTIF(E$16:E$21,$B31)&gt;0,COUNTA(E$7:E$15),0))</f>
        <v/>
      </c>
      <c r="F31" s="55" t="str">
        <f>IF($B31="","",IF(COUNTIF(F$16:F$21,$B31)&gt;0,COUNTA(F$7:F$15),0))</f>
        <v/>
      </c>
      <c r="G31" s="55" t="str">
        <f>IF($B31="","",IF(COUNTIF(G$16:G$21,$B31)&gt;0,COUNTA(G$7:G$15),0))</f>
        <v/>
      </c>
      <c r="H31" s="55" t="str">
        <f>IF($B31="","",IF(COUNTIF(H$16:H$21,$B31)&gt;0,COUNTA(H$7:H$15),0))</f>
        <v/>
      </c>
      <c r="I31" s="55" t="str">
        <f>IF($B31="","",IF(COUNTIF(I$16:I$21,$B31)&gt;0,COUNTA(I$7:I$15),0))</f>
        <v/>
      </c>
      <c r="J31" s="55" t="str">
        <f>IF($B31="","",IF(COUNTIF(J$16:J$21,$B31)&gt;0,COUNTA(J$7:J$15),0))</f>
        <v/>
      </c>
      <c r="K31" s="55" t="str">
        <f>IF($B31="","",IF(COUNTIF(K$16:K$21,$B31)&gt;0,COUNTA(K$7:K$15),0))</f>
        <v/>
      </c>
      <c r="L31" s="55" t="str">
        <f>IF($B31="","",IF(COUNTIF(L$16:L$21,$B31)&gt;0,COUNTA(L$7:L$15),0))</f>
        <v/>
      </c>
      <c r="M31" s="55" t="str">
        <f>IF($B31="","",IF(COUNTIF(M$16:M$21,$B31)&gt;0,COUNTA(M$7:M$15),0))</f>
        <v/>
      </c>
      <c r="N31" s="55" t="str">
        <f>IF($B31="","",IF(COUNTIF(N$16:N$21,$B31)&gt;0,COUNTA(N$7:N$15),0))</f>
        <v/>
      </c>
      <c r="O31" s="55" t="str">
        <f>IF($B31="","",IF(COUNTIF(O$16:O$21,$B31)&gt;0,COUNTA(O$7:O$15),0))</f>
        <v/>
      </c>
      <c r="P31" s="55" t="str">
        <f>IF($B31="","",IF(COUNTIF(P$16:P$21,$B31)&gt;0,COUNTA(P$7:P$15),0))</f>
        <v/>
      </c>
      <c r="Q31" s="55" t="str">
        <f>IF($B31="","",IF(COUNTIF(Q$16:Q$21,$B31)&gt;0,COUNTA(Q$7:Q$15),0))</f>
        <v/>
      </c>
      <c r="R31" s="55" t="str">
        <f>IF($B31="","",IF(COUNTIF(R$16:R$21,$B31)&gt;0,COUNTA(R$7:R$15),0))</f>
        <v/>
      </c>
      <c r="S31" s="55" t="str">
        <f>IF($B31="","",IF(COUNTIF(S$16:S$21,$B31)&gt;0,COUNTA(S$7:S$15),0))</f>
        <v/>
      </c>
      <c r="T31" s="55" t="str">
        <f>IF($B31="","",IF(COUNTIF(T$16:T$21,$B31)&gt;0,COUNTA(T$7:T$15),0))</f>
        <v/>
      </c>
      <c r="U31" s="55" t="str">
        <f>IF($B31="","",IF(COUNTIF(U$16:U$21,$B31)&gt;0,COUNTA(U$7:U$15),0))</f>
        <v/>
      </c>
      <c r="V31" s="55" t="str">
        <f>IF($B31="","",IF(COUNTIF(V$16:V$21,$B31)&gt;0,COUNTA(V$7:V$15),0))</f>
        <v/>
      </c>
      <c r="W31" s="55" t="str">
        <f>IF($B31="","",IF(COUNTIF(W$16:W$21,$B31)&gt;0,COUNTA(W$7:W$15),0))</f>
        <v/>
      </c>
      <c r="X31" s="55" t="str">
        <f>IF($B31="","",IF(COUNTIF(X$16:X$21,$B31)&gt;0,COUNTA(X$7:X$15),0))</f>
        <v/>
      </c>
      <c r="Y31" s="55" t="str">
        <f>IF($B31="","",IF(COUNTIF(Y$16:Y$21,$B31)&gt;0,COUNTA(Y$7:Y$15),0))</f>
        <v/>
      </c>
      <c r="Z31" s="55" t="str">
        <f>IF($B31="","",IF(COUNTIF(Z$16:Z$21,$B31)&gt;0,COUNTA(Z$7:Z$15),0))</f>
        <v/>
      </c>
      <c r="AA31" s="55" t="str">
        <f>IF($B31="","",IF(COUNTIF(AA$16:AA$21,$B31)&gt;0,COUNTA(AA$7:AA$15),0))</f>
        <v/>
      </c>
      <c r="AB31" s="55" t="str">
        <f>IF($B31="","",IF(COUNTIF(AB$16:AB$21,$B31)&gt;0,COUNTA(AB$7:AB$15),0))</f>
        <v/>
      </c>
      <c r="AC31" s="55" t="str">
        <f>IF($B31="","",IF(COUNTIF(AC$16:AC$21,$B31)&gt;0,COUNTA(AC$7:AC$15),0))</f>
        <v/>
      </c>
      <c r="AD31" s="55" t="str">
        <f>IF($B31="","",IF(COUNTIF(AD$16:AD$21,$B31)&gt;0,COUNTA(AD$7:AD$15),0))</f>
        <v/>
      </c>
      <c r="AE31" s="55" t="str">
        <f>IF($B31="","",IF(COUNTIF(AE$16:AE$21,$B31)&gt;0,COUNTA(AE$7:AE$15),0))</f>
        <v/>
      </c>
      <c r="AF31" s="55" t="str">
        <f>IF($B31="","",IF(COUNTIF(AF$16:AF$21,$B31)&gt;0,COUNTA(AF$7:AF$15),0))</f>
        <v/>
      </c>
      <c r="AG31" s="55" t="str">
        <f>IF($B31="","",IF(COUNTIF(AG$16:AG$21,$B31)&gt;0,COUNTA(AG$7:AG$15),0))</f>
        <v/>
      </c>
      <c r="AH31" s="55" t="str">
        <f>IF($B31="","",IF(COUNTIF(AH$16:AH$21,$B31)&gt;0,COUNTA(AH$7:AH$15),0))</f>
        <v/>
      </c>
      <c r="AI31" s="55" t="str">
        <f>IF($B31="","",IF(COUNTIF(AI$16:AI$21,$B31)&gt;0,COUNTA(AI$7:AI$15),0))</f>
        <v/>
      </c>
      <c r="AJ31" s="55" t="str">
        <f>IF($B31="","",IF(COUNTIF(AJ$16:AJ$21,$B31)&gt;0,COUNTA(AJ$7:AJ$15),0))</f>
        <v/>
      </c>
      <c r="AK31" s="55" t="str">
        <f>IF($B31="","",IF(COUNTIF(AK$16:AK$21,$B31)&gt;0,COUNTA(AK$7:AK$15),0))</f>
        <v/>
      </c>
      <c r="AL31" s="55" t="str">
        <f>IF($B31="","",IF(COUNTIF(AL$16:AL$21,$B31)&gt;0,COUNTA(AL$7:AL$15),0))</f>
        <v/>
      </c>
      <c r="AM31" s="55" t="str">
        <f>IF($B31="","",IF(COUNTIF(AM$16:AM$21,$B31)&gt;0,COUNTA(AM$7:AM$15),0))</f>
        <v/>
      </c>
      <c r="AN31" s="55" t="str">
        <f>IF($B31="","",IF(COUNTIF(AN$16:AN$21,$B31)&gt;0,COUNTA(AN$7:AN$15),0))</f>
        <v/>
      </c>
      <c r="AO31" s="55" t="str">
        <f>IF($B31="","",IF(COUNTIF(AO$16:AO$21,$B31)&gt;0,COUNTA(AO$7:AO$15),0))</f>
        <v/>
      </c>
      <c r="AP31" s="55" t="str">
        <f>IF($B31="","",IF(COUNTIF(AP$16:AP$21,$B31)&gt;0,COUNTA(AP$7:AP$15),0))</f>
        <v/>
      </c>
      <c r="AQ31" s="55" t="str">
        <f>IF($B31="","",IF(COUNTIF(AQ$16:AQ$21,$B31)&gt;0,COUNTA(AQ$7:AQ$15),0))</f>
        <v/>
      </c>
      <c r="AR31" s="55" t="str">
        <f>IF($B31="","",IF(COUNTIF(AR$16:AR$21,$B31)&gt;0,COUNTA(AR$7:AR$15),0))</f>
        <v/>
      </c>
      <c r="AS31" s="55" t="str">
        <f>IF($B31="","",IF(COUNTIF(AS$16:AS$21,$B31)&gt;0,COUNTA(AS$7:AS$15),0))</f>
        <v/>
      </c>
      <c r="AT31" s="55" t="str">
        <f>IF($B31="","",IF(COUNTIF(AT$16:AT$21,$B31)&gt;0,COUNTA(AT$7:AT$15),0))</f>
        <v/>
      </c>
      <c r="AU31" s="55" t="str">
        <f>IF($B31="","",IF(COUNTIF(AU$16:AU$21,$B31)&gt;0,COUNTA(AU$7:AU$15),0))</f>
        <v/>
      </c>
      <c r="AV31" s="55" t="str">
        <f>IF($B31="","",IF(COUNTIF(AV$16:AV$21,$B31)&gt;0,COUNTA(AV$7:AV$15),0))</f>
        <v/>
      </c>
      <c r="AW31" s="55" t="str">
        <f>IF($B31="","",IF(COUNTIF(AW$16:AW$21,$B31)&gt;0,COUNTA(AW$7:AW$15),0))</f>
        <v/>
      </c>
      <c r="AX31" s="55" t="str">
        <f>IF($B31="","",IF(COUNTIF(AX$16:AX$21,$B31)&gt;0,COUNTA(AX$7:AX$15),0))</f>
        <v/>
      </c>
      <c r="AY31" s="55" t="str">
        <f>IF($B31="","",IF(COUNTIF(AY$16:AY$21,$B31)&gt;0,COUNTA(AY$7:AY$15),0))</f>
        <v/>
      </c>
      <c r="AZ31" s="55" t="str">
        <f>IF($B31="","",IF(COUNTIF(AZ$16:AZ$21,$B31)&gt;0,COUNTA(AZ$7:AZ$15),0))</f>
        <v/>
      </c>
      <c r="BA31" s="55" t="str">
        <f>IF($B31="","",IF(COUNTIF(BA$16:BA$21,$B31)&gt;0,COUNTA(BA$7:BA$15),0))</f>
        <v/>
      </c>
      <c r="BB31" s="55" t="str">
        <f>IF($B31="","",IF(COUNTIF(BB$16:BB$21,$B31)&gt;0,COUNTA(BB$7:BB$15),0))</f>
        <v/>
      </c>
      <c r="BC31" s="55" t="str">
        <f>IF($B31="","",IF(COUNTIF(BC$16:BC$21,$B31)&gt;0,COUNTA(BC$7:BC$15),0))</f>
        <v/>
      </c>
      <c r="BD31" s="55" t="str">
        <f>IF($B31="","",IF(COUNTIF(BD$16:BD$21,$B31)&gt;0,COUNTA(BD$7:BD$15),0))</f>
        <v/>
      </c>
      <c r="BE31" s="55" t="str">
        <f>IF($B31="","",IF(COUNTIF(BE$16:BE$21,$B31)&gt;0,COUNTA(BE$7:BE$15),0))</f>
        <v/>
      </c>
      <c r="BF31" s="55" t="str">
        <f>IF($B31="","",IF(COUNTIF(BF$16:BF$21,$B31)&gt;0,COUNTA(BF$7:BF$15),0))</f>
        <v/>
      </c>
      <c r="BG31" s="55" t="str">
        <f>IF($B31="","",IF(COUNTIF(BG$16:BG$21,$B31)&gt;0,COUNTA(BG$7:BG$15),0))</f>
        <v/>
      </c>
      <c r="BH31" s="55" t="str">
        <f>IF($B31="","",IF(COUNTIF(BH$16:BH$21,$B31)&gt;0,COUNTA(BH$7:BH$15),0))</f>
        <v/>
      </c>
      <c r="BI31" s="55" t="str">
        <f>IF($B31="","",IF(COUNTIF(BI$16:BI$21,$B31)&gt;0,COUNTA(BI$7:BI$15),0))</f>
        <v/>
      </c>
      <c r="BJ31" s="55" t="str">
        <f>IF($B31="","",IF(COUNTIF(BJ$16:BJ$21,$B31)&gt;0,COUNTA(BJ$7:BJ$15),0))</f>
        <v/>
      </c>
      <c r="BK31" s="55" t="str">
        <f>IF($B31="","",IF(COUNTIF(BK$16:BK$21,$B31)&gt;0,COUNTA(BK$7:BK$15),0))</f>
        <v/>
      </c>
      <c r="BL31" s="55" t="str">
        <f>IF($B31="","",IF(COUNTIF(BL$16:BL$21,$B31)&gt;0,COUNTA(BL$7:BL$15),0))</f>
        <v/>
      </c>
      <c r="BM31" s="55" t="str">
        <f>IF($B31="","",IF(COUNTIF(BM$16:BM$21,$B31)&gt;0,COUNTA(BM$7:BM$15),0))</f>
        <v/>
      </c>
      <c r="BN31" s="55" t="str">
        <f>IF($B31="","",IF(COUNTIF(BN$16:BN$21,$B31)&gt;0,COUNTA(BN$7:BN$15),0))</f>
        <v/>
      </c>
      <c r="BO31" s="55" t="str">
        <f>IF($B31="","",IF(COUNTIF(BO$16:BO$21,$B31)&gt;0,COUNTA(BO$7:BO$15),0))</f>
        <v/>
      </c>
      <c r="BP31" s="55" t="str">
        <f>IF($B31="","",IF(COUNTIF(BP$16:BP$21,$B31)&gt;0,COUNTA(BP$7:BP$15),0))</f>
        <v/>
      </c>
      <c r="BQ31" s="55" t="str">
        <f>IF($B31="","",IF(COUNTIF(BQ$16:BQ$21,$B31)&gt;0,COUNTA(BQ$7:BQ$15),0))</f>
        <v/>
      </c>
      <c r="BR31" s="55" t="str">
        <f>IF($B31="","",IF(COUNTIF(BR$16:BR$21,$B31)&gt;0,COUNTA(BR$7:BR$15),0))</f>
        <v/>
      </c>
      <c r="BS31" s="55" t="str">
        <f>IF($B31="","",IF(COUNTIF(BS$16:BS$21,$B31)&gt;0,COUNTA(BS$7:BS$15),0))</f>
        <v/>
      </c>
      <c r="BT31" s="55" t="str">
        <f>IF($B31="","",IF(COUNTIF(BT$16:BT$21,$B31)&gt;0,COUNTA(BT$7:BT$15),0))</f>
        <v/>
      </c>
      <c r="BU31" s="55" t="str">
        <f>IF($B31="","",IF(COUNTIF(BU$16:BU$21,$B31)&gt;0,COUNTA(BU$7:BU$15),0))</f>
        <v/>
      </c>
      <c r="BV31" s="55" t="str">
        <f>IF($B31="","",IF(COUNTIF(BV$16:BV$21,$B31)&gt;0,COUNTA(BV$7:BV$15),0))</f>
        <v/>
      </c>
      <c r="BW31" s="55" t="str">
        <f>IF($B31="","",IF(COUNTIF(BW$16:BW$21,$B31)&gt;0,COUNTA(BW$7:BW$15),0))</f>
        <v/>
      </c>
      <c r="BX31" s="55" t="str">
        <f>IF($B31="","",IF(COUNTIF(BX$16:BX$21,$B31)&gt;0,COUNTA(BX$7:BX$15),0))</f>
        <v/>
      </c>
      <c r="BY31" s="55" t="str">
        <f>IF($B31="","",IF(COUNTIF(BY$16:BY$21,$B31)&gt;0,COUNTA(BY$7:BY$15),0))</f>
        <v/>
      </c>
      <c r="BZ31" s="55" t="str">
        <f>IF($B31="","",IF(COUNTIF(BZ$16:BZ$21,$B31)&gt;0,COUNTA(BZ$7:BZ$15),0))</f>
        <v/>
      </c>
      <c r="CA31" s="55" t="str">
        <f>IF($B31="","",IF(COUNTIF(CA$16:CA$21,$B31)&gt;0,COUNTA(CA$7:CA$15),0))</f>
        <v/>
      </c>
      <c r="CB31" s="55" t="str">
        <f>IF($B31="","",IF(COUNTIF(CB$16:CB$21,$B31)&gt;0,COUNTA(CB$7:CB$15),0))</f>
        <v/>
      </c>
      <c r="CC31" s="55" t="str">
        <f>IF($B31="","",IF(COUNTIF(CC$16:CC$21,$B31)&gt;0,COUNTA(CC$7:CC$15),0))</f>
        <v/>
      </c>
      <c r="CD31" s="55" t="str">
        <f>IF($B31="","",IF(COUNTIF(CD$16:CD$21,$B31)&gt;0,COUNTA(CD$7:CD$15),0))</f>
        <v/>
      </c>
      <c r="CE31" s="55" t="str">
        <f>IF($B31="","",IF(COUNTIF(CE$16:CE$21,$B31)&gt;0,COUNTA(CE$7:CE$15),0))</f>
        <v/>
      </c>
      <c r="CF31" s="55" t="str">
        <f>IF($B31="","",IF(COUNTIF(CF$16:CF$21,$B31)&gt;0,COUNTA(CF$7:CF$15),0))</f>
        <v/>
      </c>
      <c r="CG31" s="55" t="str">
        <f>IF($B31="","",IF(COUNTIF(CG$16:CG$21,$B31)&gt;0,COUNTA(CG$7:CG$15),0))</f>
        <v/>
      </c>
      <c r="CH31" s="55" t="str">
        <f>IF($B31="","",IF(COUNTIF(CH$16:CH$21,$B31)&gt;0,COUNTA(CH$7:CH$15),0))</f>
        <v/>
      </c>
      <c r="CI31" s="55" t="str">
        <f>IF($B31="","",IF(COUNTIF(CI$16:CI$21,$B31)&gt;0,COUNTA(CI$7:CI$15),0))</f>
        <v/>
      </c>
      <c r="CJ31" s="55" t="str">
        <f>IF($B31="","",IF(COUNTIF(CJ$16:CJ$21,$B31)&gt;0,COUNTA(CJ$7:CJ$15),0))</f>
        <v/>
      </c>
      <c r="CK31" s="55" t="str">
        <f>IF($B31="","",IF(COUNTIF(CK$16:CK$21,$B31)&gt;0,COUNTA(CK$7:CK$15),0))</f>
        <v/>
      </c>
      <c r="CL31" s="55" t="str">
        <f>IF($B31="","",IF(COUNTIF(CL$16:CL$21,$B31)&gt;0,COUNTA(CL$7:CL$15),0))</f>
        <v/>
      </c>
      <c r="CM31" s="55" t="str">
        <f>IF($B31="","",IF(COUNTIF(CM$16:CM$21,$B31)&gt;0,COUNTA(CM$7:CM$15),0))</f>
        <v/>
      </c>
      <c r="CN31" s="55" t="str">
        <f>IF($B31="","",IF(COUNTIF(CN$16:CN$21,$B31)&gt;0,COUNTA(CN$7:CN$15),0))</f>
        <v/>
      </c>
      <c r="CO31" s="55" t="str">
        <f>IF($B31="","",IF(COUNTIF(CO$16:CO$21,$B31)&gt;0,COUNTA(CO$7:CO$15),0))</f>
        <v/>
      </c>
      <c r="CP31" s="55" t="str">
        <f>IF($B31="","",IF(COUNTIF(CP$16:CP$21,$B31)&gt;0,COUNTA(CP$7:CP$15),0))</f>
        <v/>
      </c>
      <c r="CQ31" s="55" t="str">
        <f>IF($B31="","",IF(COUNTIF(CQ$16:CQ$21,$B31)&gt;0,COUNTA(CQ$7:CQ$15),0))</f>
        <v/>
      </c>
      <c r="CR31" s="55" t="str">
        <f>IF($B31="","",IF(COUNTIF(CR$16:CR$21,$B31)&gt;0,COUNTA(CR$7:CR$15),0))</f>
        <v/>
      </c>
      <c r="CS31" s="55" t="str">
        <f>IF($B31="","",IF(COUNTIF(CS$16:CS$21,$B31)&gt;0,COUNTA(CS$7:CS$15),0))</f>
        <v/>
      </c>
      <c r="CT31" s="55" t="str">
        <f>IF($B31="","",IF(COUNTIF(CT$16:CT$21,$B31)&gt;0,COUNTA(CT$7:CT$15),0))</f>
        <v/>
      </c>
      <c r="CU31" s="55" t="str">
        <f>IF($B31="","",IF(COUNTIF(CU$16:CU$21,$B31)&gt;0,COUNTA(CU$7:CU$15),0))</f>
        <v/>
      </c>
      <c r="CV31" s="55" t="str">
        <f>IF($B31="","",IF(COUNTIF(CV$16:CV$21,$B31)&gt;0,COUNTA(CV$7:CV$15),0))</f>
        <v/>
      </c>
      <c r="CW31" s="55" t="str">
        <f>IF($B31="","",IF(COUNTIF(CW$16:CW$21,$B31)&gt;0,COUNTA(CW$7:CW$15),0))</f>
        <v/>
      </c>
      <c r="CX31" s="55" t="str">
        <f>IF($B31="","",IF(COUNTIF(CX$16:CX$21,$B31)&gt;0,COUNTA(CX$7:CX$15),0))</f>
        <v/>
      </c>
      <c r="CY31" s="55" t="str">
        <f>IF($B31="","",IF(COUNTIF(CY$16:CY$21,$B31)&gt;0,COUNTA(CY$7:CY$15),0))</f>
        <v/>
      </c>
      <c r="CZ31" s="55" t="str">
        <f>IF($B31="","",IF(COUNTIF(CZ$16:CZ$21,$B31)&gt;0,COUNTA(CZ$7:CZ$15),0))</f>
        <v/>
      </c>
      <c r="DA31" s="55" t="str">
        <f>IF($B31="","",IF(COUNTIF(DA$16:DA$21,$B31)&gt;0,COUNTA(DA$7:DA$15),0))</f>
        <v/>
      </c>
      <c r="DB31" s="55" t="str">
        <f>IF($B31="","",IF(COUNTIF(DB$16:DB$21,$B31)&gt;0,COUNTA(DB$7:DB$15),0))</f>
        <v/>
      </c>
      <c r="DC31" s="55" t="str">
        <f>IF($B31="","",IF(COUNTIF(DC$16:DC$21,$B31)&gt;0,COUNTA(DC$7:DC$15),0))</f>
        <v/>
      </c>
      <c r="DD31" s="55" t="str">
        <f>IF($B31="","",IF(COUNTIF(DD$16:DD$21,$B31)&gt;0,COUNTA(DD$7:DD$15),0))</f>
        <v/>
      </c>
      <c r="DE31" s="58" t="str">
        <f>IF($B31="","",IF(COUNTIF(DE$16:DE$21,$B31)&gt;0,COUNTA(DE$7:DE$15),0))</f>
        <v/>
      </c>
    </row>
    <row r="32" spans="2:109" x14ac:dyDescent="0.2">
      <c r="B32" s="84" t="str">
        <f>IFERROR(INDEX(_xlfn._xlws.FILTER(Ressourcer!$B$1:$X$1,_xlfn.BYCOL(Ressourcer!$B$17:$X$20,_xlfn.LAMBDA(_xlpm.c,COUNTIF(_xlpm.c,"&lt;&gt;" )&gt;0))),ROWS($B$2:B10)),"")</f>
        <v/>
      </c>
      <c r="C32" s="79" t="str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)&gt;0))),_xlfn.LAMBDA(_xlpm.col,SUM(INDEX(Ressourcer!$B$17:$X$20,,_xlpm.col-COLUMN(Ressourcer!$B$17:$X$20)+1)))),ROWS($B$2:B10))/2,"")</f>
        <v/>
      </c>
      <c r="D32" s="106" t="str">
        <f t="shared" si="22"/>
        <v/>
      </c>
      <c r="E32" s="57" t="str">
        <f>IF($B32="","",IF(COUNTIF(E$16:E$21,$B32)&gt;0,COUNTA(E$7:E$15),0))</f>
        <v/>
      </c>
      <c r="F32" s="55" t="str">
        <f>IF($B32="","",IF(COUNTIF(F$16:F$21,$B32)&gt;0,COUNTA(F$7:F$15),0))</f>
        <v/>
      </c>
      <c r="G32" s="55" t="str">
        <f>IF($B32="","",IF(COUNTIF(G$16:G$21,$B32)&gt;0,COUNTA(G$7:G$15),0))</f>
        <v/>
      </c>
      <c r="H32" s="55" t="str">
        <f>IF($B32="","",IF(COUNTIF(H$16:H$21,$B32)&gt;0,COUNTA(H$7:H$15),0))</f>
        <v/>
      </c>
      <c r="I32" s="55" t="str">
        <f>IF($B32="","",IF(COUNTIF(I$16:I$21,$B32)&gt;0,COUNTA(I$7:I$15),0))</f>
        <v/>
      </c>
      <c r="J32" s="55" t="str">
        <f>IF($B32="","",IF(COUNTIF(J$16:J$21,$B32)&gt;0,COUNTA(J$7:J$15),0))</f>
        <v/>
      </c>
      <c r="K32" s="55" t="str">
        <f>IF($B32="","",IF(COUNTIF(K$16:K$21,$B32)&gt;0,COUNTA(K$7:K$15),0))</f>
        <v/>
      </c>
      <c r="L32" s="55" t="str">
        <f>IF($B32="","",IF(COUNTIF(L$16:L$21,$B32)&gt;0,COUNTA(L$7:L$15),0))</f>
        <v/>
      </c>
      <c r="M32" s="55" t="str">
        <f>IF($B32="","",IF(COUNTIF(M$16:M$21,$B32)&gt;0,COUNTA(M$7:M$15),0))</f>
        <v/>
      </c>
      <c r="N32" s="55" t="str">
        <f>IF($B32="","",IF(COUNTIF(N$16:N$21,$B32)&gt;0,COUNTA(N$7:N$15),0))</f>
        <v/>
      </c>
      <c r="O32" s="55" t="str">
        <f>IF($B32="","",IF(COUNTIF(O$16:O$21,$B32)&gt;0,COUNTA(O$7:O$15),0))</f>
        <v/>
      </c>
      <c r="P32" s="55" t="str">
        <f>IF($B32="","",IF(COUNTIF(P$16:P$21,$B32)&gt;0,COUNTA(P$7:P$15),0))</f>
        <v/>
      </c>
      <c r="Q32" s="55" t="str">
        <f>IF($B32="","",IF(COUNTIF(Q$16:Q$21,$B32)&gt;0,COUNTA(Q$7:Q$15),0))</f>
        <v/>
      </c>
      <c r="R32" s="55" t="str">
        <f>IF($B32="","",IF(COUNTIF(R$16:R$21,$B32)&gt;0,COUNTA(R$7:R$15),0))</f>
        <v/>
      </c>
      <c r="S32" s="55" t="str">
        <f>IF($B32="","",IF(COUNTIF(S$16:S$21,$B32)&gt;0,COUNTA(S$7:S$15),0))</f>
        <v/>
      </c>
      <c r="T32" s="55" t="str">
        <f>IF($B32="","",IF(COUNTIF(T$16:T$21,$B32)&gt;0,COUNTA(T$7:T$15),0))</f>
        <v/>
      </c>
      <c r="U32" s="55" t="str">
        <f>IF($B32="","",IF(COUNTIF(U$16:U$21,$B32)&gt;0,COUNTA(U$7:U$15),0))</f>
        <v/>
      </c>
      <c r="V32" s="55" t="str">
        <f>IF($B32="","",IF(COUNTIF(V$16:V$21,$B32)&gt;0,COUNTA(V$7:V$15),0))</f>
        <v/>
      </c>
      <c r="W32" s="55" t="str">
        <f>IF($B32="","",IF(COUNTIF(W$16:W$21,$B32)&gt;0,COUNTA(W$7:W$15),0))</f>
        <v/>
      </c>
      <c r="X32" s="55" t="str">
        <f>IF($B32="","",IF(COUNTIF(X$16:X$21,$B32)&gt;0,COUNTA(X$7:X$15),0))</f>
        <v/>
      </c>
      <c r="Y32" s="55" t="str">
        <f>IF($B32="","",IF(COUNTIF(Y$16:Y$21,$B32)&gt;0,COUNTA(Y$7:Y$15),0))</f>
        <v/>
      </c>
      <c r="Z32" s="55" t="str">
        <f>IF($B32="","",IF(COUNTIF(Z$16:Z$21,$B32)&gt;0,COUNTA(Z$7:Z$15),0))</f>
        <v/>
      </c>
      <c r="AA32" s="55" t="str">
        <f>IF($B32="","",IF(COUNTIF(AA$16:AA$21,$B32)&gt;0,COUNTA(AA$7:AA$15),0))</f>
        <v/>
      </c>
      <c r="AB32" s="55" t="str">
        <f>IF($B32="","",IF(COUNTIF(AB$16:AB$21,$B32)&gt;0,COUNTA(AB$7:AB$15),0))</f>
        <v/>
      </c>
      <c r="AC32" s="55" t="str">
        <f>IF($B32="","",IF(COUNTIF(AC$16:AC$21,$B32)&gt;0,COUNTA(AC$7:AC$15),0))</f>
        <v/>
      </c>
      <c r="AD32" s="55" t="str">
        <f>IF($B32="","",IF(COUNTIF(AD$16:AD$21,$B32)&gt;0,COUNTA(AD$7:AD$15),0))</f>
        <v/>
      </c>
      <c r="AE32" s="55" t="str">
        <f>IF($B32="","",IF(COUNTIF(AE$16:AE$21,$B32)&gt;0,COUNTA(AE$7:AE$15),0))</f>
        <v/>
      </c>
      <c r="AF32" s="55" t="str">
        <f>IF($B32="","",IF(COUNTIF(AF$16:AF$21,$B32)&gt;0,COUNTA(AF$7:AF$15),0))</f>
        <v/>
      </c>
      <c r="AG32" s="55" t="str">
        <f>IF($B32="","",IF(COUNTIF(AG$16:AG$21,$B32)&gt;0,COUNTA(AG$7:AG$15),0))</f>
        <v/>
      </c>
      <c r="AH32" s="55" t="str">
        <f>IF($B32="","",IF(COUNTIF(AH$16:AH$21,$B32)&gt;0,COUNTA(AH$7:AH$15),0))</f>
        <v/>
      </c>
      <c r="AI32" s="55" t="str">
        <f>IF($B32="","",IF(COUNTIF(AI$16:AI$21,$B32)&gt;0,COUNTA(AI$7:AI$15),0))</f>
        <v/>
      </c>
      <c r="AJ32" s="55" t="str">
        <f>IF($B32="","",IF(COUNTIF(AJ$16:AJ$21,$B32)&gt;0,COUNTA(AJ$7:AJ$15),0))</f>
        <v/>
      </c>
      <c r="AK32" s="55" t="str">
        <f>IF($B32="","",IF(COUNTIF(AK$16:AK$21,$B32)&gt;0,COUNTA(AK$7:AK$15),0))</f>
        <v/>
      </c>
      <c r="AL32" s="55" t="str">
        <f>IF($B32="","",IF(COUNTIF(AL$16:AL$21,$B32)&gt;0,COUNTA(AL$7:AL$15),0))</f>
        <v/>
      </c>
      <c r="AM32" s="55" t="str">
        <f>IF($B32="","",IF(COUNTIF(AM$16:AM$21,$B32)&gt;0,COUNTA(AM$7:AM$15),0))</f>
        <v/>
      </c>
      <c r="AN32" s="55" t="str">
        <f>IF($B32="","",IF(COUNTIF(AN$16:AN$21,$B32)&gt;0,COUNTA(AN$7:AN$15),0))</f>
        <v/>
      </c>
      <c r="AO32" s="55" t="str">
        <f>IF($B32="","",IF(COUNTIF(AO$16:AO$21,$B32)&gt;0,COUNTA(AO$7:AO$15),0))</f>
        <v/>
      </c>
      <c r="AP32" s="55" t="str">
        <f>IF($B32="","",IF(COUNTIF(AP$16:AP$21,$B32)&gt;0,COUNTA(AP$7:AP$15),0))</f>
        <v/>
      </c>
      <c r="AQ32" s="55" t="str">
        <f>IF($B32="","",IF(COUNTIF(AQ$16:AQ$21,$B32)&gt;0,COUNTA(AQ$7:AQ$15),0))</f>
        <v/>
      </c>
      <c r="AR32" s="55" t="str">
        <f>IF($B32="","",IF(COUNTIF(AR$16:AR$21,$B32)&gt;0,COUNTA(AR$7:AR$15),0))</f>
        <v/>
      </c>
      <c r="AS32" s="55" t="str">
        <f>IF($B32="","",IF(COUNTIF(AS$16:AS$21,$B32)&gt;0,COUNTA(AS$7:AS$15),0))</f>
        <v/>
      </c>
      <c r="AT32" s="55" t="str">
        <f>IF($B32="","",IF(COUNTIF(AT$16:AT$21,$B32)&gt;0,COUNTA(AT$7:AT$15),0))</f>
        <v/>
      </c>
      <c r="AU32" s="55" t="str">
        <f>IF($B32="","",IF(COUNTIF(AU$16:AU$21,$B32)&gt;0,COUNTA(AU$7:AU$15),0))</f>
        <v/>
      </c>
      <c r="AV32" s="55" t="str">
        <f>IF($B32="","",IF(COUNTIF(AV$16:AV$21,$B32)&gt;0,COUNTA(AV$7:AV$15),0))</f>
        <v/>
      </c>
      <c r="AW32" s="55" t="str">
        <f>IF($B32="","",IF(COUNTIF(AW$16:AW$21,$B32)&gt;0,COUNTA(AW$7:AW$15),0))</f>
        <v/>
      </c>
      <c r="AX32" s="55" t="str">
        <f>IF($B32="","",IF(COUNTIF(AX$16:AX$21,$B32)&gt;0,COUNTA(AX$7:AX$15),0))</f>
        <v/>
      </c>
      <c r="AY32" s="55" t="str">
        <f>IF($B32="","",IF(COUNTIF(AY$16:AY$21,$B32)&gt;0,COUNTA(AY$7:AY$15),0))</f>
        <v/>
      </c>
      <c r="AZ32" s="55" t="str">
        <f>IF($B32="","",IF(COUNTIF(AZ$16:AZ$21,$B32)&gt;0,COUNTA(AZ$7:AZ$15),0))</f>
        <v/>
      </c>
      <c r="BA32" s="55" t="str">
        <f>IF($B32="","",IF(COUNTIF(BA$16:BA$21,$B32)&gt;0,COUNTA(BA$7:BA$15),0))</f>
        <v/>
      </c>
      <c r="BB32" s="55" t="str">
        <f>IF($B32="","",IF(COUNTIF(BB$16:BB$21,$B32)&gt;0,COUNTA(BB$7:BB$15),0))</f>
        <v/>
      </c>
      <c r="BC32" s="55" t="str">
        <f>IF($B32="","",IF(COUNTIF(BC$16:BC$21,$B32)&gt;0,COUNTA(BC$7:BC$15),0))</f>
        <v/>
      </c>
      <c r="BD32" s="55" t="str">
        <f>IF($B32="","",IF(COUNTIF(BD$16:BD$21,$B32)&gt;0,COUNTA(BD$7:BD$15),0))</f>
        <v/>
      </c>
      <c r="BE32" s="55" t="str">
        <f>IF($B32="","",IF(COUNTIF(BE$16:BE$21,$B32)&gt;0,COUNTA(BE$7:BE$15),0))</f>
        <v/>
      </c>
      <c r="BF32" s="55" t="str">
        <f>IF($B32="","",IF(COUNTIF(BF$16:BF$21,$B32)&gt;0,COUNTA(BF$7:BF$15),0))</f>
        <v/>
      </c>
      <c r="BG32" s="55" t="str">
        <f>IF($B32="","",IF(COUNTIF(BG$16:BG$21,$B32)&gt;0,COUNTA(BG$7:BG$15),0))</f>
        <v/>
      </c>
      <c r="BH32" s="55" t="str">
        <f>IF($B32="","",IF(COUNTIF(BH$16:BH$21,$B32)&gt;0,COUNTA(BH$7:BH$15),0))</f>
        <v/>
      </c>
      <c r="BI32" s="55" t="str">
        <f>IF($B32="","",IF(COUNTIF(BI$16:BI$21,$B32)&gt;0,COUNTA(BI$7:BI$15),0))</f>
        <v/>
      </c>
      <c r="BJ32" s="55" t="str">
        <f>IF($B32="","",IF(COUNTIF(BJ$16:BJ$21,$B32)&gt;0,COUNTA(BJ$7:BJ$15),0))</f>
        <v/>
      </c>
      <c r="BK32" s="55" t="str">
        <f>IF($B32="","",IF(COUNTIF(BK$16:BK$21,$B32)&gt;0,COUNTA(BK$7:BK$15),0))</f>
        <v/>
      </c>
      <c r="BL32" s="55" t="str">
        <f>IF($B32="","",IF(COUNTIF(BL$16:BL$21,$B32)&gt;0,COUNTA(BL$7:BL$15),0))</f>
        <v/>
      </c>
      <c r="BM32" s="55" t="str">
        <f>IF($B32="","",IF(COUNTIF(BM$16:BM$21,$B32)&gt;0,COUNTA(BM$7:BM$15),0))</f>
        <v/>
      </c>
      <c r="BN32" s="55" t="str">
        <f>IF($B32="","",IF(COUNTIF(BN$16:BN$21,$B32)&gt;0,COUNTA(BN$7:BN$15),0))</f>
        <v/>
      </c>
      <c r="BO32" s="55" t="str">
        <f>IF($B32="","",IF(COUNTIF(BO$16:BO$21,$B32)&gt;0,COUNTA(BO$7:BO$15),0))</f>
        <v/>
      </c>
      <c r="BP32" s="55" t="str">
        <f>IF($B32="","",IF(COUNTIF(BP$16:BP$21,$B32)&gt;0,COUNTA(BP$7:BP$15),0))</f>
        <v/>
      </c>
      <c r="BQ32" s="55" t="str">
        <f>IF($B32="","",IF(COUNTIF(BQ$16:BQ$21,$B32)&gt;0,COUNTA(BQ$7:BQ$15),0))</f>
        <v/>
      </c>
      <c r="BR32" s="55" t="str">
        <f>IF($B32="","",IF(COUNTIF(BR$16:BR$21,$B32)&gt;0,COUNTA(BR$7:BR$15),0))</f>
        <v/>
      </c>
      <c r="BS32" s="55" t="str">
        <f>IF($B32="","",IF(COUNTIF(BS$16:BS$21,$B32)&gt;0,COUNTA(BS$7:BS$15),0))</f>
        <v/>
      </c>
      <c r="BT32" s="55" t="str">
        <f>IF($B32="","",IF(COUNTIF(BT$16:BT$21,$B32)&gt;0,COUNTA(BT$7:BT$15),0))</f>
        <v/>
      </c>
      <c r="BU32" s="55" t="str">
        <f>IF($B32="","",IF(COUNTIF(BU$16:BU$21,$B32)&gt;0,COUNTA(BU$7:BU$15),0))</f>
        <v/>
      </c>
      <c r="BV32" s="55" t="str">
        <f>IF($B32="","",IF(COUNTIF(BV$16:BV$21,$B32)&gt;0,COUNTA(BV$7:BV$15),0))</f>
        <v/>
      </c>
      <c r="BW32" s="55" t="str">
        <f>IF($B32="","",IF(COUNTIF(BW$16:BW$21,$B32)&gt;0,COUNTA(BW$7:BW$15),0))</f>
        <v/>
      </c>
      <c r="BX32" s="55" t="str">
        <f>IF($B32="","",IF(COUNTIF(BX$16:BX$21,$B32)&gt;0,COUNTA(BX$7:BX$15),0))</f>
        <v/>
      </c>
      <c r="BY32" s="55" t="str">
        <f>IF($B32="","",IF(COUNTIF(BY$16:BY$21,$B32)&gt;0,COUNTA(BY$7:BY$15),0))</f>
        <v/>
      </c>
      <c r="BZ32" s="55" t="str">
        <f>IF($B32="","",IF(COUNTIF(BZ$16:BZ$21,$B32)&gt;0,COUNTA(BZ$7:BZ$15),0))</f>
        <v/>
      </c>
      <c r="CA32" s="55" t="str">
        <f>IF($B32="","",IF(COUNTIF(CA$16:CA$21,$B32)&gt;0,COUNTA(CA$7:CA$15),0))</f>
        <v/>
      </c>
      <c r="CB32" s="55" t="str">
        <f>IF($B32="","",IF(COUNTIF(CB$16:CB$21,$B32)&gt;0,COUNTA(CB$7:CB$15),0))</f>
        <v/>
      </c>
      <c r="CC32" s="55" t="str">
        <f>IF($B32="","",IF(COUNTIF(CC$16:CC$21,$B32)&gt;0,COUNTA(CC$7:CC$15),0))</f>
        <v/>
      </c>
      <c r="CD32" s="55" t="str">
        <f>IF($B32="","",IF(COUNTIF(CD$16:CD$21,$B32)&gt;0,COUNTA(CD$7:CD$15),0))</f>
        <v/>
      </c>
      <c r="CE32" s="55" t="str">
        <f>IF($B32="","",IF(COUNTIF(CE$16:CE$21,$B32)&gt;0,COUNTA(CE$7:CE$15),0))</f>
        <v/>
      </c>
      <c r="CF32" s="55" t="str">
        <f>IF($B32="","",IF(COUNTIF(CF$16:CF$21,$B32)&gt;0,COUNTA(CF$7:CF$15),0))</f>
        <v/>
      </c>
      <c r="CG32" s="55" t="str">
        <f>IF($B32="","",IF(COUNTIF(CG$16:CG$21,$B32)&gt;0,COUNTA(CG$7:CG$15),0))</f>
        <v/>
      </c>
      <c r="CH32" s="55" t="str">
        <f>IF($B32="","",IF(COUNTIF(CH$16:CH$21,$B32)&gt;0,COUNTA(CH$7:CH$15),0))</f>
        <v/>
      </c>
      <c r="CI32" s="55" t="str">
        <f>IF($B32="","",IF(COUNTIF(CI$16:CI$21,$B32)&gt;0,COUNTA(CI$7:CI$15),0))</f>
        <v/>
      </c>
      <c r="CJ32" s="55" t="str">
        <f>IF($B32="","",IF(COUNTIF(CJ$16:CJ$21,$B32)&gt;0,COUNTA(CJ$7:CJ$15),0))</f>
        <v/>
      </c>
      <c r="CK32" s="55" t="str">
        <f>IF($B32="","",IF(COUNTIF(CK$16:CK$21,$B32)&gt;0,COUNTA(CK$7:CK$15),0))</f>
        <v/>
      </c>
      <c r="CL32" s="55" t="str">
        <f>IF($B32="","",IF(COUNTIF(CL$16:CL$21,$B32)&gt;0,COUNTA(CL$7:CL$15),0))</f>
        <v/>
      </c>
      <c r="CM32" s="55" t="str">
        <f>IF($B32="","",IF(COUNTIF(CM$16:CM$21,$B32)&gt;0,COUNTA(CM$7:CM$15),0))</f>
        <v/>
      </c>
      <c r="CN32" s="55" t="str">
        <f>IF($B32="","",IF(COUNTIF(CN$16:CN$21,$B32)&gt;0,COUNTA(CN$7:CN$15),0))</f>
        <v/>
      </c>
      <c r="CO32" s="55" t="str">
        <f>IF($B32="","",IF(COUNTIF(CO$16:CO$21,$B32)&gt;0,COUNTA(CO$7:CO$15),0))</f>
        <v/>
      </c>
      <c r="CP32" s="55" t="str">
        <f>IF($B32="","",IF(COUNTIF(CP$16:CP$21,$B32)&gt;0,COUNTA(CP$7:CP$15),0))</f>
        <v/>
      </c>
      <c r="CQ32" s="55" t="str">
        <f>IF($B32="","",IF(COUNTIF(CQ$16:CQ$21,$B32)&gt;0,COUNTA(CQ$7:CQ$15),0))</f>
        <v/>
      </c>
      <c r="CR32" s="55" t="str">
        <f>IF($B32="","",IF(COUNTIF(CR$16:CR$21,$B32)&gt;0,COUNTA(CR$7:CR$15),0))</f>
        <v/>
      </c>
      <c r="CS32" s="55" t="str">
        <f>IF($B32="","",IF(COUNTIF(CS$16:CS$21,$B32)&gt;0,COUNTA(CS$7:CS$15),0))</f>
        <v/>
      </c>
      <c r="CT32" s="55" t="str">
        <f>IF($B32="","",IF(COUNTIF(CT$16:CT$21,$B32)&gt;0,COUNTA(CT$7:CT$15),0))</f>
        <v/>
      </c>
      <c r="CU32" s="55" t="str">
        <f>IF($B32="","",IF(COUNTIF(CU$16:CU$21,$B32)&gt;0,COUNTA(CU$7:CU$15),0))</f>
        <v/>
      </c>
      <c r="CV32" s="55" t="str">
        <f>IF($B32="","",IF(COUNTIF(CV$16:CV$21,$B32)&gt;0,COUNTA(CV$7:CV$15),0))</f>
        <v/>
      </c>
      <c r="CW32" s="55" t="str">
        <f>IF($B32="","",IF(COUNTIF(CW$16:CW$21,$B32)&gt;0,COUNTA(CW$7:CW$15),0))</f>
        <v/>
      </c>
      <c r="CX32" s="55" t="str">
        <f>IF($B32="","",IF(COUNTIF(CX$16:CX$21,$B32)&gt;0,COUNTA(CX$7:CX$15),0))</f>
        <v/>
      </c>
      <c r="CY32" s="55" t="str">
        <f>IF($B32="","",IF(COUNTIF(CY$16:CY$21,$B32)&gt;0,COUNTA(CY$7:CY$15),0))</f>
        <v/>
      </c>
      <c r="CZ32" s="55" t="str">
        <f>IF($B32="","",IF(COUNTIF(CZ$16:CZ$21,$B32)&gt;0,COUNTA(CZ$7:CZ$15),0))</f>
        <v/>
      </c>
      <c r="DA32" s="55" t="str">
        <f>IF($B32="","",IF(COUNTIF(DA$16:DA$21,$B32)&gt;0,COUNTA(DA$7:DA$15),0))</f>
        <v/>
      </c>
      <c r="DB32" s="55" t="str">
        <f>IF($B32="","",IF(COUNTIF(DB$16:DB$21,$B32)&gt;0,COUNTA(DB$7:DB$15),0))</f>
        <v/>
      </c>
      <c r="DC32" s="55" t="str">
        <f>IF($B32="","",IF(COUNTIF(DC$16:DC$21,$B32)&gt;0,COUNTA(DC$7:DC$15),0))</f>
        <v/>
      </c>
      <c r="DD32" s="55" t="str">
        <f>IF($B32="","",IF(COUNTIF(DD$16:DD$21,$B32)&gt;0,COUNTA(DD$7:DD$15),0))</f>
        <v/>
      </c>
      <c r="DE32" s="58" t="str">
        <f>IF($B32="","",IF(COUNTIF(DE$16:DE$21,$B32)&gt;0,COUNTA(DE$7:DE$15),0))</f>
        <v/>
      </c>
    </row>
    <row r="33" spans="2:109" x14ac:dyDescent="0.2">
      <c r="B33" s="84" t="str">
        <f>IFERROR(INDEX(_xlfn._xlws.FILTER(Ressourcer!$B$1:$X$1,_xlfn.BYCOL(Ressourcer!$B$17:$X$20,_xlfn.LAMBDA(_xlpm.c,COUNTIF(_xlpm.c,"&lt;&gt;" )&gt;0))),ROWS($B$2:B11)),"")</f>
        <v/>
      </c>
      <c r="C33" s="79" t="str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)&gt;0))),_xlfn.LAMBDA(_xlpm.col,SUM(INDEX(Ressourcer!$B$17:$X$20,,_xlpm.col-COLUMN(Ressourcer!$B$17:$X$20)+1)))),ROWS($B$2:B11))/2,"")</f>
        <v/>
      </c>
      <c r="D33" s="106" t="str">
        <f t="shared" si="22"/>
        <v/>
      </c>
      <c r="E33" s="57" t="str">
        <f>IF($B33="","",IF(COUNTIF(E$16:E$21,$B33)&gt;0,COUNTA(E$7:E$15),0))</f>
        <v/>
      </c>
      <c r="F33" s="55" t="str">
        <f>IF($B33="","",IF(COUNTIF(F$16:F$21,$B33)&gt;0,COUNTA(F$7:F$15),0))</f>
        <v/>
      </c>
      <c r="G33" s="55" t="str">
        <f>IF($B33="","",IF(COUNTIF(G$16:G$21,$B33)&gt;0,COUNTA(G$7:G$15),0))</f>
        <v/>
      </c>
      <c r="H33" s="55" t="str">
        <f>IF($B33="","",IF(COUNTIF(H$16:H$21,$B33)&gt;0,COUNTA(H$7:H$15),0))</f>
        <v/>
      </c>
      <c r="I33" s="55" t="str">
        <f>IF($B33="","",IF(COUNTIF(I$16:I$21,$B33)&gt;0,COUNTA(I$7:I$15),0))</f>
        <v/>
      </c>
      <c r="J33" s="55" t="str">
        <f>IF($B33="","",IF(COUNTIF(J$16:J$21,$B33)&gt;0,COUNTA(J$7:J$15),0))</f>
        <v/>
      </c>
      <c r="K33" s="55" t="str">
        <f>IF($B33="","",IF(COUNTIF(K$16:K$21,$B33)&gt;0,COUNTA(K$7:K$15),0))</f>
        <v/>
      </c>
      <c r="L33" s="55" t="str">
        <f>IF($B33="","",IF(COUNTIF(L$16:L$21,$B33)&gt;0,COUNTA(L$7:L$15),0))</f>
        <v/>
      </c>
      <c r="M33" s="55" t="str">
        <f>IF($B33="","",IF(COUNTIF(M$16:M$21,$B33)&gt;0,COUNTA(M$7:M$15),0))</f>
        <v/>
      </c>
      <c r="N33" s="55" t="str">
        <f>IF($B33="","",IF(COUNTIF(N$16:N$21,$B33)&gt;0,COUNTA(N$7:N$15),0))</f>
        <v/>
      </c>
      <c r="O33" s="55" t="str">
        <f>IF($B33="","",IF(COUNTIF(O$16:O$21,$B33)&gt;0,COUNTA(O$7:O$15),0))</f>
        <v/>
      </c>
      <c r="P33" s="55" t="str">
        <f>IF($B33="","",IF(COUNTIF(P$16:P$21,$B33)&gt;0,COUNTA(P$7:P$15),0))</f>
        <v/>
      </c>
      <c r="Q33" s="55" t="str">
        <f>IF($B33="","",IF(COUNTIF(Q$16:Q$21,$B33)&gt;0,COUNTA(Q$7:Q$15),0))</f>
        <v/>
      </c>
      <c r="R33" s="55" t="str">
        <f>IF($B33="","",IF(COUNTIF(R$16:R$21,$B33)&gt;0,COUNTA(R$7:R$15),0))</f>
        <v/>
      </c>
      <c r="S33" s="55" t="str">
        <f>IF($B33="","",IF(COUNTIF(S$16:S$21,$B33)&gt;0,COUNTA(S$7:S$15),0))</f>
        <v/>
      </c>
      <c r="T33" s="55" t="str">
        <f>IF($B33="","",IF(COUNTIF(T$16:T$21,$B33)&gt;0,COUNTA(T$7:T$15),0))</f>
        <v/>
      </c>
      <c r="U33" s="55" t="str">
        <f>IF($B33="","",IF(COUNTIF(U$16:U$21,$B33)&gt;0,COUNTA(U$7:U$15),0))</f>
        <v/>
      </c>
      <c r="V33" s="55" t="str">
        <f>IF($B33="","",IF(COUNTIF(V$16:V$21,$B33)&gt;0,COUNTA(V$7:V$15),0))</f>
        <v/>
      </c>
      <c r="W33" s="55" t="str">
        <f>IF($B33="","",IF(COUNTIF(W$16:W$21,$B33)&gt;0,COUNTA(W$7:W$15),0))</f>
        <v/>
      </c>
      <c r="X33" s="55" t="str">
        <f>IF($B33="","",IF(COUNTIF(X$16:X$21,$B33)&gt;0,COUNTA(X$7:X$15),0))</f>
        <v/>
      </c>
      <c r="Y33" s="55" t="str">
        <f>IF($B33="","",IF(COUNTIF(Y$16:Y$21,$B33)&gt;0,COUNTA(Y$7:Y$15),0))</f>
        <v/>
      </c>
      <c r="Z33" s="55" t="str">
        <f>IF($B33="","",IF(COUNTIF(Z$16:Z$21,$B33)&gt;0,COUNTA(Z$7:Z$15),0))</f>
        <v/>
      </c>
      <c r="AA33" s="55" t="str">
        <f>IF($B33="","",IF(COUNTIF(AA$16:AA$21,$B33)&gt;0,COUNTA(AA$7:AA$15),0))</f>
        <v/>
      </c>
      <c r="AB33" s="55" t="str">
        <f>IF($B33="","",IF(COUNTIF(AB$16:AB$21,$B33)&gt;0,COUNTA(AB$7:AB$15),0))</f>
        <v/>
      </c>
      <c r="AC33" s="55" t="str">
        <f>IF($B33="","",IF(COUNTIF(AC$16:AC$21,$B33)&gt;0,COUNTA(AC$7:AC$15),0))</f>
        <v/>
      </c>
      <c r="AD33" s="55" t="str">
        <f>IF($B33="","",IF(COUNTIF(AD$16:AD$21,$B33)&gt;0,COUNTA(AD$7:AD$15),0))</f>
        <v/>
      </c>
      <c r="AE33" s="55" t="str">
        <f>IF($B33="","",IF(COUNTIF(AE$16:AE$21,$B33)&gt;0,COUNTA(AE$7:AE$15),0))</f>
        <v/>
      </c>
      <c r="AF33" s="55" t="str">
        <f>IF($B33="","",IF(COUNTIF(AF$16:AF$21,$B33)&gt;0,COUNTA(AF$7:AF$15),0))</f>
        <v/>
      </c>
      <c r="AG33" s="55" t="str">
        <f>IF($B33="","",IF(COUNTIF(AG$16:AG$21,$B33)&gt;0,COUNTA(AG$7:AG$15),0))</f>
        <v/>
      </c>
      <c r="AH33" s="55" t="str">
        <f>IF($B33="","",IF(COUNTIF(AH$16:AH$21,$B33)&gt;0,COUNTA(AH$7:AH$15),0))</f>
        <v/>
      </c>
      <c r="AI33" s="55" t="str">
        <f>IF($B33="","",IF(COUNTIF(AI$16:AI$21,$B33)&gt;0,COUNTA(AI$7:AI$15),0))</f>
        <v/>
      </c>
      <c r="AJ33" s="55" t="str">
        <f>IF($B33="","",IF(COUNTIF(AJ$16:AJ$21,$B33)&gt;0,COUNTA(AJ$7:AJ$15),0))</f>
        <v/>
      </c>
      <c r="AK33" s="55" t="str">
        <f>IF($B33="","",IF(COUNTIF(AK$16:AK$21,$B33)&gt;0,COUNTA(AK$7:AK$15),0))</f>
        <v/>
      </c>
      <c r="AL33" s="55" t="str">
        <f>IF($B33="","",IF(COUNTIF(AL$16:AL$21,$B33)&gt;0,COUNTA(AL$7:AL$15),0))</f>
        <v/>
      </c>
      <c r="AM33" s="55" t="str">
        <f>IF($B33="","",IF(COUNTIF(AM$16:AM$21,$B33)&gt;0,COUNTA(AM$7:AM$15),0))</f>
        <v/>
      </c>
      <c r="AN33" s="55" t="str">
        <f>IF($B33="","",IF(COUNTIF(AN$16:AN$21,$B33)&gt;0,COUNTA(AN$7:AN$15),0))</f>
        <v/>
      </c>
      <c r="AO33" s="55" t="str">
        <f>IF($B33="","",IF(COUNTIF(AO$16:AO$21,$B33)&gt;0,COUNTA(AO$7:AO$15),0))</f>
        <v/>
      </c>
      <c r="AP33" s="55" t="str">
        <f>IF($B33="","",IF(COUNTIF(AP$16:AP$21,$B33)&gt;0,COUNTA(AP$7:AP$15),0))</f>
        <v/>
      </c>
      <c r="AQ33" s="55" t="str">
        <f>IF($B33="","",IF(COUNTIF(AQ$16:AQ$21,$B33)&gt;0,COUNTA(AQ$7:AQ$15),0))</f>
        <v/>
      </c>
      <c r="AR33" s="55" t="str">
        <f>IF($B33="","",IF(COUNTIF(AR$16:AR$21,$B33)&gt;0,COUNTA(AR$7:AR$15),0))</f>
        <v/>
      </c>
      <c r="AS33" s="55" t="str">
        <f>IF($B33="","",IF(COUNTIF(AS$16:AS$21,$B33)&gt;0,COUNTA(AS$7:AS$15),0))</f>
        <v/>
      </c>
      <c r="AT33" s="55" t="str">
        <f>IF($B33="","",IF(COUNTIF(AT$16:AT$21,$B33)&gt;0,COUNTA(AT$7:AT$15),0))</f>
        <v/>
      </c>
      <c r="AU33" s="55" t="str">
        <f>IF($B33="","",IF(COUNTIF(AU$16:AU$21,$B33)&gt;0,COUNTA(AU$7:AU$15),0))</f>
        <v/>
      </c>
      <c r="AV33" s="55" t="str">
        <f>IF($B33="","",IF(COUNTIF(AV$16:AV$21,$B33)&gt;0,COUNTA(AV$7:AV$15),0))</f>
        <v/>
      </c>
      <c r="AW33" s="55" t="str">
        <f>IF($B33="","",IF(COUNTIF(AW$16:AW$21,$B33)&gt;0,COUNTA(AW$7:AW$15),0))</f>
        <v/>
      </c>
      <c r="AX33" s="55" t="str">
        <f>IF($B33="","",IF(COUNTIF(AX$16:AX$21,$B33)&gt;0,COUNTA(AX$7:AX$15),0))</f>
        <v/>
      </c>
      <c r="AY33" s="55" t="str">
        <f>IF($B33="","",IF(COUNTIF(AY$16:AY$21,$B33)&gt;0,COUNTA(AY$7:AY$15),0))</f>
        <v/>
      </c>
      <c r="AZ33" s="55" t="str">
        <f>IF($B33="","",IF(COUNTIF(AZ$16:AZ$21,$B33)&gt;0,COUNTA(AZ$7:AZ$15),0))</f>
        <v/>
      </c>
      <c r="BA33" s="55" t="str">
        <f>IF($B33="","",IF(COUNTIF(BA$16:BA$21,$B33)&gt;0,COUNTA(BA$7:BA$15),0))</f>
        <v/>
      </c>
      <c r="BB33" s="55" t="str">
        <f>IF($B33="","",IF(COUNTIF(BB$16:BB$21,$B33)&gt;0,COUNTA(BB$7:BB$15),0))</f>
        <v/>
      </c>
      <c r="BC33" s="55" t="str">
        <f>IF($B33="","",IF(COUNTIF(BC$16:BC$21,$B33)&gt;0,COUNTA(BC$7:BC$15),0))</f>
        <v/>
      </c>
      <c r="BD33" s="55" t="str">
        <f>IF($B33="","",IF(COUNTIF(BD$16:BD$21,$B33)&gt;0,COUNTA(BD$7:BD$15),0))</f>
        <v/>
      </c>
      <c r="BE33" s="55" t="str">
        <f>IF($B33="","",IF(COUNTIF(BE$16:BE$21,$B33)&gt;0,COUNTA(BE$7:BE$15),0))</f>
        <v/>
      </c>
      <c r="BF33" s="55" t="str">
        <f>IF($B33="","",IF(COUNTIF(BF$16:BF$21,$B33)&gt;0,COUNTA(BF$7:BF$15),0))</f>
        <v/>
      </c>
      <c r="BG33" s="55" t="str">
        <f>IF($B33="","",IF(COUNTIF(BG$16:BG$21,$B33)&gt;0,COUNTA(BG$7:BG$15),0))</f>
        <v/>
      </c>
      <c r="BH33" s="55" t="str">
        <f>IF($B33="","",IF(COUNTIF(BH$16:BH$21,$B33)&gt;0,COUNTA(BH$7:BH$15),0))</f>
        <v/>
      </c>
      <c r="BI33" s="55" t="str">
        <f>IF($B33="","",IF(COUNTIF(BI$16:BI$21,$B33)&gt;0,COUNTA(BI$7:BI$15),0))</f>
        <v/>
      </c>
      <c r="BJ33" s="55" t="str">
        <f>IF($B33="","",IF(COUNTIF(BJ$16:BJ$21,$B33)&gt;0,COUNTA(BJ$7:BJ$15),0))</f>
        <v/>
      </c>
      <c r="BK33" s="55" t="str">
        <f>IF($B33="","",IF(COUNTIF(BK$16:BK$21,$B33)&gt;0,COUNTA(BK$7:BK$15),0))</f>
        <v/>
      </c>
      <c r="BL33" s="55" t="str">
        <f>IF($B33="","",IF(COUNTIF(BL$16:BL$21,$B33)&gt;0,COUNTA(BL$7:BL$15),0))</f>
        <v/>
      </c>
      <c r="BM33" s="55" t="str">
        <f>IF($B33="","",IF(COUNTIF(BM$16:BM$21,$B33)&gt;0,COUNTA(BM$7:BM$15),0))</f>
        <v/>
      </c>
      <c r="BN33" s="55" t="str">
        <f>IF($B33="","",IF(COUNTIF(BN$16:BN$21,$B33)&gt;0,COUNTA(BN$7:BN$15),0))</f>
        <v/>
      </c>
      <c r="BO33" s="55" t="str">
        <f>IF($B33="","",IF(COUNTIF(BO$16:BO$21,$B33)&gt;0,COUNTA(BO$7:BO$15),0))</f>
        <v/>
      </c>
      <c r="BP33" s="55" t="str">
        <f>IF($B33="","",IF(COUNTIF(BP$16:BP$21,$B33)&gt;0,COUNTA(BP$7:BP$15),0))</f>
        <v/>
      </c>
      <c r="BQ33" s="55" t="str">
        <f>IF($B33="","",IF(COUNTIF(BQ$16:BQ$21,$B33)&gt;0,COUNTA(BQ$7:BQ$15),0))</f>
        <v/>
      </c>
      <c r="BR33" s="55" t="str">
        <f>IF($B33="","",IF(COUNTIF(BR$16:BR$21,$B33)&gt;0,COUNTA(BR$7:BR$15),0))</f>
        <v/>
      </c>
      <c r="BS33" s="55" t="str">
        <f>IF($B33="","",IF(COUNTIF(BS$16:BS$21,$B33)&gt;0,COUNTA(BS$7:BS$15),0))</f>
        <v/>
      </c>
      <c r="BT33" s="55" t="str">
        <f>IF($B33="","",IF(COUNTIF(BT$16:BT$21,$B33)&gt;0,COUNTA(BT$7:BT$15),0))</f>
        <v/>
      </c>
      <c r="BU33" s="55" t="str">
        <f>IF($B33="","",IF(COUNTIF(BU$16:BU$21,$B33)&gt;0,COUNTA(BU$7:BU$15),0))</f>
        <v/>
      </c>
      <c r="BV33" s="55" t="str">
        <f>IF($B33="","",IF(COUNTIF(BV$16:BV$21,$B33)&gt;0,COUNTA(BV$7:BV$15),0))</f>
        <v/>
      </c>
      <c r="BW33" s="55" t="str">
        <f>IF($B33="","",IF(COUNTIF(BW$16:BW$21,$B33)&gt;0,COUNTA(BW$7:BW$15),0))</f>
        <v/>
      </c>
      <c r="BX33" s="55" t="str">
        <f>IF($B33="","",IF(COUNTIF(BX$16:BX$21,$B33)&gt;0,COUNTA(BX$7:BX$15),0))</f>
        <v/>
      </c>
      <c r="BY33" s="55" t="str">
        <f>IF($B33="","",IF(COUNTIF(BY$16:BY$21,$B33)&gt;0,COUNTA(BY$7:BY$15),0))</f>
        <v/>
      </c>
      <c r="BZ33" s="55" t="str">
        <f>IF($B33="","",IF(COUNTIF(BZ$16:BZ$21,$B33)&gt;0,COUNTA(BZ$7:BZ$15),0))</f>
        <v/>
      </c>
      <c r="CA33" s="55" t="str">
        <f>IF($B33="","",IF(COUNTIF(CA$16:CA$21,$B33)&gt;0,COUNTA(CA$7:CA$15),0))</f>
        <v/>
      </c>
      <c r="CB33" s="55" t="str">
        <f>IF($B33="","",IF(COUNTIF(CB$16:CB$21,$B33)&gt;0,COUNTA(CB$7:CB$15),0))</f>
        <v/>
      </c>
      <c r="CC33" s="55" t="str">
        <f>IF($B33="","",IF(COUNTIF(CC$16:CC$21,$B33)&gt;0,COUNTA(CC$7:CC$15),0))</f>
        <v/>
      </c>
      <c r="CD33" s="55" t="str">
        <f>IF($B33="","",IF(COUNTIF(CD$16:CD$21,$B33)&gt;0,COUNTA(CD$7:CD$15),0))</f>
        <v/>
      </c>
      <c r="CE33" s="55" t="str">
        <f>IF($B33="","",IF(COUNTIF(CE$16:CE$21,$B33)&gt;0,COUNTA(CE$7:CE$15),0))</f>
        <v/>
      </c>
      <c r="CF33" s="55" t="str">
        <f>IF($B33="","",IF(COUNTIF(CF$16:CF$21,$B33)&gt;0,COUNTA(CF$7:CF$15),0))</f>
        <v/>
      </c>
      <c r="CG33" s="55" t="str">
        <f>IF($B33="","",IF(COUNTIF(CG$16:CG$21,$B33)&gt;0,COUNTA(CG$7:CG$15),0))</f>
        <v/>
      </c>
      <c r="CH33" s="55" t="str">
        <f>IF($B33="","",IF(COUNTIF(CH$16:CH$21,$B33)&gt;0,COUNTA(CH$7:CH$15),0))</f>
        <v/>
      </c>
      <c r="CI33" s="55" t="str">
        <f>IF($B33="","",IF(COUNTIF(CI$16:CI$21,$B33)&gt;0,COUNTA(CI$7:CI$15),0))</f>
        <v/>
      </c>
      <c r="CJ33" s="55" t="str">
        <f>IF($B33="","",IF(COUNTIF(CJ$16:CJ$21,$B33)&gt;0,COUNTA(CJ$7:CJ$15),0))</f>
        <v/>
      </c>
      <c r="CK33" s="55" t="str">
        <f>IF($B33="","",IF(COUNTIF(CK$16:CK$21,$B33)&gt;0,COUNTA(CK$7:CK$15),0))</f>
        <v/>
      </c>
      <c r="CL33" s="55" t="str">
        <f>IF($B33="","",IF(COUNTIF(CL$16:CL$21,$B33)&gt;0,COUNTA(CL$7:CL$15),0))</f>
        <v/>
      </c>
      <c r="CM33" s="55" t="str">
        <f>IF($B33="","",IF(COUNTIF(CM$16:CM$21,$B33)&gt;0,COUNTA(CM$7:CM$15),0))</f>
        <v/>
      </c>
      <c r="CN33" s="55" t="str">
        <f>IF($B33="","",IF(COUNTIF(CN$16:CN$21,$B33)&gt;0,COUNTA(CN$7:CN$15),0))</f>
        <v/>
      </c>
      <c r="CO33" s="55" t="str">
        <f>IF($B33="","",IF(COUNTIF(CO$16:CO$21,$B33)&gt;0,COUNTA(CO$7:CO$15),0))</f>
        <v/>
      </c>
      <c r="CP33" s="55" t="str">
        <f>IF($B33="","",IF(COUNTIF(CP$16:CP$21,$B33)&gt;0,COUNTA(CP$7:CP$15),0))</f>
        <v/>
      </c>
      <c r="CQ33" s="55" t="str">
        <f>IF($B33="","",IF(COUNTIF(CQ$16:CQ$21,$B33)&gt;0,COUNTA(CQ$7:CQ$15),0))</f>
        <v/>
      </c>
      <c r="CR33" s="55" t="str">
        <f>IF($B33="","",IF(COUNTIF(CR$16:CR$21,$B33)&gt;0,COUNTA(CR$7:CR$15),0))</f>
        <v/>
      </c>
      <c r="CS33" s="55" t="str">
        <f>IF($B33="","",IF(COUNTIF(CS$16:CS$21,$B33)&gt;0,COUNTA(CS$7:CS$15),0))</f>
        <v/>
      </c>
      <c r="CT33" s="55" t="str">
        <f>IF($B33="","",IF(COUNTIF(CT$16:CT$21,$B33)&gt;0,COUNTA(CT$7:CT$15),0))</f>
        <v/>
      </c>
      <c r="CU33" s="55" t="str">
        <f>IF($B33="","",IF(COUNTIF(CU$16:CU$21,$B33)&gt;0,COUNTA(CU$7:CU$15),0))</f>
        <v/>
      </c>
      <c r="CV33" s="55" t="str">
        <f>IF($B33="","",IF(COUNTIF(CV$16:CV$21,$B33)&gt;0,COUNTA(CV$7:CV$15),0))</f>
        <v/>
      </c>
      <c r="CW33" s="55" t="str">
        <f>IF($B33="","",IF(COUNTIF(CW$16:CW$21,$B33)&gt;0,COUNTA(CW$7:CW$15),0))</f>
        <v/>
      </c>
      <c r="CX33" s="55" t="str">
        <f>IF($B33="","",IF(COUNTIF(CX$16:CX$21,$B33)&gt;0,COUNTA(CX$7:CX$15),0))</f>
        <v/>
      </c>
      <c r="CY33" s="55" t="str">
        <f>IF($B33="","",IF(COUNTIF(CY$16:CY$21,$B33)&gt;0,COUNTA(CY$7:CY$15),0))</f>
        <v/>
      </c>
      <c r="CZ33" s="55" t="str">
        <f>IF($B33="","",IF(COUNTIF(CZ$16:CZ$21,$B33)&gt;0,COUNTA(CZ$7:CZ$15),0))</f>
        <v/>
      </c>
      <c r="DA33" s="55" t="str">
        <f>IF($B33="","",IF(COUNTIF(DA$16:DA$21,$B33)&gt;0,COUNTA(DA$7:DA$15),0))</f>
        <v/>
      </c>
      <c r="DB33" s="55" t="str">
        <f>IF($B33="","",IF(COUNTIF(DB$16:DB$21,$B33)&gt;0,COUNTA(DB$7:DB$15),0))</f>
        <v/>
      </c>
      <c r="DC33" s="55" t="str">
        <f>IF($B33="","",IF(COUNTIF(DC$16:DC$21,$B33)&gt;0,COUNTA(DC$7:DC$15),0))</f>
        <v/>
      </c>
      <c r="DD33" s="55" t="str">
        <f>IF($B33="","",IF(COUNTIF(DD$16:DD$21,$B33)&gt;0,COUNTA(DD$7:DD$15),0))</f>
        <v/>
      </c>
      <c r="DE33" s="58" t="str">
        <f>IF($B33="","",IF(COUNTIF(DE$16:DE$21,$B33)&gt;0,COUNTA(DE$7:DE$15),0))</f>
        <v/>
      </c>
    </row>
    <row r="34" spans="2:109" x14ac:dyDescent="0.2">
      <c r="B34" s="84" t="str">
        <f>IFERROR(INDEX(_xlfn._xlws.FILTER(Ressourcer!$B$1:$X$1,_xlfn.BYCOL(Ressourcer!$B$17:$X$20,_xlfn.LAMBDA(_xlpm.c,COUNTIF(_xlpm.c,"&lt;&gt;" )&gt;0))),ROWS($B$2:B12)),"")</f>
        <v/>
      </c>
      <c r="C34" s="79" t="str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)&gt;0))),_xlfn.LAMBDA(_xlpm.col,SUM(INDEX(Ressourcer!$B$17:$X$20,,_xlpm.col-COLUMN(Ressourcer!$B$17:$X$20)+1)))),ROWS($B$2:B12))/2,"")</f>
        <v/>
      </c>
      <c r="D34" s="106" t="str">
        <f t="shared" si="22"/>
        <v/>
      </c>
      <c r="E34" s="57" t="str">
        <f>IF($B34="","",IF(COUNTIF(E$16:E$21,$B34)&gt;0,COUNTA(E$7:E$15),0))</f>
        <v/>
      </c>
      <c r="F34" s="55" t="str">
        <f>IF($B34="","",IF(COUNTIF(F$16:F$21,$B34)&gt;0,COUNTA(F$7:F$15),0))</f>
        <v/>
      </c>
      <c r="G34" s="55" t="str">
        <f>IF($B34="","",IF(COUNTIF(G$16:G$21,$B34)&gt;0,COUNTA(G$7:G$15),0))</f>
        <v/>
      </c>
      <c r="H34" s="55" t="str">
        <f>IF($B34="","",IF(COUNTIF(H$16:H$21,$B34)&gt;0,COUNTA(H$7:H$15),0))</f>
        <v/>
      </c>
      <c r="I34" s="55" t="str">
        <f>IF($B34="","",IF(COUNTIF(I$16:I$21,$B34)&gt;0,COUNTA(I$7:I$15),0))</f>
        <v/>
      </c>
      <c r="J34" s="55" t="str">
        <f>IF($B34="","",IF(COUNTIF(J$16:J$21,$B34)&gt;0,COUNTA(J$7:J$15),0))</f>
        <v/>
      </c>
      <c r="K34" s="55" t="str">
        <f>IF($B34="","",IF(COUNTIF(K$16:K$21,$B34)&gt;0,COUNTA(K$7:K$15),0))</f>
        <v/>
      </c>
      <c r="L34" s="55" t="str">
        <f>IF($B34="","",IF(COUNTIF(L$16:L$21,$B34)&gt;0,COUNTA(L$7:L$15),0))</f>
        <v/>
      </c>
      <c r="M34" s="55" t="str">
        <f>IF($B34="","",IF(COUNTIF(M$16:M$21,$B34)&gt;0,COUNTA(M$7:M$15),0))</f>
        <v/>
      </c>
      <c r="N34" s="55" t="str">
        <f>IF($B34="","",IF(COUNTIF(N$16:N$21,$B34)&gt;0,COUNTA(N$7:N$15),0))</f>
        <v/>
      </c>
      <c r="O34" s="55" t="str">
        <f>IF($B34="","",IF(COUNTIF(O$16:O$21,$B34)&gt;0,COUNTA(O$7:O$15),0))</f>
        <v/>
      </c>
      <c r="P34" s="55" t="str">
        <f>IF($B34="","",IF(COUNTIF(P$16:P$21,$B34)&gt;0,COUNTA(P$7:P$15),0))</f>
        <v/>
      </c>
      <c r="Q34" s="55" t="str">
        <f>IF($B34="","",IF(COUNTIF(Q$16:Q$21,$B34)&gt;0,COUNTA(Q$7:Q$15),0))</f>
        <v/>
      </c>
      <c r="R34" s="55" t="str">
        <f>IF($B34="","",IF(COUNTIF(R$16:R$21,$B34)&gt;0,COUNTA(R$7:R$15),0))</f>
        <v/>
      </c>
      <c r="S34" s="55" t="str">
        <f>IF($B34="","",IF(COUNTIF(S$16:S$21,$B34)&gt;0,COUNTA(S$7:S$15),0))</f>
        <v/>
      </c>
      <c r="T34" s="55" t="str">
        <f>IF($B34="","",IF(COUNTIF(T$16:T$21,$B34)&gt;0,COUNTA(T$7:T$15),0))</f>
        <v/>
      </c>
      <c r="U34" s="55" t="str">
        <f>IF($B34="","",IF(COUNTIF(U$16:U$21,$B34)&gt;0,COUNTA(U$7:U$15),0))</f>
        <v/>
      </c>
      <c r="V34" s="55" t="str">
        <f>IF($B34="","",IF(COUNTIF(V$16:V$21,$B34)&gt;0,COUNTA(V$7:V$15),0))</f>
        <v/>
      </c>
      <c r="W34" s="55" t="str">
        <f>IF($B34="","",IF(COUNTIF(W$16:W$21,$B34)&gt;0,COUNTA(W$7:W$15),0))</f>
        <v/>
      </c>
      <c r="X34" s="55" t="str">
        <f>IF($B34="","",IF(COUNTIF(X$16:X$21,$B34)&gt;0,COUNTA(X$7:X$15),0))</f>
        <v/>
      </c>
      <c r="Y34" s="55" t="str">
        <f>IF($B34="","",IF(COUNTIF(Y$16:Y$21,$B34)&gt;0,COUNTA(Y$7:Y$15),0))</f>
        <v/>
      </c>
      <c r="Z34" s="55" t="str">
        <f>IF($B34="","",IF(COUNTIF(Z$16:Z$21,$B34)&gt;0,COUNTA(Z$7:Z$15),0))</f>
        <v/>
      </c>
      <c r="AA34" s="55" t="str">
        <f>IF($B34="","",IF(COUNTIF(AA$16:AA$21,$B34)&gt;0,COUNTA(AA$7:AA$15),0))</f>
        <v/>
      </c>
      <c r="AB34" s="55" t="str">
        <f>IF($B34="","",IF(COUNTIF(AB$16:AB$21,$B34)&gt;0,COUNTA(AB$7:AB$15),0))</f>
        <v/>
      </c>
      <c r="AC34" s="55" t="str">
        <f>IF($B34="","",IF(COUNTIF(AC$16:AC$21,$B34)&gt;0,COUNTA(AC$7:AC$15),0))</f>
        <v/>
      </c>
      <c r="AD34" s="55" t="str">
        <f>IF($B34="","",IF(COUNTIF(AD$16:AD$21,$B34)&gt;0,COUNTA(AD$7:AD$15),0))</f>
        <v/>
      </c>
      <c r="AE34" s="55" t="str">
        <f>IF($B34="","",IF(COUNTIF(AE$16:AE$21,$B34)&gt;0,COUNTA(AE$7:AE$15),0))</f>
        <v/>
      </c>
      <c r="AF34" s="55" t="str">
        <f>IF($B34="","",IF(COUNTIF(AF$16:AF$21,$B34)&gt;0,COUNTA(AF$7:AF$15),0))</f>
        <v/>
      </c>
      <c r="AG34" s="55" t="str">
        <f>IF($B34="","",IF(COUNTIF(AG$16:AG$21,$B34)&gt;0,COUNTA(AG$7:AG$15),0))</f>
        <v/>
      </c>
      <c r="AH34" s="55" t="str">
        <f>IF($B34="","",IF(COUNTIF(AH$16:AH$21,$B34)&gt;0,COUNTA(AH$7:AH$15),0))</f>
        <v/>
      </c>
      <c r="AI34" s="55" t="str">
        <f>IF($B34="","",IF(COUNTIF(AI$16:AI$21,$B34)&gt;0,COUNTA(AI$7:AI$15),0))</f>
        <v/>
      </c>
      <c r="AJ34" s="55" t="str">
        <f>IF($B34="","",IF(COUNTIF(AJ$16:AJ$21,$B34)&gt;0,COUNTA(AJ$7:AJ$15),0))</f>
        <v/>
      </c>
      <c r="AK34" s="55" t="str">
        <f>IF($B34="","",IF(COUNTIF(AK$16:AK$21,$B34)&gt;0,COUNTA(AK$7:AK$15),0))</f>
        <v/>
      </c>
      <c r="AL34" s="55" t="str">
        <f>IF($B34="","",IF(COUNTIF(AL$16:AL$21,$B34)&gt;0,COUNTA(AL$7:AL$15),0))</f>
        <v/>
      </c>
      <c r="AM34" s="55" t="str">
        <f>IF($B34="","",IF(COUNTIF(AM$16:AM$21,$B34)&gt;0,COUNTA(AM$7:AM$15),0))</f>
        <v/>
      </c>
      <c r="AN34" s="55" t="str">
        <f>IF($B34="","",IF(COUNTIF(AN$16:AN$21,$B34)&gt;0,COUNTA(AN$7:AN$15),0))</f>
        <v/>
      </c>
      <c r="AO34" s="55" t="str">
        <f>IF($B34="","",IF(COUNTIF(AO$16:AO$21,$B34)&gt;0,COUNTA(AO$7:AO$15),0))</f>
        <v/>
      </c>
      <c r="AP34" s="55" t="str">
        <f>IF($B34="","",IF(COUNTIF(AP$16:AP$21,$B34)&gt;0,COUNTA(AP$7:AP$15),0))</f>
        <v/>
      </c>
      <c r="AQ34" s="55" t="str">
        <f>IF($B34="","",IF(COUNTIF(AQ$16:AQ$21,$B34)&gt;0,COUNTA(AQ$7:AQ$15),0))</f>
        <v/>
      </c>
      <c r="AR34" s="55" t="str">
        <f>IF($B34="","",IF(COUNTIF(AR$16:AR$21,$B34)&gt;0,COUNTA(AR$7:AR$15),0))</f>
        <v/>
      </c>
      <c r="AS34" s="55" t="str">
        <f>IF($B34="","",IF(COUNTIF(AS$16:AS$21,$B34)&gt;0,COUNTA(AS$7:AS$15),0))</f>
        <v/>
      </c>
      <c r="AT34" s="55" t="str">
        <f>IF($B34="","",IF(COUNTIF(AT$16:AT$21,$B34)&gt;0,COUNTA(AT$7:AT$15),0))</f>
        <v/>
      </c>
      <c r="AU34" s="55" t="str">
        <f>IF($B34="","",IF(COUNTIF(AU$16:AU$21,$B34)&gt;0,COUNTA(AU$7:AU$15),0))</f>
        <v/>
      </c>
      <c r="AV34" s="55" t="str">
        <f>IF($B34="","",IF(COUNTIF(AV$16:AV$21,$B34)&gt;0,COUNTA(AV$7:AV$15),0))</f>
        <v/>
      </c>
      <c r="AW34" s="55" t="str">
        <f>IF($B34="","",IF(COUNTIF(AW$16:AW$21,$B34)&gt;0,COUNTA(AW$7:AW$15),0))</f>
        <v/>
      </c>
      <c r="AX34" s="55" t="str">
        <f>IF($B34="","",IF(COUNTIF(AX$16:AX$21,$B34)&gt;0,COUNTA(AX$7:AX$15),0))</f>
        <v/>
      </c>
      <c r="AY34" s="55" t="str">
        <f>IF($B34="","",IF(COUNTIF(AY$16:AY$21,$B34)&gt;0,COUNTA(AY$7:AY$15),0))</f>
        <v/>
      </c>
      <c r="AZ34" s="55" t="str">
        <f>IF($B34="","",IF(COUNTIF(AZ$16:AZ$21,$B34)&gt;0,COUNTA(AZ$7:AZ$15),0))</f>
        <v/>
      </c>
      <c r="BA34" s="55" t="str">
        <f>IF($B34="","",IF(COUNTIF(BA$16:BA$21,$B34)&gt;0,COUNTA(BA$7:BA$15),0))</f>
        <v/>
      </c>
      <c r="BB34" s="55" t="str">
        <f>IF($B34="","",IF(COUNTIF(BB$16:BB$21,$B34)&gt;0,COUNTA(BB$7:BB$15),0))</f>
        <v/>
      </c>
      <c r="BC34" s="55" t="str">
        <f>IF($B34="","",IF(COUNTIF(BC$16:BC$21,$B34)&gt;0,COUNTA(BC$7:BC$15),0))</f>
        <v/>
      </c>
      <c r="BD34" s="55" t="str">
        <f>IF($B34="","",IF(COUNTIF(BD$16:BD$21,$B34)&gt;0,COUNTA(BD$7:BD$15),0))</f>
        <v/>
      </c>
      <c r="BE34" s="55" t="str">
        <f>IF($B34="","",IF(COUNTIF(BE$16:BE$21,$B34)&gt;0,COUNTA(BE$7:BE$15),0))</f>
        <v/>
      </c>
      <c r="BF34" s="55" t="str">
        <f>IF($B34="","",IF(COUNTIF(BF$16:BF$21,$B34)&gt;0,COUNTA(BF$7:BF$15),0))</f>
        <v/>
      </c>
      <c r="BG34" s="55" t="str">
        <f>IF($B34="","",IF(COUNTIF(BG$16:BG$21,$B34)&gt;0,COUNTA(BG$7:BG$15),0))</f>
        <v/>
      </c>
      <c r="BH34" s="55" t="str">
        <f>IF($B34="","",IF(COUNTIF(BH$16:BH$21,$B34)&gt;0,COUNTA(BH$7:BH$15),0))</f>
        <v/>
      </c>
      <c r="BI34" s="55" t="str">
        <f>IF($B34="","",IF(COUNTIF(BI$16:BI$21,$B34)&gt;0,COUNTA(BI$7:BI$15),0))</f>
        <v/>
      </c>
      <c r="BJ34" s="55" t="str">
        <f>IF($B34="","",IF(COUNTIF(BJ$16:BJ$21,$B34)&gt;0,COUNTA(BJ$7:BJ$15),0))</f>
        <v/>
      </c>
      <c r="BK34" s="55" t="str">
        <f>IF($B34="","",IF(COUNTIF(BK$16:BK$21,$B34)&gt;0,COUNTA(BK$7:BK$15),0))</f>
        <v/>
      </c>
      <c r="BL34" s="55" t="str">
        <f>IF($B34="","",IF(COUNTIF(BL$16:BL$21,$B34)&gt;0,COUNTA(BL$7:BL$15),0))</f>
        <v/>
      </c>
      <c r="BM34" s="55" t="str">
        <f>IF($B34="","",IF(COUNTIF(BM$16:BM$21,$B34)&gt;0,COUNTA(BM$7:BM$15),0))</f>
        <v/>
      </c>
      <c r="BN34" s="55" t="str">
        <f>IF($B34="","",IF(COUNTIF(BN$16:BN$21,$B34)&gt;0,COUNTA(BN$7:BN$15),0))</f>
        <v/>
      </c>
      <c r="BO34" s="55" t="str">
        <f>IF($B34="","",IF(COUNTIF(BO$16:BO$21,$B34)&gt;0,COUNTA(BO$7:BO$15),0))</f>
        <v/>
      </c>
      <c r="BP34" s="55" t="str">
        <f>IF($B34="","",IF(COUNTIF(BP$16:BP$21,$B34)&gt;0,COUNTA(BP$7:BP$15),0))</f>
        <v/>
      </c>
      <c r="BQ34" s="55" t="str">
        <f>IF($B34="","",IF(COUNTIF(BQ$16:BQ$21,$B34)&gt;0,COUNTA(BQ$7:BQ$15),0))</f>
        <v/>
      </c>
      <c r="BR34" s="55" t="str">
        <f>IF($B34="","",IF(COUNTIF(BR$16:BR$21,$B34)&gt;0,COUNTA(BR$7:BR$15),0))</f>
        <v/>
      </c>
      <c r="BS34" s="55" t="str">
        <f>IF($B34="","",IF(COUNTIF(BS$16:BS$21,$B34)&gt;0,COUNTA(BS$7:BS$15),0))</f>
        <v/>
      </c>
      <c r="BT34" s="55" t="str">
        <f>IF($B34="","",IF(COUNTIF(BT$16:BT$21,$B34)&gt;0,COUNTA(BT$7:BT$15),0))</f>
        <v/>
      </c>
      <c r="BU34" s="55" t="str">
        <f>IF($B34="","",IF(COUNTIF(BU$16:BU$21,$B34)&gt;0,COUNTA(BU$7:BU$15),0))</f>
        <v/>
      </c>
      <c r="BV34" s="55" t="str">
        <f>IF($B34="","",IF(COUNTIF(BV$16:BV$21,$B34)&gt;0,COUNTA(BV$7:BV$15),0))</f>
        <v/>
      </c>
      <c r="BW34" s="55" t="str">
        <f>IF($B34="","",IF(COUNTIF(BW$16:BW$21,$B34)&gt;0,COUNTA(BW$7:BW$15),0))</f>
        <v/>
      </c>
      <c r="BX34" s="55" t="str">
        <f>IF($B34="","",IF(COUNTIF(BX$16:BX$21,$B34)&gt;0,COUNTA(BX$7:BX$15),0))</f>
        <v/>
      </c>
      <c r="BY34" s="55" t="str">
        <f>IF($B34="","",IF(COUNTIF(BY$16:BY$21,$B34)&gt;0,COUNTA(BY$7:BY$15),0))</f>
        <v/>
      </c>
      <c r="BZ34" s="55" t="str">
        <f>IF($B34="","",IF(COUNTIF(BZ$16:BZ$21,$B34)&gt;0,COUNTA(BZ$7:BZ$15),0))</f>
        <v/>
      </c>
      <c r="CA34" s="55" t="str">
        <f>IF($B34="","",IF(COUNTIF(CA$16:CA$21,$B34)&gt;0,COUNTA(CA$7:CA$15),0))</f>
        <v/>
      </c>
      <c r="CB34" s="55" t="str">
        <f>IF($B34="","",IF(COUNTIF(CB$16:CB$21,$B34)&gt;0,COUNTA(CB$7:CB$15),0))</f>
        <v/>
      </c>
      <c r="CC34" s="55" t="str">
        <f>IF($B34="","",IF(COUNTIF(CC$16:CC$21,$B34)&gt;0,COUNTA(CC$7:CC$15),0))</f>
        <v/>
      </c>
      <c r="CD34" s="55" t="str">
        <f>IF($B34="","",IF(COUNTIF(CD$16:CD$21,$B34)&gt;0,COUNTA(CD$7:CD$15),0))</f>
        <v/>
      </c>
      <c r="CE34" s="55" t="str">
        <f>IF($B34="","",IF(COUNTIF(CE$16:CE$21,$B34)&gt;0,COUNTA(CE$7:CE$15),0))</f>
        <v/>
      </c>
      <c r="CF34" s="55" t="str">
        <f>IF($B34="","",IF(COUNTIF(CF$16:CF$21,$B34)&gt;0,COUNTA(CF$7:CF$15),0))</f>
        <v/>
      </c>
      <c r="CG34" s="55" t="str">
        <f>IF($B34="","",IF(COUNTIF(CG$16:CG$21,$B34)&gt;0,COUNTA(CG$7:CG$15),0))</f>
        <v/>
      </c>
      <c r="CH34" s="55" t="str">
        <f>IF($B34="","",IF(COUNTIF(CH$16:CH$21,$B34)&gt;0,COUNTA(CH$7:CH$15),0))</f>
        <v/>
      </c>
      <c r="CI34" s="55" t="str">
        <f>IF($B34="","",IF(COUNTIF(CI$16:CI$21,$B34)&gt;0,COUNTA(CI$7:CI$15),0))</f>
        <v/>
      </c>
      <c r="CJ34" s="55" t="str">
        <f>IF($B34="","",IF(COUNTIF(CJ$16:CJ$21,$B34)&gt;0,COUNTA(CJ$7:CJ$15),0))</f>
        <v/>
      </c>
      <c r="CK34" s="55" t="str">
        <f>IF($B34="","",IF(COUNTIF(CK$16:CK$21,$B34)&gt;0,COUNTA(CK$7:CK$15),0))</f>
        <v/>
      </c>
      <c r="CL34" s="55" t="str">
        <f>IF($B34="","",IF(COUNTIF(CL$16:CL$21,$B34)&gt;0,COUNTA(CL$7:CL$15),0))</f>
        <v/>
      </c>
      <c r="CM34" s="55" t="str">
        <f>IF($B34="","",IF(COUNTIF(CM$16:CM$21,$B34)&gt;0,COUNTA(CM$7:CM$15),0))</f>
        <v/>
      </c>
      <c r="CN34" s="55" t="str">
        <f>IF($B34="","",IF(COUNTIF(CN$16:CN$21,$B34)&gt;0,COUNTA(CN$7:CN$15),0))</f>
        <v/>
      </c>
      <c r="CO34" s="55" t="str">
        <f>IF($B34="","",IF(COUNTIF(CO$16:CO$21,$B34)&gt;0,COUNTA(CO$7:CO$15),0))</f>
        <v/>
      </c>
      <c r="CP34" s="55" t="str">
        <f>IF($B34="","",IF(COUNTIF(CP$16:CP$21,$B34)&gt;0,COUNTA(CP$7:CP$15),0))</f>
        <v/>
      </c>
      <c r="CQ34" s="55" t="str">
        <f>IF($B34="","",IF(COUNTIF(CQ$16:CQ$21,$B34)&gt;0,COUNTA(CQ$7:CQ$15),0))</f>
        <v/>
      </c>
      <c r="CR34" s="55" t="str">
        <f>IF($B34="","",IF(COUNTIF(CR$16:CR$21,$B34)&gt;0,COUNTA(CR$7:CR$15),0))</f>
        <v/>
      </c>
      <c r="CS34" s="55" t="str">
        <f>IF($B34="","",IF(COUNTIF(CS$16:CS$21,$B34)&gt;0,COUNTA(CS$7:CS$15),0))</f>
        <v/>
      </c>
      <c r="CT34" s="55" t="str">
        <f>IF($B34="","",IF(COUNTIF(CT$16:CT$21,$B34)&gt;0,COUNTA(CT$7:CT$15),0))</f>
        <v/>
      </c>
      <c r="CU34" s="55" t="str">
        <f>IF($B34="","",IF(COUNTIF(CU$16:CU$21,$B34)&gt;0,COUNTA(CU$7:CU$15),0))</f>
        <v/>
      </c>
      <c r="CV34" s="55" t="str">
        <f>IF($B34="","",IF(COUNTIF(CV$16:CV$21,$B34)&gt;0,COUNTA(CV$7:CV$15),0))</f>
        <v/>
      </c>
      <c r="CW34" s="55" t="str">
        <f>IF($B34="","",IF(COUNTIF(CW$16:CW$21,$B34)&gt;0,COUNTA(CW$7:CW$15),0))</f>
        <v/>
      </c>
      <c r="CX34" s="55" t="str">
        <f>IF($B34="","",IF(COUNTIF(CX$16:CX$21,$B34)&gt;0,COUNTA(CX$7:CX$15),0))</f>
        <v/>
      </c>
      <c r="CY34" s="55" t="str">
        <f>IF($B34="","",IF(COUNTIF(CY$16:CY$21,$B34)&gt;0,COUNTA(CY$7:CY$15),0))</f>
        <v/>
      </c>
      <c r="CZ34" s="55" t="str">
        <f>IF($B34="","",IF(COUNTIF(CZ$16:CZ$21,$B34)&gt;0,COUNTA(CZ$7:CZ$15),0))</f>
        <v/>
      </c>
      <c r="DA34" s="55" t="str">
        <f>IF($B34="","",IF(COUNTIF(DA$16:DA$21,$B34)&gt;0,COUNTA(DA$7:DA$15),0))</f>
        <v/>
      </c>
      <c r="DB34" s="55" t="str">
        <f>IF($B34="","",IF(COUNTIF(DB$16:DB$21,$B34)&gt;0,COUNTA(DB$7:DB$15),0))</f>
        <v/>
      </c>
      <c r="DC34" s="55" t="str">
        <f>IF($B34="","",IF(COUNTIF(DC$16:DC$21,$B34)&gt;0,COUNTA(DC$7:DC$15),0))</f>
        <v/>
      </c>
      <c r="DD34" s="55" t="str">
        <f>IF($B34="","",IF(COUNTIF(DD$16:DD$21,$B34)&gt;0,COUNTA(DD$7:DD$15),0))</f>
        <v/>
      </c>
      <c r="DE34" s="58" t="str">
        <f>IF($B34="","",IF(COUNTIF(DE$16:DE$21,$B34)&gt;0,COUNTA(DE$7:DE$15),0))</f>
        <v/>
      </c>
    </row>
    <row r="35" spans="2:109" x14ac:dyDescent="0.2">
      <c r="B35" s="84" t="str">
        <f>IFERROR(INDEX(_xlfn._xlws.FILTER(Ressourcer!$B$1:$X$1,_xlfn.BYCOL(Ressourcer!$B$17:$X$20,_xlfn.LAMBDA(_xlpm.c,COUNTIF(_xlpm.c,"&lt;&gt;" )&gt;0))),ROWS($B$2:B13)),"")</f>
        <v/>
      </c>
      <c r="C35" s="79" t="str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)&gt;0))),_xlfn.LAMBDA(_xlpm.col,SUM(INDEX(Ressourcer!$B$17:$X$20,,_xlpm.col-COLUMN(Ressourcer!$B$17:$X$20)+1)))),ROWS($B$2:B13))/2,"")</f>
        <v/>
      </c>
      <c r="D35" s="106" t="str">
        <f t="shared" si="22"/>
        <v/>
      </c>
      <c r="E35" s="57" t="str">
        <f>IF($B35="","",IF(COUNTIF(E$16:E$21,$B35)&gt;0,COUNTA(E$7:E$15),0))</f>
        <v/>
      </c>
      <c r="F35" s="55" t="str">
        <f>IF($B35="","",IF(COUNTIF(F$16:F$21,$B35)&gt;0,COUNTA(F$7:F$15),0))</f>
        <v/>
      </c>
      <c r="G35" s="55" t="str">
        <f>IF($B35="","",IF(COUNTIF(G$16:G$21,$B35)&gt;0,COUNTA(G$7:G$15),0))</f>
        <v/>
      </c>
      <c r="H35" s="55" t="str">
        <f>IF($B35="","",IF(COUNTIF(H$16:H$21,$B35)&gt;0,COUNTA(H$7:H$15),0))</f>
        <v/>
      </c>
      <c r="I35" s="55" t="str">
        <f>IF($B35="","",IF(COUNTIF(I$16:I$21,$B35)&gt;0,COUNTA(I$7:I$15),0))</f>
        <v/>
      </c>
      <c r="J35" s="55" t="str">
        <f>IF($B35="","",IF(COUNTIF(J$16:J$21,$B35)&gt;0,COUNTA(J$7:J$15),0))</f>
        <v/>
      </c>
      <c r="K35" s="55" t="str">
        <f>IF($B35="","",IF(COUNTIF(K$16:K$21,$B35)&gt;0,COUNTA(K$7:K$15),0))</f>
        <v/>
      </c>
      <c r="L35" s="55" t="str">
        <f>IF($B35="","",IF(COUNTIF(L$16:L$21,$B35)&gt;0,COUNTA(L$7:L$15),0))</f>
        <v/>
      </c>
      <c r="M35" s="55" t="str">
        <f>IF($B35="","",IF(COUNTIF(M$16:M$21,$B35)&gt;0,COUNTA(M$7:M$15),0))</f>
        <v/>
      </c>
      <c r="N35" s="55" t="str">
        <f>IF($B35="","",IF(COUNTIF(N$16:N$21,$B35)&gt;0,COUNTA(N$7:N$15),0))</f>
        <v/>
      </c>
      <c r="O35" s="55" t="str">
        <f>IF($B35="","",IF(COUNTIF(O$16:O$21,$B35)&gt;0,COUNTA(O$7:O$15),0))</f>
        <v/>
      </c>
      <c r="P35" s="55" t="str">
        <f>IF($B35="","",IF(COUNTIF(P$16:P$21,$B35)&gt;0,COUNTA(P$7:P$15),0))</f>
        <v/>
      </c>
      <c r="Q35" s="55" t="str">
        <f>IF($B35="","",IF(COUNTIF(Q$16:Q$21,$B35)&gt;0,COUNTA(Q$7:Q$15),0))</f>
        <v/>
      </c>
      <c r="R35" s="55" t="str">
        <f>IF($B35="","",IF(COUNTIF(R$16:R$21,$B35)&gt;0,COUNTA(R$7:R$15),0))</f>
        <v/>
      </c>
      <c r="S35" s="55" t="str">
        <f>IF($B35="","",IF(COUNTIF(S$16:S$21,$B35)&gt;0,COUNTA(S$7:S$15),0))</f>
        <v/>
      </c>
      <c r="T35" s="55" t="str">
        <f>IF($B35="","",IF(COUNTIF(T$16:T$21,$B35)&gt;0,COUNTA(T$7:T$15),0))</f>
        <v/>
      </c>
      <c r="U35" s="55" t="str">
        <f>IF($B35="","",IF(COUNTIF(U$16:U$21,$B35)&gt;0,COUNTA(U$7:U$15),0))</f>
        <v/>
      </c>
      <c r="V35" s="55" t="str">
        <f>IF($B35="","",IF(COUNTIF(V$16:V$21,$B35)&gt;0,COUNTA(V$7:V$15),0))</f>
        <v/>
      </c>
      <c r="W35" s="55" t="str">
        <f>IF($B35="","",IF(COUNTIF(W$16:W$21,$B35)&gt;0,COUNTA(W$7:W$15),0))</f>
        <v/>
      </c>
      <c r="X35" s="55" t="str">
        <f>IF($B35="","",IF(COUNTIF(X$16:X$21,$B35)&gt;0,COUNTA(X$7:X$15),0))</f>
        <v/>
      </c>
      <c r="Y35" s="55" t="str">
        <f>IF($B35="","",IF(COUNTIF(Y$16:Y$21,$B35)&gt;0,COUNTA(Y$7:Y$15),0))</f>
        <v/>
      </c>
      <c r="Z35" s="55" t="str">
        <f>IF($B35="","",IF(COUNTIF(Z$16:Z$21,$B35)&gt;0,COUNTA(Z$7:Z$15),0))</f>
        <v/>
      </c>
      <c r="AA35" s="55" t="str">
        <f>IF($B35="","",IF(COUNTIF(AA$16:AA$21,$B35)&gt;0,COUNTA(AA$7:AA$15),0))</f>
        <v/>
      </c>
      <c r="AB35" s="55" t="str">
        <f>IF($B35="","",IF(COUNTIF(AB$16:AB$21,$B35)&gt;0,COUNTA(AB$7:AB$15),0))</f>
        <v/>
      </c>
      <c r="AC35" s="55" t="str">
        <f>IF($B35="","",IF(COUNTIF(AC$16:AC$21,$B35)&gt;0,COUNTA(AC$7:AC$15),0))</f>
        <v/>
      </c>
      <c r="AD35" s="55" t="str">
        <f>IF($B35="","",IF(COUNTIF(AD$16:AD$21,$B35)&gt;0,COUNTA(AD$7:AD$15),0))</f>
        <v/>
      </c>
      <c r="AE35" s="55" t="str">
        <f>IF($B35="","",IF(COUNTIF(AE$16:AE$21,$B35)&gt;0,COUNTA(AE$7:AE$15),0))</f>
        <v/>
      </c>
      <c r="AF35" s="55" t="str">
        <f>IF($B35="","",IF(COUNTIF(AF$16:AF$21,$B35)&gt;0,COUNTA(AF$7:AF$15),0))</f>
        <v/>
      </c>
      <c r="AG35" s="55" t="str">
        <f>IF($B35="","",IF(COUNTIF(AG$16:AG$21,$B35)&gt;0,COUNTA(AG$7:AG$15),0))</f>
        <v/>
      </c>
      <c r="AH35" s="55" t="str">
        <f>IF($B35="","",IF(COUNTIF(AH$16:AH$21,$B35)&gt;0,COUNTA(AH$7:AH$15),0))</f>
        <v/>
      </c>
      <c r="AI35" s="55" t="str">
        <f>IF($B35="","",IF(COUNTIF(AI$16:AI$21,$B35)&gt;0,COUNTA(AI$7:AI$15),0))</f>
        <v/>
      </c>
      <c r="AJ35" s="55" t="str">
        <f>IF($B35="","",IF(COUNTIF(AJ$16:AJ$21,$B35)&gt;0,COUNTA(AJ$7:AJ$15),0))</f>
        <v/>
      </c>
      <c r="AK35" s="55" t="str">
        <f>IF($B35="","",IF(COUNTIF(AK$16:AK$21,$B35)&gt;0,COUNTA(AK$7:AK$15),0))</f>
        <v/>
      </c>
      <c r="AL35" s="55" t="str">
        <f>IF($B35="","",IF(COUNTIF(AL$16:AL$21,$B35)&gt;0,COUNTA(AL$7:AL$15),0))</f>
        <v/>
      </c>
      <c r="AM35" s="55" t="str">
        <f>IF($B35="","",IF(COUNTIF(AM$16:AM$21,$B35)&gt;0,COUNTA(AM$7:AM$15),0))</f>
        <v/>
      </c>
      <c r="AN35" s="55" t="str">
        <f>IF($B35="","",IF(COUNTIF(AN$16:AN$21,$B35)&gt;0,COUNTA(AN$7:AN$15),0))</f>
        <v/>
      </c>
      <c r="AO35" s="55" t="str">
        <f>IF($B35="","",IF(COUNTIF(AO$16:AO$21,$B35)&gt;0,COUNTA(AO$7:AO$15),0))</f>
        <v/>
      </c>
      <c r="AP35" s="55" t="str">
        <f>IF($B35="","",IF(COUNTIF(AP$16:AP$21,$B35)&gt;0,COUNTA(AP$7:AP$15),0))</f>
        <v/>
      </c>
      <c r="AQ35" s="55" t="str">
        <f>IF($B35="","",IF(COUNTIF(AQ$16:AQ$21,$B35)&gt;0,COUNTA(AQ$7:AQ$15),0))</f>
        <v/>
      </c>
      <c r="AR35" s="55" t="str">
        <f>IF($B35="","",IF(COUNTIF(AR$16:AR$21,$B35)&gt;0,COUNTA(AR$7:AR$15),0))</f>
        <v/>
      </c>
      <c r="AS35" s="55" t="str">
        <f>IF($B35="","",IF(COUNTIF(AS$16:AS$21,$B35)&gt;0,COUNTA(AS$7:AS$15),0))</f>
        <v/>
      </c>
      <c r="AT35" s="55" t="str">
        <f>IF($B35="","",IF(COUNTIF(AT$16:AT$21,$B35)&gt;0,COUNTA(AT$7:AT$15),0))</f>
        <v/>
      </c>
      <c r="AU35" s="55" t="str">
        <f>IF($B35="","",IF(COUNTIF(AU$16:AU$21,$B35)&gt;0,COUNTA(AU$7:AU$15),0))</f>
        <v/>
      </c>
      <c r="AV35" s="55" t="str">
        <f>IF($B35="","",IF(COUNTIF(AV$16:AV$21,$B35)&gt;0,COUNTA(AV$7:AV$15),0))</f>
        <v/>
      </c>
      <c r="AW35" s="55" t="str">
        <f>IF($B35="","",IF(COUNTIF(AW$16:AW$21,$B35)&gt;0,COUNTA(AW$7:AW$15),0))</f>
        <v/>
      </c>
      <c r="AX35" s="55" t="str">
        <f>IF($B35="","",IF(COUNTIF(AX$16:AX$21,$B35)&gt;0,COUNTA(AX$7:AX$15),0))</f>
        <v/>
      </c>
      <c r="AY35" s="55" t="str">
        <f>IF($B35="","",IF(COUNTIF(AY$16:AY$21,$B35)&gt;0,COUNTA(AY$7:AY$15),0))</f>
        <v/>
      </c>
      <c r="AZ35" s="55" t="str">
        <f>IF($B35="","",IF(COUNTIF(AZ$16:AZ$21,$B35)&gt;0,COUNTA(AZ$7:AZ$15),0))</f>
        <v/>
      </c>
      <c r="BA35" s="55" t="str">
        <f>IF($B35="","",IF(COUNTIF(BA$16:BA$21,$B35)&gt;0,COUNTA(BA$7:BA$15),0))</f>
        <v/>
      </c>
      <c r="BB35" s="55" t="str">
        <f>IF($B35="","",IF(COUNTIF(BB$16:BB$21,$B35)&gt;0,COUNTA(BB$7:BB$15),0))</f>
        <v/>
      </c>
      <c r="BC35" s="55" t="str">
        <f>IF($B35="","",IF(COUNTIF(BC$16:BC$21,$B35)&gt;0,COUNTA(BC$7:BC$15),0))</f>
        <v/>
      </c>
      <c r="BD35" s="55" t="str">
        <f>IF($B35="","",IF(COUNTIF(BD$16:BD$21,$B35)&gt;0,COUNTA(BD$7:BD$15),0))</f>
        <v/>
      </c>
      <c r="BE35" s="55" t="str">
        <f>IF($B35="","",IF(COUNTIF(BE$16:BE$21,$B35)&gt;0,COUNTA(BE$7:BE$15),0))</f>
        <v/>
      </c>
      <c r="BF35" s="55" t="str">
        <f>IF($B35="","",IF(COUNTIF(BF$16:BF$21,$B35)&gt;0,COUNTA(BF$7:BF$15),0))</f>
        <v/>
      </c>
      <c r="BG35" s="55" t="str">
        <f>IF($B35="","",IF(COUNTIF(BG$16:BG$21,$B35)&gt;0,COUNTA(BG$7:BG$15),0))</f>
        <v/>
      </c>
      <c r="BH35" s="55" t="str">
        <f>IF($B35="","",IF(COUNTIF(BH$16:BH$21,$B35)&gt;0,COUNTA(BH$7:BH$15),0))</f>
        <v/>
      </c>
      <c r="BI35" s="55" t="str">
        <f>IF($B35="","",IF(COUNTIF(BI$16:BI$21,$B35)&gt;0,COUNTA(BI$7:BI$15),0))</f>
        <v/>
      </c>
      <c r="BJ35" s="55" t="str">
        <f>IF($B35="","",IF(COUNTIF(BJ$16:BJ$21,$B35)&gt;0,COUNTA(BJ$7:BJ$15),0))</f>
        <v/>
      </c>
      <c r="BK35" s="55" t="str">
        <f>IF($B35="","",IF(COUNTIF(BK$16:BK$21,$B35)&gt;0,COUNTA(BK$7:BK$15),0))</f>
        <v/>
      </c>
      <c r="BL35" s="55" t="str">
        <f>IF($B35="","",IF(COUNTIF(BL$16:BL$21,$B35)&gt;0,COUNTA(BL$7:BL$15),0))</f>
        <v/>
      </c>
      <c r="BM35" s="55" t="str">
        <f>IF($B35="","",IF(COUNTIF(BM$16:BM$21,$B35)&gt;0,COUNTA(BM$7:BM$15),0))</f>
        <v/>
      </c>
      <c r="BN35" s="55" t="str">
        <f>IF($B35="","",IF(COUNTIF(BN$16:BN$21,$B35)&gt;0,COUNTA(BN$7:BN$15),0))</f>
        <v/>
      </c>
      <c r="BO35" s="55" t="str">
        <f>IF($B35="","",IF(COUNTIF(BO$16:BO$21,$B35)&gt;0,COUNTA(BO$7:BO$15),0))</f>
        <v/>
      </c>
      <c r="BP35" s="55" t="str">
        <f>IF($B35="","",IF(COUNTIF(BP$16:BP$21,$B35)&gt;0,COUNTA(BP$7:BP$15),0))</f>
        <v/>
      </c>
      <c r="BQ35" s="55" t="str">
        <f>IF($B35="","",IF(COUNTIF(BQ$16:BQ$21,$B35)&gt;0,COUNTA(BQ$7:BQ$15),0))</f>
        <v/>
      </c>
      <c r="BR35" s="55" t="str">
        <f>IF($B35="","",IF(COUNTIF(BR$16:BR$21,$B35)&gt;0,COUNTA(BR$7:BR$15),0))</f>
        <v/>
      </c>
      <c r="BS35" s="55" t="str">
        <f>IF($B35="","",IF(COUNTIF(BS$16:BS$21,$B35)&gt;0,COUNTA(BS$7:BS$15),0))</f>
        <v/>
      </c>
      <c r="BT35" s="55" t="str">
        <f>IF($B35="","",IF(COUNTIF(BT$16:BT$21,$B35)&gt;0,COUNTA(BT$7:BT$15),0))</f>
        <v/>
      </c>
      <c r="BU35" s="55" t="str">
        <f>IF($B35="","",IF(COUNTIF(BU$16:BU$21,$B35)&gt;0,COUNTA(BU$7:BU$15),0))</f>
        <v/>
      </c>
      <c r="BV35" s="55" t="str">
        <f>IF($B35="","",IF(COUNTIF(BV$16:BV$21,$B35)&gt;0,COUNTA(BV$7:BV$15),0))</f>
        <v/>
      </c>
      <c r="BW35" s="55" t="str">
        <f>IF($B35="","",IF(COUNTIF(BW$16:BW$21,$B35)&gt;0,COUNTA(BW$7:BW$15),0))</f>
        <v/>
      </c>
      <c r="BX35" s="55" t="str">
        <f>IF($B35="","",IF(COUNTIF(BX$16:BX$21,$B35)&gt;0,COUNTA(BX$7:BX$15),0))</f>
        <v/>
      </c>
      <c r="BY35" s="55" t="str">
        <f>IF($B35="","",IF(COUNTIF(BY$16:BY$21,$B35)&gt;0,COUNTA(BY$7:BY$15),0))</f>
        <v/>
      </c>
      <c r="BZ35" s="55" t="str">
        <f>IF($B35="","",IF(COUNTIF(BZ$16:BZ$21,$B35)&gt;0,COUNTA(BZ$7:BZ$15),0))</f>
        <v/>
      </c>
      <c r="CA35" s="55" t="str">
        <f>IF($B35="","",IF(COUNTIF(CA$16:CA$21,$B35)&gt;0,COUNTA(CA$7:CA$15),0))</f>
        <v/>
      </c>
      <c r="CB35" s="55" t="str">
        <f>IF($B35="","",IF(COUNTIF(CB$16:CB$21,$B35)&gt;0,COUNTA(CB$7:CB$15),0))</f>
        <v/>
      </c>
      <c r="CC35" s="55" t="str">
        <f>IF($B35="","",IF(COUNTIF(CC$16:CC$21,$B35)&gt;0,COUNTA(CC$7:CC$15),0))</f>
        <v/>
      </c>
      <c r="CD35" s="55" t="str">
        <f>IF($B35="","",IF(COUNTIF(CD$16:CD$21,$B35)&gt;0,COUNTA(CD$7:CD$15),0))</f>
        <v/>
      </c>
      <c r="CE35" s="55" t="str">
        <f>IF($B35="","",IF(COUNTIF(CE$16:CE$21,$B35)&gt;0,COUNTA(CE$7:CE$15),0))</f>
        <v/>
      </c>
      <c r="CF35" s="55" t="str">
        <f>IF($B35="","",IF(COUNTIF(CF$16:CF$21,$B35)&gt;0,COUNTA(CF$7:CF$15),0))</f>
        <v/>
      </c>
      <c r="CG35" s="55" t="str">
        <f>IF($B35="","",IF(COUNTIF(CG$16:CG$21,$B35)&gt;0,COUNTA(CG$7:CG$15),0))</f>
        <v/>
      </c>
      <c r="CH35" s="55" t="str">
        <f>IF($B35="","",IF(COUNTIF(CH$16:CH$21,$B35)&gt;0,COUNTA(CH$7:CH$15),0))</f>
        <v/>
      </c>
      <c r="CI35" s="55" t="str">
        <f>IF($B35="","",IF(COUNTIF(CI$16:CI$21,$B35)&gt;0,COUNTA(CI$7:CI$15),0))</f>
        <v/>
      </c>
      <c r="CJ35" s="55" t="str">
        <f>IF($B35="","",IF(COUNTIF(CJ$16:CJ$21,$B35)&gt;0,COUNTA(CJ$7:CJ$15),0))</f>
        <v/>
      </c>
      <c r="CK35" s="55" t="str">
        <f>IF($B35="","",IF(COUNTIF(CK$16:CK$21,$B35)&gt;0,COUNTA(CK$7:CK$15),0))</f>
        <v/>
      </c>
      <c r="CL35" s="55" t="str">
        <f>IF($B35="","",IF(COUNTIF(CL$16:CL$21,$B35)&gt;0,COUNTA(CL$7:CL$15),0))</f>
        <v/>
      </c>
      <c r="CM35" s="55" t="str">
        <f>IF($B35="","",IF(COUNTIF(CM$16:CM$21,$B35)&gt;0,COUNTA(CM$7:CM$15),0))</f>
        <v/>
      </c>
      <c r="CN35" s="55" t="str">
        <f>IF($B35="","",IF(COUNTIF(CN$16:CN$21,$B35)&gt;0,COUNTA(CN$7:CN$15),0))</f>
        <v/>
      </c>
      <c r="CO35" s="55" t="str">
        <f>IF($B35="","",IF(COUNTIF(CO$16:CO$21,$B35)&gt;0,COUNTA(CO$7:CO$15),0))</f>
        <v/>
      </c>
      <c r="CP35" s="55" t="str">
        <f>IF($B35="","",IF(COUNTIF(CP$16:CP$21,$B35)&gt;0,COUNTA(CP$7:CP$15),0))</f>
        <v/>
      </c>
      <c r="CQ35" s="55" t="str">
        <f>IF($B35="","",IF(COUNTIF(CQ$16:CQ$21,$B35)&gt;0,COUNTA(CQ$7:CQ$15),0))</f>
        <v/>
      </c>
      <c r="CR35" s="55" t="str">
        <f>IF($B35="","",IF(COUNTIF(CR$16:CR$21,$B35)&gt;0,COUNTA(CR$7:CR$15),0))</f>
        <v/>
      </c>
      <c r="CS35" s="55" t="str">
        <f>IF($B35="","",IF(COUNTIF(CS$16:CS$21,$B35)&gt;0,COUNTA(CS$7:CS$15),0))</f>
        <v/>
      </c>
      <c r="CT35" s="55" t="str">
        <f>IF($B35="","",IF(COUNTIF(CT$16:CT$21,$B35)&gt;0,COUNTA(CT$7:CT$15),0))</f>
        <v/>
      </c>
      <c r="CU35" s="55" t="str">
        <f>IF($B35="","",IF(COUNTIF(CU$16:CU$21,$B35)&gt;0,COUNTA(CU$7:CU$15),0))</f>
        <v/>
      </c>
      <c r="CV35" s="55" t="str">
        <f>IF($B35="","",IF(COUNTIF(CV$16:CV$21,$B35)&gt;0,COUNTA(CV$7:CV$15),0))</f>
        <v/>
      </c>
      <c r="CW35" s="55" t="str">
        <f>IF($B35="","",IF(COUNTIF(CW$16:CW$21,$B35)&gt;0,COUNTA(CW$7:CW$15),0))</f>
        <v/>
      </c>
      <c r="CX35" s="55" t="str">
        <f>IF($B35="","",IF(COUNTIF(CX$16:CX$21,$B35)&gt;0,COUNTA(CX$7:CX$15),0))</f>
        <v/>
      </c>
      <c r="CY35" s="55" t="str">
        <f>IF($B35="","",IF(COUNTIF(CY$16:CY$21,$B35)&gt;0,COUNTA(CY$7:CY$15),0))</f>
        <v/>
      </c>
      <c r="CZ35" s="55" t="str">
        <f>IF($B35="","",IF(COUNTIF(CZ$16:CZ$21,$B35)&gt;0,COUNTA(CZ$7:CZ$15),0))</f>
        <v/>
      </c>
      <c r="DA35" s="55" t="str">
        <f>IF($B35="","",IF(COUNTIF(DA$16:DA$21,$B35)&gt;0,COUNTA(DA$7:DA$15),0))</f>
        <v/>
      </c>
      <c r="DB35" s="55" t="str">
        <f>IF($B35="","",IF(COUNTIF(DB$16:DB$21,$B35)&gt;0,COUNTA(DB$7:DB$15),0))</f>
        <v/>
      </c>
      <c r="DC35" s="55" t="str">
        <f>IF($B35="","",IF(COUNTIF(DC$16:DC$21,$B35)&gt;0,COUNTA(DC$7:DC$15),0))</f>
        <v/>
      </c>
      <c r="DD35" s="55" t="str">
        <f>IF($B35="","",IF(COUNTIF(DD$16:DD$21,$B35)&gt;0,COUNTA(DD$7:DD$15),0))</f>
        <v/>
      </c>
      <c r="DE35" s="58" t="str">
        <f>IF($B35="","",IF(COUNTIF(DE$16:DE$21,$B35)&gt;0,COUNTA(DE$7:DE$15),0))</f>
        <v/>
      </c>
    </row>
    <row r="36" spans="2:109" x14ac:dyDescent="0.2">
      <c r="B36" s="84" t="str">
        <f>IFERROR(INDEX(_xlfn._xlws.FILTER(Ressourcer!$B$1:$X$1,_xlfn.BYCOL(Ressourcer!$B$17:$X$20,_xlfn.LAMBDA(_xlpm.c,COUNTIF(_xlpm.c,"&lt;&gt;" )&gt;0))),ROWS($B$2:B14)),"")</f>
        <v/>
      </c>
      <c r="C36" s="79" t="str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)&gt;0))),_xlfn.LAMBDA(_xlpm.col,SUM(INDEX(Ressourcer!$B$17:$X$20,,_xlpm.col-COLUMN(Ressourcer!$B$17:$X$20)+1)))),ROWS($B$2:B14))/2,"")</f>
        <v/>
      </c>
      <c r="D36" s="106" t="str">
        <f t="shared" si="22"/>
        <v/>
      </c>
      <c r="E36" s="57" t="str">
        <f>IF($B36="","",IF(COUNTIF(E$16:E$21,$B36)&gt;0,COUNTA(E$7:E$15),0))</f>
        <v/>
      </c>
      <c r="F36" s="55" t="str">
        <f>IF($B36="","",IF(COUNTIF(F$16:F$21,$B36)&gt;0,COUNTA(F$7:F$15),0))</f>
        <v/>
      </c>
      <c r="G36" s="55" t="str">
        <f>IF($B36="","",IF(COUNTIF(G$16:G$21,$B36)&gt;0,COUNTA(G$7:G$15),0))</f>
        <v/>
      </c>
      <c r="H36" s="55" t="str">
        <f>IF($B36="","",IF(COUNTIF(H$16:H$21,$B36)&gt;0,COUNTA(H$7:H$15),0))</f>
        <v/>
      </c>
      <c r="I36" s="55" t="str">
        <f>IF($B36="","",IF(COUNTIF(I$16:I$21,$B36)&gt;0,COUNTA(I$7:I$15),0))</f>
        <v/>
      </c>
      <c r="J36" s="55" t="str">
        <f>IF($B36="","",IF(COUNTIF(J$16:J$21,$B36)&gt;0,COUNTA(J$7:J$15),0))</f>
        <v/>
      </c>
      <c r="K36" s="55" t="str">
        <f>IF($B36="","",IF(COUNTIF(K$16:K$21,$B36)&gt;0,COUNTA(K$7:K$15),0))</f>
        <v/>
      </c>
      <c r="L36" s="55" t="str">
        <f>IF($B36="","",IF(COUNTIF(L$16:L$21,$B36)&gt;0,COUNTA(L$7:L$15),0))</f>
        <v/>
      </c>
      <c r="M36" s="55" t="str">
        <f>IF($B36="","",IF(COUNTIF(M$16:M$21,$B36)&gt;0,COUNTA(M$7:M$15),0))</f>
        <v/>
      </c>
      <c r="N36" s="55" t="str">
        <f>IF($B36="","",IF(COUNTIF(N$16:N$21,$B36)&gt;0,COUNTA(N$7:N$15),0))</f>
        <v/>
      </c>
      <c r="O36" s="55" t="str">
        <f>IF($B36="","",IF(COUNTIF(O$16:O$21,$B36)&gt;0,COUNTA(O$7:O$15),0))</f>
        <v/>
      </c>
      <c r="P36" s="55" t="str">
        <f>IF($B36="","",IF(COUNTIF(P$16:P$21,$B36)&gt;0,COUNTA(P$7:P$15),0))</f>
        <v/>
      </c>
      <c r="Q36" s="55" t="str">
        <f>IF($B36="","",IF(COUNTIF(Q$16:Q$21,$B36)&gt;0,COUNTA(Q$7:Q$15),0))</f>
        <v/>
      </c>
      <c r="R36" s="55" t="str">
        <f>IF($B36="","",IF(COUNTIF(R$16:R$21,$B36)&gt;0,COUNTA(R$7:R$15),0))</f>
        <v/>
      </c>
      <c r="S36" s="55" t="str">
        <f>IF($B36="","",IF(COUNTIF(S$16:S$21,$B36)&gt;0,COUNTA(S$7:S$15),0))</f>
        <v/>
      </c>
      <c r="T36" s="55" t="str">
        <f>IF($B36="","",IF(COUNTIF(T$16:T$21,$B36)&gt;0,COUNTA(T$7:T$15),0))</f>
        <v/>
      </c>
      <c r="U36" s="55" t="str">
        <f>IF($B36="","",IF(COUNTIF(U$16:U$21,$B36)&gt;0,COUNTA(U$7:U$15),0))</f>
        <v/>
      </c>
      <c r="V36" s="55" t="str">
        <f>IF($B36="","",IF(COUNTIF(V$16:V$21,$B36)&gt;0,COUNTA(V$7:V$15),0))</f>
        <v/>
      </c>
      <c r="W36" s="55" t="str">
        <f>IF($B36="","",IF(COUNTIF(W$16:W$21,$B36)&gt;0,COUNTA(W$7:W$15),0))</f>
        <v/>
      </c>
      <c r="X36" s="55" t="str">
        <f>IF($B36="","",IF(COUNTIF(X$16:X$21,$B36)&gt;0,COUNTA(X$7:X$15),0))</f>
        <v/>
      </c>
      <c r="Y36" s="55" t="str">
        <f>IF($B36="","",IF(COUNTIF(Y$16:Y$21,$B36)&gt;0,COUNTA(Y$7:Y$15),0))</f>
        <v/>
      </c>
      <c r="Z36" s="55" t="str">
        <f>IF($B36="","",IF(COUNTIF(Z$16:Z$21,$B36)&gt;0,COUNTA(Z$7:Z$15),0))</f>
        <v/>
      </c>
      <c r="AA36" s="55" t="str">
        <f>IF($B36="","",IF(COUNTIF(AA$16:AA$21,$B36)&gt;0,COUNTA(AA$7:AA$15),0))</f>
        <v/>
      </c>
      <c r="AB36" s="55" t="str">
        <f>IF($B36="","",IF(COUNTIF(AB$16:AB$21,$B36)&gt;0,COUNTA(AB$7:AB$15),0))</f>
        <v/>
      </c>
      <c r="AC36" s="55" t="str">
        <f>IF($B36="","",IF(COUNTIF(AC$16:AC$21,$B36)&gt;0,COUNTA(AC$7:AC$15),0))</f>
        <v/>
      </c>
      <c r="AD36" s="55" t="str">
        <f>IF($B36="","",IF(COUNTIF(AD$16:AD$21,$B36)&gt;0,COUNTA(AD$7:AD$15),0))</f>
        <v/>
      </c>
      <c r="AE36" s="55" t="str">
        <f>IF($B36="","",IF(COUNTIF(AE$16:AE$21,$B36)&gt;0,COUNTA(AE$7:AE$15),0))</f>
        <v/>
      </c>
      <c r="AF36" s="55" t="str">
        <f>IF($B36="","",IF(COUNTIF(AF$16:AF$21,$B36)&gt;0,COUNTA(AF$7:AF$15),0))</f>
        <v/>
      </c>
      <c r="AG36" s="55" t="str">
        <f>IF($B36="","",IF(COUNTIF(AG$16:AG$21,$B36)&gt;0,COUNTA(AG$7:AG$15),0))</f>
        <v/>
      </c>
      <c r="AH36" s="55" t="str">
        <f>IF($B36="","",IF(COUNTIF(AH$16:AH$21,$B36)&gt;0,COUNTA(AH$7:AH$15),0))</f>
        <v/>
      </c>
      <c r="AI36" s="55" t="str">
        <f>IF($B36="","",IF(COUNTIF(AI$16:AI$21,$B36)&gt;0,COUNTA(AI$7:AI$15),0))</f>
        <v/>
      </c>
      <c r="AJ36" s="55" t="str">
        <f>IF($B36="","",IF(COUNTIF(AJ$16:AJ$21,$B36)&gt;0,COUNTA(AJ$7:AJ$15),0))</f>
        <v/>
      </c>
      <c r="AK36" s="55" t="str">
        <f>IF($B36="","",IF(COUNTIF(AK$16:AK$21,$B36)&gt;0,COUNTA(AK$7:AK$15),0))</f>
        <v/>
      </c>
      <c r="AL36" s="55" t="str">
        <f>IF($B36="","",IF(COUNTIF(AL$16:AL$21,$B36)&gt;0,COUNTA(AL$7:AL$15),0))</f>
        <v/>
      </c>
      <c r="AM36" s="55" t="str">
        <f>IF($B36="","",IF(COUNTIF(AM$16:AM$21,$B36)&gt;0,COUNTA(AM$7:AM$15),0))</f>
        <v/>
      </c>
      <c r="AN36" s="55" t="str">
        <f>IF($B36="","",IF(COUNTIF(AN$16:AN$21,$B36)&gt;0,COUNTA(AN$7:AN$15),0))</f>
        <v/>
      </c>
      <c r="AO36" s="55" t="str">
        <f>IF($B36="","",IF(COUNTIF(AO$16:AO$21,$B36)&gt;0,COUNTA(AO$7:AO$15),0))</f>
        <v/>
      </c>
      <c r="AP36" s="55" t="str">
        <f>IF($B36="","",IF(COUNTIF(AP$16:AP$21,$B36)&gt;0,COUNTA(AP$7:AP$15),0))</f>
        <v/>
      </c>
      <c r="AQ36" s="55" t="str">
        <f>IF($B36="","",IF(COUNTIF(AQ$16:AQ$21,$B36)&gt;0,COUNTA(AQ$7:AQ$15),0))</f>
        <v/>
      </c>
      <c r="AR36" s="55" t="str">
        <f>IF($B36="","",IF(COUNTIF(AR$16:AR$21,$B36)&gt;0,COUNTA(AR$7:AR$15),0))</f>
        <v/>
      </c>
      <c r="AS36" s="55" t="str">
        <f>IF($B36="","",IF(COUNTIF(AS$16:AS$21,$B36)&gt;0,COUNTA(AS$7:AS$15),0))</f>
        <v/>
      </c>
      <c r="AT36" s="55" t="str">
        <f>IF($B36="","",IF(COUNTIF(AT$16:AT$21,$B36)&gt;0,COUNTA(AT$7:AT$15),0))</f>
        <v/>
      </c>
      <c r="AU36" s="55" t="str">
        <f>IF($B36="","",IF(COUNTIF(AU$16:AU$21,$B36)&gt;0,COUNTA(AU$7:AU$15),0))</f>
        <v/>
      </c>
      <c r="AV36" s="55" t="str">
        <f>IF($B36="","",IF(COUNTIF(AV$16:AV$21,$B36)&gt;0,COUNTA(AV$7:AV$15),0))</f>
        <v/>
      </c>
      <c r="AW36" s="55" t="str">
        <f>IF($B36="","",IF(COUNTIF(AW$16:AW$21,$B36)&gt;0,COUNTA(AW$7:AW$15),0))</f>
        <v/>
      </c>
      <c r="AX36" s="55" t="str">
        <f>IF($B36="","",IF(COUNTIF(AX$16:AX$21,$B36)&gt;0,COUNTA(AX$7:AX$15),0))</f>
        <v/>
      </c>
      <c r="AY36" s="55" t="str">
        <f>IF($B36="","",IF(COUNTIF(AY$16:AY$21,$B36)&gt;0,COUNTA(AY$7:AY$15),0))</f>
        <v/>
      </c>
      <c r="AZ36" s="55" t="str">
        <f>IF($B36="","",IF(COUNTIF(AZ$16:AZ$21,$B36)&gt;0,COUNTA(AZ$7:AZ$15),0))</f>
        <v/>
      </c>
      <c r="BA36" s="55" t="str">
        <f>IF($B36="","",IF(COUNTIF(BA$16:BA$21,$B36)&gt;0,COUNTA(BA$7:BA$15),0))</f>
        <v/>
      </c>
      <c r="BB36" s="55" t="str">
        <f>IF($B36="","",IF(COUNTIF(BB$16:BB$21,$B36)&gt;0,COUNTA(BB$7:BB$15),0))</f>
        <v/>
      </c>
      <c r="BC36" s="55" t="str">
        <f>IF($B36="","",IF(COUNTIF(BC$16:BC$21,$B36)&gt;0,COUNTA(BC$7:BC$15),0))</f>
        <v/>
      </c>
      <c r="BD36" s="55" t="str">
        <f>IF($B36="","",IF(COUNTIF(BD$16:BD$21,$B36)&gt;0,COUNTA(BD$7:BD$15),0))</f>
        <v/>
      </c>
      <c r="BE36" s="55" t="str">
        <f>IF($B36="","",IF(COUNTIF(BE$16:BE$21,$B36)&gt;0,COUNTA(BE$7:BE$15),0))</f>
        <v/>
      </c>
      <c r="BF36" s="55" t="str">
        <f>IF($B36="","",IF(COUNTIF(BF$16:BF$21,$B36)&gt;0,COUNTA(BF$7:BF$15),0))</f>
        <v/>
      </c>
      <c r="BG36" s="55" t="str">
        <f>IF($B36="","",IF(COUNTIF(BG$16:BG$21,$B36)&gt;0,COUNTA(BG$7:BG$15),0))</f>
        <v/>
      </c>
      <c r="BH36" s="55" t="str">
        <f>IF($B36="","",IF(COUNTIF(BH$16:BH$21,$B36)&gt;0,COUNTA(BH$7:BH$15),0))</f>
        <v/>
      </c>
      <c r="BI36" s="55" t="str">
        <f>IF($B36="","",IF(COUNTIF(BI$16:BI$21,$B36)&gt;0,COUNTA(BI$7:BI$15),0))</f>
        <v/>
      </c>
      <c r="BJ36" s="55" t="str">
        <f>IF($B36="","",IF(COUNTIF(BJ$16:BJ$21,$B36)&gt;0,COUNTA(BJ$7:BJ$15),0))</f>
        <v/>
      </c>
      <c r="BK36" s="55" t="str">
        <f>IF($B36="","",IF(COUNTIF(BK$16:BK$21,$B36)&gt;0,COUNTA(BK$7:BK$15),0))</f>
        <v/>
      </c>
      <c r="BL36" s="55" t="str">
        <f>IF($B36="","",IF(COUNTIF(BL$16:BL$21,$B36)&gt;0,COUNTA(BL$7:BL$15),0))</f>
        <v/>
      </c>
      <c r="BM36" s="55" t="str">
        <f>IF($B36="","",IF(COUNTIF(BM$16:BM$21,$B36)&gt;0,COUNTA(BM$7:BM$15),0))</f>
        <v/>
      </c>
      <c r="BN36" s="55" t="str">
        <f>IF($B36="","",IF(COUNTIF(BN$16:BN$21,$B36)&gt;0,COUNTA(BN$7:BN$15),0))</f>
        <v/>
      </c>
      <c r="BO36" s="55" t="str">
        <f>IF($B36="","",IF(COUNTIF(BO$16:BO$21,$B36)&gt;0,COUNTA(BO$7:BO$15),0))</f>
        <v/>
      </c>
      <c r="BP36" s="55" t="str">
        <f>IF($B36="","",IF(COUNTIF(BP$16:BP$21,$B36)&gt;0,COUNTA(BP$7:BP$15),0))</f>
        <v/>
      </c>
      <c r="BQ36" s="55" t="str">
        <f>IF($B36="","",IF(COUNTIF(BQ$16:BQ$21,$B36)&gt;0,COUNTA(BQ$7:BQ$15),0))</f>
        <v/>
      </c>
      <c r="BR36" s="55" t="str">
        <f>IF($B36="","",IF(COUNTIF(BR$16:BR$21,$B36)&gt;0,COUNTA(BR$7:BR$15),0))</f>
        <v/>
      </c>
      <c r="BS36" s="55" t="str">
        <f>IF($B36="","",IF(COUNTIF(BS$16:BS$21,$B36)&gt;0,COUNTA(BS$7:BS$15),0))</f>
        <v/>
      </c>
      <c r="BT36" s="55" t="str">
        <f>IF($B36="","",IF(COUNTIF(BT$16:BT$21,$B36)&gt;0,COUNTA(BT$7:BT$15),0))</f>
        <v/>
      </c>
      <c r="BU36" s="55" t="str">
        <f>IF($B36="","",IF(COUNTIF(BU$16:BU$21,$B36)&gt;0,COUNTA(BU$7:BU$15),0))</f>
        <v/>
      </c>
      <c r="BV36" s="55" t="str">
        <f>IF($B36="","",IF(COUNTIF(BV$16:BV$21,$B36)&gt;0,COUNTA(BV$7:BV$15),0))</f>
        <v/>
      </c>
      <c r="BW36" s="55" t="str">
        <f>IF($B36="","",IF(COUNTIF(BW$16:BW$21,$B36)&gt;0,COUNTA(BW$7:BW$15),0))</f>
        <v/>
      </c>
      <c r="BX36" s="55" t="str">
        <f>IF($B36="","",IF(COUNTIF(BX$16:BX$21,$B36)&gt;0,COUNTA(BX$7:BX$15),0))</f>
        <v/>
      </c>
      <c r="BY36" s="55" t="str">
        <f>IF($B36="","",IF(COUNTIF(BY$16:BY$21,$B36)&gt;0,COUNTA(BY$7:BY$15),0))</f>
        <v/>
      </c>
      <c r="BZ36" s="55" t="str">
        <f>IF($B36="","",IF(COUNTIF(BZ$16:BZ$21,$B36)&gt;0,COUNTA(BZ$7:BZ$15),0))</f>
        <v/>
      </c>
      <c r="CA36" s="55" t="str">
        <f>IF($B36="","",IF(COUNTIF(CA$16:CA$21,$B36)&gt;0,COUNTA(CA$7:CA$15),0))</f>
        <v/>
      </c>
      <c r="CB36" s="55" t="str">
        <f>IF($B36="","",IF(COUNTIF(CB$16:CB$21,$B36)&gt;0,COUNTA(CB$7:CB$15),0))</f>
        <v/>
      </c>
      <c r="CC36" s="55" t="str">
        <f>IF($B36="","",IF(COUNTIF(CC$16:CC$21,$B36)&gt;0,COUNTA(CC$7:CC$15),0))</f>
        <v/>
      </c>
      <c r="CD36" s="55" t="str">
        <f>IF($B36="","",IF(COUNTIF(CD$16:CD$21,$B36)&gt;0,COUNTA(CD$7:CD$15),0))</f>
        <v/>
      </c>
      <c r="CE36" s="55" t="str">
        <f>IF($B36="","",IF(COUNTIF(CE$16:CE$21,$B36)&gt;0,COUNTA(CE$7:CE$15),0))</f>
        <v/>
      </c>
      <c r="CF36" s="55" t="str">
        <f>IF($B36="","",IF(COUNTIF(CF$16:CF$21,$B36)&gt;0,COUNTA(CF$7:CF$15),0))</f>
        <v/>
      </c>
      <c r="CG36" s="55" t="str">
        <f>IF($B36="","",IF(COUNTIF(CG$16:CG$21,$B36)&gt;0,COUNTA(CG$7:CG$15),0))</f>
        <v/>
      </c>
      <c r="CH36" s="55" t="str">
        <f>IF($B36="","",IF(COUNTIF(CH$16:CH$21,$B36)&gt;0,COUNTA(CH$7:CH$15),0))</f>
        <v/>
      </c>
      <c r="CI36" s="55" t="str">
        <f>IF($B36="","",IF(COUNTIF(CI$16:CI$21,$B36)&gt;0,COUNTA(CI$7:CI$15),0))</f>
        <v/>
      </c>
      <c r="CJ36" s="55" t="str">
        <f>IF($B36="","",IF(COUNTIF(CJ$16:CJ$21,$B36)&gt;0,COUNTA(CJ$7:CJ$15),0))</f>
        <v/>
      </c>
      <c r="CK36" s="55" t="str">
        <f>IF($B36="","",IF(COUNTIF(CK$16:CK$21,$B36)&gt;0,COUNTA(CK$7:CK$15),0))</f>
        <v/>
      </c>
      <c r="CL36" s="55" t="str">
        <f>IF($B36="","",IF(COUNTIF(CL$16:CL$21,$B36)&gt;0,COUNTA(CL$7:CL$15),0))</f>
        <v/>
      </c>
      <c r="CM36" s="55" t="str">
        <f>IF($B36="","",IF(COUNTIF(CM$16:CM$21,$B36)&gt;0,COUNTA(CM$7:CM$15),0))</f>
        <v/>
      </c>
      <c r="CN36" s="55" t="str">
        <f>IF($B36="","",IF(COUNTIF(CN$16:CN$21,$B36)&gt;0,COUNTA(CN$7:CN$15),0))</f>
        <v/>
      </c>
      <c r="CO36" s="55" t="str">
        <f>IF($B36="","",IF(COUNTIF(CO$16:CO$21,$B36)&gt;0,COUNTA(CO$7:CO$15),0))</f>
        <v/>
      </c>
      <c r="CP36" s="55" t="str">
        <f>IF($B36="","",IF(COUNTIF(CP$16:CP$21,$B36)&gt;0,COUNTA(CP$7:CP$15),0))</f>
        <v/>
      </c>
      <c r="CQ36" s="55" t="str">
        <f>IF($B36="","",IF(COUNTIF(CQ$16:CQ$21,$B36)&gt;0,COUNTA(CQ$7:CQ$15),0))</f>
        <v/>
      </c>
      <c r="CR36" s="55" t="str">
        <f>IF($B36="","",IF(COUNTIF(CR$16:CR$21,$B36)&gt;0,COUNTA(CR$7:CR$15),0))</f>
        <v/>
      </c>
      <c r="CS36" s="55" t="str">
        <f>IF($B36="","",IF(COUNTIF(CS$16:CS$21,$B36)&gt;0,COUNTA(CS$7:CS$15),0))</f>
        <v/>
      </c>
      <c r="CT36" s="55" t="str">
        <f>IF($B36="","",IF(COUNTIF(CT$16:CT$21,$B36)&gt;0,COUNTA(CT$7:CT$15),0))</f>
        <v/>
      </c>
      <c r="CU36" s="55" t="str">
        <f>IF($B36="","",IF(COUNTIF(CU$16:CU$21,$B36)&gt;0,COUNTA(CU$7:CU$15),0))</f>
        <v/>
      </c>
      <c r="CV36" s="55" t="str">
        <f>IF($B36="","",IF(COUNTIF(CV$16:CV$21,$B36)&gt;0,COUNTA(CV$7:CV$15),0))</f>
        <v/>
      </c>
      <c r="CW36" s="55" t="str">
        <f>IF($B36="","",IF(COUNTIF(CW$16:CW$21,$B36)&gt;0,COUNTA(CW$7:CW$15),0))</f>
        <v/>
      </c>
      <c r="CX36" s="55" t="str">
        <f>IF($B36="","",IF(COUNTIF(CX$16:CX$21,$B36)&gt;0,COUNTA(CX$7:CX$15),0))</f>
        <v/>
      </c>
      <c r="CY36" s="55" t="str">
        <f>IF($B36="","",IF(COUNTIF(CY$16:CY$21,$B36)&gt;0,COUNTA(CY$7:CY$15),0))</f>
        <v/>
      </c>
      <c r="CZ36" s="55" t="str">
        <f>IF($B36="","",IF(COUNTIF(CZ$16:CZ$21,$B36)&gt;0,COUNTA(CZ$7:CZ$15),0))</f>
        <v/>
      </c>
      <c r="DA36" s="55" t="str">
        <f>IF($B36="","",IF(COUNTIF(DA$16:DA$21,$B36)&gt;0,COUNTA(DA$7:DA$15),0))</f>
        <v/>
      </c>
      <c r="DB36" s="55" t="str">
        <f>IF($B36="","",IF(COUNTIF(DB$16:DB$21,$B36)&gt;0,COUNTA(DB$7:DB$15),0))</f>
        <v/>
      </c>
      <c r="DC36" s="55" t="str">
        <f>IF($B36="","",IF(COUNTIF(DC$16:DC$21,$B36)&gt;0,COUNTA(DC$7:DC$15),0))</f>
        <v/>
      </c>
      <c r="DD36" s="55" t="str">
        <f>IF($B36="","",IF(COUNTIF(DD$16:DD$21,$B36)&gt;0,COUNTA(DD$7:DD$15),0))</f>
        <v/>
      </c>
      <c r="DE36" s="58" t="str">
        <f>IF($B36="","",IF(COUNTIF(DE$16:DE$21,$B36)&gt;0,COUNTA(DE$7:DE$15),0))</f>
        <v/>
      </c>
    </row>
    <row r="37" spans="2:109" x14ac:dyDescent="0.2">
      <c r="B37" s="84" t="str">
        <f>IFERROR(INDEX(_xlfn._xlws.FILTER(Ressourcer!$B$1:$X$1,_xlfn.BYCOL(Ressourcer!$B$17:$X$20,_xlfn.LAMBDA(_xlpm.c,COUNTIF(_xlpm.c,"&lt;&gt;" )&gt;0))),ROWS($B$2:B15)),"")</f>
        <v/>
      </c>
      <c r="C37" s="79" t="str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)&gt;0))),_xlfn.LAMBDA(_xlpm.col,SUM(INDEX(Ressourcer!$B$17:$X$20,,_xlpm.col-COLUMN(Ressourcer!$B$17:$X$20)+1)))),ROWS($B$2:B15))/2,"")</f>
        <v/>
      </c>
      <c r="D37" s="106" t="str">
        <f>IF(SUM(E37:DE37)=0,"",SUM(E37:DE37))</f>
        <v/>
      </c>
      <c r="E37" s="57" t="str">
        <f>IF($B37="","",IF(COUNTIF(E$16:E$21,$B37)&gt;0,COUNTA(E$7:E$15),0))</f>
        <v/>
      </c>
      <c r="F37" s="55" t="str">
        <f>IF($B37="","",IF(COUNTIF(F$16:F$21,$B37)&gt;0,COUNTA(F$7:F$15),0))</f>
        <v/>
      </c>
      <c r="G37" s="55" t="str">
        <f>IF($B37="","",IF(COUNTIF(G$16:G$21,$B37)&gt;0,COUNTA(G$7:G$15),0))</f>
        <v/>
      </c>
      <c r="H37" s="55" t="str">
        <f>IF($B37="","",IF(COUNTIF(H$16:H$21,$B37)&gt;0,COUNTA(H$7:H$15),0))</f>
        <v/>
      </c>
      <c r="I37" s="55" t="str">
        <f>IF($B37="","",IF(COUNTIF(I$16:I$21,$B37)&gt;0,COUNTA(I$7:I$15),0))</f>
        <v/>
      </c>
      <c r="J37" s="55" t="str">
        <f>IF($B37="","",IF(COUNTIF(J$16:J$21,$B37)&gt;0,COUNTA(J$7:J$15),0))</f>
        <v/>
      </c>
      <c r="K37" s="55" t="str">
        <f>IF($B37="","",IF(COUNTIF(K$16:K$21,$B37)&gt;0,COUNTA(K$7:K$15),0))</f>
        <v/>
      </c>
      <c r="L37" s="55" t="str">
        <f>IF($B37="","",IF(COUNTIF(L$16:L$21,$B37)&gt;0,COUNTA(L$7:L$15),0))</f>
        <v/>
      </c>
      <c r="M37" s="55" t="str">
        <f>IF($B37="","",IF(COUNTIF(M$16:M$21,$B37)&gt;0,COUNTA(M$7:M$15),0))</f>
        <v/>
      </c>
      <c r="N37" s="55" t="str">
        <f>IF($B37="","",IF(COUNTIF(N$16:N$21,$B37)&gt;0,COUNTA(N$7:N$15),0))</f>
        <v/>
      </c>
      <c r="O37" s="55" t="str">
        <f>IF($B37="","",IF(COUNTIF(O$16:O$21,$B37)&gt;0,COUNTA(O$7:O$15),0))</f>
        <v/>
      </c>
      <c r="P37" s="55" t="str">
        <f>IF($B37="","",IF(COUNTIF(P$16:P$21,$B37)&gt;0,COUNTA(P$7:P$15),0))</f>
        <v/>
      </c>
      <c r="Q37" s="55" t="str">
        <f>IF($B37="","",IF(COUNTIF(Q$16:Q$21,$B37)&gt;0,COUNTA(Q$7:Q$15),0))</f>
        <v/>
      </c>
      <c r="R37" s="55" t="str">
        <f>IF($B37="","",IF(COUNTIF(R$16:R$21,$B37)&gt;0,COUNTA(R$7:R$15),0))</f>
        <v/>
      </c>
      <c r="S37" s="55" t="str">
        <f>IF($B37="","",IF(COUNTIF(S$16:S$21,$B37)&gt;0,COUNTA(S$7:S$15),0))</f>
        <v/>
      </c>
      <c r="T37" s="55" t="str">
        <f>IF($B37="","",IF(COUNTIF(T$16:T$21,$B37)&gt;0,COUNTA(T$7:T$15),0))</f>
        <v/>
      </c>
      <c r="U37" s="55" t="str">
        <f>IF($B37="","",IF(COUNTIF(U$16:U$21,$B37)&gt;0,COUNTA(U$7:U$15),0))</f>
        <v/>
      </c>
      <c r="V37" s="55" t="str">
        <f>IF($B37="","",IF(COUNTIF(V$16:V$21,$B37)&gt;0,COUNTA(V$7:V$15),0))</f>
        <v/>
      </c>
      <c r="W37" s="55" t="str">
        <f>IF($B37="","",IF(COUNTIF(W$16:W$21,$B37)&gt;0,COUNTA(W$7:W$15),0))</f>
        <v/>
      </c>
      <c r="X37" s="55" t="str">
        <f>IF($B37="","",IF(COUNTIF(X$16:X$21,$B37)&gt;0,COUNTA(X$7:X$15),0))</f>
        <v/>
      </c>
      <c r="Y37" s="55" t="str">
        <f>IF($B37="","",IF(COUNTIF(Y$16:Y$21,$B37)&gt;0,COUNTA(Y$7:Y$15),0))</f>
        <v/>
      </c>
      <c r="Z37" s="55" t="str">
        <f>IF($B37="","",IF(COUNTIF(Z$16:Z$21,$B37)&gt;0,COUNTA(Z$7:Z$15),0))</f>
        <v/>
      </c>
      <c r="AA37" s="55" t="str">
        <f>IF($B37="","",IF(COUNTIF(AA$16:AA$21,$B37)&gt;0,COUNTA(AA$7:AA$15),0))</f>
        <v/>
      </c>
      <c r="AB37" s="55" t="str">
        <f>IF($B37="","",IF(COUNTIF(AB$16:AB$21,$B37)&gt;0,COUNTA(AB$7:AB$15),0))</f>
        <v/>
      </c>
      <c r="AC37" s="55" t="str">
        <f>IF($B37="","",IF(COUNTIF(AC$16:AC$21,$B37)&gt;0,COUNTA(AC$7:AC$15),0))</f>
        <v/>
      </c>
      <c r="AD37" s="55" t="str">
        <f>IF($B37="","",IF(COUNTIF(AD$16:AD$21,$B37)&gt;0,COUNTA(AD$7:AD$15),0))</f>
        <v/>
      </c>
      <c r="AE37" s="55" t="str">
        <f>IF($B37="","",IF(COUNTIF(AE$16:AE$21,$B37)&gt;0,COUNTA(AE$7:AE$15),0))</f>
        <v/>
      </c>
      <c r="AF37" s="55" t="str">
        <f>IF($B37="","",IF(COUNTIF(AF$16:AF$21,$B37)&gt;0,COUNTA(AF$7:AF$15),0))</f>
        <v/>
      </c>
      <c r="AG37" s="55" t="str">
        <f>IF($B37="","",IF(COUNTIF(AG$16:AG$21,$B37)&gt;0,COUNTA(AG$7:AG$15),0))</f>
        <v/>
      </c>
      <c r="AH37" s="55" t="str">
        <f>IF($B37="","",IF(COUNTIF(AH$16:AH$21,$B37)&gt;0,COUNTA(AH$7:AH$15),0))</f>
        <v/>
      </c>
      <c r="AI37" s="55" t="str">
        <f>IF($B37="","",IF(COUNTIF(AI$16:AI$21,$B37)&gt;0,COUNTA(AI$7:AI$15),0))</f>
        <v/>
      </c>
      <c r="AJ37" s="55" t="str">
        <f>IF($B37="","",IF(COUNTIF(AJ$16:AJ$21,$B37)&gt;0,COUNTA(AJ$7:AJ$15),0))</f>
        <v/>
      </c>
      <c r="AK37" s="55" t="str">
        <f>IF($B37="","",IF(COUNTIF(AK$16:AK$21,$B37)&gt;0,COUNTA(AK$7:AK$15),0))</f>
        <v/>
      </c>
      <c r="AL37" s="55" t="str">
        <f>IF($B37="","",IF(COUNTIF(AL$16:AL$21,$B37)&gt;0,COUNTA(AL$7:AL$15),0))</f>
        <v/>
      </c>
      <c r="AM37" s="55" t="str">
        <f>IF($B37="","",IF(COUNTIF(AM$16:AM$21,$B37)&gt;0,COUNTA(AM$7:AM$15),0))</f>
        <v/>
      </c>
      <c r="AN37" s="55" t="str">
        <f>IF($B37="","",IF(COUNTIF(AN$16:AN$21,$B37)&gt;0,COUNTA(AN$7:AN$15),0))</f>
        <v/>
      </c>
      <c r="AO37" s="55" t="str">
        <f>IF($B37="","",IF(COUNTIF(AO$16:AO$21,$B37)&gt;0,COUNTA(AO$7:AO$15),0))</f>
        <v/>
      </c>
      <c r="AP37" s="55" t="str">
        <f>IF($B37="","",IF(COUNTIF(AP$16:AP$21,$B37)&gt;0,COUNTA(AP$7:AP$15),0))</f>
        <v/>
      </c>
      <c r="AQ37" s="55" t="str">
        <f>IF($B37="","",IF(COUNTIF(AQ$16:AQ$21,$B37)&gt;0,COUNTA(AQ$7:AQ$15),0))</f>
        <v/>
      </c>
      <c r="AR37" s="55" t="str">
        <f>IF($B37="","",IF(COUNTIF(AR$16:AR$21,$B37)&gt;0,COUNTA(AR$7:AR$15),0))</f>
        <v/>
      </c>
      <c r="AS37" s="55" t="str">
        <f>IF($B37="","",IF(COUNTIF(AS$16:AS$21,$B37)&gt;0,COUNTA(AS$7:AS$15),0))</f>
        <v/>
      </c>
      <c r="AT37" s="55" t="str">
        <f>IF($B37="","",IF(COUNTIF(AT$16:AT$21,$B37)&gt;0,COUNTA(AT$7:AT$15),0))</f>
        <v/>
      </c>
      <c r="AU37" s="55" t="str">
        <f>IF($B37="","",IF(COUNTIF(AU$16:AU$21,$B37)&gt;0,COUNTA(AU$7:AU$15),0))</f>
        <v/>
      </c>
      <c r="AV37" s="55" t="str">
        <f>IF($B37="","",IF(COUNTIF(AV$16:AV$21,$B37)&gt;0,COUNTA(AV$7:AV$15),0))</f>
        <v/>
      </c>
      <c r="AW37" s="55" t="str">
        <f>IF($B37="","",IF(COUNTIF(AW$16:AW$21,$B37)&gt;0,COUNTA(AW$7:AW$15),0))</f>
        <v/>
      </c>
      <c r="AX37" s="55" t="str">
        <f>IF($B37="","",IF(COUNTIF(AX$16:AX$21,$B37)&gt;0,COUNTA(AX$7:AX$15),0))</f>
        <v/>
      </c>
      <c r="AY37" s="55" t="str">
        <f>IF($B37="","",IF(COUNTIF(AY$16:AY$21,$B37)&gt;0,COUNTA(AY$7:AY$15),0))</f>
        <v/>
      </c>
      <c r="AZ37" s="55" t="str">
        <f>IF($B37="","",IF(COUNTIF(AZ$16:AZ$21,$B37)&gt;0,COUNTA(AZ$7:AZ$15),0))</f>
        <v/>
      </c>
      <c r="BA37" s="55" t="str">
        <f>IF($B37="","",IF(COUNTIF(BA$16:BA$21,$B37)&gt;0,COUNTA(BA$7:BA$15),0))</f>
        <v/>
      </c>
      <c r="BB37" s="55" t="str">
        <f>IF($B37="","",IF(COUNTIF(BB$16:BB$21,$B37)&gt;0,COUNTA(BB$7:BB$15),0))</f>
        <v/>
      </c>
      <c r="BC37" s="55" t="str">
        <f>IF($B37="","",IF(COUNTIF(BC$16:BC$21,$B37)&gt;0,COUNTA(BC$7:BC$15),0))</f>
        <v/>
      </c>
      <c r="BD37" s="55" t="str">
        <f>IF($B37="","",IF(COUNTIF(BD$16:BD$21,$B37)&gt;0,COUNTA(BD$7:BD$15),0))</f>
        <v/>
      </c>
      <c r="BE37" s="55" t="str">
        <f>IF($B37="","",IF(COUNTIF(BE$16:BE$21,$B37)&gt;0,COUNTA(BE$7:BE$15),0))</f>
        <v/>
      </c>
      <c r="BF37" s="55" t="str">
        <f>IF($B37="","",IF(COUNTIF(BF$16:BF$21,$B37)&gt;0,COUNTA(BF$7:BF$15),0))</f>
        <v/>
      </c>
      <c r="BG37" s="55" t="str">
        <f>IF($B37="","",IF(COUNTIF(BG$16:BG$21,$B37)&gt;0,COUNTA(BG$7:BG$15),0))</f>
        <v/>
      </c>
      <c r="BH37" s="55" t="str">
        <f>IF($B37="","",IF(COUNTIF(BH$16:BH$21,$B37)&gt;0,COUNTA(BH$7:BH$15),0))</f>
        <v/>
      </c>
      <c r="BI37" s="55" t="str">
        <f>IF($B37="","",IF(COUNTIF(BI$16:BI$21,$B37)&gt;0,COUNTA(BI$7:BI$15),0))</f>
        <v/>
      </c>
      <c r="BJ37" s="55" t="str">
        <f>IF($B37="","",IF(COUNTIF(BJ$16:BJ$21,$B37)&gt;0,COUNTA(BJ$7:BJ$15),0))</f>
        <v/>
      </c>
      <c r="BK37" s="55" t="str">
        <f>IF($B37="","",IF(COUNTIF(BK$16:BK$21,$B37)&gt;0,COUNTA(BK$7:BK$15),0))</f>
        <v/>
      </c>
      <c r="BL37" s="55" t="str">
        <f>IF($B37="","",IF(COUNTIF(BL$16:BL$21,$B37)&gt;0,COUNTA(BL$7:BL$15),0))</f>
        <v/>
      </c>
      <c r="BM37" s="55" t="str">
        <f>IF($B37="","",IF(COUNTIF(BM$16:BM$21,$B37)&gt;0,COUNTA(BM$7:BM$15),0))</f>
        <v/>
      </c>
      <c r="BN37" s="55" t="str">
        <f>IF($B37="","",IF(COUNTIF(BN$16:BN$21,$B37)&gt;0,COUNTA(BN$7:BN$15),0))</f>
        <v/>
      </c>
      <c r="BO37" s="55" t="str">
        <f>IF($B37="","",IF(COUNTIF(BO$16:BO$21,$B37)&gt;0,COUNTA(BO$7:BO$15),0))</f>
        <v/>
      </c>
      <c r="BP37" s="55" t="str">
        <f>IF($B37="","",IF(COUNTIF(BP$16:BP$21,$B37)&gt;0,COUNTA(BP$7:BP$15),0))</f>
        <v/>
      </c>
      <c r="BQ37" s="55" t="str">
        <f>IF($B37="","",IF(COUNTIF(BQ$16:BQ$21,$B37)&gt;0,COUNTA(BQ$7:BQ$15),0))</f>
        <v/>
      </c>
      <c r="BR37" s="55" t="str">
        <f>IF($B37="","",IF(COUNTIF(BR$16:BR$21,$B37)&gt;0,COUNTA(BR$7:BR$15),0))</f>
        <v/>
      </c>
      <c r="BS37" s="55" t="str">
        <f>IF($B37="","",IF(COUNTIF(BS$16:BS$21,$B37)&gt;0,COUNTA(BS$7:BS$15),0))</f>
        <v/>
      </c>
      <c r="BT37" s="55" t="str">
        <f>IF($B37="","",IF(COUNTIF(BT$16:BT$21,$B37)&gt;0,COUNTA(BT$7:BT$15),0))</f>
        <v/>
      </c>
      <c r="BU37" s="55" t="str">
        <f>IF($B37="","",IF(COUNTIF(BU$16:BU$21,$B37)&gt;0,COUNTA(BU$7:BU$15),0))</f>
        <v/>
      </c>
      <c r="BV37" s="55" t="str">
        <f>IF($B37="","",IF(COUNTIF(BV$16:BV$21,$B37)&gt;0,COUNTA(BV$7:BV$15),0))</f>
        <v/>
      </c>
      <c r="BW37" s="55" t="str">
        <f>IF($B37="","",IF(COUNTIF(BW$16:BW$21,$B37)&gt;0,COUNTA(BW$7:BW$15),0))</f>
        <v/>
      </c>
      <c r="BX37" s="55" t="str">
        <f>IF($B37="","",IF(COUNTIF(BX$16:BX$21,$B37)&gt;0,COUNTA(BX$7:BX$15),0))</f>
        <v/>
      </c>
      <c r="BY37" s="55" t="str">
        <f>IF($B37="","",IF(COUNTIF(BY$16:BY$21,$B37)&gt;0,COUNTA(BY$7:BY$15),0))</f>
        <v/>
      </c>
      <c r="BZ37" s="55" t="str">
        <f>IF($B37="","",IF(COUNTIF(BZ$16:BZ$21,$B37)&gt;0,COUNTA(BZ$7:BZ$15),0))</f>
        <v/>
      </c>
      <c r="CA37" s="55" t="str">
        <f>IF($B37="","",IF(COUNTIF(CA$16:CA$21,$B37)&gt;0,COUNTA(CA$7:CA$15),0))</f>
        <v/>
      </c>
      <c r="CB37" s="55" t="str">
        <f>IF($B37="","",IF(COUNTIF(CB$16:CB$21,$B37)&gt;0,COUNTA(CB$7:CB$15),0))</f>
        <v/>
      </c>
      <c r="CC37" s="55" t="str">
        <f>IF($B37="","",IF(COUNTIF(CC$16:CC$21,$B37)&gt;0,COUNTA(CC$7:CC$15),0))</f>
        <v/>
      </c>
      <c r="CD37" s="55" t="str">
        <f>IF($B37="","",IF(COUNTIF(CD$16:CD$21,$B37)&gt;0,COUNTA(CD$7:CD$15),0))</f>
        <v/>
      </c>
      <c r="CE37" s="55" t="str">
        <f>IF($B37="","",IF(COUNTIF(CE$16:CE$21,$B37)&gt;0,COUNTA(CE$7:CE$15),0))</f>
        <v/>
      </c>
      <c r="CF37" s="55" t="str">
        <f>IF($B37="","",IF(COUNTIF(CF$16:CF$21,$B37)&gt;0,COUNTA(CF$7:CF$15),0))</f>
        <v/>
      </c>
      <c r="CG37" s="55" t="str">
        <f>IF($B37="","",IF(COUNTIF(CG$16:CG$21,$B37)&gt;0,COUNTA(CG$7:CG$15),0))</f>
        <v/>
      </c>
      <c r="CH37" s="55" t="str">
        <f>IF($B37="","",IF(COUNTIF(CH$16:CH$21,$B37)&gt;0,COUNTA(CH$7:CH$15),0))</f>
        <v/>
      </c>
      <c r="CI37" s="55" t="str">
        <f>IF($B37="","",IF(COUNTIF(CI$16:CI$21,$B37)&gt;0,COUNTA(CI$7:CI$15),0))</f>
        <v/>
      </c>
      <c r="CJ37" s="55" t="str">
        <f>IF($B37="","",IF(COUNTIF(CJ$16:CJ$21,$B37)&gt;0,COUNTA(CJ$7:CJ$15),0))</f>
        <v/>
      </c>
      <c r="CK37" s="55" t="str">
        <f>IF($B37="","",IF(COUNTIF(CK$16:CK$21,$B37)&gt;0,COUNTA(CK$7:CK$15),0))</f>
        <v/>
      </c>
      <c r="CL37" s="55" t="str">
        <f>IF($B37="","",IF(COUNTIF(CL$16:CL$21,$B37)&gt;0,COUNTA(CL$7:CL$15),0))</f>
        <v/>
      </c>
      <c r="CM37" s="55" t="str">
        <f>IF($B37="","",IF(COUNTIF(CM$16:CM$21,$B37)&gt;0,COUNTA(CM$7:CM$15),0))</f>
        <v/>
      </c>
      <c r="CN37" s="55" t="str">
        <f>IF($B37="","",IF(COUNTIF(CN$16:CN$21,$B37)&gt;0,COUNTA(CN$7:CN$15),0))</f>
        <v/>
      </c>
      <c r="CO37" s="55" t="str">
        <f>IF($B37="","",IF(COUNTIF(CO$16:CO$21,$B37)&gt;0,COUNTA(CO$7:CO$15),0))</f>
        <v/>
      </c>
      <c r="CP37" s="55" t="str">
        <f>IF($B37="","",IF(COUNTIF(CP$16:CP$21,$B37)&gt;0,COUNTA(CP$7:CP$15),0))</f>
        <v/>
      </c>
      <c r="CQ37" s="55" t="str">
        <f>IF($B37="","",IF(COUNTIF(CQ$16:CQ$21,$B37)&gt;0,COUNTA(CQ$7:CQ$15),0))</f>
        <v/>
      </c>
      <c r="CR37" s="55" t="str">
        <f>IF($B37="","",IF(COUNTIF(CR$16:CR$21,$B37)&gt;0,COUNTA(CR$7:CR$15),0))</f>
        <v/>
      </c>
      <c r="CS37" s="55" t="str">
        <f>IF($B37="","",IF(COUNTIF(CS$16:CS$21,$B37)&gt;0,COUNTA(CS$7:CS$15),0))</f>
        <v/>
      </c>
      <c r="CT37" s="55" t="str">
        <f>IF($B37="","",IF(COUNTIF(CT$16:CT$21,$B37)&gt;0,COUNTA(CT$7:CT$15),0))</f>
        <v/>
      </c>
      <c r="CU37" s="55" t="str">
        <f>IF($B37="","",IF(COUNTIF(CU$16:CU$21,$B37)&gt;0,COUNTA(CU$7:CU$15),0))</f>
        <v/>
      </c>
      <c r="CV37" s="55" t="str">
        <f>IF($B37="","",IF(COUNTIF(CV$16:CV$21,$B37)&gt;0,COUNTA(CV$7:CV$15),0))</f>
        <v/>
      </c>
      <c r="CW37" s="55" t="str">
        <f>IF($B37="","",IF(COUNTIF(CW$16:CW$21,$B37)&gt;0,COUNTA(CW$7:CW$15),0))</f>
        <v/>
      </c>
      <c r="CX37" s="55" t="str">
        <f>IF($B37="","",IF(COUNTIF(CX$16:CX$21,$B37)&gt;0,COUNTA(CX$7:CX$15),0))</f>
        <v/>
      </c>
      <c r="CY37" s="55" t="str">
        <f>IF($B37="","",IF(COUNTIF(CY$16:CY$21,$B37)&gt;0,COUNTA(CY$7:CY$15),0))</f>
        <v/>
      </c>
      <c r="CZ37" s="55" t="str">
        <f>IF($B37="","",IF(COUNTIF(CZ$16:CZ$21,$B37)&gt;0,COUNTA(CZ$7:CZ$15),0))</f>
        <v/>
      </c>
      <c r="DA37" s="55" t="str">
        <f>IF($B37="","",IF(COUNTIF(DA$16:DA$21,$B37)&gt;0,COUNTA(DA$7:DA$15),0))</f>
        <v/>
      </c>
      <c r="DB37" s="55" t="str">
        <f>IF($B37="","",IF(COUNTIF(DB$16:DB$21,$B37)&gt;0,COUNTA(DB$7:DB$15),0))</f>
        <v/>
      </c>
      <c r="DC37" s="55" t="str">
        <f>IF($B37="","",IF(COUNTIF(DC$16:DC$21,$B37)&gt;0,COUNTA(DC$7:DC$15),0))</f>
        <v/>
      </c>
      <c r="DD37" s="55" t="str">
        <f>IF($B37="","",IF(COUNTIF(DD$16:DD$21,$B37)&gt;0,COUNTA(DD$7:DD$15),0))</f>
        <v/>
      </c>
      <c r="DE37" s="58" t="str">
        <f>IF($B37="","",IF(COUNTIF(DE$16:DE$21,$B37)&gt;0,COUNTA(DE$7:DE$15),0))</f>
        <v/>
      </c>
    </row>
    <row r="38" spans="2:109" ht="17" thickBot="1" x14ac:dyDescent="0.25">
      <c r="B38" s="85" t="str">
        <f>IFERROR(INDEX(_xlfn._xlws.FILTER(Ressourcer!$B$1:$X$1,_xlfn.BYCOL(Ressourcer!$B$17:$X$20,_xlfn.LAMBDA(_xlpm.c,COUNTIF(_xlpm.c,"&lt;&gt;" )&gt;0))),ROWS($B$2:B16)),"")</f>
        <v/>
      </c>
      <c r="C38" s="86" t="str">
        <f>IFERROR(INDEX(_xlfn.MAP(_xlfn._xlws.FILTER(COLUMN(Ressourcer!$B$1:$X$1),_xlfn.BYCOL(Ressourcer!$B$17:$X$20,_xlfn.LAMBDA(_xlpm.c,COUNTIF(_xlpm.c,"&lt;&gt;" )&gt;0))),_xlfn.LAMBDA(_xlpm.col,SUM(INDEX(Ressourcer!$B$17:$X$20,,_xlpm.col-COLUMN(Ressourcer!$B$17:$X$20)+1)))),ROWS($B$2:B16))/2,"")</f>
        <v/>
      </c>
      <c r="D38" s="106" t="str">
        <f>IF(SUM(E38:DE38)=0,"",SUM(E38:DE38))</f>
        <v/>
      </c>
      <c r="E38" s="59" t="str">
        <f>IF($B38="","",IF(COUNTIF(E$16:E$21,$B38)&gt;0,COUNTA(E$7:E$15),0))</f>
        <v/>
      </c>
      <c r="F38" s="60" t="str">
        <f>IF($B38="","",IF(COUNTIF(F$16:F$21,$B38)&gt;0,COUNTA(F$7:F$15),0))</f>
        <v/>
      </c>
      <c r="G38" s="60" t="str">
        <f>IF($B38="","",IF(COUNTIF(G$16:G$21,$B38)&gt;0,COUNTA(G$7:G$15),0))</f>
        <v/>
      </c>
      <c r="H38" s="60" t="str">
        <f>IF($B38="","",IF(COUNTIF(H$16:H$21,$B38)&gt;0,COUNTA(H$7:H$15),0))</f>
        <v/>
      </c>
      <c r="I38" s="60" t="str">
        <f>IF($B38="","",IF(COUNTIF(I$16:I$21,$B38)&gt;0,COUNTA(I$7:I$15),0))</f>
        <v/>
      </c>
      <c r="J38" s="60" t="str">
        <f>IF($B38="","",IF(COUNTIF(J$16:J$21,$B38)&gt;0,COUNTA(J$7:J$15),0))</f>
        <v/>
      </c>
      <c r="K38" s="60" t="str">
        <f>IF($B38="","",IF(COUNTIF(K$16:K$21,$B38)&gt;0,COUNTA(K$7:K$15),0))</f>
        <v/>
      </c>
      <c r="L38" s="60" t="str">
        <f>IF($B38="","",IF(COUNTIF(L$16:L$21,$B38)&gt;0,COUNTA(L$7:L$15),0))</f>
        <v/>
      </c>
      <c r="M38" s="60" t="str">
        <f>IF($B38="","",IF(COUNTIF(M$16:M$21,$B38)&gt;0,COUNTA(M$7:M$15),0))</f>
        <v/>
      </c>
      <c r="N38" s="60" t="str">
        <f>IF($B38="","",IF(COUNTIF(N$16:N$21,$B38)&gt;0,COUNTA(N$7:N$15),0))</f>
        <v/>
      </c>
      <c r="O38" s="60" t="str">
        <f>IF($B38="","",IF(COUNTIF(O$16:O$21,$B38)&gt;0,COUNTA(O$7:O$15),0))</f>
        <v/>
      </c>
      <c r="P38" s="60" t="str">
        <f>IF($B38="","",IF(COUNTIF(P$16:P$21,$B38)&gt;0,COUNTA(P$7:P$15),0))</f>
        <v/>
      </c>
      <c r="Q38" s="60" t="str">
        <f>IF($B38="","",IF(COUNTIF(Q$16:Q$21,$B38)&gt;0,COUNTA(Q$7:Q$15),0))</f>
        <v/>
      </c>
      <c r="R38" s="60" t="str">
        <f>IF($B38="","",IF(COUNTIF(R$16:R$21,$B38)&gt;0,COUNTA(R$7:R$15),0))</f>
        <v/>
      </c>
      <c r="S38" s="60" t="str">
        <f>IF($B38="","",IF(COUNTIF(S$16:S$21,$B38)&gt;0,COUNTA(S$7:S$15),0))</f>
        <v/>
      </c>
      <c r="T38" s="60" t="str">
        <f>IF($B38="","",IF(COUNTIF(T$16:T$21,$B38)&gt;0,COUNTA(T$7:T$15),0))</f>
        <v/>
      </c>
      <c r="U38" s="60" t="str">
        <f>IF($B38="","",IF(COUNTIF(U$16:U$21,$B38)&gt;0,COUNTA(U$7:U$15),0))</f>
        <v/>
      </c>
      <c r="V38" s="60" t="str">
        <f>IF($B38="","",IF(COUNTIF(V$16:V$21,$B38)&gt;0,COUNTA(V$7:V$15),0))</f>
        <v/>
      </c>
      <c r="W38" s="60" t="str">
        <f>IF($B38="","",IF(COUNTIF(W$16:W$21,$B38)&gt;0,COUNTA(W$7:W$15),0))</f>
        <v/>
      </c>
      <c r="X38" s="60" t="str">
        <f>IF($B38="","",IF(COUNTIF(X$16:X$21,$B38)&gt;0,COUNTA(X$7:X$15),0))</f>
        <v/>
      </c>
      <c r="Y38" s="60" t="str">
        <f>IF($B38="","",IF(COUNTIF(Y$16:Y$21,$B38)&gt;0,COUNTA(Y$7:Y$15),0))</f>
        <v/>
      </c>
      <c r="Z38" s="60" t="str">
        <f>IF($B38="","",IF(COUNTIF(Z$16:Z$21,$B38)&gt;0,COUNTA(Z$7:Z$15),0))</f>
        <v/>
      </c>
      <c r="AA38" s="60" t="str">
        <f>IF($B38="","",IF(COUNTIF(AA$16:AA$21,$B38)&gt;0,COUNTA(AA$7:AA$15),0))</f>
        <v/>
      </c>
      <c r="AB38" s="60" t="str">
        <f>IF($B38="","",IF(COUNTIF(AB$16:AB$21,$B38)&gt;0,COUNTA(AB$7:AB$15),0))</f>
        <v/>
      </c>
      <c r="AC38" s="60" t="str">
        <f>IF($B38="","",IF(COUNTIF(AC$16:AC$21,$B38)&gt;0,COUNTA(AC$7:AC$15),0))</f>
        <v/>
      </c>
      <c r="AD38" s="60" t="str">
        <f>IF($B38="","",IF(COUNTIF(AD$16:AD$21,$B38)&gt;0,COUNTA(AD$7:AD$15),0))</f>
        <v/>
      </c>
      <c r="AE38" s="60" t="str">
        <f>IF($B38="","",IF(COUNTIF(AE$16:AE$21,$B38)&gt;0,COUNTA(AE$7:AE$15),0))</f>
        <v/>
      </c>
      <c r="AF38" s="60" t="str">
        <f>IF($B38="","",IF(COUNTIF(AF$16:AF$21,$B38)&gt;0,COUNTA(AF$7:AF$15),0))</f>
        <v/>
      </c>
      <c r="AG38" s="60" t="str">
        <f>IF($B38="","",IF(COUNTIF(AG$16:AG$21,$B38)&gt;0,COUNTA(AG$7:AG$15),0))</f>
        <v/>
      </c>
      <c r="AH38" s="60" t="str">
        <f>IF($B38="","",IF(COUNTIF(AH$16:AH$21,$B38)&gt;0,COUNTA(AH$7:AH$15),0))</f>
        <v/>
      </c>
      <c r="AI38" s="60" t="str">
        <f>IF($B38="","",IF(COUNTIF(AI$16:AI$21,$B38)&gt;0,COUNTA(AI$7:AI$15),0))</f>
        <v/>
      </c>
      <c r="AJ38" s="60" t="str">
        <f>IF($B38="","",IF(COUNTIF(AJ$16:AJ$21,$B38)&gt;0,COUNTA(AJ$7:AJ$15),0))</f>
        <v/>
      </c>
      <c r="AK38" s="60" t="str">
        <f>IF($B38="","",IF(COUNTIF(AK$16:AK$21,$B38)&gt;0,COUNTA(AK$7:AK$15),0))</f>
        <v/>
      </c>
      <c r="AL38" s="60" t="str">
        <f>IF($B38="","",IF(COUNTIF(AL$16:AL$21,$B38)&gt;0,COUNTA(AL$7:AL$15),0))</f>
        <v/>
      </c>
      <c r="AM38" s="60" t="str">
        <f>IF($B38="","",IF(COUNTIF(AM$16:AM$21,$B38)&gt;0,COUNTA(AM$7:AM$15),0))</f>
        <v/>
      </c>
      <c r="AN38" s="60" t="str">
        <f>IF($B38="","",IF(COUNTIF(AN$16:AN$21,$B38)&gt;0,COUNTA(AN$7:AN$15),0))</f>
        <v/>
      </c>
      <c r="AO38" s="60" t="str">
        <f>IF($B38="","",IF(COUNTIF(AO$16:AO$21,$B38)&gt;0,COUNTA(AO$7:AO$15),0))</f>
        <v/>
      </c>
      <c r="AP38" s="60" t="str">
        <f>IF($B38="","",IF(COUNTIF(AP$16:AP$21,$B38)&gt;0,COUNTA(AP$7:AP$15),0))</f>
        <v/>
      </c>
      <c r="AQ38" s="60" t="str">
        <f>IF($B38="","",IF(COUNTIF(AQ$16:AQ$21,$B38)&gt;0,COUNTA(AQ$7:AQ$15),0))</f>
        <v/>
      </c>
      <c r="AR38" s="60" t="str">
        <f>IF($B38="","",IF(COUNTIF(AR$16:AR$21,$B38)&gt;0,COUNTA(AR$7:AR$15),0))</f>
        <v/>
      </c>
      <c r="AS38" s="60" t="str">
        <f>IF($B38="","",IF(COUNTIF(AS$16:AS$21,$B38)&gt;0,COUNTA(AS$7:AS$15),0))</f>
        <v/>
      </c>
      <c r="AT38" s="60" t="str">
        <f>IF($B38="","",IF(COUNTIF(AT$16:AT$21,$B38)&gt;0,COUNTA(AT$7:AT$15),0))</f>
        <v/>
      </c>
      <c r="AU38" s="60" t="str">
        <f>IF($B38="","",IF(COUNTIF(AU$16:AU$21,$B38)&gt;0,COUNTA(AU$7:AU$15),0))</f>
        <v/>
      </c>
      <c r="AV38" s="60" t="str">
        <f>IF($B38="","",IF(COUNTIF(AV$16:AV$21,$B38)&gt;0,COUNTA(AV$7:AV$15),0))</f>
        <v/>
      </c>
      <c r="AW38" s="60" t="str">
        <f>IF($B38="","",IF(COUNTIF(AW$16:AW$21,$B38)&gt;0,COUNTA(AW$7:AW$15),0))</f>
        <v/>
      </c>
      <c r="AX38" s="60" t="str">
        <f>IF($B38="","",IF(COUNTIF(AX$16:AX$21,$B38)&gt;0,COUNTA(AX$7:AX$15),0))</f>
        <v/>
      </c>
      <c r="AY38" s="60" t="str">
        <f>IF($B38="","",IF(COUNTIF(AY$16:AY$21,$B38)&gt;0,COUNTA(AY$7:AY$15),0))</f>
        <v/>
      </c>
      <c r="AZ38" s="60" t="str">
        <f>IF($B38="","",IF(COUNTIF(AZ$16:AZ$21,$B38)&gt;0,COUNTA(AZ$7:AZ$15),0))</f>
        <v/>
      </c>
      <c r="BA38" s="60" t="str">
        <f>IF($B38="","",IF(COUNTIF(BA$16:BA$21,$B38)&gt;0,COUNTA(BA$7:BA$15),0))</f>
        <v/>
      </c>
      <c r="BB38" s="60" t="str">
        <f>IF($B38="","",IF(COUNTIF(BB$16:BB$21,$B38)&gt;0,COUNTA(BB$7:BB$15),0))</f>
        <v/>
      </c>
      <c r="BC38" s="60" t="str">
        <f>IF($B38="","",IF(COUNTIF(BC$16:BC$21,$B38)&gt;0,COUNTA(BC$7:BC$15),0))</f>
        <v/>
      </c>
      <c r="BD38" s="60" t="str">
        <f>IF($B38="","",IF(COUNTIF(BD$16:BD$21,$B38)&gt;0,COUNTA(BD$7:BD$15),0))</f>
        <v/>
      </c>
      <c r="BE38" s="60" t="str">
        <f>IF($B38="","",IF(COUNTIF(BE$16:BE$21,$B38)&gt;0,COUNTA(BE$7:BE$15),0))</f>
        <v/>
      </c>
      <c r="BF38" s="60" t="str">
        <f>IF($B38="","",IF(COUNTIF(BF$16:BF$21,$B38)&gt;0,COUNTA(BF$7:BF$15),0))</f>
        <v/>
      </c>
      <c r="BG38" s="60" t="str">
        <f>IF($B38="","",IF(COUNTIF(BG$16:BG$21,$B38)&gt;0,COUNTA(BG$7:BG$15),0))</f>
        <v/>
      </c>
      <c r="BH38" s="60" t="str">
        <f>IF($B38="","",IF(COUNTIF(BH$16:BH$21,$B38)&gt;0,COUNTA(BH$7:BH$15),0))</f>
        <v/>
      </c>
      <c r="BI38" s="60" t="str">
        <f>IF($B38="","",IF(COUNTIF(BI$16:BI$21,$B38)&gt;0,COUNTA(BI$7:BI$15),0))</f>
        <v/>
      </c>
      <c r="BJ38" s="60" t="str">
        <f>IF($B38="","",IF(COUNTIF(BJ$16:BJ$21,$B38)&gt;0,COUNTA(BJ$7:BJ$15),0))</f>
        <v/>
      </c>
      <c r="BK38" s="60" t="str">
        <f>IF($B38="","",IF(COUNTIF(BK$16:BK$21,$B38)&gt;0,COUNTA(BK$7:BK$15),0))</f>
        <v/>
      </c>
      <c r="BL38" s="60" t="str">
        <f>IF($B38="","",IF(COUNTIF(BL$16:BL$21,$B38)&gt;0,COUNTA(BL$7:BL$15),0))</f>
        <v/>
      </c>
      <c r="BM38" s="60" t="str">
        <f>IF($B38="","",IF(COUNTIF(BM$16:BM$21,$B38)&gt;0,COUNTA(BM$7:BM$15),0))</f>
        <v/>
      </c>
      <c r="BN38" s="60" t="str">
        <f>IF($B38="","",IF(COUNTIF(BN$16:BN$21,$B38)&gt;0,COUNTA(BN$7:BN$15),0))</f>
        <v/>
      </c>
      <c r="BO38" s="60" t="str">
        <f>IF($B38="","",IF(COUNTIF(BO$16:BO$21,$B38)&gt;0,COUNTA(BO$7:BO$15),0))</f>
        <v/>
      </c>
      <c r="BP38" s="60" t="str">
        <f>IF($B38="","",IF(COUNTIF(BP$16:BP$21,$B38)&gt;0,COUNTA(BP$7:BP$15),0))</f>
        <v/>
      </c>
      <c r="BQ38" s="60" t="str">
        <f>IF($B38="","",IF(COUNTIF(BQ$16:BQ$21,$B38)&gt;0,COUNTA(BQ$7:BQ$15),0))</f>
        <v/>
      </c>
      <c r="BR38" s="60" t="str">
        <f>IF($B38="","",IF(COUNTIF(BR$16:BR$21,$B38)&gt;0,COUNTA(BR$7:BR$15),0))</f>
        <v/>
      </c>
      <c r="BS38" s="60" t="str">
        <f>IF($B38="","",IF(COUNTIF(BS$16:BS$21,$B38)&gt;0,COUNTA(BS$7:BS$15),0))</f>
        <v/>
      </c>
      <c r="BT38" s="60" t="str">
        <f>IF($B38="","",IF(COUNTIF(BT$16:BT$21,$B38)&gt;0,COUNTA(BT$7:BT$15),0))</f>
        <v/>
      </c>
      <c r="BU38" s="60" t="str">
        <f>IF($B38="","",IF(COUNTIF(BU$16:BU$21,$B38)&gt;0,COUNTA(BU$7:BU$15),0))</f>
        <v/>
      </c>
      <c r="BV38" s="60" t="str">
        <f>IF($B38="","",IF(COUNTIF(BV$16:BV$21,$B38)&gt;0,COUNTA(BV$7:BV$15),0))</f>
        <v/>
      </c>
      <c r="BW38" s="60" t="str">
        <f>IF($B38="","",IF(COUNTIF(BW$16:BW$21,$B38)&gt;0,COUNTA(BW$7:BW$15),0))</f>
        <v/>
      </c>
      <c r="BX38" s="60" t="str">
        <f>IF($B38="","",IF(COUNTIF(BX$16:BX$21,$B38)&gt;0,COUNTA(BX$7:BX$15),0))</f>
        <v/>
      </c>
      <c r="BY38" s="60" t="str">
        <f>IF($B38="","",IF(COUNTIF(BY$16:BY$21,$B38)&gt;0,COUNTA(BY$7:BY$15),0))</f>
        <v/>
      </c>
      <c r="BZ38" s="60" t="str">
        <f>IF($B38="","",IF(COUNTIF(BZ$16:BZ$21,$B38)&gt;0,COUNTA(BZ$7:BZ$15),0))</f>
        <v/>
      </c>
      <c r="CA38" s="60" t="str">
        <f>IF($B38="","",IF(COUNTIF(CA$16:CA$21,$B38)&gt;0,COUNTA(CA$7:CA$15),0))</f>
        <v/>
      </c>
      <c r="CB38" s="60" t="str">
        <f>IF($B38="","",IF(COUNTIF(CB$16:CB$21,$B38)&gt;0,COUNTA(CB$7:CB$15),0))</f>
        <v/>
      </c>
      <c r="CC38" s="60" t="str">
        <f>IF($B38="","",IF(COUNTIF(CC$16:CC$21,$B38)&gt;0,COUNTA(CC$7:CC$15),0))</f>
        <v/>
      </c>
      <c r="CD38" s="60" t="str">
        <f>IF($B38="","",IF(COUNTIF(CD$16:CD$21,$B38)&gt;0,COUNTA(CD$7:CD$15),0))</f>
        <v/>
      </c>
      <c r="CE38" s="60" t="str">
        <f>IF($B38="","",IF(COUNTIF(CE$16:CE$21,$B38)&gt;0,COUNTA(CE$7:CE$15),0))</f>
        <v/>
      </c>
      <c r="CF38" s="60" t="str">
        <f>IF($B38="","",IF(COUNTIF(CF$16:CF$21,$B38)&gt;0,COUNTA(CF$7:CF$15),0))</f>
        <v/>
      </c>
      <c r="CG38" s="60" t="str">
        <f>IF($B38="","",IF(COUNTIF(CG$16:CG$21,$B38)&gt;0,COUNTA(CG$7:CG$15),0))</f>
        <v/>
      </c>
      <c r="CH38" s="60" t="str">
        <f>IF($B38="","",IF(COUNTIF(CH$16:CH$21,$B38)&gt;0,COUNTA(CH$7:CH$15),0))</f>
        <v/>
      </c>
      <c r="CI38" s="60" t="str">
        <f>IF($B38="","",IF(COUNTIF(CI$16:CI$21,$B38)&gt;0,COUNTA(CI$7:CI$15),0))</f>
        <v/>
      </c>
      <c r="CJ38" s="60" t="str">
        <f>IF($B38="","",IF(COUNTIF(CJ$16:CJ$21,$B38)&gt;0,COUNTA(CJ$7:CJ$15),0))</f>
        <v/>
      </c>
      <c r="CK38" s="60" t="str">
        <f>IF($B38="","",IF(COUNTIF(CK$16:CK$21,$B38)&gt;0,COUNTA(CK$7:CK$15),0))</f>
        <v/>
      </c>
      <c r="CL38" s="60" t="str">
        <f>IF($B38="","",IF(COUNTIF(CL$16:CL$21,$B38)&gt;0,COUNTA(CL$7:CL$15),0))</f>
        <v/>
      </c>
      <c r="CM38" s="60" t="str">
        <f>IF($B38="","",IF(COUNTIF(CM$16:CM$21,$B38)&gt;0,COUNTA(CM$7:CM$15),0))</f>
        <v/>
      </c>
      <c r="CN38" s="60" t="str">
        <f>IF($B38="","",IF(COUNTIF(CN$16:CN$21,$B38)&gt;0,COUNTA(CN$7:CN$15),0))</f>
        <v/>
      </c>
      <c r="CO38" s="60" t="str">
        <f>IF($B38="","",IF(COUNTIF(CO$16:CO$21,$B38)&gt;0,COUNTA(CO$7:CO$15),0))</f>
        <v/>
      </c>
      <c r="CP38" s="60" t="str">
        <f>IF($B38="","",IF(COUNTIF(CP$16:CP$21,$B38)&gt;0,COUNTA(CP$7:CP$15),0))</f>
        <v/>
      </c>
      <c r="CQ38" s="60" t="str">
        <f>IF($B38="","",IF(COUNTIF(CQ$16:CQ$21,$B38)&gt;0,COUNTA(CQ$7:CQ$15),0))</f>
        <v/>
      </c>
      <c r="CR38" s="60" t="str">
        <f>IF($B38="","",IF(COUNTIF(CR$16:CR$21,$B38)&gt;0,COUNTA(CR$7:CR$15),0))</f>
        <v/>
      </c>
      <c r="CS38" s="60" t="str">
        <f>IF($B38="","",IF(COUNTIF(CS$16:CS$21,$B38)&gt;0,COUNTA(CS$7:CS$15),0))</f>
        <v/>
      </c>
      <c r="CT38" s="60" t="str">
        <f>IF($B38="","",IF(COUNTIF(CT$16:CT$21,$B38)&gt;0,COUNTA(CT$7:CT$15),0))</f>
        <v/>
      </c>
      <c r="CU38" s="60" t="str">
        <f>IF($B38="","",IF(COUNTIF(CU$16:CU$21,$B38)&gt;0,COUNTA(CU$7:CU$15),0))</f>
        <v/>
      </c>
      <c r="CV38" s="60" t="str">
        <f>IF($B38="","",IF(COUNTIF(CV$16:CV$21,$B38)&gt;0,COUNTA(CV$7:CV$15),0))</f>
        <v/>
      </c>
      <c r="CW38" s="60" t="str">
        <f>IF($B38="","",IF(COUNTIF(CW$16:CW$21,$B38)&gt;0,COUNTA(CW$7:CW$15),0))</f>
        <v/>
      </c>
      <c r="CX38" s="60" t="str">
        <f>IF($B38="","",IF(COUNTIF(CX$16:CX$21,$B38)&gt;0,COUNTA(CX$7:CX$15),0))</f>
        <v/>
      </c>
      <c r="CY38" s="60" t="str">
        <f>IF($B38="","",IF(COUNTIF(CY$16:CY$21,$B38)&gt;0,COUNTA(CY$7:CY$15),0))</f>
        <v/>
      </c>
      <c r="CZ38" s="60" t="str">
        <f>IF($B38="","",IF(COUNTIF(CZ$16:CZ$21,$B38)&gt;0,COUNTA(CZ$7:CZ$15),0))</f>
        <v/>
      </c>
      <c r="DA38" s="60" t="str">
        <f>IF($B38="","",IF(COUNTIF(DA$16:DA$21,$B38)&gt;0,COUNTA(DA$7:DA$15),0))</f>
        <v/>
      </c>
      <c r="DB38" s="60" t="str">
        <f>IF($B38="","",IF(COUNTIF(DB$16:DB$21,$B38)&gt;0,COUNTA(DB$7:DB$15),0))</f>
        <v/>
      </c>
      <c r="DC38" s="60" t="str">
        <f>IF($B38="","",IF(COUNTIF(DC$16:DC$21,$B38)&gt;0,COUNTA(DC$7:DC$15),0))</f>
        <v/>
      </c>
      <c r="DD38" s="60" t="str">
        <f>IF($B38="","",IF(COUNTIF(DD$16:DD$21,$B38)&gt;0,COUNTA(DD$7:DD$15),0))</f>
        <v/>
      </c>
      <c r="DE38" s="61" t="str">
        <f>IF($B38="","",IF(COUNTIF(DE$16:DE$21,$B38)&gt;0,COUNTA(DE$7:DE$15),0))</f>
        <v/>
      </c>
    </row>
    <row r="39" spans="2:109" ht="17" thickBot="1" x14ac:dyDescent="0.25">
      <c r="C39" s="87">
        <f>SUM(C24:C38)</f>
        <v>340</v>
      </c>
      <c r="D39" s="88">
        <f>SUM(D24:D38)</f>
        <v>0</v>
      </c>
      <c r="E39" s="139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</row>
    <row r="40" spans="2:109" x14ac:dyDescent="0.2">
      <c r="E40" s="139"/>
      <c r="F40" s="140"/>
      <c r="G40" s="141"/>
      <c r="H40" s="142"/>
      <c r="I40" s="142"/>
      <c r="J40" s="142"/>
      <c r="K40" s="142"/>
      <c r="L40" s="142"/>
      <c r="M40" s="142"/>
      <c r="N40" s="142"/>
      <c r="O40" s="142"/>
      <c r="P40" s="140"/>
    </row>
  </sheetData>
  <mergeCells count="57">
    <mergeCell ref="B17:D17"/>
    <mergeCell ref="B18:D18"/>
    <mergeCell ref="B19:D19"/>
    <mergeCell ref="B20:D20"/>
    <mergeCell ref="B21:D21"/>
    <mergeCell ref="B9:D9"/>
    <mergeCell ref="B10:D10"/>
    <mergeCell ref="B13:D13"/>
    <mergeCell ref="B14:D14"/>
    <mergeCell ref="B15:D15"/>
    <mergeCell ref="B16:D16"/>
    <mergeCell ref="CL3:CP3"/>
    <mergeCell ref="CQ3:CU3"/>
    <mergeCell ref="CV3:CZ3"/>
    <mergeCell ref="DA3:DE3"/>
    <mergeCell ref="B6:D6"/>
    <mergeCell ref="B7:D7"/>
    <mergeCell ref="BH3:BL3"/>
    <mergeCell ref="BM3:BQ3"/>
    <mergeCell ref="BR3:BV3"/>
    <mergeCell ref="BW3:CA3"/>
    <mergeCell ref="CB3:CF3"/>
    <mergeCell ref="CG3:CK3"/>
    <mergeCell ref="AD3:AH3"/>
    <mergeCell ref="AI3:AM3"/>
    <mergeCell ref="AN3:AR3"/>
    <mergeCell ref="AS3:AW3"/>
    <mergeCell ref="AX3:BB3"/>
    <mergeCell ref="BC3:BG3"/>
    <mergeCell ref="CL2:CP2"/>
    <mergeCell ref="CQ2:CU2"/>
    <mergeCell ref="CV2:CZ2"/>
    <mergeCell ref="DA2:DE2"/>
    <mergeCell ref="B3:D5"/>
    <mergeCell ref="E3:I3"/>
    <mergeCell ref="J3:N3"/>
    <mergeCell ref="O3:S3"/>
    <mergeCell ref="T3:X3"/>
    <mergeCell ref="Y3:AC3"/>
    <mergeCell ref="BH2:BL2"/>
    <mergeCell ref="BM2:BQ2"/>
    <mergeCell ref="BR2:BV2"/>
    <mergeCell ref="BW2:CA2"/>
    <mergeCell ref="CB2:CF2"/>
    <mergeCell ref="CG2:CK2"/>
    <mergeCell ref="AD2:AH2"/>
    <mergeCell ref="AI2:AM2"/>
    <mergeCell ref="AN2:AR2"/>
    <mergeCell ref="AS2:AW2"/>
    <mergeCell ref="AX2:BB2"/>
    <mergeCell ref="BC2:BG2"/>
    <mergeCell ref="B2:D2"/>
    <mergeCell ref="E2:I2"/>
    <mergeCell ref="J2:N2"/>
    <mergeCell ref="O2:S2"/>
    <mergeCell ref="T2:X2"/>
    <mergeCell ref="Y2:AC2"/>
  </mergeCells>
  <conditionalFormatting sqref="E6:BV6">
    <cfRule type="containsText" dxfId="592" priority="56" operator="containsText" text="BLOCKED">
      <formula>NOT(ISERROR(SEARCH("BLOCKED",E6)))</formula>
    </cfRule>
  </conditionalFormatting>
  <conditionalFormatting sqref="BX6:CO6 CQ6:DE6">
    <cfRule type="containsText" dxfId="591" priority="57" operator="containsText" text="BLOCKED">
      <formula>NOT(ISERROR(SEARCH("BLOCKED",BX6)))</formula>
    </cfRule>
  </conditionalFormatting>
  <conditionalFormatting sqref="F11:AJ11 AL11:BD11 BF11:BJ11 BM11:DE11">
    <cfRule type="containsText" dxfId="590" priority="46" operator="containsText" text="BLOCKED">
      <formula>NOT(ISERROR(SEARCH("BLOCKED",F11)))</formula>
    </cfRule>
  </conditionalFormatting>
  <conditionalFormatting sqref="F11:AJ11 AL11:BD11 BF11:BJ11 BM11:DE11">
    <cfRule type="containsText" dxfId="589" priority="47" operator="containsText" text="Eksamen">
      <formula>NOT(ISERROR(SEARCH("Eksamen",F11)))</formula>
    </cfRule>
    <cfRule type="containsText" dxfId="588" priority="48" operator="containsText" text="Øvelser">
      <formula>NOT(ISERROR(SEARCH("Øvelser",F11)))</formula>
    </cfRule>
    <cfRule type="containsText" dxfId="587" priority="49" operator="containsText" text="FORET_ARK">
      <formula>NOT(ISERROR(SEARCH("FORET_ARK",F11)))</formula>
    </cfRule>
    <cfRule type="containsText" dxfId="586" priority="50" operator="containsText" text="DATA_ARK">
      <formula>NOT(ISERROR(SEARCH("DATA_ARK",F11)))</formula>
    </cfRule>
    <cfRule type="containsText" dxfId="585" priority="51" operator="containsText" text="DRIFT ANALYSE">
      <formula>NOT(ISERROR(SEARCH("DRIFT ANALYSE",F11)))</formula>
    </cfRule>
    <cfRule type="containsText" dxfId="584" priority="52" operator="containsText" text="PROJ_STYR">
      <formula>NOT(ISERROR(SEARCH("PROJ_STYR",F11)))</formula>
    </cfRule>
    <cfRule type="containsText" dxfId="583" priority="53" operator="containsText" text="Coaching">
      <formula>NOT(ISERROR(SEARCH("Coaching",F11)))</formula>
    </cfRule>
    <cfRule type="containsText" dxfId="582" priority="54" operator="containsText" text="CasePræs">
      <formula>NOT(ISERROR(SEARCH("CasePræs",F11)))</formula>
    </cfRule>
    <cfRule type="containsText" dxfId="581" priority="55" operator="containsText" text="Feedback">
      <formula>NOT(ISERROR(SEARCH("Feedback",F11)))</formula>
    </cfRule>
  </conditionalFormatting>
  <conditionalFormatting sqref="F11:AJ11 AL11:BD11 BF11:BJ11 BM11:DE11">
    <cfRule type="expression" dxfId="580" priority="45">
      <formula>INDIRECT("R5C" &amp; COLUMN(),FALSE)="BLOCKED"</formula>
    </cfRule>
  </conditionalFormatting>
  <conditionalFormatting sqref="E11">
    <cfRule type="containsText" dxfId="579" priority="35" operator="containsText" text="BLOCKED">
      <formula>NOT(ISERROR(SEARCH("BLOCKED",E11)))</formula>
    </cfRule>
  </conditionalFormatting>
  <conditionalFormatting sqref="E11">
    <cfRule type="containsText" dxfId="578" priority="36" operator="containsText" text="Eksamen">
      <formula>NOT(ISERROR(SEARCH("Eksamen",E11)))</formula>
    </cfRule>
    <cfRule type="containsText" dxfId="577" priority="37" operator="containsText" text="Øvelser">
      <formula>NOT(ISERROR(SEARCH("Øvelser",E11)))</formula>
    </cfRule>
    <cfRule type="containsText" dxfId="576" priority="38" operator="containsText" text="FORET_ARK">
      <formula>NOT(ISERROR(SEARCH("FORET_ARK",E11)))</formula>
    </cfRule>
    <cfRule type="containsText" dxfId="575" priority="39" operator="containsText" text="DATA_ARK">
      <formula>NOT(ISERROR(SEARCH("DATA_ARK",E11)))</formula>
    </cfRule>
    <cfRule type="containsText" dxfId="574" priority="40" operator="containsText" text="DRIFT ANALYSE">
      <formula>NOT(ISERROR(SEARCH("DRIFT ANALYSE",E11)))</formula>
    </cfRule>
    <cfRule type="containsText" dxfId="573" priority="41" operator="containsText" text="PROJ_STYR">
      <formula>NOT(ISERROR(SEARCH("PROJ_STYR",E11)))</formula>
    </cfRule>
    <cfRule type="containsText" dxfId="572" priority="42" operator="containsText" text="Coaching">
      <formula>NOT(ISERROR(SEARCH("Coaching",E11)))</formula>
    </cfRule>
    <cfRule type="containsText" dxfId="571" priority="43" operator="containsText" text="CasePræs">
      <formula>NOT(ISERROR(SEARCH("CasePræs",E11)))</formula>
    </cfRule>
    <cfRule type="containsText" dxfId="570" priority="44" operator="containsText" text="Feedback">
      <formula>NOT(ISERROR(SEARCH("Feedback",E11)))</formula>
    </cfRule>
  </conditionalFormatting>
  <conditionalFormatting sqref="E11">
    <cfRule type="expression" dxfId="569" priority="34">
      <formula>INDIRECT("R5C" &amp; COLUMN(),FALSE)="BLOCKED"</formula>
    </cfRule>
  </conditionalFormatting>
  <conditionalFormatting sqref="AK11">
    <cfRule type="containsText" dxfId="568" priority="24" operator="containsText" text="BLOCKED">
      <formula>NOT(ISERROR(SEARCH("BLOCKED",AK11)))</formula>
    </cfRule>
  </conditionalFormatting>
  <conditionalFormatting sqref="AK11">
    <cfRule type="containsText" dxfId="567" priority="25" operator="containsText" text="Eksamen">
      <formula>NOT(ISERROR(SEARCH("Eksamen",AK11)))</formula>
    </cfRule>
    <cfRule type="containsText" dxfId="566" priority="26" operator="containsText" text="Øvelser">
      <formula>NOT(ISERROR(SEARCH("Øvelser",AK11)))</formula>
    </cfRule>
    <cfRule type="containsText" dxfId="565" priority="27" operator="containsText" text="FORET_ARK">
      <formula>NOT(ISERROR(SEARCH("FORET_ARK",AK11)))</formula>
    </cfRule>
    <cfRule type="containsText" dxfId="564" priority="28" operator="containsText" text="DATA_ARK">
      <formula>NOT(ISERROR(SEARCH("DATA_ARK",AK11)))</formula>
    </cfRule>
    <cfRule type="containsText" dxfId="563" priority="29" operator="containsText" text="DRIFT ANALYSE">
      <formula>NOT(ISERROR(SEARCH("DRIFT ANALYSE",AK11)))</formula>
    </cfRule>
    <cfRule type="containsText" dxfId="562" priority="30" operator="containsText" text="PROJ_STYR">
      <formula>NOT(ISERROR(SEARCH("PROJ_STYR",AK11)))</formula>
    </cfRule>
    <cfRule type="containsText" dxfId="561" priority="31" operator="containsText" text="Coaching">
      <formula>NOT(ISERROR(SEARCH("Coaching",AK11)))</formula>
    </cfRule>
    <cfRule type="containsText" dxfId="560" priority="32" operator="containsText" text="CasePræs">
      <formula>NOT(ISERROR(SEARCH("CasePræs",AK11)))</formula>
    </cfRule>
    <cfRule type="containsText" dxfId="559" priority="33" operator="containsText" text="Feedback">
      <formula>NOT(ISERROR(SEARCH("Feedback",AK11)))</formula>
    </cfRule>
  </conditionalFormatting>
  <conditionalFormatting sqref="AK11">
    <cfRule type="expression" dxfId="558" priority="23">
      <formula>INDIRECT("R5C" &amp; COLUMN(),FALSE)="BLOCKED"</formula>
    </cfRule>
  </conditionalFormatting>
  <conditionalFormatting sqref="BE11">
    <cfRule type="containsText" dxfId="557" priority="13" operator="containsText" text="BLOCKED">
      <formula>NOT(ISERROR(SEARCH("BLOCKED",BE11)))</formula>
    </cfRule>
  </conditionalFormatting>
  <conditionalFormatting sqref="BE11">
    <cfRule type="containsText" dxfId="556" priority="14" operator="containsText" text="Eksamen">
      <formula>NOT(ISERROR(SEARCH("Eksamen",BE11)))</formula>
    </cfRule>
    <cfRule type="containsText" dxfId="555" priority="15" operator="containsText" text="Øvelser">
      <formula>NOT(ISERROR(SEARCH("Øvelser",BE11)))</formula>
    </cfRule>
    <cfRule type="containsText" dxfId="554" priority="16" operator="containsText" text="FORET_ARK">
      <formula>NOT(ISERROR(SEARCH("FORET_ARK",BE11)))</formula>
    </cfRule>
    <cfRule type="containsText" dxfId="553" priority="17" operator="containsText" text="DATA_ARK">
      <formula>NOT(ISERROR(SEARCH("DATA_ARK",BE11)))</formula>
    </cfRule>
    <cfRule type="containsText" dxfId="552" priority="18" operator="containsText" text="DRIFT ANALYSE">
      <formula>NOT(ISERROR(SEARCH("DRIFT ANALYSE",BE11)))</formula>
    </cfRule>
    <cfRule type="containsText" dxfId="551" priority="19" operator="containsText" text="PROJ_STYR">
      <formula>NOT(ISERROR(SEARCH("PROJ_STYR",BE11)))</formula>
    </cfRule>
    <cfRule type="containsText" dxfId="550" priority="20" operator="containsText" text="Coaching">
      <formula>NOT(ISERROR(SEARCH("Coaching",BE11)))</formula>
    </cfRule>
    <cfRule type="containsText" dxfId="549" priority="21" operator="containsText" text="CasePræs">
      <formula>NOT(ISERROR(SEARCH("CasePræs",BE11)))</formula>
    </cfRule>
    <cfRule type="containsText" dxfId="548" priority="22" operator="containsText" text="Feedback">
      <formula>NOT(ISERROR(SEARCH("Feedback",BE11)))</formula>
    </cfRule>
  </conditionalFormatting>
  <conditionalFormatting sqref="BE11">
    <cfRule type="expression" dxfId="547" priority="12">
      <formula>INDIRECT("R5C" &amp; COLUMN(),FALSE)="BLOCKED"</formula>
    </cfRule>
  </conditionalFormatting>
  <conditionalFormatting sqref="BK11:BL11">
    <cfRule type="containsText" dxfId="546" priority="2" operator="containsText" text="BLOCKED">
      <formula>NOT(ISERROR(SEARCH("BLOCKED",BK11)))</formula>
    </cfRule>
  </conditionalFormatting>
  <conditionalFormatting sqref="BK11:BL11">
    <cfRule type="containsText" dxfId="545" priority="3" operator="containsText" text="Eksamen">
      <formula>NOT(ISERROR(SEARCH("Eksamen",BK11)))</formula>
    </cfRule>
    <cfRule type="containsText" dxfId="544" priority="4" operator="containsText" text="Øvelser">
      <formula>NOT(ISERROR(SEARCH("Øvelser",BK11)))</formula>
    </cfRule>
    <cfRule type="containsText" dxfId="543" priority="5" operator="containsText" text="FORET_ARK">
      <formula>NOT(ISERROR(SEARCH("FORET_ARK",BK11)))</formula>
    </cfRule>
    <cfRule type="containsText" dxfId="542" priority="6" operator="containsText" text="DATA_ARK">
      <formula>NOT(ISERROR(SEARCH("DATA_ARK",BK11)))</formula>
    </cfRule>
    <cfRule type="containsText" dxfId="541" priority="7" operator="containsText" text="DRIFT ANALYSE">
      <formula>NOT(ISERROR(SEARCH("DRIFT ANALYSE",BK11)))</formula>
    </cfRule>
    <cfRule type="containsText" dxfId="540" priority="8" operator="containsText" text="PROJ_STYR">
      <formula>NOT(ISERROR(SEARCH("PROJ_STYR",BK11)))</formula>
    </cfRule>
    <cfRule type="containsText" dxfId="539" priority="9" operator="containsText" text="Coaching">
      <formula>NOT(ISERROR(SEARCH("Coaching",BK11)))</formula>
    </cfRule>
    <cfRule type="containsText" dxfId="538" priority="10" operator="containsText" text="CasePræs">
      <formula>NOT(ISERROR(SEARCH("CasePræs",BK11)))</formula>
    </cfRule>
    <cfRule type="containsText" dxfId="537" priority="11" operator="containsText" text="Feedback">
      <formula>NOT(ISERROR(SEARCH("Feedback",BK11)))</formula>
    </cfRule>
  </conditionalFormatting>
  <conditionalFormatting sqref="BK11:BL11">
    <cfRule type="expression" dxfId="536" priority="1">
      <formula>INDIRECT("R5C" &amp; COLUMN(),FALSE)="BLOCKED"</formula>
    </cfRule>
  </conditionalFormatting>
  <conditionalFormatting sqref="E7:DE10 E12:DE15">
    <cfRule type="containsText" dxfId="321" priority="58" stopIfTrue="1" operator="containsText" text="INNOV">
      <formula>NOT(ISERROR(SEARCH("INNOV",E7)))</formula>
    </cfRule>
  </conditionalFormatting>
  <conditionalFormatting sqref="E7:DE10 E12:DE15">
    <cfRule type="containsText" dxfId="320" priority="59" stopIfTrue="1" operator="containsText" text="PROCES">
      <formula>NOT(ISERROR(SEARCH("PROCES",E7)))</formula>
    </cfRule>
  </conditionalFormatting>
  <conditionalFormatting sqref="E7:DE10 E12:DE15">
    <cfRule type="containsText" dxfId="319" priority="60" stopIfTrue="1" operator="containsText" text="DIGORG">
      <formula>NOT(ISERROR(SEARCH("DIGORG",E7)))</formula>
    </cfRule>
  </conditionalFormatting>
  <conditionalFormatting sqref="E7:DE10 E12:DE15">
    <cfRule type="containsText" dxfId="318" priority="61" stopIfTrue="1" operator="containsText" text="TEKDAT">
      <formula>NOT(ISERROR(SEARCH("TEKDAT",E7)))</formula>
    </cfRule>
  </conditionalFormatting>
  <conditionalFormatting sqref="E7:DE10 E12:DE15">
    <cfRule type="containsText" dxfId="315" priority="62" stopIfTrue="1" operator="containsText" text="COACH">
      <formula>NOT(ISERROR(SEARCH("COACH",E7)))</formula>
    </cfRule>
    <cfRule type="containsText" dxfId="314" priority="66" stopIfTrue="1" operator="containsText" text="EKSAM">
      <formula>NOT(ISERROR(SEARCH("EKSAM",E7)))</formula>
    </cfRule>
  </conditionalFormatting>
  <conditionalFormatting sqref="E7:DE10 E12:DE15">
    <cfRule type="containsText" dxfId="317" priority="63" stopIfTrue="1" operator="containsText" text="CASEPRÆS">
      <formula>NOT(ISERROR(SEARCH("CASEPRÆS",E7)))</formula>
    </cfRule>
  </conditionalFormatting>
  <conditionalFormatting sqref="E7:DE10 E12:DE15">
    <cfRule type="containsText" dxfId="316" priority="64" stopIfTrue="1" operator="containsText" text="FEEDBACK">
      <formula>NOT(ISERROR(SEARCH("FEEDBACK",E7)))</formula>
    </cfRule>
  </conditionalFormatting>
  <conditionalFormatting sqref="E7:DE10 E12:DE15">
    <cfRule type="containsText" dxfId="313" priority="65" stopIfTrue="1" operator="containsText" text="ØVELSER">
      <formula>NOT(ISERROR(SEARCH("ØVELSER",E7)))</formula>
    </cfRule>
    <cfRule type="containsText" dxfId="312" priority="67" stopIfTrue="1" operator="containsText" text="INTRO">
      <formula>NOT(ISERROR(SEARCH("INTRO",E7)))</formula>
    </cfRule>
  </conditionalFormatting>
  <conditionalFormatting sqref="D24:D38">
    <cfRule type="expression" dxfId="311" priority="68" stopIfTrue="1">
      <formula>ABS($D24-$C24)&lt;=10</formula>
    </cfRule>
  </conditionalFormatting>
  <conditionalFormatting sqref="D24:D38">
    <cfRule type="expression" dxfId="310" priority="69" stopIfTrue="1">
      <formula>ABS($D24-$C24)&gt;10</formula>
    </cfRule>
  </conditionalFormatting>
  <dataValidations count="1">
    <dataValidation type="list" allowBlank="1" showInputMessage="1" showErrorMessage="1" sqref="E16:DE21" xr:uid="{64A97CC9-5A31-8F40-B613-0196BB431FFE}">
      <formula1>$B$24:$B$38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0FC101-3A4C-9845-A419-ED0A6F208F9F}">
          <x14:formula1>
            <xm:f>Data!$H$3:$H$40</xm:f>
          </x14:formula1>
          <xm:sqref>E7:DE10 E12:DE15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03925-781D-D24F-9E2C-74249080FB8B}">
  <sheetPr codeName="Sheet14"/>
  <dimension ref="A1:FI61"/>
  <sheetViews>
    <sheetView workbookViewId="0">
      <pane xSplit="4" topLeftCell="E1" activePane="topRight" state="frozen"/>
      <selection pane="topRight" activeCell="E1" sqref="E1"/>
    </sheetView>
  </sheetViews>
  <sheetFormatPr baseColWidth="10" defaultColWidth="10.83203125" defaultRowHeight="16" x14ac:dyDescent="0.2"/>
  <cols>
    <col min="1" max="1" width="3.83203125" style="134" customWidth="1"/>
    <col min="2" max="25" width="12.83203125" style="134" customWidth="1"/>
    <col min="26" max="26" width="13" style="134" customWidth="1"/>
    <col min="27" max="109" width="12.83203125" style="134" customWidth="1"/>
    <col min="110" max="16384" width="10.83203125" style="134"/>
  </cols>
  <sheetData>
    <row r="1" spans="1:165" ht="17" thickBot="1" x14ac:dyDescent="0.25"/>
    <row r="2" spans="1:165" ht="17" thickBot="1" x14ac:dyDescent="0.25">
      <c r="B2" s="477" t="s">
        <v>379</v>
      </c>
      <c r="C2" s="477"/>
      <c r="D2" s="477"/>
      <c r="E2" s="464" t="str">
        <f>_xlfn.CONCAT("Uge ",_xlfn.ISOWEEKNUM(E5))</f>
        <v>Uge 5</v>
      </c>
      <c r="F2" s="465"/>
      <c r="G2" s="465"/>
      <c r="H2" s="465"/>
      <c r="I2" s="466"/>
      <c r="J2" s="464" t="str">
        <f t="shared" ref="J2" si="0">_xlfn.CONCAT("Uge ",_xlfn.ISOWEEKNUM(J5))</f>
        <v>Uge 6</v>
      </c>
      <c r="K2" s="465"/>
      <c r="L2" s="465"/>
      <c r="M2" s="465"/>
      <c r="N2" s="466"/>
      <c r="O2" s="464" t="str">
        <f t="shared" ref="O2" si="1">_xlfn.CONCAT("Uge ",_xlfn.ISOWEEKNUM(O5))</f>
        <v>Uge 7</v>
      </c>
      <c r="P2" s="465"/>
      <c r="Q2" s="465"/>
      <c r="R2" s="465"/>
      <c r="S2" s="466"/>
      <c r="T2" s="464" t="str">
        <f t="shared" ref="T2" si="2">_xlfn.CONCAT("Uge ",_xlfn.ISOWEEKNUM(T5))</f>
        <v>Uge 8</v>
      </c>
      <c r="U2" s="465"/>
      <c r="V2" s="465"/>
      <c r="W2" s="465"/>
      <c r="X2" s="466"/>
      <c r="Y2" s="464" t="str">
        <f t="shared" ref="Y2:CG2" si="3">_xlfn.CONCAT("Uge ",_xlfn.ISOWEEKNUM(Y5))</f>
        <v>Uge 9</v>
      </c>
      <c r="Z2" s="465"/>
      <c r="AA2" s="465"/>
      <c r="AB2" s="465"/>
      <c r="AC2" s="466"/>
      <c r="AD2" s="464" t="str">
        <f t="shared" ref="AD2:CL2" si="4">_xlfn.CONCAT("Uge ",_xlfn.ISOWEEKNUM(AD5))</f>
        <v>Uge 10</v>
      </c>
      <c r="AE2" s="465"/>
      <c r="AF2" s="465"/>
      <c r="AG2" s="465"/>
      <c r="AH2" s="466"/>
      <c r="AI2" s="464" t="str">
        <f t="shared" ref="AI2" si="5">_xlfn.CONCAT("Uge ",_xlfn.ISOWEEKNUM(AI5))</f>
        <v>Uge 11</v>
      </c>
      <c r="AJ2" s="465"/>
      <c r="AK2" s="465"/>
      <c r="AL2" s="465"/>
      <c r="AM2" s="466"/>
      <c r="AN2" s="464" t="str">
        <f t="shared" si="3"/>
        <v>Uge 12</v>
      </c>
      <c r="AO2" s="465"/>
      <c r="AP2" s="465"/>
      <c r="AQ2" s="465"/>
      <c r="AR2" s="466"/>
      <c r="AS2" s="464" t="str">
        <f t="shared" si="4"/>
        <v>Uge 13</v>
      </c>
      <c r="AT2" s="465"/>
      <c r="AU2" s="465"/>
      <c r="AV2" s="465"/>
      <c r="AW2" s="466"/>
      <c r="AX2" s="464" t="str">
        <f t="shared" ref="AX2" si="6">_xlfn.CONCAT("Uge ",_xlfn.ISOWEEKNUM(AX5))</f>
        <v>Uge 14</v>
      </c>
      <c r="AY2" s="465"/>
      <c r="AZ2" s="465"/>
      <c r="BA2" s="465"/>
      <c r="BB2" s="466"/>
      <c r="BC2" s="464" t="str">
        <f t="shared" si="3"/>
        <v>Uge 15</v>
      </c>
      <c r="BD2" s="465"/>
      <c r="BE2" s="465"/>
      <c r="BF2" s="465"/>
      <c r="BG2" s="466"/>
      <c r="BH2" s="464" t="str">
        <f t="shared" si="4"/>
        <v>Uge 16</v>
      </c>
      <c r="BI2" s="465"/>
      <c r="BJ2" s="465"/>
      <c r="BK2" s="465"/>
      <c r="BL2" s="466"/>
      <c r="BM2" s="464" t="str">
        <f t="shared" ref="BM2" si="7">_xlfn.CONCAT("Uge ",_xlfn.ISOWEEKNUM(BM5))</f>
        <v>Uge 17</v>
      </c>
      <c r="BN2" s="465"/>
      <c r="BO2" s="465"/>
      <c r="BP2" s="465"/>
      <c r="BQ2" s="466"/>
      <c r="BR2" s="464" t="str">
        <f t="shared" si="3"/>
        <v>Uge 18</v>
      </c>
      <c r="BS2" s="465"/>
      <c r="BT2" s="465"/>
      <c r="BU2" s="465"/>
      <c r="BV2" s="466"/>
      <c r="BW2" s="464" t="str">
        <f t="shared" si="4"/>
        <v>Uge 19</v>
      </c>
      <c r="BX2" s="465"/>
      <c r="BY2" s="465"/>
      <c r="BZ2" s="465"/>
      <c r="CA2" s="466"/>
      <c r="CB2" s="464" t="str">
        <f t="shared" ref="CB2" si="8">_xlfn.CONCAT("Uge ",_xlfn.ISOWEEKNUM(CB5))</f>
        <v>Uge 20</v>
      </c>
      <c r="CC2" s="465"/>
      <c r="CD2" s="465"/>
      <c r="CE2" s="465"/>
      <c r="CF2" s="466"/>
      <c r="CG2" s="464" t="str">
        <f t="shared" si="3"/>
        <v>Uge 21</v>
      </c>
      <c r="CH2" s="465"/>
      <c r="CI2" s="465"/>
      <c r="CJ2" s="465"/>
      <c r="CK2" s="466"/>
      <c r="CL2" s="464" t="str">
        <f t="shared" si="4"/>
        <v>Uge 22</v>
      </c>
      <c r="CM2" s="465"/>
      <c r="CN2" s="465"/>
      <c r="CO2" s="465"/>
      <c r="CP2" s="466"/>
      <c r="CQ2" s="464" t="str">
        <f t="shared" ref="CQ2" si="9">_xlfn.CONCAT("Uge ",_xlfn.ISOWEEKNUM(CQ5))</f>
        <v>Uge 23</v>
      </c>
      <c r="CR2" s="465"/>
      <c r="CS2" s="465"/>
      <c r="CT2" s="465"/>
      <c r="CU2" s="466"/>
      <c r="CV2" s="464" t="str">
        <f t="shared" ref="CV2" si="10">_xlfn.CONCAT("Uge ",_xlfn.ISOWEEKNUM(CV5))</f>
        <v>Uge 24</v>
      </c>
      <c r="CW2" s="465"/>
      <c r="CX2" s="465"/>
      <c r="CY2" s="465"/>
      <c r="CZ2" s="466"/>
      <c r="DA2" s="464" t="str">
        <f t="shared" ref="DA2" si="11">_xlfn.CONCAT("Uge ",_xlfn.ISOWEEKNUM(DA5))</f>
        <v>Uge 25</v>
      </c>
      <c r="DB2" s="465"/>
      <c r="DC2" s="465"/>
      <c r="DD2" s="465"/>
      <c r="DE2" s="466"/>
    </row>
    <row r="3" spans="1:165" ht="17" thickBot="1" x14ac:dyDescent="0.25">
      <c r="B3" s="645" t="s">
        <v>394</v>
      </c>
      <c r="C3" s="646"/>
      <c r="D3" s="647"/>
      <c r="E3" s="476" t="s">
        <v>383</v>
      </c>
      <c r="F3" s="532"/>
      <c r="G3" s="532"/>
      <c r="H3" s="532"/>
      <c r="I3" s="533"/>
      <c r="J3" s="476" t="s">
        <v>383</v>
      </c>
      <c r="K3" s="532"/>
      <c r="L3" s="532"/>
      <c r="M3" s="532"/>
      <c r="N3" s="533"/>
      <c r="O3" s="476" t="s">
        <v>383</v>
      </c>
      <c r="P3" s="532"/>
      <c r="Q3" s="532"/>
      <c r="R3" s="532"/>
      <c r="S3" s="533"/>
      <c r="T3" s="476" t="s">
        <v>383</v>
      </c>
      <c r="U3" s="532"/>
      <c r="V3" s="532"/>
      <c r="W3" s="532"/>
      <c r="X3" s="533"/>
      <c r="Y3" s="476" t="s">
        <v>383</v>
      </c>
      <c r="Z3" s="532"/>
      <c r="AA3" s="532"/>
      <c r="AB3" s="532"/>
      <c r="AC3" s="533"/>
      <c r="AD3" s="463" t="s">
        <v>384</v>
      </c>
      <c r="AE3" s="532"/>
      <c r="AF3" s="532"/>
      <c r="AG3" s="532"/>
      <c r="AH3" s="533"/>
      <c r="AI3" s="463" t="s">
        <v>384</v>
      </c>
      <c r="AJ3" s="532"/>
      <c r="AK3" s="532"/>
      <c r="AL3" s="532"/>
      <c r="AM3" s="533"/>
      <c r="AN3" s="463" t="s">
        <v>384</v>
      </c>
      <c r="AO3" s="532"/>
      <c r="AP3" s="532"/>
      <c r="AQ3" s="532"/>
      <c r="AR3" s="533"/>
      <c r="AS3" s="463" t="s">
        <v>384</v>
      </c>
      <c r="AT3" s="532"/>
      <c r="AU3" s="532"/>
      <c r="AV3" s="532"/>
      <c r="AW3" s="533"/>
      <c r="AX3" s="463" t="s">
        <v>384</v>
      </c>
      <c r="AY3" s="532"/>
      <c r="AZ3" s="532"/>
      <c r="BA3" s="532"/>
      <c r="BB3" s="533"/>
      <c r="BC3" s="461" t="s">
        <v>385</v>
      </c>
      <c r="BD3" s="532"/>
      <c r="BE3" s="532"/>
      <c r="BF3" s="532"/>
      <c r="BG3" s="533"/>
      <c r="BH3" s="461" t="s">
        <v>385</v>
      </c>
      <c r="BI3" s="532"/>
      <c r="BJ3" s="532"/>
      <c r="BK3" s="532"/>
      <c r="BL3" s="533"/>
      <c r="BM3" s="461" t="s">
        <v>385</v>
      </c>
      <c r="BN3" s="532"/>
      <c r="BO3" s="532"/>
      <c r="BP3" s="532"/>
      <c r="BQ3" s="533"/>
      <c r="BR3" s="461" t="s">
        <v>385</v>
      </c>
      <c r="BS3" s="532"/>
      <c r="BT3" s="532"/>
      <c r="BU3" s="532"/>
      <c r="BV3" s="533"/>
      <c r="BW3" s="461" t="s">
        <v>385</v>
      </c>
      <c r="BX3" s="532"/>
      <c r="BY3" s="532"/>
      <c r="BZ3" s="532"/>
      <c r="CA3" s="533"/>
      <c r="CB3" s="462" t="s">
        <v>386</v>
      </c>
      <c r="CC3" s="532"/>
      <c r="CD3" s="532"/>
      <c r="CE3" s="532"/>
      <c r="CF3" s="533"/>
      <c r="CG3" s="462" t="s">
        <v>386</v>
      </c>
      <c r="CH3" s="532"/>
      <c r="CI3" s="532"/>
      <c r="CJ3" s="532"/>
      <c r="CK3" s="533"/>
      <c r="CL3" s="462" t="s">
        <v>386</v>
      </c>
      <c r="CM3" s="532"/>
      <c r="CN3" s="532"/>
      <c r="CO3" s="532"/>
      <c r="CP3" s="533"/>
      <c r="CQ3" s="462" t="s">
        <v>386</v>
      </c>
      <c r="CR3" s="532"/>
      <c r="CS3" s="532"/>
      <c r="CT3" s="532"/>
      <c r="CU3" s="533"/>
      <c r="CV3" s="462" t="s">
        <v>386</v>
      </c>
      <c r="CW3" s="532"/>
      <c r="CX3" s="532"/>
      <c r="CY3" s="532"/>
      <c r="CZ3" s="533"/>
      <c r="DA3" s="531"/>
      <c r="DB3" s="532"/>
      <c r="DC3" s="532"/>
      <c r="DD3" s="532"/>
      <c r="DE3" s="533"/>
    </row>
    <row r="4" spans="1:165" s="135" customFormat="1" x14ac:dyDescent="0.2">
      <c r="B4" s="648"/>
      <c r="C4" s="649"/>
      <c r="D4" s="650"/>
      <c r="E4" s="316">
        <f>E5</f>
        <v>46419</v>
      </c>
      <c r="F4" s="317">
        <f t="shared" ref="F4:BQ4" si="12">F5</f>
        <v>46420</v>
      </c>
      <c r="G4" s="318">
        <f t="shared" si="12"/>
        <v>46421</v>
      </c>
      <c r="H4" s="318">
        <f t="shared" si="12"/>
        <v>46422</v>
      </c>
      <c r="I4" s="319">
        <f t="shared" si="12"/>
        <v>46423</v>
      </c>
      <c r="J4" s="320">
        <f t="shared" si="12"/>
        <v>46426</v>
      </c>
      <c r="K4" s="321">
        <f t="shared" si="12"/>
        <v>46427</v>
      </c>
      <c r="L4" s="322">
        <f t="shared" si="12"/>
        <v>46428</v>
      </c>
      <c r="M4" s="322">
        <f t="shared" si="12"/>
        <v>46429</v>
      </c>
      <c r="N4" s="323">
        <f t="shared" si="12"/>
        <v>46430</v>
      </c>
      <c r="O4" s="316">
        <f t="shared" si="12"/>
        <v>46433</v>
      </c>
      <c r="P4" s="317">
        <f t="shared" si="12"/>
        <v>46434</v>
      </c>
      <c r="Q4" s="318">
        <f t="shared" si="12"/>
        <v>46435</v>
      </c>
      <c r="R4" s="318">
        <f t="shared" si="12"/>
        <v>46436</v>
      </c>
      <c r="S4" s="319">
        <f t="shared" si="12"/>
        <v>46437</v>
      </c>
      <c r="T4" s="320">
        <f t="shared" si="12"/>
        <v>46440</v>
      </c>
      <c r="U4" s="322">
        <f t="shared" si="12"/>
        <v>46441</v>
      </c>
      <c r="V4" s="322">
        <f t="shared" si="12"/>
        <v>46442</v>
      </c>
      <c r="W4" s="322">
        <f t="shared" si="12"/>
        <v>46443</v>
      </c>
      <c r="X4" s="323">
        <f t="shared" si="12"/>
        <v>46444</v>
      </c>
      <c r="Y4" s="316">
        <f t="shared" si="12"/>
        <v>46447</v>
      </c>
      <c r="Z4" s="318">
        <f t="shared" si="12"/>
        <v>46448</v>
      </c>
      <c r="AA4" s="318">
        <f t="shared" si="12"/>
        <v>46449</v>
      </c>
      <c r="AB4" s="318">
        <f t="shared" si="12"/>
        <v>46450</v>
      </c>
      <c r="AC4" s="319">
        <f t="shared" si="12"/>
        <v>46451</v>
      </c>
      <c r="AD4" s="320">
        <f t="shared" si="12"/>
        <v>46454</v>
      </c>
      <c r="AE4" s="322">
        <f t="shared" si="12"/>
        <v>46455</v>
      </c>
      <c r="AF4" s="322">
        <f t="shared" si="12"/>
        <v>46456</v>
      </c>
      <c r="AG4" s="322">
        <f t="shared" si="12"/>
        <v>46457</v>
      </c>
      <c r="AH4" s="323">
        <f t="shared" si="12"/>
        <v>46458</v>
      </c>
      <c r="AI4" s="316">
        <f t="shared" si="12"/>
        <v>46461</v>
      </c>
      <c r="AJ4" s="318">
        <f t="shared" si="12"/>
        <v>46462</v>
      </c>
      <c r="AK4" s="318">
        <f t="shared" si="12"/>
        <v>46463</v>
      </c>
      <c r="AL4" s="318">
        <f t="shared" si="12"/>
        <v>46464</v>
      </c>
      <c r="AM4" s="319">
        <f t="shared" si="12"/>
        <v>46465</v>
      </c>
      <c r="AN4" s="320">
        <f t="shared" si="12"/>
        <v>46468</v>
      </c>
      <c r="AO4" s="322">
        <f t="shared" si="12"/>
        <v>46469</v>
      </c>
      <c r="AP4" s="322">
        <f t="shared" si="12"/>
        <v>46470</v>
      </c>
      <c r="AQ4" s="322">
        <f t="shared" si="12"/>
        <v>46471</v>
      </c>
      <c r="AR4" s="323">
        <f t="shared" si="12"/>
        <v>46472</v>
      </c>
      <c r="AS4" s="316">
        <f t="shared" si="12"/>
        <v>46475</v>
      </c>
      <c r="AT4" s="318">
        <f t="shared" si="12"/>
        <v>46476</v>
      </c>
      <c r="AU4" s="318">
        <f t="shared" si="12"/>
        <v>46477</v>
      </c>
      <c r="AV4" s="318">
        <f t="shared" si="12"/>
        <v>46478</v>
      </c>
      <c r="AW4" s="324">
        <f t="shared" si="12"/>
        <v>46479</v>
      </c>
      <c r="AX4" s="320">
        <f t="shared" si="12"/>
        <v>46482</v>
      </c>
      <c r="AY4" s="322">
        <f t="shared" si="12"/>
        <v>46483</v>
      </c>
      <c r="AZ4" s="322">
        <f t="shared" si="12"/>
        <v>46484</v>
      </c>
      <c r="BA4" s="322">
        <f t="shared" si="12"/>
        <v>46485</v>
      </c>
      <c r="BB4" s="325">
        <f t="shared" si="12"/>
        <v>46486</v>
      </c>
      <c r="BC4" s="316">
        <f t="shared" si="12"/>
        <v>46489</v>
      </c>
      <c r="BD4" s="318">
        <f t="shared" si="12"/>
        <v>46490</v>
      </c>
      <c r="BE4" s="318">
        <f t="shared" si="12"/>
        <v>46491</v>
      </c>
      <c r="BF4" s="318">
        <f t="shared" si="12"/>
        <v>46492</v>
      </c>
      <c r="BG4" s="324">
        <f t="shared" si="12"/>
        <v>46493</v>
      </c>
      <c r="BH4" s="320">
        <f t="shared" si="12"/>
        <v>46496</v>
      </c>
      <c r="BI4" s="322">
        <f t="shared" si="12"/>
        <v>46497</v>
      </c>
      <c r="BJ4" s="322">
        <f t="shared" si="12"/>
        <v>46498</v>
      </c>
      <c r="BK4" s="322">
        <f t="shared" si="12"/>
        <v>46499</v>
      </c>
      <c r="BL4" s="325">
        <f t="shared" si="12"/>
        <v>46500</v>
      </c>
      <c r="BM4" s="316">
        <f t="shared" si="12"/>
        <v>46503</v>
      </c>
      <c r="BN4" s="318">
        <f t="shared" si="12"/>
        <v>46504</v>
      </c>
      <c r="BO4" s="318">
        <f t="shared" si="12"/>
        <v>46505</v>
      </c>
      <c r="BP4" s="318">
        <f t="shared" si="12"/>
        <v>46506</v>
      </c>
      <c r="BQ4" s="324">
        <f t="shared" si="12"/>
        <v>46507</v>
      </c>
      <c r="BR4" s="320">
        <f t="shared" ref="BR4:DE4" si="13">BR5</f>
        <v>46510</v>
      </c>
      <c r="BS4" s="322">
        <f t="shared" si="13"/>
        <v>46511</v>
      </c>
      <c r="BT4" s="322">
        <f t="shared" si="13"/>
        <v>46512</v>
      </c>
      <c r="BU4" s="322">
        <f t="shared" si="13"/>
        <v>46513</v>
      </c>
      <c r="BV4" s="325">
        <f t="shared" si="13"/>
        <v>46514</v>
      </c>
      <c r="BW4" s="316">
        <f t="shared" si="13"/>
        <v>46517</v>
      </c>
      <c r="BX4" s="318">
        <f t="shared" si="13"/>
        <v>46518</v>
      </c>
      <c r="BY4" s="318">
        <f t="shared" si="13"/>
        <v>46519</v>
      </c>
      <c r="BZ4" s="318">
        <f t="shared" si="13"/>
        <v>46520</v>
      </c>
      <c r="CA4" s="324">
        <f t="shared" si="13"/>
        <v>46521</v>
      </c>
      <c r="CB4" s="320">
        <f t="shared" si="13"/>
        <v>46524</v>
      </c>
      <c r="CC4" s="322">
        <f t="shared" si="13"/>
        <v>46525</v>
      </c>
      <c r="CD4" s="322">
        <f t="shared" si="13"/>
        <v>46526</v>
      </c>
      <c r="CE4" s="322">
        <f t="shared" si="13"/>
        <v>46527</v>
      </c>
      <c r="CF4" s="325">
        <f t="shared" si="13"/>
        <v>46528</v>
      </c>
      <c r="CG4" s="316">
        <f t="shared" si="13"/>
        <v>46531</v>
      </c>
      <c r="CH4" s="318">
        <f t="shared" si="13"/>
        <v>46532</v>
      </c>
      <c r="CI4" s="318">
        <f t="shared" si="13"/>
        <v>46533</v>
      </c>
      <c r="CJ4" s="318">
        <f t="shared" si="13"/>
        <v>46534</v>
      </c>
      <c r="CK4" s="324">
        <f t="shared" si="13"/>
        <v>46535</v>
      </c>
      <c r="CL4" s="320">
        <f t="shared" si="13"/>
        <v>46538</v>
      </c>
      <c r="CM4" s="322">
        <f t="shared" si="13"/>
        <v>46539</v>
      </c>
      <c r="CN4" s="322">
        <f t="shared" si="13"/>
        <v>46540</v>
      </c>
      <c r="CO4" s="322">
        <f t="shared" si="13"/>
        <v>46541</v>
      </c>
      <c r="CP4" s="325">
        <f t="shared" si="13"/>
        <v>46542</v>
      </c>
      <c r="CQ4" s="316">
        <f t="shared" si="13"/>
        <v>46545</v>
      </c>
      <c r="CR4" s="318">
        <f t="shared" si="13"/>
        <v>46546</v>
      </c>
      <c r="CS4" s="318">
        <f t="shared" si="13"/>
        <v>46547</v>
      </c>
      <c r="CT4" s="318">
        <f t="shared" si="13"/>
        <v>46548</v>
      </c>
      <c r="CU4" s="319">
        <f t="shared" si="13"/>
        <v>46549</v>
      </c>
      <c r="CV4" s="320">
        <f t="shared" si="13"/>
        <v>46552</v>
      </c>
      <c r="CW4" s="322">
        <f t="shared" si="13"/>
        <v>46553</v>
      </c>
      <c r="CX4" s="322">
        <f t="shared" si="13"/>
        <v>46554</v>
      </c>
      <c r="CY4" s="322">
        <f t="shared" si="13"/>
        <v>46555</v>
      </c>
      <c r="CZ4" s="323">
        <f t="shared" si="13"/>
        <v>46556</v>
      </c>
      <c r="DA4" s="316">
        <f t="shared" si="13"/>
        <v>46559</v>
      </c>
      <c r="DB4" s="318">
        <f t="shared" si="13"/>
        <v>46560</v>
      </c>
      <c r="DC4" s="318">
        <f t="shared" si="13"/>
        <v>46561</v>
      </c>
      <c r="DD4" s="318">
        <f t="shared" si="13"/>
        <v>46562</v>
      </c>
      <c r="DE4" s="319">
        <f t="shared" si="13"/>
        <v>46563</v>
      </c>
    </row>
    <row r="5" spans="1:165" s="135" customFormat="1" ht="17" thickBot="1" x14ac:dyDescent="0.25">
      <c r="B5" s="651"/>
      <c r="C5" s="652"/>
      <c r="D5" s="653"/>
      <c r="E5" s="31">
        <f>Data!M2</f>
        <v>46419</v>
      </c>
      <c r="F5" s="32">
        <f>E5+1</f>
        <v>46420</v>
      </c>
      <c r="G5" s="33">
        <f>F5+1</f>
        <v>46421</v>
      </c>
      <c r="H5" s="33">
        <f>G5+1</f>
        <v>46422</v>
      </c>
      <c r="I5" s="34">
        <f>H5+1</f>
        <v>46423</v>
      </c>
      <c r="J5" s="35">
        <f>I5+3</f>
        <v>46426</v>
      </c>
      <c r="K5" s="36">
        <f>J5+1</f>
        <v>46427</v>
      </c>
      <c r="L5" s="37">
        <f>K5+1</f>
        <v>46428</v>
      </c>
      <c r="M5" s="37">
        <f>L5+1</f>
        <v>46429</v>
      </c>
      <c r="N5" s="38">
        <f>M5+1</f>
        <v>46430</v>
      </c>
      <c r="O5" s="31">
        <f>N5+3</f>
        <v>46433</v>
      </c>
      <c r="P5" s="32">
        <f>O5+1</f>
        <v>46434</v>
      </c>
      <c r="Q5" s="33">
        <f>P5+1</f>
        <v>46435</v>
      </c>
      <c r="R5" s="33">
        <f>Q5+1</f>
        <v>46436</v>
      </c>
      <c r="S5" s="34">
        <f>R5+1</f>
        <v>46437</v>
      </c>
      <c r="T5" s="35">
        <f>S5+3</f>
        <v>46440</v>
      </c>
      <c r="U5" s="37">
        <f>T5+1</f>
        <v>46441</v>
      </c>
      <c r="V5" s="37">
        <f>U5+1</f>
        <v>46442</v>
      </c>
      <c r="W5" s="37">
        <f>V5+1</f>
        <v>46443</v>
      </c>
      <c r="X5" s="38">
        <f>W5+1</f>
        <v>46444</v>
      </c>
      <c r="Y5" s="31">
        <f>X5+3</f>
        <v>46447</v>
      </c>
      <c r="Z5" s="33">
        <f>Y5+1</f>
        <v>46448</v>
      </c>
      <c r="AA5" s="33">
        <f>Z5+1</f>
        <v>46449</v>
      </c>
      <c r="AB5" s="33">
        <f>AA5+1</f>
        <v>46450</v>
      </c>
      <c r="AC5" s="34">
        <f>AB5+1</f>
        <v>46451</v>
      </c>
      <c r="AD5" s="35">
        <f>AC5+3</f>
        <v>46454</v>
      </c>
      <c r="AE5" s="37">
        <f>AD5+1</f>
        <v>46455</v>
      </c>
      <c r="AF5" s="37">
        <f>AE5+1</f>
        <v>46456</v>
      </c>
      <c r="AG5" s="37">
        <f>AF5+1</f>
        <v>46457</v>
      </c>
      <c r="AH5" s="38">
        <f>AG5+1</f>
        <v>46458</v>
      </c>
      <c r="AI5" s="31">
        <f>AH5+3</f>
        <v>46461</v>
      </c>
      <c r="AJ5" s="33">
        <f>AI5+1</f>
        <v>46462</v>
      </c>
      <c r="AK5" s="33">
        <f>AJ5+1</f>
        <v>46463</v>
      </c>
      <c r="AL5" s="33">
        <f>AK5+1</f>
        <v>46464</v>
      </c>
      <c r="AM5" s="34">
        <f>AL5+1</f>
        <v>46465</v>
      </c>
      <c r="AN5" s="35">
        <f>AM5+3</f>
        <v>46468</v>
      </c>
      <c r="AO5" s="37">
        <f>AN5+1</f>
        <v>46469</v>
      </c>
      <c r="AP5" s="37">
        <f>AO5+1</f>
        <v>46470</v>
      </c>
      <c r="AQ5" s="37">
        <f>AP5+1</f>
        <v>46471</v>
      </c>
      <c r="AR5" s="38">
        <f>AQ5+1</f>
        <v>46472</v>
      </c>
      <c r="AS5" s="31">
        <f>AR5+3</f>
        <v>46475</v>
      </c>
      <c r="AT5" s="33">
        <f>AS5+1</f>
        <v>46476</v>
      </c>
      <c r="AU5" s="33">
        <f>AT5+1</f>
        <v>46477</v>
      </c>
      <c r="AV5" s="33">
        <f>AU5+1</f>
        <v>46478</v>
      </c>
      <c r="AW5" s="39">
        <f>AV5+1</f>
        <v>46479</v>
      </c>
      <c r="AX5" s="35">
        <f>AW5+3</f>
        <v>46482</v>
      </c>
      <c r="AY5" s="37">
        <f>AX5+1</f>
        <v>46483</v>
      </c>
      <c r="AZ5" s="37">
        <f>AY5+1</f>
        <v>46484</v>
      </c>
      <c r="BA5" s="37">
        <f>AZ5+1</f>
        <v>46485</v>
      </c>
      <c r="BB5" s="40">
        <f>BA5+1</f>
        <v>46486</v>
      </c>
      <c r="BC5" s="31">
        <f>BB5+3</f>
        <v>46489</v>
      </c>
      <c r="BD5" s="33">
        <f>BC5+1</f>
        <v>46490</v>
      </c>
      <c r="BE5" s="33">
        <f>BD5+1</f>
        <v>46491</v>
      </c>
      <c r="BF5" s="33">
        <f>BE5+1</f>
        <v>46492</v>
      </c>
      <c r="BG5" s="39">
        <f>BF5+1</f>
        <v>46493</v>
      </c>
      <c r="BH5" s="35">
        <f>BG5+3</f>
        <v>46496</v>
      </c>
      <c r="BI5" s="37">
        <f>BH5+1</f>
        <v>46497</v>
      </c>
      <c r="BJ5" s="37">
        <f>BI5+1</f>
        <v>46498</v>
      </c>
      <c r="BK5" s="37">
        <f>BJ5+1</f>
        <v>46499</v>
      </c>
      <c r="BL5" s="40">
        <f>BK5+1</f>
        <v>46500</v>
      </c>
      <c r="BM5" s="31">
        <f>BL5+3</f>
        <v>46503</v>
      </c>
      <c r="BN5" s="33">
        <f>BM5+1</f>
        <v>46504</v>
      </c>
      <c r="BO5" s="33">
        <f>BN5+1</f>
        <v>46505</v>
      </c>
      <c r="BP5" s="33">
        <f>BO5+1</f>
        <v>46506</v>
      </c>
      <c r="BQ5" s="39">
        <f>BP5+1</f>
        <v>46507</v>
      </c>
      <c r="BR5" s="35">
        <f>BQ5+3</f>
        <v>46510</v>
      </c>
      <c r="BS5" s="37">
        <f>BR5+1</f>
        <v>46511</v>
      </c>
      <c r="BT5" s="37">
        <f>BS5+1</f>
        <v>46512</v>
      </c>
      <c r="BU5" s="37">
        <f>BT5+1</f>
        <v>46513</v>
      </c>
      <c r="BV5" s="40">
        <f>BU5+1</f>
        <v>46514</v>
      </c>
      <c r="BW5" s="31">
        <f>BV5+3</f>
        <v>46517</v>
      </c>
      <c r="BX5" s="33">
        <f>BW5+1</f>
        <v>46518</v>
      </c>
      <c r="BY5" s="33">
        <f>BX5+1</f>
        <v>46519</v>
      </c>
      <c r="BZ5" s="33">
        <f>BY5+1</f>
        <v>46520</v>
      </c>
      <c r="CA5" s="39">
        <f>BZ5+1</f>
        <v>46521</v>
      </c>
      <c r="CB5" s="35">
        <f>CA5+3</f>
        <v>46524</v>
      </c>
      <c r="CC5" s="37">
        <f>CB5+1</f>
        <v>46525</v>
      </c>
      <c r="CD5" s="37">
        <f>CC5+1</f>
        <v>46526</v>
      </c>
      <c r="CE5" s="37">
        <f>CD5+1</f>
        <v>46527</v>
      </c>
      <c r="CF5" s="40">
        <f>CE5+1</f>
        <v>46528</v>
      </c>
      <c r="CG5" s="31">
        <f>CF5+3</f>
        <v>46531</v>
      </c>
      <c r="CH5" s="33">
        <f>CG5+1</f>
        <v>46532</v>
      </c>
      <c r="CI5" s="33">
        <f>CH5+1</f>
        <v>46533</v>
      </c>
      <c r="CJ5" s="33">
        <f>CI5+1</f>
        <v>46534</v>
      </c>
      <c r="CK5" s="39">
        <f>CJ5+1</f>
        <v>46535</v>
      </c>
      <c r="CL5" s="35">
        <f>CK5+3</f>
        <v>46538</v>
      </c>
      <c r="CM5" s="37">
        <f>CL5+1</f>
        <v>46539</v>
      </c>
      <c r="CN5" s="37">
        <f>CM5+1</f>
        <v>46540</v>
      </c>
      <c r="CO5" s="37">
        <f>CN5+1</f>
        <v>46541</v>
      </c>
      <c r="CP5" s="40">
        <f>CO5+1</f>
        <v>46542</v>
      </c>
      <c r="CQ5" s="31">
        <f>CP5+3</f>
        <v>46545</v>
      </c>
      <c r="CR5" s="33">
        <f>CQ5+1</f>
        <v>46546</v>
      </c>
      <c r="CS5" s="33">
        <f>CR5+1</f>
        <v>46547</v>
      </c>
      <c r="CT5" s="33">
        <f>CS5+1</f>
        <v>46548</v>
      </c>
      <c r="CU5" s="34">
        <f>CT5+1</f>
        <v>46549</v>
      </c>
      <c r="CV5" s="35">
        <f>CU5+3</f>
        <v>46552</v>
      </c>
      <c r="CW5" s="37">
        <f>CV5+1</f>
        <v>46553</v>
      </c>
      <c r="CX5" s="37">
        <f>CW5+1</f>
        <v>46554</v>
      </c>
      <c r="CY5" s="37">
        <f>CX5+1</f>
        <v>46555</v>
      </c>
      <c r="CZ5" s="38">
        <f>CY5+1</f>
        <v>46556</v>
      </c>
      <c r="DA5" s="31">
        <f>CZ5+3</f>
        <v>46559</v>
      </c>
      <c r="DB5" s="33">
        <f>DA5+1</f>
        <v>46560</v>
      </c>
      <c r="DC5" s="33">
        <f>DB5+1</f>
        <v>46561</v>
      </c>
      <c r="DD5" s="33">
        <f>DC5+1</f>
        <v>46562</v>
      </c>
      <c r="DE5" s="34">
        <f>DD5+1</f>
        <v>46563</v>
      </c>
    </row>
    <row r="6" spans="1:165" s="138" customFormat="1" ht="17" thickBot="1" x14ac:dyDescent="0.25">
      <c r="A6" s="134"/>
      <c r="B6" s="457"/>
      <c r="C6" s="457"/>
      <c r="D6" s="45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  <c r="BW6" s="136"/>
      <c r="BX6" s="137"/>
      <c r="BY6" s="137"/>
      <c r="BZ6" s="137"/>
      <c r="CA6" s="137"/>
      <c r="CB6" s="137"/>
      <c r="CC6" s="137"/>
      <c r="CD6" s="137"/>
      <c r="CE6" s="137"/>
      <c r="CF6" s="137"/>
      <c r="CG6" s="137"/>
      <c r="CH6" s="137"/>
      <c r="CI6" s="137"/>
      <c r="CJ6" s="137"/>
      <c r="CK6" s="137"/>
      <c r="CL6" s="137"/>
      <c r="CM6" s="137"/>
      <c r="CN6" s="137"/>
      <c r="CO6" s="137"/>
      <c r="CP6" s="135"/>
      <c r="CQ6" s="137"/>
      <c r="CR6" s="137"/>
      <c r="CS6" s="137"/>
      <c r="CT6" s="137"/>
      <c r="CU6" s="137"/>
      <c r="CV6" s="137"/>
      <c r="CW6" s="137"/>
      <c r="CX6" s="137"/>
      <c r="CY6" s="137"/>
      <c r="CZ6" s="137"/>
      <c r="DA6" s="137"/>
      <c r="DB6" s="137"/>
      <c r="DC6" s="137"/>
      <c r="DD6" s="137"/>
      <c r="DE6" s="137"/>
      <c r="DF6" s="134"/>
      <c r="DG6" s="134"/>
      <c r="DH6" s="134"/>
      <c r="DI6" s="134"/>
      <c r="DJ6" s="134"/>
      <c r="DK6" s="134"/>
      <c r="DL6" s="134"/>
      <c r="DM6" s="134"/>
      <c r="DN6" s="134"/>
      <c r="DO6" s="134"/>
      <c r="DP6" s="134"/>
      <c r="DQ6" s="134"/>
      <c r="DR6" s="134"/>
      <c r="DS6" s="134"/>
      <c r="DT6" s="134"/>
      <c r="DU6" s="134"/>
      <c r="DV6" s="134"/>
      <c r="DW6" s="134"/>
      <c r="DX6" s="134"/>
      <c r="DY6" s="134"/>
      <c r="DZ6" s="134"/>
      <c r="EA6" s="134"/>
      <c r="EB6" s="134"/>
      <c r="EC6" s="134"/>
      <c r="ED6" s="134"/>
      <c r="EE6" s="134"/>
      <c r="EF6" s="134"/>
      <c r="EG6" s="134"/>
      <c r="EH6" s="134"/>
      <c r="EI6" s="134"/>
      <c r="EJ6" s="134"/>
      <c r="EK6" s="134"/>
      <c r="EL6" s="134"/>
      <c r="EM6" s="134"/>
      <c r="EN6" s="134"/>
      <c r="EO6" s="134"/>
      <c r="EP6" s="134"/>
      <c r="EQ6" s="134"/>
      <c r="ER6" s="134"/>
      <c r="ES6" s="134"/>
      <c r="ET6" s="134"/>
      <c r="EU6" s="134"/>
      <c r="EV6" s="134"/>
      <c r="EW6" s="134"/>
      <c r="EX6" s="134"/>
      <c r="EY6" s="134"/>
      <c r="EZ6" s="134"/>
      <c r="FA6" s="134"/>
      <c r="FB6" s="134"/>
      <c r="FC6" s="134"/>
      <c r="FD6" s="134"/>
      <c r="FE6" s="134"/>
      <c r="FF6" s="134"/>
      <c r="FG6" s="134"/>
      <c r="FH6" s="134"/>
      <c r="FI6" s="134"/>
    </row>
    <row r="7" spans="1:165" x14ac:dyDescent="0.2">
      <c r="B7" s="458" t="s">
        <v>7</v>
      </c>
      <c r="C7" s="459"/>
      <c r="D7" s="460"/>
      <c r="E7" s="81"/>
      <c r="F7" s="42"/>
      <c r="G7" s="42"/>
      <c r="H7" s="42"/>
      <c r="I7" s="43"/>
      <c r="J7" s="77"/>
      <c r="K7" s="62"/>
      <c r="L7" s="62"/>
      <c r="M7" s="62"/>
      <c r="N7" s="44"/>
      <c r="O7" s="41"/>
      <c r="P7" s="42"/>
      <c r="Q7" s="42"/>
      <c r="R7" s="42"/>
      <c r="S7" s="43"/>
      <c r="T7" s="77"/>
      <c r="U7" s="62"/>
      <c r="V7" s="62"/>
      <c r="W7" s="62"/>
      <c r="X7" s="44"/>
      <c r="Y7" s="41"/>
      <c r="Z7" s="42"/>
      <c r="AA7" s="42"/>
      <c r="AB7" s="42"/>
      <c r="AC7" s="43"/>
      <c r="AD7" s="77"/>
      <c r="AE7" s="62"/>
      <c r="AF7" s="62"/>
      <c r="AG7" s="62"/>
      <c r="AH7" s="44"/>
      <c r="AI7" s="41"/>
      <c r="AJ7" s="42"/>
      <c r="AK7" s="42"/>
      <c r="AL7" s="42"/>
      <c r="AM7" s="43"/>
      <c r="AN7" s="219"/>
      <c r="AO7" s="200"/>
      <c r="AP7" s="200"/>
      <c r="AQ7" s="200"/>
      <c r="AR7" s="209"/>
      <c r="AS7" s="223"/>
      <c r="AT7" s="42"/>
      <c r="AU7" s="42"/>
      <c r="AV7" s="42"/>
      <c r="AW7" s="43"/>
      <c r="AX7" s="77"/>
      <c r="AY7" s="62"/>
      <c r="AZ7" s="62"/>
      <c r="BA7" s="62"/>
      <c r="BB7" s="44"/>
      <c r="BC7" s="41"/>
      <c r="BD7" s="42"/>
      <c r="BE7" s="42"/>
      <c r="BF7" s="42"/>
      <c r="BG7" s="43"/>
      <c r="BH7" s="77"/>
      <c r="BI7" s="62"/>
      <c r="BJ7" s="62"/>
      <c r="BK7" s="62"/>
      <c r="BL7" s="44"/>
      <c r="BM7" s="41"/>
      <c r="BN7" s="42"/>
      <c r="BO7" s="42"/>
      <c r="BP7" s="42"/>
      <c r="BQ7" s="43"/>
      <c r="BR7" s="77"/>
      <c r="BS7" s="62"/>
      <c r="BT7" s="62"/>
      <c r="BU7" s="200"/>
      <c r="BV7" s="209"/>
      <c r="BW7" s="41"/>
      <c r="BX7" s="42"/>
      <c r="BY7" s="42"/>
      <c r="BZ7" s="42"/>
      <c r="CA7" s="43"/>
      <c r="CB7" s="219"/>
      <c r="CC7" s="62"/>
      <c r="CD7" s="62"/>
      <c r="CE7" s="62"/>
      <c r="CF7" s="44"/>
      <c r="CG7" s="41"/>
      <c r="CH7" s="42"/>
      <c r="CI7" s="42"/>
      <c r="CJ7" s="42"/>
      <c r="CK7" s="43"/>
      <c r="CL7" s="77"/>
      <c r="CM7" s="62"/>
      <c r="CN7" s="62"/>
      <c r="CO7" s="62"/>
      <c r="CP7" s="44"/>
      <c r="CQ7" s="41"/>
      <c r="CR7" s="42"/>
      <c r="CS7" s="42"/>
      <c r="CT7" s="42"/>
      <c r="CU7" s="43"/>
      <c r="CV7" s="77"/>
      <c r="CW7" s="62"/>
      <c r="CX7" s="62"/>
      <c r="CY7" s="62"/>
      <c r="CZ7" s="44"/>
      <c r="DA7" s="41"/>
      <c r="DB7" s="42"/>
      <c r="DC7" s="42"/>
      <c r="DD7" s="42"/>
      <c r="DE7" s="43"/>
    </row>
    <row r="8" spans="1:165" x14ac:dyDescent="0.2">
      <c r="B8" s="48" t="s">
        <v>15</v>
      </c>
      <c r="C8" s="82"/>
      <c r="D8" s="49"/>
      <c r="E8" s="214"/>
      <c r="F8" s="51"/>
      <c r="G8" s="51"/>
      <c r="H8" s="51"/>
      <c r="I8" s="52"/>
      <c r="J8" s="69"/>
      <c r="K8" s="64"/>
      <c r="L8" s="64"/>
      <c r="M8" s="64"/>
      <c r="N8" s="53"/>
      <c r="O8" s="50"/>
      <c r="P8" s="51"/>
      <c r="Q8" s="51"/>
      <c r="R8" s="51"/>
      <c r="S8" s="52"/>
      <c r="T8" s="69"/>
      <c r="U8" s="64"/>
      <c r="V8" s="64"/>
      <c r="W8" s="64"/>
      <c r="X8" s="53"/>
      <c r="Y8" s="50"/>
      <c r="Z8" s="51"/>
      <c r="AA8" s="51"/>
      <c r="AB8" s="51"/>
      <c r="AC8" s="52"/>
      <c r="AD8" s="69"/>
      <c r="AE8" s="64"/>
      <c r="AF8" s="64"/>
      <c r="AG8" s="64"/>
      <c r="AH8" s="53"/>
      <c r="AI8" s="50"/>
      <c r="AJ8" s="51"/>
      <c r="AK8" s="51"/>
      <c r="AL8" s="51"/>
      <c r="AM8" s="52"/>
      <c r="AN8" s="220"/>
      <c r="AO8" s="201"/>
      <c r="AP8" s="201"/>
      <c r="AQ8" s="201"/>
      <c r="AR8" s="210"/>
      <c r="AS8" s="225"/>
      <c r="AT8" s="51"/>
      <c r="AU8" s="51"/>
      <c r="AV8" s="51"/>
      <c r="AW8" s="52"/>
      <c r="AX8" s="69"/>
      <c r="AY8" s="64"/>
      <c r="AZ8" s="64"/>
      <c r="BA8" s="64"/>
      <c r="BB8" s="53"/>
      <c r="BC8" s="50"/>
      <c r="BD8" s="51"/>
      <c r="BE8" s="51"/>
      <c r="BF8" s="51"/>
      <c r="BG8" s="52"/>
      <c r="BH8" s="69"/>
      <c r="BI8" s="64"/>
      <c r="BJ8" s="64"/>
      <c r="BK8" s="64"/>
      <c r="BL8" s="53"/>
      <c r="BM8" s="50"/>
      <c r="BN8" s="51"/>
      <c r="BO8" s="51"/>
      <c r="BP8" s="51"/>
      <c r="BQ8" s="52"/>
      <c r="BR8" s="69"/>
      <c r="BS8" s="64"/>
      <c r="BT8" s="64"/>
      <c r="BU8" s="201"/>
      <c r="BV8" s="210"/>
      <c r="BW8" s="50"/>
      <c r="BX8" s="51"/>
      <c r="BY8" s="51"/>
      <c r="BZ8" s="51"/>
      <c r="CA8" s="52"/>
      <c r="CB8" s="220"/>
      <c r="CC8" s="64"/>
      <c r="CD8" s="64"/>
      <c r="CE8" s="64"/>
      <c r="CF8" s="53"/>
      <c r="CG8" s="50"/>
      <c r="CH8" s="51"/>
      <c r="CI8" s="51"/>
      <c r="CJ8" s="51"/>
      <c r="CK8" s="52"/>
      <c r="CL8" s="69"/>
      <c r="CM8" s="64"/>
      <c r="CN8" s="64"/>
      <c r="CO8" s="64"/>
      <c r="CP8" s="53"/>
      <c r="CQ8" s="50"/>
      <c r="CR8" s="51"/>
      <c r="CS8" s="51"/>
      <c r="CT8" s="51"/>
      <c r="CU8" s="52"/>
      <c r="CV8" s="69"/>
      <c r="CW8" s="64"/>
      <c r="CX8" s="64"/>
      <c r="CY8" s="64"/>
      <c r="CZ8" s="53"/>
      <c r="DA8" s="50"/>
      <c r="DB8" s="51"/>
      <c r="DC8" s="51"/>
      <c r="DD8" s="51"/>
      <c r="DE8" s="52"/>
    </row>
    <row r="9" spans="1:165" x14ac:dyDescent="0.2">
      <c r="B9" s="448" t="s">
        <v>16</v>
      </c>
      <c r="C9" s="449"/>
      <c r="D9" s="450"/>
      <c r="E9" s="57"/>
      <c r="F9" s="51"/>
      <c r="G9" s="51"/>
      <c r="H9" s="51"/>
      <c r="I9" s="52"/>
      <c r="J9" s="69"/>
      <c r="K9" s="64"/>
      <c r="L9" s="64"/>
      <c r="M9" s="64"/>
      <c r="N9" s="45"/>
      <c r="O9" s="54"/>
      <c r="P9" s="51"/>
      <c r="Q9" s="51"/>
      <c r="R9" s="51"/>
      <c r="S9" s="52"/>
      <c r="T9" s="69"/>
      <c r="U9" s="64"/>
      <c r="V9" s="64"/>
      <c r="W9" s="64"/>
      <c r="X9" s="45"/>
      <c r="Y9" s="54"/>
      <c r="Z9" s="51"/>
      <c r="AA9" s="51"/>
      <c r="AB9" s="51"/>
      <c r="AC9" s="52"/>
      <c r="AD9" s="69"/>
      <c r="AE9" s="64"/>
      <c r="AF9" s="64"/>
      <c r="AG9" s="64"/>
      <c r="AH9" s="45"/>
      <c r="AI9" s="54"/>
      <c r="AJ9" s="51"/>
      <c r="AK9" s="51"/>
      <c r="AL9" s="51"/>
      <c r="AM9" s="52"/>
      <c r="AN9" s="220"/>
      <c r="AO9" s="201"/>
      <c r="AP9" s="201"/>
      <c r="AQ9" s="201"/>
      <c r="AR9" s="211"/>
      <c r="AS9" s="227"/>
      <c r="AT9" s="51"/>
      <c r="AU9" s="51"/>
      <c r="AV9" s="51"/>
      <c r="AW9" s="52"/>
      <c r="AX9" s="69"/>
      <c r="AY9" s="64"/>
      <c r="AZ9" s="64"/>
      <c r="BA9" s="64"/>
      <c r="BB9" s="45"/>
      <c r="BC9" s="54"/>
      <c r="BD9" s="51"/>
      <c r="BE9" s="51"/>
      <c r="BF9" s="51"/>
      <c r="BG9" s="52"/>
      <c r="BH9" s="69"/>
      <c r="BI9" s="64"/>
      <c r="BJ9" s="64"/>
      <c r="BK9" s="64"/>
      <c r="BL9" s="45"/>
      <c r="BM9" s="54"/>
      <c r="BN9" s="51"/>
      <c r="BO9" s="51"/>
      <c r="BP9" s="51"/>
      <c r="BQ9" s="52"/>
      <c r="BR9" s="69"/>
      <c r="BS9" s="64"/>
      <c r="BT9" s="64"/>
      <c r="BU9" s="201"/>
      <c r="BV9" s="211"/>
      <c r="BW9" s="54"/>
      <c r="BX9" s="51"/>
      <c r="BY9" s="51"/>
      <c r="BZ9" s="51"/>
      <c r="CA9" s="52"/>
      <c r="CB9" s="220"/>
      <c r="CC9" s="64"/>
      <c r="CD9" s="64"/>
      <c r="CE9" s="64"/>
      <c r="CF9" s="45"/>
      <c r="CG9" s="54"/>
      <c r="CH9" s="51"/>
      <c r="CI9" s="51"/>
      <c r="CJ9" s="51"/>
      <c r="CK9" s="52"/>
      <c r="CL9" s="69"/>
      <c r="CM9" s="64"/>
      <c r="CN9" s="64"/>
      <c r="CO9" s="64"/>
      <c r="CP9" s="45"/>
      <c r="CQ9" s="54"/>
      <c r="CR9" s="51"/>
      <c r="CS9" s="51"/>
      <c r="CT9" s="51"/>
      <c r="CU9" s="52"/>
      <c r="CV9" s="69"/>
      <c r="CW9" s="64"/>
      <c r="CX9" s="64"/>
      <c r="CY9" s="64"/>
      <c r="CZ9" s="45"/>
      <c r="DA9" s="54"/>
      <c r="DB9" s="51"/>
      <c r="DC9" s="51"/>
      <c r="DD9" s="51"/>
      <c r="DE9" s="52"/>
    </row>
    <row r="10" spans="1:165" ht="17" thickBot="1" x14ac:dyDescent="0.25">
      <c r="B10" s="448" t="s">
        <v>17</v>
      </c>
      <c r="C10" s="449"/>
      <c r="D10" s="450"/>
      <c r="E10" s="57"/>
      <c r="F10" s="51"/>
      <c r="G10" s="51"/>
      <c r="H10" s="51"/>
      <c r="I10" s="52"/>
      <c r="J10" s="69"/>
      <c r="K10" s="64"/>
      <c r="L10" s="64"/>
      <c r="M10" s="64"/>
      <c r="N10" s="45"/>
      <c r="O10" s="54"/>
      <c r="P10" s="51"/>
      <c r="Q10" s="51"/>
      <c r="R10" s="51"/>
      <c r="S10" s="52"/>
      <c r="T10" s="69"/>
      <c r="U10" s="64"/>
      <c r="V10" s="64"/>
      <c r="W10" s="64"/>
      <c r="X10" s="45"/>
      <c r="Y10" s="54"/>
      <c r="Z10" s="51"/>
      <c r="AA10" s="51"/>
      <c r="AB10" s="51"/>
      <c r="AC10" s="52"/>
      <c r="AD10" s="69"/>
      <c r="AE10" s="64"/>
      <c r="AF10" s="64"/>
      <c r="AG10" s="64"/>
      <c r="AH10" s="45"/>
      <c r="AI10" s="54"/>
      <c r="AJ10" s="51"/>
      <c r="AK10" s="51"/>
      <c r="AL10" s="51"/>
      <c r="AM10" s="52"/>
      <c r="AN10" s="220"/>
      <c r="AO10" s="201"/>
      <c r="AP10" s="201"/>
      <c r="AQ10" s="201"/>
      <c r="AR10" s="211"/>
      <c r="AS10" s="227"/>
      <c r="AT10" s="51"/>
      <c r="AU10" s="51"/>
      <c r="AV10" s="51"/>
      <c r="AW10" s="52"/>
      <c r="AX10" s="69"/>
      <c r="AY10" s="64"/>
      <c r="AZ10" s="64"/>
      <c r="BA10" s="64"/>
      <c r="BB10" s="45"/>
      <c r="BC10" s="54"/>
      <c r="BD10" s="51"/>
      <c r="BE10" s="51"/>
      <c r="BF10" s="51"/>
      <c r="BG10" s="52"/>
      <c r="BH10" s="69"/>
      <c r="BI10" s="64"/>
      <c r="BJ10" s="64"/>
      <c r="BK10" s="64"/>
      <c r="BL10" s="45"/>
      <c r="BM10" s="54"/>
      <c r="BN10" s="51"/>
      <c r="BO10" s="51"/>
      <c r="BP10" s="51"/>
      <c r="BQ10" s="52"/>
      <c r="BR10" s="69"/>
      <c r="BS10" s="64"/>
      <c r="BT10" s="64"/>
      <c r="BU10" s="201"/>
      <c r="BV10" s="211"/>
      <c r="BW10" s="54"/>
      <c r="BX10" s="51"/>
      <c r="BY10" s="51"/>
      <c r="BZ10" s="51"/>
      <c r="CA10" s="52"/>
      <c r="CB10" s="220"/>
      <c r="CC10" s="64"/>
      <c r="CD10" s="64"/>
      <c r="CE10" s="64"/>
      <c r="CF10" s="45"/>
      <c r="CG10" s="54"/>
      <c r="CH10" s="51"/>
      <c r="CI10" s="51"/>
      <c r="CJ10" s="51"/>
      <c r="CK10" s="52"/>
      <c r="CL10" s="69"/>
      <c r="CM10" s="64"/>
      <c r="CN10" s="64"/>
      <c r="CO10" s="64"/>
      <c r="CP10" s="45"/>
      <c r="CQ10" s="54"/>
      <c r="CR10" s="51"/>
      <c r="CS10" s="51"/>
      <c r="CT10" s="51"/>
      <c r="CU10" s="52"/>
      <c r="CV10" s="69"/>
      <c r="CW10" s="64"/>
      <c r="CX10" s="64"/>
      <c r="CY10" s="64"/>
      <c r="CZ10" s="45"/>
      <c r="DA10" s="54"/>
      <c r="DB10" s="51"/>
      <c r="DC10" s="51"/>
      <c r="DD10" s="51"/>
      <c r="DE10" s="52"/>
    </row>
    <row r="11" spans="1:165" ht="17" thickBot="1" x14ac:dyDescent="0.25">
      <c r="B11" s="48" t="s">
        <v>18</v>
      </c>
      <c r="C11" s="82"/>
      <c r="D11" s="49"/>
      <c r="E11" s="100"/>
      <c r="F11" s="101"/>
      <c r="G11" s="101"/>
      <c r="H11" s="101"/>
      <c r="I11" s="102"/>
      <c r="J11" s="103"/>
      <c r="K11" s="104"/>
      <c r="L11" s="104"/>
      <c r="M11" s="104"/>
      <c r="N11" s="105"/>
      <c r="O11" s="100"/>
      <c r="P11" s="101"/>
      <c r="Q11" s="101"/>
      <c r="R11" s="101"/>
      <c r="S11" s="102"/>
      <c r="T11" s="103"/>
      <c r="U11" s="104"/>
      <c r="V11" s="104"/>
      <c r="W11" s="104"/>
      <c r="X11" s="105"/>
      <c r="Y11" s="100"/>
      <c r="Z11" s="101"/>
      <c r="AA11" s="101"/>
      <c r="AB11" s="101"/>
      <c r="AC11" s="102"/>
      <c r="AD11" s="103"/>
      <c r="AE11" s="104"/>
      <c r="AF11" s="104"/>
      <c r="AG11" s="104"/>
      <c r="AH11" s="105"/>
      <c r="AI11" s="100"/>
      <c r="AJ11" s="101"/>
      <c r="AK11" s="101"/>
      <c r="AL11" s="101"/>
      <c r="AM11" s="102"/>
      <c r="AN11" s="221"/>
      <c r="AO11" s="208"/>
      <c r="AP11" s="208"/>
      <c r="AQ11" s="208"/>
      <c r="AR11" s="212"/>
      <c r="AS11" s="228"/>
      <c r="AT11" s="101"/>
      <c r="AU11" s="101"/>
      <c r="AV11" s="101"/>
      <c r="AW11" s="102"/>
      <c r="AX11" s="103"/>
      <c r="AY11" s="104"/>
      <c r="AZ11" s="104"/>
      <c r="BA11" s="104"/>
      <c r="BB11" s="105"/>
      <c r="BC11" s="100"/>
      <c r="BD11" s="101"/>
      <c r="BE11" s="101"/>
      <c r="BF11" s="101"/>
      <c r="BG11" s="102"/>
      <c r="BH11" s="103"/>
      <c r="BI11" s="104"/>
      <c r="BJ11" s="104"/>
      <c r="BK11" s="104"/>
      <c r="BL11" s="105"/>
      <c r="BM11" s="100"/>
      <c r="BN11" s="101"/>
      <c r="BO11" s="101"/>
      <c r="BP11" s="101"/>
      <c r="BQ11" s="102"/>
      <c r="BR11" s="103"/>
      <c r="BS11" s="104"/>
      <c r="BT11" s="104"/>
      <c r="BU11" s="208"/>
      <c r="BV11" s="212"/>
      <c r="BW11" s="100"/>
      <c r="BX11" s="101"/>
      <c r="BY11" s="101"/>
      <c r="BZ11" s="101"/>
      <c r="CA11" s="102"/>
      <c r="CB11" s="221"/>
      <c r="CC11" s="104"/>
      <c r="CD11" s="104"/>
      <c r="CE11" s="104"/>
      <c r="CF11" s="105"/>
      <c r="CG11" s="100"/>
      <c r="CH11" s="101"/>
      <c r="CI11" s="101"/>
      <c r="CJ11" s="101"/>
      <c r="CK11" s="102"/>
      <c r="CL11" s="103"/>
      <c r="CM11" s="104"/>
      <c r="CN11" s="104"/>
      <c r="CO11" s="104"/>
      <c r="CP11" s="105"/>
      <c r="CQ11" s="100"/>
      <c r="CR11" s="101"/>
      <c r="CS11" s="101"/>
      <c r="CT11" s="101"/>
      <c r="CU11" s="102"/>
      <c r="CV11" s="103"/>
      <c r="CW11" s="104"/>
      <c r="CX11" s="104"/>
      <c r="CY11" s="104"/>
      <c r="CZ11" s="105"/>
      <c r="DA11" s="100"/>
      <c r="DB11" s="101"/>
      <c r="DC11" s="101"/>
      <c r="DD11" s="101"/>
      <c r="DE11" s="102"/>
    </row>
    <row r="12" spans="1:165" x14ac:dyDescent="0.2">
      <c r="B12" s="48" t="s">
        <v>19</v>
      </c>
      <c r="C12" s="82"/>
      <c r="D12" s="49"/>
      <c r="E12" s="81"/>
      <c r="F12" s="42"/>
      <c r="G12" s="200"/>
      <c r="H12" s="42"/>
      <c r="I12" s="43"/>
      <c r="J12" s="77"/>
      <c r="K12" s="62"/>
      <c r="L12" s="200"/>
      <c r="M12" s="62"/>
      <c r="N12" s="44"/>
      <c r="O12" s="41"/>
      <c r="P12" s="42"/>
      <c r="Q12" s="200"/>
      <c r="R12" s="42"/>
      <c r="S12" s="43"/>
      <c r="T12" s="77"/>
      <c r="U12" s="62"/>
      <c r="V12" s="200"/>
      <c r="W12" s="62"/>
      <c r="X12" s="44"/>
      <c r="Y12" s="41"/>
      <c r="Z12" s="42"/>
      <c r="AA12" s="200"/>
      <c r="AB12" s="42"/>
      <c r="AC12" s="43"/>
      <c r="AD12" s="77"/>
      <c r="AE12" s="62"/>
      <c r="AF12" s="200"/>
      <c r="AG12" s="62"/>
      <c r="AH12" s="44"/>
      <c r="AI12" s="41"/>
      <c r="AJ12" s="42"/>
      <c r="AK12" s="200"/>
      <c r="AL12" s="42"/>
      <c r="AM12" s="43"/>
      <c r="AN12" s="219"/>
      <c r="AO12" s="200"/>
      <c r="AP12" s="200"/>
      <c r="AQ12" s="200"/>
      <c r="AR12" s="209"/>
      <c r="AS12" s="223"/>
      <c r="AT12" s="42"/>
      <c r="AU12" s="200"/>
      <c r="AV12" s="42"/>
      <c r="AW12" s="43"/>
      <c r="AX12" s="77"/>
      <c r="AY12" s="62"/>
      <c r="AZ12" s="200"/>
      <c r="BA12" s="62"/>
      <c r="BB12" s="44"/>
      <c r="BC12" s="41"/>
      <c r="BD12" s="42"/>
      <c r="BE12" s="200"/>
      <c r="BF12" s="42"/>
      <c r="BG12" s="43"/>
      <c r="BH12" s="77"/>
      <c r="BI12" s="62"/>
      <c r="BJ12" s="200"/>
      <c r="BK12" s="62"/>
      <c r="BL12" s="44"/>
      <c r="BM12" s="41"/>
      <c r="BN12" s="42"/>
      <c r="BO12" s="200"/>
      <c r="BP12" s="42"/>
      <c r="BQ12" s="43"/>
      <c r="BR12" s="77"/>
      <c r="BS12" s="62"/>
      <c r="BT12" s="200"/>
      <c r="BU12" s="200"/>
      <c r="BV12" s="209"/>
      <c r="BW12" s="41"/>
      <c r="BX12" s="42"/>
      <c r="BY12" s="200"/>
      <c r="BZ12" s="42"/>
      <c r="CA12" s="43"/>
      <c r="CB12" s="219"/>
      <c r="CC12" s="62"/>
      <c r="CD12" s="200"/>
      <c r="CE12" s="62"/>
      <c r="CF12" s="44"/>
      <c r="CG12" s="41"/>
      <c r="CH12" s="42"/>
      <c r="CI12" s="200"/>
      <c r="CJ12" s="42"/>
      <c r="CK12" s="43"/>
      <c r="CL12" s="77"/>
      <c r="CM12" s="62"/>
      <c r="CN12" s="200"/>
      <c r="CO12" s="62"/>
      <c r="CP12" s="44"/>
      <c r="CQ12" s="41"/>
      <c r="CR12" s="42"/>
      <c r="CS12" s="200"/>
      <c r="CT12" s="42"/>
      <c r="CU12" s="43"/>
      <c r="CV12" s="77"/>
      <c r="CW12" s="62"/>
      <c r="CX12" s="200"/>
      <c r="CY12" s="62"/>
      <c r="CZ12" s="44"/>
      <c r="DA12" s="41"/>
      <c r="DB12" s="42"/>
      <c r="DC12" s="200"/>
      <c r="DD12" s="42"/>
      <c r="DE12" s="43"/>
    </row>
    <row r="13" spans="1:165" x14ac:dyDescent="0.2">
      <c r="B13" s="448" t="s">
        <v>21</v>
      </c>
      <c r="C13" s="449"/>
      <c r="D13" s="450"/>
      <c r="E13" s="214"/>
      <c r="F13" s="51"/>
      <c r="G13" s="201"/>
      <c r="H13" s="51"/>
      <c r="I13" s="52"/>
      <c r="J13" s="69"/>
      <c r="K13" s="64"/>
      <c r="L13" s="201"/>
      <c r="M13" s="64"/>
      <c r="N13" s="53"/>
      <c r="O13" s="50"/>
      <c r="P13" s="51"/>
      <c r="Q13" s="201"/>
      <c r="R13" s="51"/>
      <c r="S13" s="52"/>
      <c r="T13" s="69"/>
      <c r="U13" s="64"/>
      <c r="V13" s="201"/>
      <c r="W13" s="64"/>
      <c r="X13" s="53"/>
      <c r="Y13" s="50"/>
      <c r="Z13" s="51"/>
      <c r="AA13" s="201"/>
      <c r="AB13" s="51"/>
      <c r="AC13" s="52"/>
      <c r="AD13" s="69"/>
      <c r="AE13" s="64"/>
      <c r="AF13" s="201"/>
      <c r="AG13" s="64"/>
      <c r="AH13" s="53"/>
      <c r="AI13" s="50"/>
      <c r="AJ13" s="51"/>
      <c r="AK13" s="201"/>
      <c r="AL13" s="51"/>
      <c r="AM13" s="52"/>
      <c r="AN13" s="220"/>
      <c r="AO13" s="201"/>
      <c r="AP13" s="201"/>
      <c r="AQ13" s="201"/>
      <c r="AR13" s="210"/>
      <c r="AS13" s="225"/>
      <c r="AT13" s="51"/>
      <c r="AU13" s="201"/>
      <c r="AV13" s="51"/>
      <c r="AW13" s="52"/>
      <c r="AX13" s="69"/>
      <c r="AY13" s="64"/>
      <c r="AZ13" s="201"/>
      <c r="BA13" s="64"/>
      <c r="BB13" s="53"/>
      <c r="BC13" s="50"/>
      <c r="BD13" s="51"/>
      <c r="BE13" s="201"/>
      <c r="BF13" s="51"/>
      <c r="BG13" s="52"/>
      <c r="BH13" s="69"/>
      <c r="BI13" s="64"/>
      <c r="BJ13" s="201"/>
      <c r="BK13" s="64"/>
      <c r="BL13" s="53"/>
      <c r="BM13" s="50"/>
      <c r="BN13" s="51"/>
      <c r="BO13" s="201"/>
      <c r="BP13" s="51"/>
      <c r="BQ13" s="52"/>
      <c r="BR13" s="69"/>
      <c r="BS13" s="64"/>
      <c r="BT13" s="201"/>
      <c r="BU13" s="201"/>
      <c r="BV13" s="210"/>
      <c r="BW13" s="50"/>
      <c r="BX13" s="51"/>
      <c r="BY13" s="201"/>
      <c r="BZ13" s="51"/>
      <c r="CA13" s="52"/>
      <c r="CB13" s="220"/>
      <c r="CC13" s="64"/>
      <c r="CD13" s="201"/>
      <c r="CE13" s="64"/>
      <c r="CF13" s="53"/>
      <c r="CG13" s="50"/>
      <c r="CH13" s="51"/>
      <c r="CI13" s="201"/>
      <c r="CJ13" s="51"/>
      <c r="CK13" s="52"/>
      <c r="CL13" s="69"/>
      <c r="CM13" s="64"/>
      <c r="CN13" s="201"/>
      <c r="CO13" s="64"/>
      <c r="CP13" s="53"/>
      <c r="CQ13" s="50"/>
      <c r="CR13" s="51"/>
      <c r="CS13" s="201"/>
      <c r="CT13" s="51"/>
      <c r="CU13" s="52"/>
      <c r="CV13" s="69"/>
      <c r="CW13" s="64"/>
      <c r="CX13" s="201"/>
      <c r="CY13" s="64"/>
      <c r="CZ13" s="53"/>
      <c r="DA13" s="50"/>
      <c r="DB13" s="51"/>
      <c r="DC13" s="201"/>
      <c r="DD13" s="51"/>
      <c r="DE13" s="52"/>
    </row>
    <row r="14" spans="1:165" x14ac:dyDescent="0.2">
      <c r="B14" s="448" t="s">
        <v>22</v>
      </c>
      <c r="C14" s="449"/>
      <c r="D14" s="450"/>
      <c r="E14" s="57"/>
      <c r="F14" s="51"/>
      <c r="G14" s="201"/>
      <c r="H14" s="51"/>
      <c r="I14" s="52"/>
      <c r="J14" s="69"/>
      <c r="K14" s="64"/>
      <c r="L14" s="201"/>
      <c r="M14" s="64"/>
      <c r="N14" s="45"/>
      <c r="O14" s="54"/>
      <c r="P14" s="51"/>
      <c r="Q14" s="201"/>
      <c r="R14" s="51"/>
      <c r="S14" s="52"/>
      <c r="T14" s="69"/>
      <c r="U14" s="64"/>
      <c r="V14" s="201"/>
      <c r="W14" s="64"/>
      <c r="X14" s="45"/>
      <c r="Y14" s="54"/>
      <c r="Z14" s="51"/>
      <c r="AA14" s="201"/>
      <c r="AB14" s="51"/>
      <c r="AC14" s="52"/>
      <c r="AD14" s="69"/>
      <c r="AE14" s="64"/>
      <c r="AF14" s="201"/>
      <c r="AG14" s="64"/>
      <c r="AH14" s="45"/>
      <c r="AI14" s="54"/>
      <c r="AJ14" s="51"/>
      <c r="AK14" s="201"/>
      <c r="AL14" s="51"/>
      <c r="AM14" s="52"/>
      <c r="AN14" s="220"/>
      <c r="AO14" s="201"/>
      <c r="AP14" s="201"/>
      <c r="AQ14" s="201"/>
      <c r="AR14" s="211"/>
      <c r="AS14" s="227"/>
      <c r="AT14" s="51"/>
      <c r="AU14" s="201"/>
      <c r="AV14" s="51"/>
      <c r="AW14" s="52"/>
      <c r="AX14" s="69"/>
      <c r="AY14" s="64"/>
      <c r="AZ14" s="201"/>
      <c r="BA14" s="64"/>
      <c r="BB14" s="45"/>
      <c r="BC14" s="54"/>
      <c r="BD14" s="51"/>
      <c r="BE14" s="201"/>
      <c r="BF14" s="51"/>
      <c r="BG14" s="52"/>
      <c r="BH14" s="69"/>
      <c r="BI14" s="64"/>
      <c r="BJ14" s="201"/>
      <c r="BK14" s="64"/>
      <c r="BL14" s="45"/>
      <c r="BM14" s="54"/>
      <c r="BN14" s="51"/>
      <c r="BO14" s="201"/>
      <c r="BP14" s="51"/>
      <c r="BQ14" s="52"/>
      <c r="BR14" s="69"/>
      <c r="BS14" s="64"/>
      <c r="BT14" s="201"/>
      <c r="BU14" s="201"/>
      <c r="BV14" s="211"/>
      <c r="BW14" s="54"/>
      <c r="BX14" s="51"/>
      <c r="BY14" s="201"/>
      <c r="BZ14" s="51"/>
      <c r="CA14" s="52"/>
      <c r="CB14" s="220"/>
      <c r="CC14" s="64"/>
      <c r="CD14" s="201"/>
      <c r="CE14" s="64"/>
      <c r="CF14" s="45"/>
      <c r="CG14" s="54"/>
      <c r="CH14" s="51"/>
      <c r="CI14" s="201"/>
      <c r="CJ14" s="51"/>
      <c r="CK14" s="52"/>
      <c r="CL14" s="69"/>
      <c r="CM14" s="64"/>
      <c r="CN14" s="201"/>
      <c r="CO14" s="64"/>
      <c r="CP14" s="45"/>
      <c r="CQ14" s="54"/>
      <c r="CR14" s="51"/>
      <c r="CS14" s="201"/>
      <c r="CT14" s="51"/>
      <c r="CU14" s="52"/>
      <c r="CV14" s="69"/>
      <c r="CW14" s="64"/>
      <c r="CX14" s="201"/>
      <c r="CY14" s="64"/>
      <c r="CZ14" s="45"/>
      <c r="DA14" s="54"/>
      <c r="DB14" s="51"/>
      <c r="DC14" s="201"/>
      <c r="DD14" s="51"/>
      <c r="DE14" s="52"/>
    </row>
    <row r="15" spans="1:165" ht="17" thickBot="1" x14ac:dyDescent="0.25">
      <c r="B15" s="448" t="s">
        <v>23</v>
      </c>
      <c r="C15" s="449"/>
      <c r="D15" s="450"/>
      <c r="E15" s="215"/>
      <c r="F15" s="90"/>
      <c r="G15" s="202"/>
      <c r="H15" s="90"/>
      <c r="I15" s="91"/>
      <c r="J15" s="92"/>
      <c r="K15" s="93"/>
      <c r="L15" s="202"/>
      <c r="M15" s="93"/>
      <c r="N15" s="94"/>
      <c r="O15" s="89"/>
      <c r="P15" s="90"/>
      <c r="Q15" s="202"/>
      <c r="R15" s="90"/>
      <c r="S15" s="91"/>
      <c r="T15" s="92"/>
      <c r="U15" s="93"/>
      <c r="V15" s="202"/>
      <c r="W15" s="93"/>
      <c r="X15" s="94"/>
      <c r="Y15" s="89"/>
      <c r="Z15" s="90"/>
      <c r="AA15" s="202"/>
      <c r="AB15" s="90"/>
      <c r="AC15" s="91"/>
      <c r="AD15" s="92"/>
      <c r="AE15" s="93"/>
      <c r="AF15" s="202"/>
      <c r="AG15" s="93"/>
      <c r="AH15" s="94"/>
      <c r="AI15" s="89"/>
      <c r="AJ15" s="90"/>
      <c r="AK15" s="202"/>
      <c r="AL15" s="90"/>
      <c r="AM15" s="91"/>
      <c r="AN15" s="222"/>
      <c r="AO15" s="202"/>
      <c r="AP15" s="202"/>
      <c r="AQ15" s="202"/>
      <c r="AR15" s="213"/>
      <c r="AS15" s="230"/>
      <c r="AT15" s="90"/>
      <c r="AU15" s="202"/>
      <c r="AV15" s="90"/>
      <c r="AW15" s="91"/>
      <c r="AX15" s="92"/>
      <c r="AY15" s="93"/>
      <c r="AZ15" s="202"/>
      <c r="BA15" s="93"/>
      <c r="BB15" s="94"/>
      <c r="BC15" s="89"/>
      <c r="BD15" s="90"/>
      <c r="BE15" s="202"/>
      <c r="BF15" s="90"/>
      <c r="BG15" s="91"/>
      <c r="BH15" s="92"/>
      <c r="BI15" s="93"/>
      <c r="BJ15" s="202"/>
      <c r="BK15" s="93"/>
      <c r="BL15" s="94"/>
      <c r="BM15" s="89"/>
      <c r="BN15" s="90"/>
      <c r="BO15" s="202"/>
      <c r="BP15" s="90"/>
      <c r="BQ15" s="91"/>
      <c r="BR15" s="92"/>
      <c r="BS15" s="93"/>
      <c r="BT15" s="202"/>
      <c r="BU15" s="202"/>
      <c r="BV15" s="213"/>
      <c r="BW15" s="89"/>
      <c r="BX15" s="90"/>
      <c r="BY15" s="202"/>
      <c r="BZ15" s="90"/>
      <c r="CA15" s="91"/>
      <c r="CB15" s="222"/>
      <c r="CC15" s="93"/>
      <c r="CD15" s="202"/>
      <c r="CE15" s="93"/>
      <c r="CF15" s="94"/>
      <c r="CG15" s="89"/>
      <c r="CH15" s="90"/>
      <c r="CI15" s="202"/>
      <c r="CJ15" s="90"/>
      <c r="CK15" s="91"/>
      <c r="CL15" s="92"/>
      <c r="CM15" s="93"/>
      <c r="CN15" s="202"/>
      <c r="CO15" s="93"/>
      <c r="CP15" s="94"/>
      <c r="CQ15" s="89"/>
      <c r="CR15" s="90"/>
      <c r="CS15" s="202"/>
      <c r="CT15" s="90"/>
      <c r="CU15" s="91"/>
      <c r="CV15" s="92"/>
      <c r="CW15" s="93"/>
      <c r="CX15" s="202"/>
      <c r="CY15" s="93"/>
      <c r="CZ15" s="94"/>
      <c r="DA15" s="89"/>
      <c r="DB15" s="90"/>
      <c r="DC15" s="202"/>
      <c r="DD15" s="90"/>
      <c r="DE15" s="91"/>
    </row>
    <row r="16" spans="1:165" x14ac:dyDescent="0.2">
      <c r="B16" s="448" t="s">
        <v>24</v>
      </c>
      <c r="C16" s="449"/>
      <c r="D16" s="450"/>
      <c r="E16" s="95"/>
      <c r="F16" s="96"/>
      <c r="G16" s="96"/>
      <c r="H16" s="96"/>
      <c r="I16" s="97"/>
      <c r="J16" s="98"/>
      <c r="K16" s="47"/>
      <c r="L16" s="47"/>
      <c r="M16" s="47"/>
      <c r="N16" s="63"/>
      <c r="O16" s="95"/>
      <c r="P16" s="96"/>
      <c r="Q16" s="96"/>
      <c r="R16" s="96"/>
      <c r="S16" s="97"/>
      <c r="T16" s="98"/>
      <c r="U16" s="47"/>
      <c r="V16" s="47"/>
      <c r="W16" s="47"/>
      <c r="X16" s="63"/>
      <c r="Y16" s="95"/>
      <c r="Z16" s="96"/>
      <c r="AA16" s="96"/>
      <c r="AB16" s="96"/>
      <c r="AC16" s="97"/>
      <c r="AD16" s="98"/>
      <c r="AE16" s="47"/>
      <c r="AF16" s="47"/>
      <c r="AG16" s="47"/>
      <c r="AH16" s="63"/>
      <c r="AI16" s="95"/>
      <c r="AJ16" s="96"/>
      <c r="AK16" s="96"/>
      <c r="AL16" s="96"/>
      <c r="AM16" s="97"/>
      <c r="AN16" s="98"/>
      <c r="AO16" s="47"/>
      <c r="AP16" s="47"/>
      <c r="AQ16" s="47"/>
      <c r="AR16" s="63"/>
      <c r="AS16" s="95"/>
      <c r="AT16" s="96"/>
      <c r="AU16" s="96"/>
      <c r="AV16" s="96"/>
      <c r="AW16" s="97"/>
      <c r="AX16" s="98"/>
      <c r="AY16" s="47"/>
      <c r="AZ16" s="47"/>
      <c r="BA16" s="47"/>
      <c r="BB16" s="63"/>
      <c r="BC16" s="95"/>
      <c r="BD16" s="96"/>
      <c r="BE16" s="96"/>
      <c r="BF16" s="96"/>
      <c r="BG16" s="97"/>
      <c r="BH16" s="98"/>
      <c r="BI16" s="47"/>
      <c r="BJ16" s="47"/>
      <c r="BK16" s="47"/>
      <c r="BL16" s="63"/>
      <c r="BM16" s="95"/>
      <c r="BN16" s="96"/>
      <c r="BO16" s="96"/>
      <c r="BP16" s="96"/>
      <c r="BQ16" s="97"/>
      <c r="BR16" s="98"/>
      <c r="BS16" s="47"/>
      <c r="BT16" s="47"/>
      <c r="BU16" s="47"/>
      <c r="BV16" s="63"/>
      <c r="BW16" s="95"/>
      <c r="BX16" s="96"/>
      <c r="BY16" s="96"/>
      <c r="BZ16" s="96"/>
      <c r="CA16" s="97"/>
      <c r="CB16" s="98"/>
      <c r="CC16" s="47"/>
      <c r="CD16" s="47"/>
      <c r="CE16" s="47"/>
      <c r="CF16" s="63"/>
      <c r="CG16" s="95"/>
      <c r="CH16" s="96"/>
      <c r="CI16" s="96"/>
      <c r="CJ16" s="96"/>
      <c r="CK16" s="97"/>
      <c r="CL16" s="98"/>
      <c r="CM16" s="47"/>
      <c r="CN16" s="47"/>
      <c r="CO16" s="47"/>
      <c r="CP16" s="63"/>
      <c r="CQ16" s="95"/>
      <c r="CR16" s="96"/>
      <c r="CS16" s="96"/>
      <c r="CT16" s="96"/>
      <c r="CU16" s="97"/>
      <c r="CV16" s="98"/>
      <c r="CW16" s="47"/>
      <c r="CX16" s="47"/>
      <c r="CY16" s="47"/>
      <c r="CZ16" s="63"/>
      <c r="DA16" s="95"/>
      <c r="DB16" s="96"/>
      <c r="DC16" s="96"/>
      <c r="DD16" s="96"/>
      <c r="DE16" s="97"/>
    </row>
    <row r="17" spans="1:165" x14ac:dyDescent="0.2">
      <c r="B17" s="448" t="s">
        <v>30</v>
      </c>
      <c r="C17" s="449"/>
      <c r="D17" s="450"/>
      <c r="E17" s="68"/>
      <c r="F17" s="65"/>
      <c r="G17" s="65"/>
      <c r="H17" s="65"/>
      <c r="I17" s="70"/>
      <c r="J17" s="67"/>
      <c r="K17" s="56"/>
      <c r="L17" s="56"/>
      <c r="M17" s="56"/>
      <c r="N17" s="66"/>
      <c r="O17" s="68"/>
      <c r="P17" s="65"/>
      <c r="Q17" s="65"/>
      <c r="R17" s="65"/>
      <c r="S17" s="70"/>
      <c r="T17" s="67"/>
      <c r="U17" s="56"/>
      <c r="V17" s="56"/>
      <c r="W17" s="56"/>
      <c r="X17" s="66"/>
      <c r="Y17" s="68"/>
      <c r="Z17" s="65"/>
      <c r="AA17" s="65"/>
      <c r="AB17" s="65"/>
      <c r="AC17" s="70"/>
      <c r="AD17" s="67"/>
      <c r="AE17" s="56"/>
      <c r="AF17" s="56"/>
      <c r="AG17" s="56"/>
      <c r="AH17" s="66"/>
      <c r="AI17" s="68"/>
      <c r="AJ17" s="65"/>
      <c r="AK17" s="65"/>
      <c r="AL17" s="65"/>
      <c r="AM17" s="70"/>
      <c r="AN17" s="67"/>
      <c r="AO17" s="56"/>
      <c r="AP17" s="56"/>
      <c r="AQ17" s="56"/>
      <c r="AR17" s="66"/>
      <c r="AS17" s="68"/>
      <c r="AT17" s="65"/>
      <c r="AU17" s="65"/>
      <c r="AV17" s="65"/>
      <c r="AW17" s="70"/>
      <c r="AX17" s="67"/>
      <c r="AY17" s="56"/>
      <c r="AZ17" s="56"/>
      <c r="BA17" s="56"/>
      <c r="BB17" s="66"/>
      <c r="BC17" s="68"/>
      <c r="BD17" s="65"/>
      <c r="BE17" s="65"/>
      <c r="BF17" s="65"/>
      <c r="BG17" s="70"/>
      <c r="BH17" s="67"/>
      <c r="BI17" s="56"/>
      <c r="BJ17" s="56"/>
      <c r="BK17" s="56"/>
      <c r="BL17" s="66"/>
      <c r="BM17" s="68"/>
      <c r="BN17" s="65"/>
      <c r="BO17" s="65"/>
      <c r="BP17" s="65"/>
      <c r="BQ17" s="70"/>
      <c r="BR17" s="67"/>
      <c r="BS17" s="56"/>
      <c r="BT17" s="56"/>
      <c r="BU17" s="56"/>
      <c r="BV17" s="66"/>
      <c r="BW17" s="68"/>
      <c r="BX17" s="65"/>
      <c r="BY17" s="65"/>
      <c r="BZ17" s="65"/>
      <c r="CA17" s="70"/>
      <c r="CB17" s="67"/>
      <c r="CC17" s="56"/>
      <c r="CD17" s="56"/>
      <c r="CE17" s="56"/>
      <c r="CF17" s="66"/>
      <c r="CG17" s="68"/>
      <c r="CH17" s="65"/>
      <c r="CI17" s="65"/>
      <c r="CJ17" s="65"/>
      <c r="CK17" s="70"/>
      <c r="CL17" s="67"/>
      <c r="CM17" s="56"/>
      <c r="CN17" s="56"/>
      <c r="CO17" s="56"/>
      <c r="CP17" s="66"/>
      <c r="CQ17" s="68"/>
      <c r="CR17" s="65"/>
      <c r="CS17" s="65"/>
      <c r="CT17" s="65"/>
      <c r="CU17" s="70"/>
      <c r="CV17" s="67"/>
      <c r="CW17" s="56"/>
      <c r="CX17" s="56"/>
      <c r="CY17" s="56"/>
      <c r="CZ17" s="66"/>
      <c r="DA17" s="68"/>
      <c r="DB17" s="65"/>
      <c r="DC17" s="65"/>
      <c r="DD17" s="65"/>
      <c r="DE17" s="70"/>
    </row>
    <row r="18" spans="1:165" x14ac:dyDescent="0.2">
      <c r="B18" s="448" t="s">
        <v>31</v>
      </c>
      <c r="C18" s="449"/>
      <c r="D18" s="450"/>
      <c r="E18" s="68"/>
      <c r="F18" s="65"/>
      <c r="G18" s="65"/>
      <c r="H18" s="65"/>
      <c r="I18" s="70"/>
      <c r="J18" s="67"/>
      <c r="K18" s="56"/>
      <c r="L18" s="56"/>
      <c r="M18" s="56"/>
      <c r="N18" s="66"/>
      <c r="O18" s="68"/>
      <c r="P18" s="65"/>
      <c r="Q18" s="65"/>
      <c r="R18" s="65"/>
      <c r="S18" s="70"/>
      <c r="T18" s="67"/>
      <c r="U18" s="56"/>
      <c r="V18" s="56"/>
      <c r="W18" s="56"/>
      <c r="X18" s="66"/>
      <c r="Y18" s="68"/>
      <c r="Z18" s="65"/>
      <c r="AA18" s="65"/>
      <c r="AB18" s="65"/>
      <c r="AC18" s="70"/>
      <c r="AD18" s="67"/>
      <c r="AE18" s="56"/>
      <c r="AF18" s="56"/>
      <c r="AG18" s="56"/>
      <c r="AH18" s="66"/>
      <c r="AI18" s="68"/>
      <c r="AJ18" s="65"/>
      <c r="AK18" s="65"/>
      <c r="AL18" s="65"/>
      <c r="AM18" s="70"/>
      <c r="AN18" s="67"/>
      <c r="AO18" s="56"/>
      <c r="AP18" s="56"/>
      <c r="AQ18" s="56"/>
      <c r="AR18" s="66"/>
      <c r="AS18" s="68"/>
      <c r="AT18" s="65"/>
      <c r="AU18" s="65"/>
      <c r="AV18" s="65"/>
      <c r="AW18" s="70"/>
      <c r="AX18" s="67"/>
      <c r="AY18" s="56"/>
      <c r="AZ18" s="56"/>
      <c r="BA18" s="56"/>
      <c r="BB18" s="66"/>
      <c r="BC18" s="68"/>
      <c r="BD18" s="65"/>
      <c r="BE18" s="65"/>
      <c r="BF18" s="65"/>
      <c r="BG18" s="70"/>
      <c r="BH18" s="67"/>
      <c r="BI18" s="56"/>
      <c r="BJ18" s="56"/>
      <c r="BK18" s="56"/>
      <c r="BL18" s="66"/>
      <c r="BM18" s="68"/>
      <c r="BN18" s="65"/>
      <c r="BO18" s="65"/>
      <c r="BP18" s="65"/>
      <c r="BQ18" s="70"/>
      <c r="BR18" s="67"/>
      <c r="BS18" s="56"/>
      <c r="BT18" s="56"/>
      <c r="BU18" s="56"/>
      <c r="BV18" s="66"/>
      <c r="BW18" s="68"/>
      <c r="BX18" s="65"/>
      <c r="BY18" s="65"/>
      <c r="BZ18" s="65"/>
      <c r="CA18" s="70"/>
      <c r="CB18" s="67"/>
      <c r="CC18" s="56"/>
      <c r="CD18" s="56"/>
      <c r="CE18" s="56"/>
      <c r="CF18" s="66"/>
      <c r="CG18" s="68"/>
      <c r="CH18" s="65"/>
      <c r="CI18" s="65"/>
      <c r="CJ18" s="65"/>
      <c r="CK18" s="70"/>
      <c r="CL18" s="67"/>
      <c r="CM18" s="56"/>
      <c r="CN18" s="56"/>
      <c r="CO18" s="56"/>
      <c r="CP18" s="66"/>
      <c r="CQ18" s="68"/>
      <c r="CR18" s="65"/>
      <c r="CS18" s="65"/>
      <c r="CT18" s="65"/>
      <c r="CU18" s="70"/>
      <c r="CV18" s="67"/>
      <c r="CW18" s="56"/>
      <c r="CX18" s="56"/>
      <c r="CY18" s="56"/>
      <c r="CZ18" s="66"/>
      <c r="DA18" s="68"/>
      <c r="DB18" s="65"/>
      <c r="DC18" s="65"/>
      <c r="DD18" s="65"/>
      <c r="DE18" s="70"/>
    </row>
    <row r="19" spans="1:165" x14ac:dyDescent="0.2">
      <c r="B19" s="448" t="s">
        <v>32</v>
      </c>
      <c r="C19" s="449"/>
      <c r="D19" s="450"/>
      <c r="E19" s="68"/>
      <c r="F19" s="65"/>
      <c r="G19" s="65"/>
      <c r="H19" s="65"/>
      <c r="I19" s="70"/>
      <c r="J19" s="67"/>
      <c r="K19" s="56"/>
      <c r="L19" s="56"/>
      <c r="M19" s="56"/>
      <c r="N19" s="66"/>
      <c r="O19" s="68"/>
      <c r="P19" s="65"/>
      <c r="Q19" s="65"/>
      <c r="R19" s="65"/>
      <c r="S19" s="70"/>
      <c r="T19" s="67"/>
      <c r="U19" s="56"/>
      <c r="V19" s="56"/>
      <c r="W19" s="56"/>
      <c r="X19" s="66"/>
      <c r="Y19" s="68"/>
      <c r="Z19" s="65"/>
      <c r="AA19" s="65"/>
      <c r="AB19" s="65"/>
      <c r="AC19" s="70"/>
      <c r="AD19" s="67"/>
      <c r="AE19" s="56"/>
      <c r="AF19" s="56"/>
      <c r="AG19" s="56"/>
      <c r="AH19" s="66"/>
      <c r="AI19" s="68"/>
      <c r="AJ19" s="65"/>
      <c r="AK19" s="65"/>
      <c r="AL19" s="65"/>
      <c r="AM19" s="70"/>
      <c r="AN19" s="67"/>
      <c r="AO19" s="56"/>
      <c r="AP19" s="56"/>
      <c r="AQ19" s="56"/>
      <c r="AR19" s="66"/>
      <c r="AS19" s="68"/>
      <c r="AT19" s="65"/>
      <c r="AU19" s="65"/>
      <c r="AV19" s="65"/>
      <c r="AW19" s="70"/>
      <c r="AX19" s="67"/>
      <c r="AY19" s="56"/>
      <c r="AZ19" s="56"/>
      <c r="BA19" s="56"/>
      <c r="BB19" s="66"/>
      <c r="BC19" s="68"/>
      <c r="BD19" s="65"/>
      <c r="BE19" s="65"/>
      <c r="BF19" s="65"/>
      <c r="BG19" s="70"/>
      <c r="BH19" s="67"/>
      <c r="BI19" s="56"/>
      <c r="BJ19" s="56"/>
      <c r="BK19" s="56"/>
      <c r="BL19" s="66"/>
      <c r="BM19" s="68"/>
      <c r="BN19" s="65"/>
      <c r="BO19" s="65"/>
      <c r="BP19" s="65"/>
      <c r="BQ19" s="70"/>
      <c r="BR19" s="67"/>
      <c r="BS19" s="56"/>
      <c r="BT19" s="56"/>
      <c r="BU19" s="56"/>
      <c r="BV19" s="66"/>
      <c r="BW19" s="68"/>
      <c r="BX19" s="65"/>
      <c r="BY19" s="65"/>
      <c r="BZ19" s="65"/>
      <c r="CA19" s="70"/>
      <c r="CB19" s="67"/>
      <c r="CC19" s="56"/>
      <c r="CD19" s="56"/>
      <c r="CE19" s="56"/>
      <c r="CF19" s="66"/>
      <c r="CG19" s="68"/>
      <c r="CH19" s="65"/>
      <c r="CI19" s="65"/>
      <c r="CJ19" s="65"/>
      <c r="CK19" s="70"/>
      <c r="CL19" s="67"/>
      <c r="CM19" s="56"/>
      <c r="CN19" s="56"/>
      <c r="CO19" s="56"/>
      <c r="CP19" s="66"/>
      <c r="CQ19" s="68"/>
      <c r="CR19" s="65"/>
      <c r="CS19" s="65"/>
      <c r="CT19" s="65"/>
      <c r="CU19" s="70"/>
      <c r="CV19" s="67"/>
      <c r="CW19" s="56"/>
      <c r="CX19" s="56"/>
      <c r="CY19" s="56"/>
      <c r="CZ19" s="66"/>
      <c r="DA19" s="68"/>
      <c r="DB19" s="65"/>
      <c r="DC19" s="65"/>
      <c r="DD19" s="65"/>
      <c r="DE19" s="70"/>
    </row>
    <row r="20" spans="1:165" x14ac:dyDescent="0.2">
      <c r="B20" s="448" t="s">
        <v>33</v>
      </c>
      <c r="C20" s="449"/>
      <c r="D20" s="450"/>
      <c r="E20" s="68"/>
      <c r="F20" s="65"/>
      <c r="G20" s="65"/>
      <c r="H20" s="65"/>
      <c r="I20" s="70"/>
      <c r="J20" s="67"/>
      <c r="K20" s="56"/>
      <c r="L20" s="56"/>
      <c r="M20" s="56"/>
      <c r="N20" s="66"/>
      <c r="O20" s="68"/>
      <c r="P20" s="65"/>
      <c r="Q20" s="65"/>
      <c r="R20" s="65"/>
      <c r="S20" s="70"/>
      <c r="T20" s="67"/>
      <c r="U20" s="56"/>
      <c r="V20" s="56"/>
      <c r="W20" s="56"/>
      <c r="X20" s="66"/>
      <c r="Y20" s="68"/>
      <c r="Z20" s="65"/>
      <c r="AA20" s="65"/>
      <c r="AB20" s="65"/>
      <c r="AC20" s="70"/>
      <c r="AD20" s="67"/>
      <c r="AE20" s="56"/>
      <c r="AF20" s="56"/>
      <c r="AG20" s="56"/>
      <c r="AH20" s="66"/>
      <c r="AI20" s="68"/>
      <c r="AJ20" s="65"/>
      <c r="AK20" s="65"/>
      <c r="AL20" s="65"/>
      <c r="AM20" s="70"/>
      <c r="AN20" s="67"/>
      <c r="AO20" s="56"/>
      <c r="AP20" s="56"/>
      <c r="AQ20" s="56"/>
      <c r="AR20" s="66"/>
      <c r="AS20" s="68"/>
      <c r="AT20" s="65"/>
      <c r="AU20" s="65"/>
      <c r="AV20" s="65"/>
      <c r="AW20" s="70"/>
      <c r="AX20" s="67"/>
      <c r="AY20" s="56"/>
      <c r="AZ20" s="56"/>
      <c r="BA20" s="56"/>
      <c r="BB20" s="66"/>
      <c r="BC20" s="68"/>
      <c r="BD20" s="65"/>
      <c r="BE20" s="65"/>
      <c r="BF20" s="65"/>
      <c r="BG20" s="70"/>
      <c r="BH20" s="67"/>
      <c r="BI20" s="56"/>
      <c r="BJ20" s="56"/>
      <c r="BK20" s="56"/>
      <c r="BL20" s="66"/>
      <c r="BM20" s="68"/>
      <c r="BN20" s="65"/>
      <c r="BO20" s="65"/>
      <c r="BP20" s="65"/>
      <c r="BQ20" s="70"/>
      <c r="BR20" s="67"/>
      <c r="BS20" s="56"/>
      <c r="BT20" s="56"/>
      <c r="BU20" s="56"/>
      <c r="BV20" s="66"/>
      <c r="BW20" s="68"/>
      <c r="BX20" s="65"/>
      <c r="BY20" s="65"/>
      <c r="BZ20" s="65"/>
      <c r="CA20" s="70"/>
      <c r="CB20" s="67"/>
      <c r="CC20" s="56"/>
      <c r="CD20" s="56"/>
      <c r="CE20" s="56"/>
      <c r="CF20" s="66"/>
      <c r="CG20" s="68"/>
      <c r="CH20" s="65"/>
      <c r="CI20" s="65"/>
      <c r="CJ20" s="65"/>
      <c r="CK20" s="70"/>
      <c r="CL20" s="67"/>
      <c r="CM20" s="56"/>
      <c r="CN20" s="56"/>
      <c r="CO20" s="56"/>
      <c r="CP20" s="66"/>
      <c r="CQ20" s="68"/>
      <c r="CR20" s="65"/>
      <c r="CS20" s="65"/>
      <c r="CT20" s="65"/>
      <c r="CU20" s="70"/>
      <c r="CV20" s="67"/>
      <c r="CW20" s="56"/>
      <c r="CX20" s="56"/>
      <c r="CY20" s="56"/>
      <c r="CZ20" s="66"/>
      <c r="DA20" s="68"/>
      <c r="DB20" s="65"/>
      <c r="DC20" s="65"/>
      <c r="DD20" s="65"/>
      <c r="DE20" s="70"/>
    </row>
    <row r="21" spans="1:165" ht="17" thickBot="1" x14ac:dyDescent="0.25">
      <c r="B21" s="451" t="s">
        <v>34</v>
      </c>
      <c r="C21" s="452"/>
      <c r="D21" s="453"/>
      <c r="E21" s="71"/>
      <c r="F21" s="72"/>
      <c r="G21" s="72"/>
      <c r="H21" s="72"/>
      <c r="I21" s="73"/>
      <c r="J21" s="74"/>
      <c r="K21" s="75"/>
      <c r="L21" s="75"/>
      <c r="M21" s="75"/>
      <c r="N21" s="76"/>
      <c r="O21" s="71"/>
      <c r="P21" s="72"/>
      <c r="Q21" s="72"/>
      <c r="R21" s="72"/>
      <c r="S21" s="73"/>
      <c r="T21" s="74"/>
      <c r="U21" s="75"/>
      <c r="V21" s="75"/>
      <c r="W21" s="75"/>
      <c r="X21" s="76"/>
      <c r="Y21" s="71"/>
      <c r="Z21" s="72"/>
      <c r="AA21" s="72"/>
      <c r="AB21" s="72"/>
      <c r="AC21" s="73"/>
      <c r="AD21" s="74"/>
      <c r="AE21" s="75"/>
      <c r="AF21" s="75"/>
      <c r="AG21" s="75"/>
      <c r="AH21" s="76"/>
      <c r="AI21" s="71"/>
      <c r="AJ21" s="72"/>
      <c r="AK21" s="72"/>
      <c r="AL21" s="72"/>
      <c r="AM21" s="73"/>
      <c r="AN21" s="74"/>
      <c r="AO21" s="75"/>
      <c r="AP21" s="75"/>
      <c r="AQ21" s="75"/>
      <c r="AR21" s="76"/>
      <c r="AS21" s="71"/>
      <c r="AT21" s="72"/>
      <c r="AU21" s="72"/>
      <c r="AV21" s="72"/>
      <c r="AW21" s="73"/>
      <c r="AX21" s="74"/>
      <c r="AY21" s="75"/>
      <c r="AZ21" s="75"/>
      <c r="BA21" s="75"/>
      <c r="BB21" s="76"/>
      <c r="BC21" s="71"/>
      <c r="BD21" s="72"/>
      <c r="BE21" s="72"/>
      <c r="BF21" s="72"/>
      <c r="BG21" s="73"/>
      <c r="BH21" s="74"/>
      <c r="BI21" s="75"/>
      <c r="BJ21" s="75"/>
      <c r="BK21" s="75"/>
      <c r="BL21" s="76"/>
      <c r="BM21" s="71"/>
      <c r="BN21" s="72"/>
      <c r="BO21" s="72"/>
      <c r="BP21" s="72"/>
      <c r="BQ21" s="73"/>
      <c r="BR21" s="74"/>
      <c r="BS21" s="75"/>
      <c r="BT21" s="75"/>
      <c r="BU21" s="75"/>
      <c r="BV21" s="76"/>
      <c r="BW21" s="71"/>
      <c r="BX21" s="72"/>
      <c r="BY21" s="72"/>
      <c r="BZ21" s="72"/>
      <c r="CA21" s="73"/>
      <c r="CB21" s="74"/>
      <c r="CC21" s="75"/>
      <c r="CD21" s="75"/>
      <c r="CE21" s="75"/>
      <c r="CF21" s="76"/>
      <c r="CG21" s="71"/>
      <c r="CH21" s="72"/>
      <c r="CI21" s="72"/>
      <c r="CJ21" s="72"/>
      <c r="CK21" s="73"/>
      <c r="CL21" s="74"/>
      <c r="CM21" s="75"/>
      <c r="CN21" s="75"/>
      <c r="CO21" s="75"/>
      <c r="CP21" s="76"/>
      <c r="CQ21" s="71"/>
      <c r="CR21" s="72"/>
      <c r="CS21" s="72"/>
      <c r="CT21" s="72"/>
      <c r="CU21" s="73"/>
      <c r="CV21" s="74"/>
      <c r="CW21" s="75"/>
      <c r="CX21" s="75"/>
      <c r="CY21" s="75"/>
      <c r="CZ21" s="76"/>
      <c r="DA21" s="71"/>
      <c r="DB21" s="72"/>
      <c r="DC21" s="72"/>
      <c r="DD21" s="72"/>
      <c r="DE21" s="73"/>
    </row>
    <row r="22" spans="1:165" s="136" customFormat="1" ht="17" thickBot="1" x14ac:dyDescent="0.25"/>
    <row r="23" spans="1:165" ht="17" thickBot="1" x14ac:dyDescent="0.25">
      <c r="B23" s="477" t="s">
        <v>380</v>
      </c>
      <c r="C23" s="477"/>
      <c r="D23" s="477"/>
      <c r="E23" s="464" t="str">
        <f>_xlfn.CONCAT("Uge ",WEEKNUM(E26))</f>
        <v>Uge 6</v>
      </c>
      <c r="F23" s="465"/>
      <c r="G23" s="465"/>
      <c r="H23" s="465"/>
      <c r="I23" s="466"/>
      <c r="J23" s="464" t="str">
        <f>_xlfn.CONCAT("Uge ",WEEKNUM(J26))</f>
        <v>Uge 7</v>
      </c>
      <c r="K23" s="465"/>
      <c r="L23" s="465"/>
      <c r="M23" s="465"/>
      <c r="N23" s="466"/>
      <c r="O23" s="464" t="str">
        <f t="shared" ref="O23" si="14">_xlfn.CONCAT("Uge ",WEEKNUM(O26))</f>
        <v>Uge 8</v>
      </c>
      <c r="P23" s="465"/>
      <c r="Q23" s="465"/>
      <c r="R23" s="465"/>
      <c r="S23" s="466"/>
      <c r="T23" s="464" t="str">
        <f t="shared" ref="T23" si="15">_xlfn.CONCAT("Uge ",WEEKNUM(T26))</f>
        <v>Uge 9</v>
      </c>
      <c r="U23" s="465"/>
      <c r="V23" s="465"/>
      <c r="W23" s="465"/>
      <c r="X23" s="466"/>
      <c r="Y23" s="464" t="str">
        <f t="shared" ref="Y23" si="16">_xlfn.CONCAT("Uge ",WEEKNUM(Y26))</f>
        <v>Uge 10</v>
      </c>
      <c r="Z23" s="465"/>
      <c r="AA23" s="465"/>
      <c r="AB23" s="465"/>
      <c r="AC23" s="466"/>
      <c r="AD23" s="464" t="str">
        <f t="shared" ref="AD23" si="17">_xlfn.CONCAT("Uge ",WEEKNUM(AD26))</f>
        <v>Uge 11</v>
      </c>
      <c r="AE23" s="465"/>
      <c r="AF23" s="465"/>
      <c r="AG23" s="465"/>
      <c r="AH23" s="466"/>
      <c r="AI23" s="464" t="str">
        <f t="shared" ref="AI23" si="18">_xlfn.CONCAT("Uge ",WEEKNUM(AI26))</f>
        <v>Uge 12</v>
      </c>
      <c r="AJ23" s="465"/>
      <c r="AK23" s="465"/>
      <c r="AL23" s="465"/>
      <c r="AM23" s="466"/>
      <c r="AN23" s="464" t="str">
        <f t="shared" ref="AN23" si="19">_xlfn.CONCAT("Uge ",WEEKNUM(AN26))</f>
        <v>Uge 13</v>
      </c>
      <c r="AO23" s="465"/>
      <c r="AP23" s="465"/>
      <c r="AQ23" s="465"/>
      <c r="AR23" s="466"/>
      <c r="AS23" s="464" t="str">
        <f t="shared" ref="AS23" si="20">_xlfn.CONCAT("Uge ",WEEKNUM(AS26))</f>
        <v>Uge 14</v>
      </c>
      <c r="AT23" s="465"/>
      <c r="AU23" s="465"/>
      <c r="AV23" s="465"/>
      <c r="AW23" s="466"/>
      <c r="AX23" s="464" t="str">
        <f t="shared" ref="AX23" si="21">_xlfn.CONCAT("Uge ",WEEKNUM(AX26))</f>
        <v>Uge 15</v>
      </c>
      <c r="AY23" s="465"/>
      <c r="AZ23" s="465"/>
      <c r="BA23" s="465"/>
      <c r="BB23" s="466"/>
      <c r="BC23" s="464" t="str">
        <f t="shared" ref="BC23" si="22">_xlfn.CONCAT("Uge ",WEEKNUM(BC26))</f>
        <v>Uge 16</v>
      </c>
      <c r="BD23" s="465"/>
      <c r="BE23" s="465"/>
      <c r="BF23" s="465"/>
      <c r="BG23" s="466"/>
      <c r="BH23" s="464" t="str">
        <f t="shared" ref="BH23" si="23">_xlfn.CONCAT("Uge ",WEEKNUM(BH26))</f>
        <v>Uge 17</v>
      </c>
      <c r="BI23" s="465"/>
      <c r="BJ23" s="465"/>
      <c r="BK23" s="465"/>
      <c r="BL23" s="466"/>
      <c r="BM23" s="464" t="str">
        <f t="shared" ref="BM23" si="24">_xlfn.CONCAT("Uge ",WEEKNUM(BM26))</f>
        <v>Uge 18</v>
      </c>
      <c r="BN23" s="465"/>
      <c r="BO23" s="465"/>
      <c r="BP23" s="465"/>
      <c r="BQ23" s="466"/>
      <c r="BR23" s="464" t="str">
        <f t="shared" ref="BR23" si="25">_xlfn.CONCAT("Uge ",WEEKNUM(BR26))</f>
        <v>Uge 19</v>
      </c>
      <c r="BS23" s="465"/>
      <c r="BT23" s="465"/>
      <c r="BU23" s="465"/>
      <c r="BV23" s="466"/>
      <c r="BW23" s="464" t="str">
        <f t="shared" ref="BW23" si="26">_xlfn.CONCAT("Uge ",WEEKNUM(BW26))</f>
        <v>Uge 20</v>
      </c>
      <c r="BX23" s="465"/>
      <c r="BY23" s="465"/>
      <c r="BZ23" s="465"/>
      <c r="CA23" s="466"/>
      <c r="CB23" s="464" t="str">
        <f t="shared" ref="CB23" si="27">_xlfn.CONCAT("Uge ",WEEKNUM(CB26))</f>
        <v>Uge 21</v>
      </c>
      <c r="CC23" s="465"/>
      <c r="CD23" s="465"/>
      <c r="CE23" s="465"/>
      <c r="CF23" s="466"/>
      <c r="CG23" s="464" t="str">
        <f t="shared" ref="CG23" si="28">_xlfn.CONCAT("Uge ",WEEKNUM(CG26))</f>
        <v>Uge 22</v>
      </c>
      <c r="CH23" s="465"/>
      <c r="CI23" s="465"/>
      <c r="CJ23" s="465"/>
      <c r="CK23" s="466"/>
      <c r="CL23" s="464" t="str">
        <f t="shared" ref="CL23" si="29">_xlfn.CONCAT("Uge ",WEEKNUM(CL26))</f>
        <v>Uge 23</v>
      </c>
      <c r="CM23" s="465"/>
      <c r="CN23" s="465"/>
      <c r="CO23" s="465"/>
      <c r="CP23" s="466"/>
      <c r="CQ23" s="464" t="str">
        <f t="shared" ref="CQ23" si="30">_xlfn.CONCAT("Uge ",WEEKNUM(CQ26))</f>
        <v>Uge 24</v>
      </c>
      <c r="CR23" s="465"/>
      <c r="CS23" s="465"/>
      <c r="CT23" s="465"/>
      <c r="CU23" s="466"/>
      <c r="CV23" s="464" t="str">
        <f t="shared" ref="CV23" si="31">_xlfn.CONCAT("Uge ",WEEKNUM(CV26))</f>
        <v>Uge 25</v>
      </c>
      <c r="CW23" s="465"/>
      <c r="CX23" s="465"/>
      <c r="CY23" s="465"/>
      <c r="CZ23" s="466"/>
      <c r="DA23" s="464" t="str">
        <f t="shared" ref="DA23" si="32">_xlfn.CONCAT("Uge ",WEEKNUM(DA26))</f>
        <v>Uge 26</v>
      </c>
      <c r="DB23" s="465"/>
      <c r="DC23" s="465"/>
      <c r="DD23" s="465"/>
      <c r="DE23" s="466"/>
    </row>
    <row r="24" spans="1:165" ht="17" thickBot="1" x14ac:dyDescent="0.25">
      <c r="B24" s="645" t="s">
        <v>395</v>
      </c>
      <c r="C24" s="646"/>
      <c r="D24" s="647"/>
      <c r="E24" s="476" t="s">
        <v>383</v>
      </c>
      <c r="F24" s="532"/>
      <c r="G24" s="532"/>
      <c r="H24" s="532"/>
      <c r="I24" s="533"/>
      <c r="J24" s="476" t="s">
        <v>383</v>
      </c>
      <c r="K24" s="532"/>
      <c r="L24" s="532"/>
      <c r="M24" s="532"/>
      <c r="N24" s="533"/>
      <c r="O24" s="476" t="s">
        <v>383</v>
      </c>
      <c r="P24" s="532"/>
      <c r="Q24" s="532"/>
      <c r="R24" s="532"/>
      <c r="S24" s="533"/>
      <c r="T24" s="476" t="s">
        <v>383</v>
      </c>
      <c r="U24" s="532"/>
      <c r="V24" s="532"/>
      <c r="W24" s="532"/>
      <c r="X24" s="533"/>
      <c r="Y24" s="476" t="s">
        <v>383</v>
      </c>
      <c r="Z24" s="532"/>
      <c r="AA24" s="532"/>
      <c r="AB24" s="532"/>
      <c r="AC24" s="533"/>
      <c r="AD24" s="463" t="s">
        <v>384</v>
      </c>
      <c r="AE24" s="532"/>
      <c r="AF24" s="532"/>
      <c r="AG24" s="532"/>
      <c r="AH24" s="533"/>
      <c r="AI24" s="463" t="s">
        <v>384</v>
      </c>
      <c r="AJ24" s="532"/>
      <c r="AK24" s="532"/>
      <c r="AL24" s="532"/>
      <c r="AM24" s="533"/>
      <c r="AN24" s="463" t="s">
        <v>384</v>
      </c>
      <c r="AO24" s="532"/>
      <c r="AP24" s="532"/>
      <c r="AQ24" s="532"/>
      <c r="AR24" s="533"/>
      <c r="AS24" s="463" t="s">
        <v>384</v>
      </c>
      <c r="AT24" s="532"/>
      <c r="AU24" s="532"/>
      <c r="AV24" s="532"/>
      <c r="AW24" s="533"/>
      <c r="AX24" s="463" t="s">
        <v>384</v>
      </c>
      <c r="AY24" s="532"/>
      <c r="AZ24" s="532"/>
      <c r="BA24" s="532"/>
      <c r="BB24" s="533"/>
      <c r="BC24" s="461" t="s">
        <v>385</v>
      </c>
      <c r="BD24" s="532"/>
      <c r="BE24" s="532"/>
      <c r="BF24" s="532"/>
      <c r="BG24" s="533"/>
      <c r="BH24" s="461" t="s">
        <v>385</v>
      </c>
      <c r="BI24" s="532"/>
      <c r="BJ24" s="532"/>
      <c r="BK24" s="532"/>
      <c r="BL24" s="533"/>
      <c r="BM24" s="461" t="s">
        <v>385</v>
      </c>
      <c r="BN24" s="532"/>
      <c r="BO24" s="532"/>
      <c r="BP24" s="532"/>
      <c r="BQ24" s="533"/>
      <c r="BR24" s="461" t="s">
        <v>385</v>
      </c>
      <c r="BS24" s="532"/>
      <c r="BT24" s="532"/>
      <c r="BU24" s="532"/>
      <c r="BV24" s="533"/>
      <c r="BW24" s="461" t="s">
        <v>385</v>
      </c>
      <c r="BX24" s="532"/>
      <c r="BY24" s="532"/>
      <c r="BZ24" s="532"/>
      <c r="CA24" s="533"/>
      <c r="CB24" s="462" t="s">
        <v>386</v>
      </c>
      <c r="CC24" s="532"/>
      <c r="CD24" s="532"/>
      <c r="CE24" s="532"/>
      <c r="CF24" s="533"/>
      <c r="CG24" s="462" t="s">
        <v>386</v>
      </c>
      <c r="CH24" s="532"/>
      <c r="CI24" s="532"/>
      <c r="CJ24" s="532"/>
      <c r="CK24" s="533"/>
      <c r="CL24" s="462" t="s">
        <v>386</v>
      </c>
      <c r="CM24" s="532"/>
      <c r="CN24" s="532"/>
      <c r="CO24" s="532"/>
      <c r="CP24" s="533"/>
      <c r="CQ24" s="462" t="s">
        <v>386</v>
      </c>
      <c r="CR24" s="532"/>
      <c r="CS24" s="532"/>
      <c r="CT24" s="532"/>
      <c r="CU24" s="533"/>
      <c r="CV24" s="462" t="s">
        <v>386</v>
      </c>
      <c r="CW24" s="532"/>
      <c r="CX24" s="532"/>
      <c r="CY24" s="532"/>
      <c r="CZ24" s="533"/>
      <c r="DA24" s="531"/>
      <c r="DB24" s="532"/>
      <c r="DC24" s="532"/>
      <c r="DD24" s="532"/>
      <c r="DE24" s="533"/>
    </row>
    <row r="25" spans="1:165" x14ac:dyDescent="0.2">
      <c r="B25" s="648"/>
      <c r="C25" s="649"/>
      <c r="D25" s="650"/>
      <c r="E25" s="316">
        <f>E26</f>
        <v>46419</v>
      </c>
      <c r="F25" s="317">
        <f t="shared" ref="F25:BQ25" si="33">F26</f>
        <v>46420</v>
      </c>
      <c r="G25" s="318">
        <f t="shared" si="33"/>
        <v>46421</v>
      </c>
      <c r="H25" s="318">
        <f t="shared" si="33"/>
        <v>46422</v>
      </c>
      <c r="I25" s="319">
        <f t="shared" si="33"/>
        <v>46423</v>
      </c>
      <c r="J25" s="320">
        <f t="shared" si="33"/>
        <v>46426</v>
      </c>
      <c r="K25" s="321">
        <f t="shared" si="33"/>
        <v>46427</v>
      </c>
      <c r="L25" s="322">
        <f t="shared" si="33"/>
        <v>46428</v>
      </c>
      <c r="M25" s="322">
        <f t="shared" si="33"/>
        <v>46429</v>
      </c>
      <c r="N25" s="323">
        <f t="shared" si="33"/>
        <v>46430</v>
      </c>
      <c r="O25" s="316">
        <f t="shared" si="33"/>
        <v>46433</v>
      </c>
      <c r="P25" s="317">
        <f t="shared" si="33"/>
        <v>46434</v>
      </c>
      <c r="Q25" s="318">
        <f t="shared" si="33"/>
        <v>46435</v>
      </c>
      <c r="R25" s="318">
        <f t="shared" si="33"/>
        <v>46436</v>
      </c>
      <c r="S25" s="319">
        <f t="shared" si="33"/>
        <v>46437</v>
      </c>
      <c r="T25" s="320">
        <f t="shared" si="33"/>
        <v>46440</v>
      </c>
      <c r="U25" s="322">
        <f t="shared" si="33"/>
        <v>46441</v>
      </c>
      <c r="V25" s="322">
        <f t="shared" si="33"/>
        <v>46442</v>
      </c>
      <c r="W25" s="322">
        <f t="shared" si="33"/>
        <v>46443</v>
      </c>
      <c r="X25" s="323">
        <f t="shared" si="33"/>
        <v>46444</v>
      </c>
      <c r="Y25" s="316">
        <f t="shared" si="33"/>
        <v>46447</v>
      </c>
      <c r="Z25" s="318">
        <f t="shared" si="33"/>
        <v>46448</v>
      </c>
      <c r="AA25" s="318">
        <f t="shared" si="33"/>
        <v>46449</v>
      </c>
      <c r="AB25" s="318">
        <f t="shared" si="33"/>
        <v>46450</v>
      </c>
      <c r="AC25" s="319">
        <f t="shared" si="33"/>
        <v>46451</v>
      </c>
      <c r="AD25" s="320">
        <f t="shared" si="33"/>
        <v>46454</v>
      </c>
      <c r="AE25" s="322">
        <f t="shared" si="33"/>
        <v>46455</v>
      </c>
      <c r="AF25" s="322">
        <f t="shared" si="33"/>
        <v>46456</v>
      </c>
      <c r="AG25" s="322">
        <f t="shared" si="33"/>
        <v>46457</v>
      </c>
      <c r="AH25" s="323">
        <f t="shared" si="33"/>
        <v>46458</v>
      </c>
      <c r="AI25" s="316">
        <f t="shared" si="33"/>
        <v>46461</v>
      </c>
      <c r="AJ25" s="318">
        <f t="shared" si="33"/>
        <v>46462</v>
      </c>
      <c r="AK25" s="318">
        <f t="shared" si="33"/>
        <v>46463</v>
      </c>
      <c r="AL25" s="318">
        <f t="shared" si="33"/>
        <v>46464</v>
      </c>
      <c r="AM25" s="319">
        <f t="shared" si="33"/>
        <v>46465</v>
      </c>
      <c r="AN25" s="320">
        <f t="shared" si="33"/>
        <v>46468</v>
      </c>
      <c r="AO25" s="322">
        <f t="shared" si="33"/>
        <v>46469</v>
      </c>
      <c r="AP25" s="322">
        <f t="shared" si="33"/>
        <v>46470</v>
      </c>
      <c r="AQ25" s="322">
        <f t="shared" si="33"/>
        <v>46471</v>
      </c>
      <c r="AR25" s="323">
        <f t="shared" si="33"/>
        <v>46472</v>
      </c>
      <c r="AS25" s="316">
        <f t="shared" si="33"/>
        <v>46475</v>
      </c>
      <c r="AT25" s="318">
        <f t="shared" si="33"/>
        <v>46476</v>
      </c>
      <c r="AU25" s="318">
        <f t="shared" si="33"/>
        <v>46477</v>
      </c>
      <c r="AV25" s="318">
        <f t="shared" si="33"/>
        <v>46478</v>
      </c>
      <c r="AW25" s="324">
        <f t="shared" si="33"/>
        <v>46479</v>
      </c>
      <c r="AX25" s="320">
        <f t="shared" si="33"/>
        <v>46482</v>
      </c>
      <c r="AY25" s="322">
        <f t="shared" si="33"/>
        <v>46483</v>
      </c>
      <c r="AZ25" s="322">
        <f t="shared" si="33"/>
        <v>46484</v>
      </c>
      <c r="BA25" s="322">
        <f t="shared" si="33"/>
        <v>46485</v>
      </c>
      <c r="BB25" s="325">
        <f t="shared" si="33"/>
        <v>46486</v>
      </c>
      <c r="BC25" s="316">
        <f t="shared" si="33"/>
        <v>46489</v>
      </c>
      <c r="BD25" s="318">
        <f t="shared" si="33"/>
        <v>46490</v>
      </c>
      <c r="BE25" s="318">
        <f t="shared" si="33"/>
        <v>46491</v>
      </c>
      <c r="BF25" s="318">
        <f t="shared" si="33"/>
        <v>46492</v>
      </c>
      <c r="BG25" s="324">
        <f t="shared" si="33"/>
        <v>46493</v>
      </c>
      <c r="BH25" s="320">
        <f t="shared" si="33"/>
        <v>46496</v>
      </c>
      <c r="BI25" s="322">
        <f t="shared" si="33"/>
        <v>46497</v>
      </c>
      <c r="BJ25" s="322">
        <f t="shared" si="33"/>
        <v>46498</v>
      </c>
      <c r="BK25" s="322">
        <f t="shared" si="33"/>
        <v>46499</v>
      </c>
      <c r="BL25" s="325">
        <f t="shared" si="33"/>
        <v>46500</v>
      </c>
      <c r="BM25" s="316">
        <f t="shared" si="33"/>
        <v>46503</v>
      </c>
      <c r="BN25" s="318">
        <f t="shared" si="33"/>
        <v>46504</v>
      </c>
      <c r="BO25" s="318">
        <f t="shared" si="33"/>
        <v>46505</v>
      </c>
      <c r="BP25" s="318">
        <f t="shared" si="33"/>
        <v>46506</v>
      </c>
      <c r="BQ25" s="324">
        <f t="shared" si="33"/>
        <v>46507</v>
      </c>
      <c r="BR25" s="320">
        <f t="shared" ref="BR25:DE25" si="34">BR26</f>
        <v>46510</v>
      </c>
      <c r="BS25" s="322">
        <f t="shared" si="34"/>
        <v>46511</v>
      </c>
      <c r="BT25" s="322">
        <f t="shared" si="34"/>
        <v>46512</v>
      </c>
      <c r="BU25" s="322">
        <f t="shared" si="34"/>
        <v>46513</v>
      </c>
      <c r="BV25" s="325">
        <f t="shared" si="34"/>
        <v>46514</v>
      </c>
      <c r="BW25" s="316">
        <f t="shared" si="34"/>
        <v>46517</v>
      </c>
      <c r="BX25" s="318">
        <f t="shared" si="34"/>
        <v>46518</v>
      </c>
      <c r="BY25" s="318">
        <f t="shared" si="34"/>
        <v>46519</v>
      </c>
      <c r="BZ25" s="318">
        <f t="shared" si="34"/>
        <v>46520</v>
      </c>
      <c r="CA25" s="324">
        <f t="shared" si="34"/>
        <v>46521</v>
      </c>
      <c r="CB25" s="320">
        <f t="shared" si="34"/>
        <v>46524</v>
      </c>
      <c r="CC25" s="322">
        <f t="shared" si="34"/>
        <v>46525</v>
      </c>
      <c r="CD25" s="322">
        <f t="shared" si="34"/>
        <v>46526</v>
      </c>
      <c r="CE25" s="322">
        <f t="shared" si="34"/>
        <v>46527</v>
      </c>
      <c r="CF25" s="325">
        <f t="shared" si="34"/>
        <v>46528</v>
      </c>
      <c r="CG25" s="316">
        <f t="shared" si="34"/>
        <v>46531</v>
      </c>
      <c r="CH25" s="318">
        <f t="shared" si="34"/>
        <v>46532</v>
      </c>
      <c r="CI25" s="318">
        <f t="shared" si="34"/>
        <v>46533</v>
      </c>
      <c r="CJ25" s="318">
        <f t="shared" si="34"/>
        <v>46534</v>
      </c>
      <c r="CK25" s="324">
        <f t="shared" si="34"/>
        <v>46535</v>
      </c>
      <c r="CL25" s="320">
        <f t="shared" si="34"/>
        <v>46538</v>
      </c>
      <c r="CM25" s="322">
        <f t="shared" si="34"/>
        <v>46539</v>
      </c>
      <c r="CN25" s="322">
        <f t="shared" si="34"/>
        <v>46540</v>
      </c>
      <c r="CO25" s="322">
        <f t="shared" si="34"/>
        <v>46541</v>
      </c>
      <c r="CP25" s="325">
        <f t="shared" si="34"/>
        <v>46542</v>
      </c>
      <c r="CQ25" s="316">
        <f t="shared" si="34"/>
        <v>46545</v>
      </c>
      <c r="CR25" s="318">
        <f t="shared" si="34"/>
        <v>46546</v>
      </c>
      <c r="CS25" s="318">
        <f t="shared" si="34"/>
        <v>46547</v>
      </c>
      <c r="CT25" s="318">
        <f t="shared" si="34"/>
        <v>46548</v>
      </c>
      <c r="CU25" s="319">
        <f t="shared" si="34"/>
        <v>46549</v>
      </c>
      <c r="CV25" s="320">
        <f t="shared" si="34"/>
        <v>46552</v>
      </c>
      <c r="CW25" s="322">
        <f t="shared" si="34"/>
        <v>46553</v>
      </c>
      <c r="CX25" s="322">
        <f t="shared" si="34"/>
        <v>46554</v>
      </c>
      <c r="CY25" s="322">
        <f t="shared" si="34"/>
        <v>46555</v>
      </c>
      <c r="CZ25" s="323">
        <f t="shared" si="34"/>
        <v>46556</v>
      </c>
      <c r="DA25" s="316">
        <f t="shared" si="34"/>
        <v>46559</v>
      </c>
      <c r="DB25" s="318">
        <f t="shared" si="34"/>
        <v>46560</v>
      </c>
      <c r="DC25" s="318">
        <f t="shared" si="34"/>
        <v>46561</v>
      </c>
      <c r="DD25" s="318">
        <f t="shared" si="34"/>
        <v>46562</v>
      </c>
      <c r="DE25" s="319">
        <f t="shared" si="34"/>
        <v>46563</v>
      </c>
    </row>
    <row r="26" spans="1:165" ht="17" thickBot="1" x14ac:dyDescent="0.25">
      <c r="B26" s="651"/>
      <c r="C26" s="652"/>
      <c r="D26" s="653"/>
      <c r="E26" s="31">
        <f>E5</f>
        <v>46419</v>
      </c>
      <c r="F26" s="32">
        <f>E26+1</f>
        <v>46420</v>
      </c>
      <c r="G26" s="33">
        <f>F26+1</f>
        <v>46421</v>
      </c>
      <c r="H26" s="33">
        <f>G26+1</f>
        <v>46422</v>
      </c>
      <c r="I26" s="34">
        <f>H26+1</f>
        <v>46423</v>
      </c>
      <c r="J26" s="35">
        <f>I26+3</f>
        <v>46426</v>
      </c>
      <c r="K26" s="36">
        <f>J26+1</f>
        <v>46427</v>
      </c>
      <c r="L26" s="37">
        <f>K26+1</f>
        <v>46428</v>
      </c>
      <c r="M26" s="37">
        <f>L26+1</f>
        <v>46429</v>
      </c>
      <c r="N26" s="38">
        <f>M26+1</f>
        <v>46430</v>
      </c>
      <c r="O26" s="31">
        <f>N26+3</f>
        <v>46433</v>
      </c>
      <c r="P26" s="32">
        <f>O26+1</f>
        <v>46434</v>
      </c>
      <c r="Q26" s="33">
        <f>P26+1</f>
        <v>46435</v>
      </c>
      <c r="R26" s="33">
        <f>Q26+1</f>
        <v>46436</v>
      </c>
      <c r="S26" s="34">
        <f>R26+1</f>
        <v>46437</v>
      </c>
      <c r="T26" s="35">
        <f>S26+3</f>
        <v>46440</v>
      </c>
      <c r="U26" s="37">
        <f>T26+1</f>
        <v>46441</v>
      </c>
      <c r="V26" s="37">
        <f>U26+1</f>
        <v>46442</v>
      </c>
      <c r="W26" s="37">
        <f>V26+1</f>
        <v>46443</v>
      </c>
      <c r="X26" s="38">
        <f>W26+1</f>
        <v>46444</v>
      </c>
      <c r="Y26" s="31">
        <f>X26+3</f>
        <v>46447</v>
      </c>
      <c r="Z26" s="32">
        <f>Y26+1</f>
        <v>46448</v>
      </c>
      <c r="AA26" s="33">
        <f>Z26+1</f>
        <v>46449</v>
      </c>
      <c r="AB26" s="33">
        <f>AA26+1</f>
        <v>46450</v>
      </c>
      <c r="AC26" s="34">
        <f>AB26+1</f>
        <v>46451</v>
      </c>
      <c r="AD26" s="35">
        <f>AC26+3</f>
        <v>46454</v>
      </c>
      <c r="AE26" s="37">
        <f>AD26+1</f>
        <v>46455</v>
      </c>
      <c r="AF26" s="37">
        <f>AE26+1</f>
        <v>46456</v>
      </c>
      <c r="AG26" s="37">
        <f>AF26+1</f>
        <v>46457</v>
      </c>
      <c r="AH26" s="38">
        <f>AG26+1</f>
        <v>46458</v>
      </c>
      <c r="AI26" s="31">
        <f>AH26+3</f>
        <v>46461</v>
      </c>
      <c r="AJ26" s="32">
        <f>AI26+1</f>
        <v>46462</v>
      </c>
      <c r="AK26" s="33">
        <f>AJ26+1</f>
        <v>46463</v>
      </c>
      <c r="AL26" s="33">
        <f>AK26+1</f>
        <v>46464</v>
      </c>
      <c r="AM26" s="34">
        <f>AL26+1</f>
        <v>46465</v>
      </c>
      <c r="AN26" s="35">
        <f>AM26+3</f>
        <v>46468</v>
      </c>
      <c r="AO26" s="37">
        <f>AN26+1</f>
        <v>46469</v>
      </c>
      <c r="AP26" s="37">
        <f>AO26+1</f>
        <v>46470</v>
      </c>
      <c r="AQ26" s="37">
        <f>AP26+1</f>
        <v>46471</v>
      </c>
      <c r="AR26" s="38">
        <f>AQ26+1</f>
        <v>46472</v>
      </c>
      <c r="AS26" s="31">
        <f>AR26+3</f>
        <v>46475</v>
      </c>
      <c r="AT26" s="33">
        <f>AS26+1</f>
        <v>46476</v>
      </c>
      <c r="AU26" s="33">
        <f>AT26+1</f>
        <v>46477</v>
      </c>
      <c r="AV26" s="33">
        <f>AU26+1</f>
        <v>46478</v>
      </c>
      <c r="AW26" s="39">
        <f>AV26+1</f>
        <v>46479</v>
      </c>
      <c r="AX26" s="35">
        <f>AW26+3</f>
        <v>46482</v>
      </c>
      <c r="AY26" s="37">
        <f>AX26+1</f>
        <v>46483</v>
      </c>
      <c r="AZ26" s="37">
        <f>AY26+1</f>
        <v>46484</v>
      </c>
      <c r="BA26" s="37">
        <f>AZ26+1</f>
        <v>46485</v>
      </c>
      <c r="BB26" s="40">
        <f>BA26+1</f>
        <v>46486</v>
      </c>
      <c r="BC26" s="31">
        <f>BB26+3</f>
        <v>46489</v>
      </c>
      <c r="BD26" s="33">
        <f>BC26+1</f>
        <v>46490</v>
      </c>
      <c r="BE26" s="33">
        <f>BD26+1</f>
        <v>46491</v>
      </c>
      <c r="BF26" s="33">
        <f>BE26+1</f>
        <v>46492</v>
      </c>
      <c r="BG26" s="39">
        <f>BF26+1</f>
        <v>46493</v>
      </c>
      <c r="BH26" s="35">
        <f>BG26+3</f>
        <v>46496</v>
      </c>
      <c r="BI26" s="37">
        <f>BH26+1</f>
        <v>46497</v>
      </c>
      <c r="BJ26" s="37">
        <f>BI26+1</f>
        <v>46498</v>
      </c>
      <c r="BK26" s="37">
        <f>BJ26+1</f>
        <v>46499</v>
      </c>
      <c r="BL26" s="40">
        <f>BK26+1</f>
        <v>46500</v>
      </c>
      <c r="BM26" s="31">
        <f>BL26+3</f>
        <v>46503</v>
      </c>
      <c r="BN26" s="33">
        <f>BM26+1</f>
        <v>46504</v>
      </c>
      <c r="BO26" s="33">
        <f>BN26+1</f>
        <v>46505</v>
      </c>
      <c r="BP26" s="33">
        <f>BO26+1</f>
        <v>46506</v>
      </c>
      <c r="BQ26" s="39">
        <f>BP26+1</f>
        <v>46507</v>
      </c>
      <c r="BR26" s="35">
        <f>BQ26+3</f>
        <v>46510</v>
      </c>
      <c r="BS26" s="37">
        <f>BR26+1</f>
        <v>46511</v>
      </c>
      <c r="BT26" s="37">
        <f>BS26+1</f>
        <v>46512</v>
      </c>
      <c r="BU26" s="37">
        <f>BT26+1</f>
        <v>46513</v>
      </c>
      <c r="BV26" s="40">
        <f>BU26+1</f>
        <v>46514</v>
      </c>
      <c r="BW26" s="31">
        <f>BV26+3</f>
        <v>46517</v>
      </c>
      <c r="BX26" s="32">
        <f>BW26+1</f>
        <v>46518</v>
      </c>
      <c r="BY26" s="33">
        <f>BX26+1</f>
        <v>46519</v>
      </c>
      <c r="BZ26" s="33">
        <f>BY26+1</f>
        <v>46520</v>
      </c>
      <c r="CA26" s="34">
        <f>BZ26+1</f>
        <v>46521</v>
      </c>
      <c r="CB26" s="35">
        <f>CA26+3</f>
        <v>46524</v>
      </c>
      <c r="CC26" s="37">
        <f>CB26+1</f>
        <v>46525</v>
      </c>
      <c r="CD26" s="37">
        <f>CC26+1</f>
        <v>46526</v>
      </c>
      <c r="CE26" s="37">
        <f>CD26+1</f>
        <v>46527</v>
      </c>
      <c r="CF26" s="40">
        <f>CE26+1</f>
        <v>46528</v>
      </c>
      <c r="CG26" s="31">
        <f>CF26+3</f>
        <v>46531</v>
      </c>
      <c r="CH26" s="32">
        <f>CG26+1</f>
        <v>46532</v>
      </c>
      <c r="CI26" s="33">
        <f>CH26+1</f>
        <v>46533</v>
      </c>
      <c r="CJ26" s="33">
        <f>CI26+1</f>
        <v>46534</v>
      </c>
      <c r="CK26" s="34">
        <f>CJ26+1</f>
        <v>46535</v>
      </c>
      <c r="CL26" s="35">
        <f>CK26+3</f>
        <v>46538</v>
      </c>
      <c r="CM26" s="37">
        <f>CL26+1</f>
        <v>46539</v>
      </c>
      <c r="CN26" s="37">
        <f>CM26+1</f>
        <v>46540</v>
      </c>
      <c r="CO26" s="37">
        <f>CN26+1</f>
        <v>46541</v>
      </c>
      <c r="CP26" s="40">
        <f>CO26+1</f>
        <v>46542</v>
      </c>
      <c r="CQ26" s="31">
        <f>CP26+3</f>
        <v>46545</v>
      </c>
      <c r="CR26" s="32">
        <f>CQ26+1</f>
        <v>46546</v>
      </c>
      <c r="CS26" s="33">
        <f>CR26+1</f>
        <v>46547</v>
      </c>
      <c r="CT26" s="33">
        <f>CS26+1</f>
        <v>46548</v>
      </c>
      <c r="CU26" s="34">
        <f>CT26+1</f>
        <v>46549</v>
      </c>
      <c r="CV26" s="35">
        <f>CU26+3</f>
        <v>46552</v>
      </c>
      <c r="CW26" s="37">
        <f>CV26+1</f>
        <v>46553</v>
      </c>
      <c r="CX26" s="37">
        <f>CW26+1</f>
        <v>46554</v>
      </c>
      <c r="CY26" s="37">
        <f>CX26+1</f>
        <v>46555</v>
      </c>
      <c r="CZ26" s="38">
        <f>CY26+1</f>
        <v>46556</v>
      </c>
      <c r="DA26" s="31">
        <f>CZ26+3</f>
        <v>46559</v>
      </c>
      <c r="DB26" s="32">
        <f>DA26+1</f>
        <v>46560</v>
      </c>
      <c r="DC26" s="33">
        <f>DB26+1</f>
        <v>46561</v>
      </c>
      <c r="DD26" s="33">
        <f>DC26+1</f>
        <v>46562</v>
      </c>
      <c r="DE26" s="34">
        <f>DD26+1</f>
        <v>46563</v>
      </c>
    </row>
    <row r="27" spans="1:165" s="138" customFormat="1" ht="17" thickBot="1" x14ac:dyDescent="0.25">
      <c r="A27" s="134"/>
      <c r="B27" s="457"/>
      <c r="C27" s="457"/>
      <c r="D27" s="457"/>
      <c r="E27" s="137"/>
      <c r="F27" s="137"/>
      <c r="G27" s="137"/>
      <c r="H27" s="137"/>
      <c r="I27" s="137"/>
      <c r="J27" s="137"/>
      <c r="K27" s="137"/>
      <c r="L27" s="137"/>
      <c r="M27" s="137"/>
      <c r="N27" s="137"/>
      <c r="O27" s="137"/>
      <c r="P27" s="137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  <c r="AM27" s="137"/>
      <c r="AN27" s="137"/>
      <c r="AO27" s="137"/>
      <c r="AP27" s="137"/>
      <c r="AQ27" s="137"/>
      <c r="AR27" s="137"/>
      <c r="AS27" s="137"/>
      <c r="AT27" s="137"/>
      <c r="AU27" s="137"/>
      <c r="AV27" s="137"/>
      <c r="AW27" s="137"/>
      <c r="AX27" s="137"/>
      <c r="AY27" s="137"/>
      <c r="AZ27" s="137"/>
      <c r="BA27" s="137"/>
      <c r="BB27" s="137"/>
      <c r="BC27" s="137"/>
      <c r="BD27" s="137"/>
      <c r="BE27" s="137"/>
      <c r="BF27" s="137"/>
      <c r="BG27" s="137"/>
      <c r="BH27" s="137"/>
      <c r="BI27" s="137"/>
      <c r="BJ27" s="137"/>
      <c r="BK27" s="137"/>
      <c r="BL27" s="137"/>
      <c r="BM27" s="137"/>
      <c r="BN27" s="137"/>
      <c r="BO27" s="137"/>
      <c r="BP27" s="137"/>
      <c r="BQ27" s="137"/>
      <c r="BR27" s="137"/>
      <c r="BS27" s="137"/>
      <c r="BT27" s="137"/>
      <c r="BU27" s="137"/>
      <c r="BV27" s="137"/>
      <c r="BW27" s="136"/>
      <c r="BX27" s="137"/>
      <c r="BY27" s="137"/>
      <c r="BZ27" s="137"/>
      <c r="CA27" s="137"/>
      <c r="CB27" s="137"/>
      <c r="CC27" s="137"/>
      <c r="CD27" s="137"/>
      <c r="CE27" s="137"/>
      <c r="CF27" s="137"/>
      <c r="CG27" s="137"/>
      <c r="CH27" s="137"/>
      <c r="CI27" s="137"/>
      <c r="CJ27" s="137"/>
      <c r="CK27" s="137"/>
      <c r="CL27" s="137"/>
      <c r="CM27" s="137"/>
      <c r="CN27" s="137"/>
      <c r="CO27" s="137"/>
      <c r="CP27" s="135"/>
      <c r="CQ27" s="137"/>
      <c r="CR27" s="137"/>
      <c r="CS27" s="137"/>
      <c r="CT27" s="137"/>
      <c r="CU27" s="137"/>
      <c r="CV27" s="137"/>
      <c r="CW27" s="137"/>
      <c r="CX27" s="137"/>
      <c r="CY27" s="137"/>
      <c r="CZ27" s="137"/>
      <c r="DA27" s="137"/>
      <c r="DB27" s="137"/>
      <c r="DC27" s="137"/>
      <c r="DD27" s="137"/>
      <c r="DE27" s="137"/>
      <c r="DF27" s="134"/>
      <c r="DG27" s="134"/>
      <c r="DH27" s="134"/>
      <c r="DI27" s="134"/>
      <c r="DJ27" s="134"/>
      <c r="DK27" s="134"/>
      <c r="DL27" s="134"/>
      <c r="DM27" s="134"/>
      <c r="DN27" s="134"/>
      <c r="DO27" s="134"/>
      <c r="DP27" s="134"/>
      <c r="DQ27" s="134"/>
      <c r="DR27" s="134"/>
      <c r="DS27" s="134"/>
      <c r="DT27" s="134"/>
      <c r="DU27" s="134"/>
      <c r="DV27" s="134"/>
      <c r="DW27" s="134"/>
      <c r="DX27" s="134"/>
      <c r="DY27" s="134"/>
      <c r="DZ27" s="134"/>
      <c r="EA27" s="134"/>
      <c r="EB27" s="134"/>
      <c r="EC27" s="134"/>
      <c r="ED27" s="134"/>
      <c r="EE27" s="134"/>
      <c r="EF27" s="134"/>
      <c r="EG27" s="134"/>
      <c r="EH27" s="134"/>
      <c r="EI27" s="134"/>
      <c r="EJ27" s="134"/>
      <c r="EK27" s="134"/>
      <c r="EL27" s="134"/>
      <c r="EM27" s="134"/>
      <c r="EN27" s="134"/>
      <c r="EO27" s="134"/>
      <c r="EP27" s="134"/>
      <c r="EQ27" s="134"/>
      <c r="ER27" s="134"/>
      <c r="ES27" s="134"/>
      <c r="ET27" s="134"/>
      <c r="EU27" s="134"/>
      <c r="EV27" s="134"/>
      <c r="EW27" s="134"/>
      <c r="EX27" s="134"/>
      <c r="EY27" s="134"/>
      <c r="EZ27" s="134"/>
      <c r="FA27" s="134"/>
      <c r="FB27" s="134"/>
      <c r="FC27" s="134"/>
      <c r="FD27" s="134"/>
      <c r="FE27" s="134"/>
      <c r="FF27" s="134"/>
      <c r="FG27" s="134"/>
      <c r="FH27" s="134"/>
      <c r="FI27" s="134"/>
    </row>
    <row r="28" spans="1:165" x14ac:dyDescent="0.2">
      <c r="B28" s="458" t="s">
        <v>7</v>
      </c>
      <c r="C28" s="459"/>
      <c r="D28" s="460"/>
      <c r="E28" s="41"/>
      <c r="F28" s="42"/>
      <c r="G28" s="42"/>
      <c r="H28" s="42"/>
      <c r="I28" s="43"/>
      <c r="J28" s="77"/>
      <c r="K28" s="62"/>
      <c r="L28" s="62"/>
      <c r="M28" s="62"/>
      <c r="N28" s="44"/>
      <c r="O28" s="41"/>
      <c r="P28" s="42"/>
      <c r="Q28" s="42"/>
      <c r="R28" s="42"/>
      <c r="S28" s="43"/>
      <c r="T28" s="77"/>
      <c r="U28" s="62"/>
      <c r="V28" s="62"/>
      <c r="W28" s="62"/>
      <c r="X28" s="44"/>
      <c r="Y28" s="41"/>
      <c r="Z28" s="42"/>
      <c r="AA28" s="42"/>
      <c r="AB28" s="42"/>
      <c r="AC28" s="43"/>
      <c r="AD28" s="77"/>
      <c r="AE28" s="62"/>
      <c r="AF28" s="62"/>
      <c r="AG28" s="62"/>
      <c r="AH28" s="44"/>
      <c r="AI28" s="41"/>
      <c r="AJ28" s="42"/>
      <c r="AK28" s="42"/>
      <c r="AL28" s="42"/>
      <c r="AM28" s="43"/>
      <c r="AN28" s="219"/>
      <c r="AO28" s="200"/>
      <c r="AP28" s="200"/>
      <c r="AQ28" s="200"/>
      <c r="AR28" s="209"/>
      <c r="AS28" s="223"/>
      <c r="AT28" s="42"/>
      <c r="AU28" s="42"/>
      <c r="AV28" s="42"/>
      <c r="AW28" s="43"/>
      <c r="AX28" s="77"/>
      <c r="AY28" s="62"/>
      <c r="AZ28" s="62"/>
      <c r="BA28" s="62"/>
      <c r="BB28" s="44"/>
      <c r="BC28" s="41"/>
      <c r="BD28" s="42"/>
      <c r="BE28" s="42"/>
      <c r="BF28" s="42"/>
      <c r="BG28" s="43"/>
      <c r="BH28" s="77"/>
      <c r="BI28" s="62"/>
      <c r="BJ28" s="62"/>
      <c r="BK28" s="62"/>
      <c r="BL28" s="44"/>
      <c r="BM28" s="41"/>
      <c r="BN28" s="42"/>
      <c r="BO28" s="42"/>
      <c r="BP28" s="42"/>
      <c r="BQ28" s="43"/>
      <c r="BR28" s="77"/>
      <c r="BS28" s="62"/>
      <c r="BT28" s="62"/>
      <c r="BU28" s="200"/>
      <c r="BV28" s="209"/>
      <c r="BW28" s="41"/>
      <c r="BX28" s="42"/>
      <c r="BY28" s="42"/>
      <c r="BZ28" s="42"/>
      <c r="CA28" s="43"/>
      <c r="CB28" s="219"/>
      <c r="CC28" s="62"/>
      <c r="CD28" s="62"/>
      <c r="CE28" s="62"/>
      <c r="CF28" s="44"/>
      <c r="CG28" s="41"/>
      <c r="CH28" s="42"/>
      <c r="CI28" s="42"/>
      <c r="CJ28" s="42"/>
      <c r="CK28" s="43"/>
      <c r="CL28" s="77"/>
      <c r="CM28" s="62"/>
      <c r="CN28" s="62"/>
      <c r="CO28" s="62"/>
      <c r="CP28" s="44"/>
      <c r="CQ28" s="41"/>
      <c r="CR28" s="42"/>
      <c r="CS28" s="42"/>
      <c r="CT28" s="42"/>
      <c r="CU28" s="43"/>
      <c r="CV28" s="77"/>
      <c r="CW28" s="62"/>
      <c r="CX28" s="62"/>
      <c r="CY28" s="62"/>
      <c r="CZ28" s="44"/>
      <c r="DA28" s="41"/>
      <c r="DB28" s="42"/>
      <c r="DC28" s="42"/>
      <c r="DD28" s="42"/>
      <c r="DE28" s="43"/>
    </row>
    <row r="29" spans="1:165" x14ac:dyDescent="0.2">
      <c r="B29" s="48" t="s">
        <v>15</v>
      </c>
      <c r="C29" s="82"/>
      <c r="D29" s="49"/>
      <c r="E29" s="50"/>
      <c r="F29" s="51"/>
      <c r="G29" s="51"/>
      <c r="H29" s="51"/>
      <c r="I29" s="52"/>
      <c r="J29" s="69"/>
      <c r="K29" s="64"/>
      <c r="L29" s="64"/>
      <c r="M29" s="64"/>
      <c r="N29" s="53"/>
      <c r="O29" s="50"/>
      <c r="P29" s="51"/>
      <c r="Q29" s="51"/>
      <c r="R29" s="51"/>
      <c r="S29" s="52"/>
      <c r="T29" s="69"/>
      <c r="U29" s="64"/>
      <c r="V29" s="64"/>
      <c r="W29" s="64"/>
      <c r="X29" s="53"/>
      <c r="Y29" s="50"/>
      <c r="Z29" s="51"/>
      <c r="AA29" s="51"/>
      <c r="AB29" s="51"/>
      <c r="AC29" s="52"/>
      <c r="AD29" s="69"/>
      <c r="AE29" s="64"/>
      <c r="AF29" s="64"/>
      <c r="AG29" s="64"/>
      <c r="AH29" s="53"/>
      <c r="AI29" s="50"/>
      <c r="AJ29" s="51"/>
      <c r="AK29" s="51"/>
      <c r="AL29" s="51"/>
      <c r="AM29" s="52"/>
      <c r="AN29" s="220"/>
      <c r="AO29" s="201"/>
      <c r="AP29" s="201"/>
      <c r="AQ29" s="201"/>
      <c r="AR29" s="210"/>
      <c r="AS29" s="225"/>
      <c r="AT29" s="51"/>
      <c r="AU29" s="51"/>
      <c r="AV29" s="51"/>
      <c r="AW29" s="52"/>
      <c r="AX29" s="69"/>
      <c r="AY29" s="64"/>
      <c r="AZ29" s="64"/>
      <c r="BA29" s="64"/>
      <c r="BB29" s="53"/>
      <c r="BC29" s="50"/>
      <c r="BD29" s="51"/>
      <c r="BE29" s="51"/>
      <c r="BF29" s="51"/>
      <c r="BG29" s="52"/>
      <c r="BH29" s="69"/>
      <c r="BI29" s="64"/>
      <c r="BJ29" s="64"/>
      <c r="BK29" s="64"/>
      <c r="BL29" s="53"/>
      <c r="BM29" s="50"/>
      <c r="BN29" s="51"/>
      <c r="BO29" s="51"/>
      <c r="BP29" s="51"/>
      <c r="BQ29" s="52"/>
      <c r="BR29" s="69"/>
      <c r="BS29" s="64"/>
      <c r="BT29" s="64"/>
      <c r="BU29" s="201"/>
      <c r="BV29" s="210"/>
      <c r="BW29" s="50"/>
      <c r="BX29" s="51"/>
      <c r="BY29" s="51"/>
      <c r="BZ29" s="51"/>
      <c r="CA29" s="52"/>
      <c r="CB29" s="220"/>
      <c r="CC29" s="64"/>
      <c r="CD29" s="64"/>
      <c r="CE29" s="64"/>
      <c r="CF29" s="53"/>
      <c r="CG29" s="50"/>
      <c r="CH29" s="51"/>
      <c r="CI29" s="51"/>
      <c r="CJ29" s="51"/>
      <c r="CK29" s="52"/>
      <c r="CL29" s="69"/>
      <c r="CM29" s="64"/>
      <c r="CN29" s="64"/>
      <c r="CO29" s="64"/>
      <c r="CP29" s="53"/>
      <c r="CQ29" s="50"/>
      <c r="CR29" s="51"/>
      <c r="CS29" s="51"/>
      <c r="CT29" s="51"/>
      <c r="CU29" s="52"/>
      <c r="CV29" s="69"/>
      <c r="CW29" s="64"/>
      <c r="CX29" s="64"/>
      <c r="CY29" s="64"/>
      <c r="CZ29" s="53"/>
      <c r="DA29" s="50"/>
      <c r="DB29" s="51"/>
      <c r="DC29" s="51"/>
      <c r="DD29" s="51"/>
      <c r="DE29" s="52"/>
    </row>
    <row r="30" spans="1:165" x14ac:dyDescent="0.2">
      <c r="B30" s="448" t="s">
        <v>16</v>
      </c>
      <c r="C30" s="449"/>
      <c r="D30" s="450"/>
      <c r="E30" s="54"/>
      <c r="F30" s="51"/>
      <c r="G30" s="51"/>
      <c r="H30" s="51"/>
      <c r="I30" s="52"/>
      <c r="J30" s="69"/>
      <c r="K30" s="64"/>
      <c r="L30" s="64"/>
      <c r="M30" s="64"/>
      <c r="N30" s="45"/>
      <c r="O30" s="54"/>
      <c r="P30" s="51"/>
      <c r="Q30" s="51"/>
      <c r="R30" s="51"/>
      <c r="S30" s="52"/>
      <c r="T30" s="69"/>
      <c r="U30" s="64"/>
      <c r="V30" s="64"/>
      <c r="W30" s="64"/>
      <c r="X30" s="45"/>
      <c r="Y30" s="54"/>
      <c r="Z30" s="51"/>
      <c r="AA30" s="51"/>
      <c r="AB30" s="51"/>
      <c r="AC30" s="52"/>
      <c r="AD30" s="69"/>
      <c r="AE30" s="64"/>
      <c r="AF30" s="64"/>
      <c r="AG30" s="64"/>
      <c r="AH30" s="45"/>
      <c r="AI30" s="54"/>
      <c r="AJ30" s="51"/>
      <c r="AK30" s="51"/>
      <c r="AL30" s="51"/>
      <c r="AM30" s="52"/>
      <c r="AN30" s="220"/>
      <c r="AO30" s="201"/>
      <c r="AP30" s="201"/>
      <c r="AQ30" s="201"/>
      <c r="AR30" s="211"/>
      <c r="AS30" s="227"/>
      <c r="AT30" s="51"/>
      <c r="AU30" s="51"/>
      <c r="AV30" s="51"/>
      <c r="AW30" s="52"/>
      <c r="AX30" s="69"/>
      <c r="AY30" s="64"/>
      <c r="AZ30" s="64"/>
      <c r="BA30" s="64"/>
      <c r="BB30" s="45"/>
      <c r="BC30" s="54"/>
      <c r="BD30" s="51"/>
      <c r="BE30" s="51"/>
      <c r="BF30" s="51"/>
      <c r="BG30" s="52"/>
      <c r="BH30" s="69"/>
      <c r="BI30" s="64"/>
      <c r="BJ30" s="64"/>
      <c r="BK30" s="64"/>
      <c r="BL30" s="45"/>
      <c r="BM30" s="54"/>
      <c r="BN30" s="51"/>
      <c r="BO30" s="51"/>
      <c r="BP30" s="51"/>
      <c r="BQ30" s="52"/>
      <c r="BR30" s="69"/>
      <c r="BS30" s="64"/>
      <c r="BT30" s="64"/>
      <c r="BU30" s="201"/>
      <c r="BV30" s="211"/>
      <c r="BW30" s="54"/>
      <c r="BX30" s="51"/>
      <c r="BY30" s="51"/>
      <c r="BZ30" s="51"/>
      <c r="CA30" s="52"/>
      <c r="CB30" s="220"/>
      <c r="CC30" s="64"/>
      <c r="CD30" s="64"/>
      <c r="CE30" s="64"/>
      <c r="CF30" s="45"/>
      <c r="CG30" s="54"/>
      <c r="CH30" s="51"/>
      <c r="CI30" s="51"/>
      <c r="CJ30" s="51"/>
      <c r="CK30" s="52"/>
      <c r="CL30" s="69"/>
      <c r="CM30" s="64"/>
      <c r="CN30" s="64"/>
      <c r="CO30" s="64"/>
      <c r="CP30" s="45"/>
      <c r="CQ30" s="54"/>
      <c r="CR30" s="51"/>
      <c r="CS30" s="51"/>
      <c r="CT30" s="51"/>
      <c r="CU30" s="52"/>
      <c r="CV30" s="69"/>
      <c r="CW30" s="64"/>
      <c r="CX30" s="64"/>
      <c r="CY30" s="64"/>
      <c r="CZ30" s="45"/>
      <c r="DA30" s="54"/>
      <c r="DB30" s="51"/>
      <c r="DC30" s="51"/>
      <c r="DD30" s="51"/>
      <c r="DE30" s="52"/>
    </row>
    <row r="31" spans="1:165" ht="17" thickBot="1" x14ac:dyDescent="0.25">
      <c r="B31" s="448" t="s">
        <v>17</v>
      </c>
      <c r="C31" s="449"/>
      <c r="D31" s="450"/>
      <c r="E31" s="54"/>
      <c r="F31" s="51"/>
      <c r="G31" s="51"/>
      <c r="H31" s="51"/>
      <c r="I31" s="52"/>
      <c r="J31" s="69"/>
      <c r="K31" s="64"/>
      <c r="L31" s="64"/>
      <c r="M31" s="64"/>
      <c r="N31" s="45"/>
      <c r="O31" s="54"/>
      <c r="P31" s="51"/>
      <c r="Q31" s="51"/>
      <c r="R31" s="51"/>
      <c r="S31" s="52"/>
      <c r="T31" s="69"/>
      <c r="U31" s="64"/>
      <c r="V31" s="64"/>
      <c r="W31" s="64"/>
      <c r="X31" s="45"/>
      <c r="Y31" s="54"/>
      <c r="Z31" s="51"/>
      <c r="AA31" s="51"/>
      <c r="AB31" s="51"/>
      <c r="AC31" s="52"/>
      <c r="AD31" s="69"/>
      <c r="AE31" s="64"/>
      <c r="AF31" s="64"/>
      <c r="AG31" s="64"/>
      <c r="AH31" s="45"/>
      <c r="AI31" s="54"/>
      <c r="AJ31" s="51"/>
      <c r="AK31" s="51"/>
      <c r="AL31" s="51"/>
      <c r="AM31" s="52"/>
      <c r="AN31" s="220"/>
      <c r="AO31" s="201"/>
      <c r="AP31" s="201"/>
      <c r="AQ31" s="201"/>
      <c r="AR31" s="211"/>
      <c r="AS31" s="227"/>
      <c r="AT31" s="51"/>
      <c r="AU31" s="51"/>
      <c r="AV31" s="51"/>
      <c r="AW31" s="52"/>
      <c r="AX31" s="69"/>
      <c r="AY31" s="64"/>
      <c r="AZ31" s="64"/>
      <c r="BA31" s="64"/>
      <c r="BB31" s="45"/>
      <c r="BC31" s="54"/>
      <c r="BD31" s="51"/>
      <c r="BE31" s="51"/>
      <c r="BF31" s="51"/>
      <c r="BG31" s="52"/>
      <c r="BH31" s="69"/>
      <c r="BI31" s="64"/>
      <c r="BJ31" s="64"/>
      <c r="BK31" s="64"/>
      <c r="BL31" s="45"/>
      <c r="BM31" s="54"/>
      <c r="BN31" s="51"/>
      <c r="BO31" s="51"/>
      <c r="BP31" s="51"/>
      <c r="BQ31" s="52"/>
      <c r="BR31" s="69"/>
      <c r="BS31" s="64"/>
      <c r="BT31" s="64"/>
      <c r="BU31" s="201"/>
      <c r="BV31" s="211"/>
      <c r="BW31" s="54"/>
      <c r="BX31" s="51"/>
      <c r="BY31" s="51"/>
      <c r="BZ31" s="51"/>
      <c r="CA31" s="52"/>
      <c r="CB31" s="220"/>
      <c r="CC31" s="64"/>
      <c r="CD31" s="64"/>
      <c r="CE31" s="64"/>
      <c r="CF31" s="45"/>
      <c r="CG31" s="54"/>
      <c r="CH31" s="51"/>
      <c r="CI31" s="51"/>
      <c r="CJ31" s="51"/>
      <c r="CK31" s="52"/>
      <c r="CL31" s="69"/>
      <c r="CM31" s="64"/>
      <c r="CN31" s="64"/>
      <c r="CO31" s="64"/>
      <c r="CP31" s="45"/>
      <c r="CQ31" s="54"/>
      <c r="CR31" s="51"/>
      <c r="CS31" s="51"/>
      <c r="CT31" s="51"/>
      <c r="CU31" s="52"/>
      <c r="CV31" s="69"/>
      <c r="CW31" s="64"/>
      <c r="CX31" s="64"/>
      <c r="CY31" s="64"/>
      <c r="CZ31" s="45"/>
      <c r="DA31" s="54"/>
      <c r="DB31" s="51"/>
      <c r="DC31" s="51"/>
      <c r="DD31" s="51"/>
      <c r="DE31" s="52"/>
    </row>
    <row r="32" spans="1:165" ht="17" thickBot="1" x14ac:dyDescent="0.25">
      <c r="B32" s="48" t="s">
        <v>18</v>
      </c>
      <c r="C32" s="82"/>
      <c r="D32" s="49"/>
      <c r="E32" s="100"/>
      <c r="F32" s="101"/>
      <c r="G32" s="101"/>
      <c r="H32" s="101"/>
      <c r="I32" s="102"/>
      <c r="J32" s="103"/>
      <c r="K32" s="104"/>
      <c r="L32" s="104"/>
      <c r="M32" s="104"/>
      <c r="N32" s="105"/>
      <c r="O32" s="100"/>
      <c r="P32" s="101"/>
      <c r="Q32" s="101"/>
      <c r="R32" s="101"/>
      <c r="S32" s="102"/>
      <c r="T32" s="103"/>
      <c r="U32" s="104"/>
      <c r="V32" s="104"/>
      <c r="W32" s="104"/>
      <c r="X32" s="105"/>
      <c r="Y32" s="100"/>
      <c r="Z32" s="101"/>
      <c r="AA32" s="101"/>
      <c r="AB32" s="101"/>
      <c r="AC32" s="102"/>
      <c r="AD32" s="103"/>
      <c r="AE32" s="104"/>
      <c r="AF32" s="104"/>
      <c r="AG32" s="104"/>
      <c r="AH32" s="105"/>
      <c r="AI32" s="100"/>
      <c r="AJ32" s="101"/>
      <c r="AK32" s="101"/>
      <c r="AL32" s="101"/>
      <c r="AM32" s="102"/>
      <c r="AN32" s="221"/>
      <c r="AO32" s="208"/>
      <c r="AP32" s="208"/>
      <c r="AQ32" s="208"/>
      <c r="AR32" s="212"/>
      <c r="AS32" s="228"/>
      <c r="AT32" s="101"/>
      <c r="AU32" s="101"/>
      <c r="AV32" s="101"/>
      <c r="AW32" s="102"/>
      <c r="AX32" s="103"/>
      <c r="AY32" s="104"/>
      <c r="AZ32" s="104"/>
      <c r="BA32" s="104"/>
      <c r="BB32" s="105"/>
      <c r="BC32" s="100"/>
      <c r="BD32" s="101"/>
      <c r="BE32" s="101"/>
      <c r="BF32" s="101"/>
      <c r="BG32" s="102"/>
      <c r="BH32" s="103"/>
      <c r="BI32" s="104"/>
      <c r="BJ32" s="104"/>
      <c r="BK32" s="104"/>
      <c r="BL32" s="105"/>
      <c r="BM32" s="100"/>
      <c r="BN32" s="101"/>
      <c r="BO32" s="101"/>
      <c r="BP32" s="101"/>
      <c r="BQ32" s="102"/>
      <c r="BR32" s="103"/>
      <c r="BS32" s="104"/>
      <c r="BT32" s="104"/>
      <c r="BU32" s="208"/>
      <c r="BV32" s="212"/>
      <c r="BW32" s="100"/>
      <c r="BX32" s="101"/>
      <c r="BY32" s="101"/>
      <c r="BZ32" s="101"/>
      <c r="CA32" s="102"/>
      <c r="CB32" s="221"/>
      <c r="CC32" s="104"/>
      <c r="CD32" s="104"/>
      <c r="CE32" s="104"/>
      <c r="CF32" s="105"/>
      <c r="CG32" s="100"/>
      <c r="CH32" s="101"/>
      <c r="CI32" s="101"/>
      <c r="CJ32" s="101"/>
      <c r="CK32" s="102"/>
      <c r="CL32" s="103"/>
      <c r="CM32" s="104"/>
      <c r="CN32" s="104"/>
      <c r="CO32" s="104"/>
      <c r="CP32" s="105"/>
      <c r="CQ32" s="100"/>
      <c r="CR32" s="101"/>
      <c r="CS32" s="101"/>
      <c r="CT32" s="101"/>
      <c r="CU32" s="102"/>
      <c r="CV32" s="103"/>
      <c r="CW32" s="104"/>
      <c r="CX32" s="104"/>
      <c r="CY32" s="104"/>
      <c r="CZ32" s="105"/>
      <c r="DA32" s="100"/>
      <c r="DB32" s="101"/>
      <c r="DC32" s="101"/>
      <c r="DD32" s="101"/>
      <c r="DE32" s="102"/>
    </row>
    <row r="33" spans="2:109" x14ac:dyDescent="0.2">
      <c r="B33" s="48" t="s">
        <v>19</v>
      </c>
      <c r="C33" s="82"/>
      <c r="D33" s="49"/>
      <c r="E33" s="41"/>
      <c r="F33" s="42"/>
      <c r="G33" s="200"/>
      <c r="H33" s="42"/>
      <c r="I33" s="43"/>
      <c r="J33" s="77"/>
      <c r="K33" s="62"/>
      <c r="L33" s="200"/>
      <c r="M33" s="62"/>
      <c r="N33" s="44"/>
      <c r="O33" s="41"/>
      <c r="P33" s="42"/>
      <c r="Q33" s="200"/>
      <c r="R33" s="42"/>
      <c r="S33" s="43"/>
      <c r="T33" s="77"/>
      <c r="U33" s="62"/>
      <c r="V33" s="200"/>
      <c r="W33" s="62"/>
      <c r="X33" s="44"/>
      <c r="Y33" s="41"/>
      <c r="Z33" s="42"/>
      <c r="AA33" s="200"/>
      <c r="AB33" s="42"/>
      <c r="AC33" s="43"/>
      <c r="AD33" s="77"/>
      <c r="AE33" s="62"/>
      <c r="AF33" s="200"/>
      <c r="AG33" s="62"/>
      <c r="AH33" s="44"/>
      <c r="AI33" s="41"/>
      <c r="AJ33" s="42"/>
      <c r="AK33" s="200"/>
      <c r="AL33" s="42"/>
      <c r="AM33" s="43"/>
      <c r="AN33" s="219"/>
      <c r="AO33" s="200"/>
      <c r="AP33" s="200"/>
      <c r="AQ33" s="200"/>
      <c r="AR33" s="209"/>
      <c r="AS33" s="223"/>
      <c r="AT33" s="42"/>
      <c r="AU33" s="200"/>
      <c r="AV33" s="42"/>
      <c r="AW33" s="43"/>
      <c r="AX33" s="77"/>
      <c r="AY33" s="62"/>
      <c r="AZ33" s="200"/>
      <c r="BA33" s="62"/>
      <c r="BB33" s="44"/>
      <c r="BC33" s="41"/>
      <c r="BD33" s="42"/>
      <c r="BE33" s="200"/>
      <c r="BF33" s="42"/>
      <c r="BG33" s="43"/>
      <c r="BH33" s="77"/>
      <c r="BI33" s="62"/>
      <c r="BJ33" s="200"/>
      <c r="BK33" s="62"/>
      <c r="BL33" s="44"/>
      <c r="BM33" s="41"/>
      <c r="BN33" s="42"/>
      <c r="BO33" s="200"/>
      <c r="BP33" s="42"/>
      <c r="BQ33" s="43"/>
      <c r="BR33" s="77"/>
      <c r="BS33" s="62"/>
      <c r="BT33" s="200"/>
      <c r="BU33" s="200"/>
      <c r="BV33" s="209"/>
      <c r="BW33" s="41"/>
      <c r="BX33" s="42"/>
      <c r="BY33" s="200"/>
      <c r="BZ33" s="42"/>
      <c r="CA33" s="43"/>
      <c r="CB33" s="219"/>
      <c r="CC33" s="62"/>
      <c r="CD33" s="200"/>
      <c r="CE33" s="62"/>
      <c r="CF33" s="44"/>
      <c r="CG33" s="41"/>
      <c r="CH33" s="42"/>
      <c r="CI33" s="200"/>
      <c r="CJ33" s="42"/>
      <c r="CK33" s="43"/>
      <c r="CL33" s="77"/>
      <c r="CM33" s="62"/>
      <c r="CN33" s="200"/>
      <c r="CO33" s="62"/>
      <c r="CP33" s="44"/>
      <c r="CQ33" s="41"/>
      <c r="CR33" s="42"/>
      <c r="CS33" s="200"/>
      <c r="CT33" s="42"/>
      <c r="CU33" s="43"/>
      <c r="CV33" s="77"/>
      <c r="CW33" s="62"/>
      <c r="CX33" s="200"/>
      <c r="CY33" s="62"/>
      <c r="CZ33" s="44"/>
      <c r="DA33" s="41"/>
      <c r="DB33" s="42"/>
      <c r="DC33" s="200"/>
      <c r="DD33" s="42"/>
      <c r="DE33" s="43"/>
    </row>
    <row r="34" spans="2:109" x14ac:dyDescent="0.2">
      <c r="B34" s="448" t="s">
        <v>21</v>
      </c>
      <c r="C34" s="449"/>
      <c r="D34" s="450"/>
      <c r="E34" s="50"/>
      <c r="F34" s="51"/>
      <c r="G34" s="201"/>
      <c r="H34" s="51"/>
      <c r="I34" s="52"/>
      <c r="J34" s="69"/>
      <c r="K34" s="64"/>
      <c r="L34" s="201"/>
      <c r="M34" s="64"/>
      <c r="N34" s="53"/>
      <c r="O34" s="50"/>
      <c r="P34" s="51"/>
      <c r="Q34" s="201"/>
      <c r="R34" s="51"/>
      <c r="S34" s="52"/>
      <c r="T34" s="69"/>
      <c r="U34" s="64"/>
      <c r="V34" s="201"/>
      <c r="W34" s="64"/>
      <c r="X34" s="53"/>
      <c r="Y34" s="50"/>
      <c r="Z34" s="51"/>
      <c r="AA34" s="201"/>
      <c r="AB34" s="51"/>
      <c r="AC34" s="52"/>
      <c r="AD34" s="69"/>
      <c r="AE34" s="64"/>
      <c r="AF34" s="201"/>
      <c r="AG34" s="64"/>
      <c r="AH34" s="53"/>
      <c r="AI34" s="50"/>
      <c r="AJ34" s="51"/>
      <c r="AK34" s="201"/>
      <c r="AL34" s="51"/>
      <c r="AM34" s="52"/>
      <c r="AN34" s="220"/>
      <c r="AO34" s="201"/>
      <c r="AP34" s="201"/>
      <c r="AQ34" s="201"/>
      <c r="AR34" s="210"/>
      <c r="AS34" s="225"/>
      <c r="AT34" s="51"/>
      <c r="AU34" s="201"/>
      <c r="AV34" s="51"/>
      <c r="AW34" s="52"/>
      <c r="AX34" s="69"/>
      <c r="AY34" s="64"/>
      <c r="AZ34" s="201"/>
      <c r="BA34" s="64"/>
      <c r="BB34" s="53"/>
      <c r="BC34" s="50"/>
      <c r="BD34" s="51"/>
      <c r="BE34" s="201"/>
      <c r="BF34" s="51"/>
      <c r="BG34" s="52"/>
      <c r="BH34" s="69"/>
      <c r="BI34" s="64"/>
      <c r="BJ34" s="201"/>
      <c r="BK34" s="64"/>
      <c r="BL34" s="53"/>
      <c r="BM34" s="50"/>
      <c r="BN34" s="51"/>
      <c r="BO34" s="201"/>
      <c r="BP34" s="51"/>
      <c r="BQ34" s="52"/>
      <c r="BR34" s="69"/>
      <c r="BS34" s="64"/>
      <c r="BT34" s="201"/>
      <c r="BU34" s="201"/>
      <c r="BV34" s="210"/>
      <c r="BW34" s="50"/>
      <c r="BX34" s="51"/>
      <c r="BY34" s="201"/>
      <c r="BZ34" s="51"/>
      <c r="CA34" s="52"/>
      <c r="CB34" s="220"/>
      <c r="CC34" s="64"/>
      <c r="CD34" s="201"/>
      <c r="CE34" s="64"/>
      <c r="CF34" s="53"/>
      <c r="CG34" s="50"/>
      <c r="CH34" s="51"/>
      <c r="CI34" s="201"/>
      <c r="CJ34" s="51"/>
      <c r="CK34" s="52"/>
      <c r="CL34" s="69"/>
      <c r="CM34" s="64"/>
      <c r="CN34" s="201"/>
      <c r="CO34" s="64"/>
      <c r="CP34" s="53"/>
      <c r="CQ34" s="50"/>
      <c r="CR34" s="51"/>
      <c r="CS34" s="201"/>
      <c r="CT34" s="51"/>
      <c r="CU34" s="52"/>
      <c r="CV34" s="69"/>
      <c r="CW34" s="64"/>
      <c r="CX34" s="201"/>
      <c r="CY34" s="64"/>
      <c r="CZ34" s="53"/>
      <c r="DA34" s="50"/>
      <c r="DB34" s="51"/>
      <c r="DC34" s="201"/>
      <c r="DD34" s="51"/>
      <c r="DE34" s="52"/>
    </row>
    <row r="35" spans="2:109" x14ac:dyDescent="0.2">
      <c r="B35" s="448" t="s">
        <v>22</v>
      </c>
      <c r="C35" s="449"/>
      <c r="D35" s="450"/>
      <c r="E35" s="54"/>
      <c r="F35" s="51"/>
      <c r="G35" s="201"/>
      <c r="H35" s="51"/>
      <c r="I35" s="52"/>
      <c r="J35" s="69"/>
      <c r="K35" s="64"/>
      <c r="L35" s="201"/>
      <c r="M35" s="64"/>
      <c r="N35" s="45"/>
      <c r="O35" s="54"/>
      <c r="P35" s="51"/>
      <c r="Q35" s="201"/>
      <c r="R35" s="51"/>
      <c r="S35" s="52"/>
      <c r="T35" s="69"/>
      <c r="U35" s="64"/>
      <c r="V35" s="201"/>
      <c r="W35" s="64"/>
      <c r="X35" s="45"/>
      <c r="Y35" s="54"/>
      <c r="Z35" s="51"/>
      <c r="AA35" s="201"/>
      <c r="AB35" s="51"/>
      <c r="AC35" s="52"/>
      <c r="AD35" s="69"/>
      <c r="AE35" s="64"/>
      <c r="AF35" s="201"/>
      <c r="AG35" s="64"/>
      <c r="AH35" s="45"/>
      <c r="AI35" s="54"/>
      <c r="AJ35" s="51"/>
      <c r="AK35" s="201"/>
      <c r="AL35" s="51"/>
      <c r="AM35" s="52"/>
      <c r="AN35" s="220"/>
      <c r="AO35" s="201"/>
      <c r="AP35" s="201"/>
      <c r="AQ35" s="201"/>
      <c r="AR35" s="211"/>
      <c r="AS35" s="227"/>
      <c r="AT35" s="51"/>
      <c r="AU35" s="201"/>
      <c r="AV35" s="51"/>
      <c r="AW35" s="52"/>
      <c r="AX35" s="69"/>
      <c r="AY35" s="64"/>
      <c r="AZ35" s="201"/>
      <c r="BA35" s="64"/>
      <c r="BB35" s="45"/>
      <c r="BC35" s="54"/>
      <c r="BD35" s="51"/>
      <c r="BE35" s="201"/>
      <c r="BF35" s="51"/>
      <c r="BG35" s="52"/>
      <c r="BH35" s="69"/>
      <c r="BI35" s="64"/>
      <c r="BJ35" s="201"/>
      <c r="BK35" s="64"/>
      <c r="BL35" s="45"/>
      <c r="BM35" s="54"/>
      <c r="BN35" s="51"/>
      <c r="BO35" s="201"/>
      <c r="BP35" s="51"/>
      <c r="BQ35" s="52"/>
      <c r="BR35" s="69"/>
      <c r="BS35" s="64"/>
      <c r="BT35" s="201"/>
      <c r="BU35" s="201"/>
      <c r="BV35" s="211"/>
      <c r="BW35" s="54"/>
      <c r="BX35" s="51"/>
      <c r="BY35" s="201"/>
      <c r="BZ35" s="51"/>
      <c r="CA35" s="52"/>
      <c r="CB35" s="220"/>
      <c r="CC35" s="64"/>
      <c r="CD35" s="201"/>
      <c r="CE35" s="64"/>
      <c r="CF35" s="45"/>
      <c r="CG35" s="54"/>
      <c r="CH35" s="51"/>
      <c r="CI35" s="201"/>
      <c r="CJ35" s="51"/>
      <c r="CK35" s="52"/>
      <c r="CL35" s="69"/>
      <c r="CM35" s="64"/>
      <c r="CN35" s="201"/>
      <c r="CO35" s="64"/>
      <c r="CP35" s="45"/>
      <c r="CQ35" s="54"/>
      <c r="CR35" s="51"/>
      <c r="CS35" s="201"/>
      <c r="CT35" s="51"/>
      <c r="CU35" s="52"/>
      <c r="CV35" s="69"/>
      <c r="CW35" s="64"/>
      <c r="CX35" s="201"/>
      <c r="CY35" s="64"/>
      <c r="CZ35" s="45"/>
      <c r="DA35" s="54"/>
      <c r="DB35" s="51"/>
      <c r="DC35" s="201"/>
      <c r="DD35" s="51"/>
      <c r="DE35" s="52"/>
    </row>
    <row r="36" spans="2:109" ht="17" thickBot="1" x14ac:dyDescent="0.25">
      <c r="B36" s="448" t="s">
        <v>23</v>
      </c>
      <c r="C36" s="449"/>
      <c r="D36" s="450"/>
      <c r="E36" s="89"/>
      <c r="F36" s="90"/>
      <c r="G36" s="202"/>
      <c r="H36" s="90"/>
      <c r="I36" s="91"/>
      <c r="J36" s="92"/>
      <c r="K36" s="93"/>
      <c r="L36" s="202"/>
      <c r="M36" s="93"/>
      <c r="N36" s="94"/>
      <c r="O36" s="89"/>
      <c r="P36" s="90"/>
      <c r="Q36" s="202"/>
      <c r="R36" s="90"/>
      <c r="S36" s="91"/>
      <c r="T36" s="92"/>
      <c r="U36" s="93"/>
      <c r="V36" s="202"/>
      <c r="W36" s="93"/>
      <c r="X36" s="94"/>
      <c r="Y36" s="89"/>
      <c r="Z36" s="90"/>
      <c r="AA36" s="202"/>
      <c r="AB36" s="90"/>
      <c r="AC36" s="91"/>
      <c r="AD36" s="92"/>
      <c r="AE36" s="93"/>
      <c r="AF36" s="202"/>
      <c r="AG36" s="93"/>
      <c r="AH36" s="94"/>
      <c r="AI36" s="89"/>
      <c r="AJ36" s="90"/>
      <c r="AK36" s="202"/>
      <c r="AL36" s="90"/>
      <c r="AM36" s="91"/>
      <c r="AN36" s="222"/>
      <c r="AO36" s="202"/>
      <c r="AP36" s="202"/>
      <c r="AQ36" s="202"/>
      <c r="AR36" s="213"/>
      <c r="AS36" s="230"/>
      <c r="AT36" s="90"/>
      <c r="AU36" s="202"/>
      <c r="AV36" s="90"/>
      <c r="AW36" s="91"/>
      <c r="AX36" s="92"/>
      <c r="AY36" s="93"/>
      <c r="AZ36" s="202"/>
      <c r="BA36" s="93"/>
      <c r="BB36" s="94"/>
      <c r="BC36" s="89"/>
      <c r="BD36" s="90"/>
      <c r="BE36" s="202"/>
      <c r="BF36" s="90"/>
      <c r="BG36" s="91"/>
      <c r="BH36" s="92"/>
      <c r="BI36" s="93"/>
      <c r="BJ36" s="202"/>
      <c r="BK36" s="93"/>
      <c r="BL36" s="94"/>
      <c r="BM36" s="89"/>
      <c r="BN36" s="90"/>
      <c r="BO36" s="202"/>
      <c r="BP36" s="90"/>
      <c r="BQ36" s="91"/>
      <c r="BR36" s="92"/>
      <c r="BS36" s="93"/>
      <c r="BT36" s="202"/>
      <c r="BU36" s="202"/>
      <c r="BV36" s="213"/>
      <c r="BW36" s="89"/>
      <c r="BX36" s="90"/>
      <c r="BY36" s="202"/>
      <c r="BZ36" s="90"/>
      <c r="CA36" s="91"/>
      <c r="CB36" s="222"/>
      <c r="CC36" s="93"/>
      <c r="CD36" s="202"/>
      <c r="CE36" s="93"/>
      <c r="CF36" s="94"/>
      <c r="CG36" s="89"/>
      <c r="CH36" s="90"/>
      <c r="CI36" s="202"/>
      <c r="CJ36" s="90"/>
      <c r="CK36" s="91"/>
      <c r="CL36" s="92"/>
      <c r="CM36" s="93"/>
      <c r="CN36" s="202"/>
      <c r="CO36" s="93"/>
      <c r="CP36" s="94"/>
      <c r="CQ36" s="89"/>
      <c r="CR36" s="90"/>
      <c r="CS36" s="202"/>
      <c r="CT36" s="90"/>
      <c r="CU36" s="91"/>
      <c r="CV36" s="92"/>
      <c r="CW36" s="93"/>
      <c r="CX36" s="202"/>
      <c r="CY36" s="93"/>
      <c r="CZ36" s="94"/>
      <c r="DA36" s="89"/>
      <c r="DB36" s="90"/>
      <c r="DC36" s="202"/>
      <c r="DD36" s="90"/>
      <c r="DE36" s="91"/>
    </row>
    <row r="37" spans="2:109" x14ac:dyDescent="0.2">
      <c r="B37" s="448" t="s">
        <v>24</v>
      </c>
      <c r="C37" s="449"/>
      <c r="D37" s="450"/>
      <c r="E37" s="95"/>
      <c r="F37" s="96"/>
      <c r="G37" s="96"/>
      <c r="H37" s="96"/>
      <c r="I37" s="97"/>
      <c r="J37" s="98"/>
      <c r="K37" s="47"/>
      <c r="L37" s="47"/>
      <c r="M37" s="47"/>
      <c r="N37" s="63"/>
      <c r="O37" s="95"/>
      <c r="P37" s="96"/>
      <c r="Q37" s="96"/>
      <c r="R37" s="96"/>
      <c r="S37" s="97"/>
      <c r="T37" s="98"/>
      <c r="U37" s="47"/>
      <c r="V37" s="47"/>
      <c r="W37" s="47"/>
      <c r="X37" s="63"/>
      <c r="Y37" s="95"/>
      <c r="Z37" s="96"/>
      <c r="AA37" s="96"/>
      <c r="AB37" s="96"/>
      <c r="AC37" s="97"/>
      <c r="AD37" s="98"/>
      <c r="AE37" s="47"/>
      <c r="AF37" s="47"/>
      <c r="AG37" s="47"/>
      <c r="AH37" s="63"/>
      <c r="AI37" s="95"/>
      <c r="AJ37" s="96"/>
      <c r="AK37" s="96"/>
      <c r="AL37" s="96"/>
      <c r="AM37" s="97"/>
      <c r="AN37" s="98"/>
      <c r="AO37" s="47"/>
      <c r="AP37" s="47"/>
      <c r="AQ37" s="47"/>
      <c r="AR37" s="63"/>
      <c r="AS37" s="95"/>
      <c r="AT37" s="96"/>
      <c r="AU37" s="96"/>
      <c r="AV37" s="96"/>
      <c r="AW37" s="97"/>
      <c r="AX37" s="98"/>
      <c r="AY37" s="47"/>
      <c r="AZ37" s="47"/>
      <c r="BA37" s="47"/>
      <c r="BB37" s="63"/>
      <c r="BC37" s="95"/>
      <c r="BD37" s="96"/>
      <c r="BE37" s="96"/>
      <c r="BF37" s="96"/>
      <c r="BG37" s="97"/>
      <c r="BH37" s="98"/>
      <c r="BI37" s="47"/>
      <c r="BJ37" s="47"/>
      <c r="BK37" s="47"/>
      <c r="BL37" s="63"/>
      <c r="BM37" s="95"/>
      <c r="BN37" s="96"/>
      <c r="BO37" s="96"/>
      <c r="BP37" s="96"/>
      <c r="BQ37" s="97"/>
      <c r="BR37" s="98"/>
      <c r="BS37" s="47"/>
      <c r="BT37" s="47"/>
      <c r="BU37" s="47"/>
      <c r="BV37" s="63"/>
      <c r="BW37" s="95"/>
      <c r="BX37" s="96"/>
      <c r="BY37" s="96"/>
      <c r="BZ37" s="96"/>
      <c r="CA37" s="97"/>
      <c r="CB37" s="98"/>
      <c r="CC37" s="47"/>
      <c r="CD37" s="47"/>
      <c r="CE37" s="47"/>
      <c r="CF37" s="63"/>
      <c r="CG37" s="95"/>
      <c r="CH37" s="96"/>
      <c r="CI37" s="96"/>
      <c r="CJ37" s="96"/>
      <c r="CK37" s="97"/>
      <c r="CL37" s="98"/>
      <c r="CM37" s="47"/>
      <c r="CN37" s="47"/>
      <c r="CO37" s="47"/>
      <c r="CP37" s="63"/>
      <c r="CQ37" s="95"/>
      <c r="CR37" s="96"/>
      <c r="CS37" s="96"/>
      <c r="CT37" s="96"/>
      <c r="CU37" s="97"/>
      <c r="CV37" s="98"/>
      <c r="CW37" s="47"/>
      <c r="CX37" s="47"/>
      <c r="CY37" s="47"/>
      <c r="CZ37" s="63"/>
      <c r="DA37" s="95"/>
      <c r="DB37" s="96"/>
      <c r="DC37" s="96"/>
      <c r="DD37" s="96"/>
      <c r="DE37" s="97"/>
    </row>
    <row r="38" spans="2:109" x14ac:dyDescent="0.2">
      <c r="B38" s="448" t="s">
        <v>30</v>
      </c>
      <c r="C38" s="449"/>
      <c r="D38" s="450"/>
      <c r="E38" s="68"/>
      <c r="F38" s="65"/>
      <c r="G38" s="65"/>
      <c r="H38" s="65"/>
      <c r="I38" s="70"/>
      <c r="J38" s="67"/>
      <c r="K38" s="56"/>
      <c r="L38" s="56"/>
      <c r="M38" s="56"/>
      <c r="N38" s="66"/>
      <c r="O38" s="68"/>
      <c r="P38" s="65"/>
      <c r="Q38" s="65"/>
      <c r="R38" s="65"/>
      <c r="S38" s="70"/>
      <c r="T38" s="67"/>
      <c r="U38" s="56"/>
      <c r="V38" s="56"/>
      <c r="W38" s="56"/>
      <c r="X38" s="66"/>
      <c r="Y38" s="68"/>
      <c r="Z38" s="65"/>
      <c r="AA38" s="65"/>
      <c r="AB38" s="65"/>
      <c r="AC38" s="70"/>
      <c r="AD38" s="67"/>
      <c r="AE38" s="56"/>
      <c r="AF38" s="56"/>
      <c r="AG38" s="56"/>
      <c r="AH38" s="66"/>
      <c r="AI38" s="68"/>
      <c r="AJ38" s="65"/>
      <c r="AK38" s="65"/>
      <c r="AL38" s="65"/>
      <c r="AM38" s="70"/>
      <c r="AN38" s="67"/>
      <c r="AO38" s="56"/>
      <c r="AP38" s="56"/>
      <c r="AQ38" s="56"/>
      <c r="AR38" s="66"/>
      <c r="AS38" s="68"/>
      <c r="AT38" s="65"/>
      <c r="AU38" s="65"/>
      <c r="AV38" s="65"/>
      <c r="AW38" s="70"/>
      <c r="AX38" s="67"/>
      <c r="AY38" s="56"/>
      <c r="AZ38" s="56"/>
      <c r="BA38" s="56"/>
      <c r="BB38" s="66"/>
      <c r="BC38" s="68"/>
      <c r="BD38" s="65"/>
      <c r="BE38" s="65"/>
      <c r="BF38" s="65"/>
      <c r="BG38" s="70"/>
      <c r="BH38" s="67"/>
      <c r="BI38" s="56"/>
      <c r="BJ38" s="56"/>
      <c r="BK38" s="56"/>
      <c r="BL38" s="66"/>
      <c r="BM38" s="68"/>
      <c r="BN38" s="65"/>
      <c r="BO38" s="65"/>
      <c r="BP38" s="65"/>
      <c r="BQ38" s="70"/>
      <c r="BR38" s="67"/>
      <c r="BS38" s="56"/>
      <c r="BT38" s="56"/>
      <c r="BU38" s="56"/>
      <c r="BV38" s="66"/>
      <c r="BW38" s="68"/>
      <c r="BX38" s="65"/>
      <c r="BY38" s="65"/>
      <c r="BZ38" s="65"/>
      <c r="CA38" s="70"/>
      <c r="CB38" s="67"/>
      <c r="CC38" s="56"/>
      <c r="CD38" s="56"/>
      <c r="CE38" s="56"/>
      <c r="CF38" s="66"/>
      <c r="CG38" s="68"/>
      <c r="CH38" s="65"/>
      <c r="CI38" s="65"/>
      <c r="CJ38" s="65"/>
      <c r="CK38" s="70"/>
      <c r="CL38" s="67"/>
      <c r="CM38" s="56"/>
      <c r="CN38" s="56"/>
      <c r="CO38" s="56"/>
      <c r="CP38" s="66"/>
      <c r="CQ38" s="68"/>
      <c r="CR38" s="65"/>
      <c r="CS38" s="65"/>
      <c r="CT38" s="65"/>
      <c r="CU38" s="70"/>
      <c r="CV38" s="67"/>
      <c r="CW38" s="56"/>
      <c r="CX38" s="56"/>
      <c r="CY38" s="56"/>
      <c r="CZ38" s="66"/>
      <c r="DA38" s="68"/>
      <c r="DB38" s="65"/>
      <c r="DC38" s="65"/>
      <c r="DD38" s="65"/>
      <c r="DE38" s="70"/>
    </row>
    <row r="39" spans="2:109" x14ac:dyDescent="0.2">
      <c r="B39" s="448" t="s">
        <v>31</v>
      </c>
      <c r="C39" s="449"/>
      <c r="D39" s="450"/>
      <c r="E39" s="68"/>
      <c r="F39" s="65"/>
      <c r="G39" s="65"/>
      <c r="H39" s="65"/>
      <c r="I39" s="70"/>
      <c r="J39" s="67"/>
      <c r="K39" s="56"/>
      <c r="L39" s="56"/>
      <c r="M39" s="56"/>
      <c r="N39" s="66"/>
      <c r="O39" s="68"/>
      <c r="P39" s="65"/>
      <c r="Q39" s="65"/>
      <c r="R39" s="65"/>
      <c r="S39" s="70"/>
      <c r="T39" s="67"/>
      <c r="U39" s="56"/>
      <c r="V39" s="56"/>
      <c r="W39" s="56"/>
      <c r="X39" s="66"/>
      <c r="Y39" s="68"/>
      <c r="Z39" s="65"/>
      <c r="AA39" s="65"/>
      <c r="AB39" s="65"/>
      <c r="AC39" s="70"/>
      <c r="AD39" s="67"/>
      <c r="AE39" s="56"/>
      <c r="AF39" s="56"/>
      <c r="AG39" s="56"/>
      <c r="AH39" s="66"/>
      <c r="AI39" s="68"/>
      <c r="AJ39" s="65"/>
      <c r="AK39" s="65"/>
      <c r="AL39" s="65"/>
      <c r="AM39" s="70"/>
      <c r="AN39" s="67"/>
      <c r="AO39" s="56"/>
      <c r="AP39" s="56"/>
      <c r="AQ39" s="56"/>
      <c r="AR39" s="66"/>
      <c r="AS39" s="68"/>
      <c r="AT39" s="65"/>
      <c r="AU39" s="65"/>
      <c r="AV39" s="65"/>
      <c r="AW39" s="70"/>
      <c r="AX39" s="67"/>
      <c r="AY39" s="56"/>
      <c r="AZ39" s="56"/>
      <c r="BA39" s="56"/>
      <c r="BB39" s="66"/>
      <c r="BC39" s="68"/>
      <c r="BD39" s="65"/>
      <c r="BE39" s="65"/>
      <c r="BF39" s="65"/>
      <c r="BG39" s="70"/>
      <c r="BH39" s="67"/>
      <c r="BI39" s="56"/>
      <c r="BJ39" s="56"/>
      <c r="BK39" s="56"/>
      <c r="BL39" s="66"/>
      <c r="BM39" s="68"/>
      <c r="BN39" s="65"/>
      <c r="BO39" s="65"/>
      <c r="BP39" s="65"/>
      <c r="BQ39" s="70"/>
      <c r="BR39" s="67"/>
      <c r="BS39" s="56"/>
      <c r="BT39" s="56"/>
      <c r="BU39" s="56"/>
      <c r="BV39" s="66"/>
      <c r="BW39" s="68"/>
      <c r="BX39" s="65"/>
      <c r="BY39" s="65"/>
      <c r="BZ39" s="65"/>
      <c r="CA39" s="70"/>
      <c r="CB39" s="67"/>
      <c r="CC39" s="56"/>
      <c r="CD39" s="56"/>
      <c r="CE39" s="56"/>
      <c r="CF39" s="66"/>
      <c r="CG39" s="68"/>
      <c r="CH39" s="65"/>
      <c r="CI39" s="65"/>
      <c r="CJ39" s="65"/>
      <c r="CK39" s="70"/>
      <c r="CL39" s="67"/>
      <c r="CM39" s="56"/>
      <c r="CN39" s="56"/>
      <c r="CO39" s="56"/>
      <c r="CP39" s="66"/>
      <c r="CQ39" s="68"/>
      <c r="CR39" s="65"/>
      <c r="CS39" s="65"/>
      <c r="CT39" s="65"/>
      <c r="CU39" s="70"/>
      <c r="CV39" s="67"/>
      <c r="CW39" s="56"/>
      <c r="CX39" s="56"/>
      <c r="CY39" s="56"/>
      <c r="CZ39" s="66"/>
      <c r="DA39" s="68"/>
      <c r="DB39" s="65"/>
      <c r="DC39" s="65"/>
      <c r="DD39" s="65"/>
      <c r="DE39" s="70"/>
    </row>
    <row r="40" spans="2:109" x14ac:dyDescent="0.2">
      <c r="B40" s="448" t="s">
        <v>32</v>
      </c>
      <c r="C40" s="449"/>
      <c r="D40" s="450"/>
      <c r="E40" s="68"/>
      <c r="F40" s="65"/>
      <c r="G40" s="65"/>
      <c r="H40" s="65"/>
      <c r="I40" s="70"/>
      <c r="J40" s="67"/>
      <c r="K40" s="56"/>
      <c r="L40" s="56"/>
      <c r="M40" s="56"/>
      <c r="N40" s="66"/>
      <c r="O40" s="68"/>
      <c r="P40" s="65"/>
      <c r="Q40" s="65"/>
      <c r="R40" s="65"/>
      <c r="S40" s="70"/>
      <c r="T40" s="67"/>
      <c r="U40" s="56"/>
      <c r="V40" s="56"/>
      <c r="W40" s="56"/>
      <c r="X40" s="66"/>
      <c r="Y40" s="68"/>
      <c r="Z40" s="65"/>
      <c r="AA40" s="65"/>
      <c r="AB40" s="65"/>
      <c r="AC40" s="70"/>
      <c r="AD40" s="67"/>
      <c r="AE40" s="56"/>
      <c r="AF40" s="56"/>
      <c r="AG40" s="56"/>
      <c r="AH40" s="66"/>
      <c r="AI40" s="68"/>
      <c r="AJ40" s="65"/>
      <c r="AK40" s="65"/>
      <c r="AL40" s="65"/>
      <c r="AM40" s="70"/>
      <c r="AN40" s="67"/>
      <c r="AO40" s="56"/>
      <c r="AP40" s="56"/>
      <c r="AQ40" s="56"/>
      <c r="AR40" s="66"/>
      <c r="AS40" s="68"/>
      <c r="AT40" s="65"/>
      <c r="AU40" s="65"/>
      <c r="AV40" s="65"/>
      <c r="AW40" s="70"/>
      <c r="AX40" s="67"/>
      <c r="AY40" s="56"/>
      <c r="AZ40" s="56"/>
      <c r="BA40" s="56"/>
      <c r="BB40" s="66"/>
      <c r="BC40" s="68"/>
      <c r="BD40" s="65"/>
      <c r="BE40" s="65"/>
      <c r="BF40" s="65"/>
      <c r="BG40" s="70"/>
      <c r="BH40" s="67"/>
      <c r="BI40" s="56"/>
      <c r="BJ40" s="56"/>
      <c r="BK40" s="56"/>
      <c r="BL40" s="66"/>
      <c r="BM40" s="68"/>
      <c r="BN40" s="65"/>
      <c r="BO40" s="65"/>
      <c r="BP40" s="65"/>
      <c r="BQ40" s="70"/>
      <c r="BR40" s="67"/>
      <c r="BS40" s="56"/>
      <c r="BT40" s="56"/>
      <c r="BU40" s="56"/>
      <c r="BV40" s="66"/>
      <c r="BW40" s="68"/>
      <c r="BX40" s="65"/>
      <c r="BY40" s="65"/>
      <c r="BZ40" s="65"/>
      <c r="CA40" s="70"/>
      <c r="CB40" s="67"/>
      <c r="CC40" s="56"/>
      <c r="CD40" s="56"/>
      <c r="CE40" s="56"/>
      <c r="CF40" s="66"/>
      <c r="CG40" s="68"/>
      <c r="CH40" s="65"/>
      <c r="CI40" s="65"/>
      <c r="CJ40" s="65"/>
      <c r="CK40" s="70"/>
      <c r="CL40" s="67"/>
      <c r="CM40" s="56"/>
      <c r="CN40" s="56"/>
      <c r="CO40" s="56"/>
      <c r="CP40" s="66"/>
      <c r="CQ40" s="68"/>
      <c r="CR40" s="65"/>
      <c r="CS40" s="65"/>
      <c r="CT40" s="65"/>
      <c r="CU40" s="70"/>
      <c r="CV40" s="67"/>
      <c r="CW40" s="56"/>
      <c r="CX40" s="56"/>
      <c r="CY40" s="56"/>
      <c r="CZ40" s="66"/>
      <c r="DA40" s="68"/>
      <c r="DB40" s="65"/>
      <c r="DC40" s="65"/>
      <c r="DD40" s="65"/>
      <c r="DE40" s="70"/>
    </row>
    <row r="41" spans="2:109" x14ac:dyDescent="0.2">
      <c r="B41" s="448" t="s">
        <v>33</v>
      </c>
      <c r="C41" s="449"/>
      <c r="D41" s="450"/>
      <c r="E41" s="68"/>
      <c r="F41" s="65"/>
      <c r="G41" s="65"/>
      <c r="H41" s="65"/>
      <c r="I41" s="70"/>
      <c r="J41" s="67"/>
      <c r="K41" s="56"/>
      <c r="L41" s="56"/>
      <c r="M41" s="56"/>
      <c r="N41" s="66"/>
      <c r="O41" s="68"/>
      <c r="P41" s="65"/>
      <c r="Q41" s="65"/>
      <c r="R41" s="65"/>
      <c r="S41" s="70"/>
      <c r="T41" s="67"/>
      <c r="U41" s="56"/>
      <c r="V41" s="56"/>
      <c r="W41" s="56"/>
      <c r="X41" s="66"/>
      <c r="Y41" s="68"/>
      <c r="Z41" s="65"/>
      <c r="AA41" s="65"/>
      <c r="AB41" s="65"/>
      <c r="AC41" s="70"/>
      <c r="AD41" s="67"/>
      <c r="AE41" s="56"/>
      <c r="AF41" s="56"/>
      <c r="AG41" s="56"/>
      <c r="AH41" s="66"/>
      <c r="AI41" s="68"/>
      <c r="AJ41" s="65"/>
      <c r="AK41" s="65"/>
      <c r="AL41" s="65"/>
      <c r="AM41" s="70"/>
      <c r="AN41" s="67"/>
      <c r="AO41" s="56"/>
      <c r="AP41" s="56"/>
      <c r="AQ41" s="56"/>
      <c r="AR41" s="66"/>
      <c r="AS41" s="68"/>
      <c r="AT41" s="65"/>
      <c r="AU41" s="65"/>
      <c r="AV41" s="65"/>
      <c r="AW41" s="70"/>
      <c r="AX41" s="67"/>
      <c r="AY41" s="56"/>
      <c r="AZ41" s="56"/>
      <c r="BA41" s="56"/>
      <c r="BB41" s="66"/>
      <c r="BC41" s="68"/>
      <c r="BD41" s="65"/>
      <c r="BE41" s="65"/>
      <c r="BF41" s="65"/>
      <c r="BG41" s="70"/>
      <c r="BH41" s="67"/>
      <c r="BI41" s="56"/>
      <c r="BJ41" s="56"/>
      <c r="BK41" s="56"/>
      <c r="BL41" s="66"/>
      <c r="BM41" s="68"/>
      <c r="BN41" s="65"/>
      <c r="BO41" s="65"/>
      <c r="BP41" s="65"/>
      <c r="BQ41" s="70"/>
      <c r="BR41" s="67"/>
      <c r="BS41" s="56"/>
      <c r="BT41" s="56"/>
      <c r="BU41" s="56"/>
      <c r="BV41" s="66"/>
      <c r="BW41" s="68"/>
      <c r="BX41" s="65"/>
      <c r="BY41" s="65"/>
      <c r="BZ41" s="65"/>
      <c r="CA41" s="70"/>
      <c r="CB41" s="67"/>
      <c r="CC41" s="56"/>
      <c r="CD41" s="56"/>
      <c r="CE41" s="56"/>
      <c r="CF41" s="66"/>
      <c r="CG41" s="68"/>
      <c r="CH41" s="65"/>
      <c r="CI41" s="65"/>
      <c r="CJ41" s="65"/>
      <c r="CK41" s="70"/>
      <c r="CL41" s="67"/>
      <c r="CM41" s="56"/>
      <c r="CN41" s="56"/>
      <c r="CO41" s="56"/>
      <c r="CP41" s="66"/>
      <c r="CQ41" s="68"/>
      <c r="CR41" s="65"/>
      <c r="CS41" s="65"/>
      <c r="CT41" s="65"/>
      <c r="CU41" s="70"/>
      <c r="CV41" s="67"/>
      <c r="CW41" s="56"/>
      <c r="CX41" s="56"/>
      <c r="CY41" s="56"/>
      <c r="CZ41" s="66"/>
      <c r="DA41" s="68"/>
      <c r="DB41" s="65"/>
      <c r="DC41" s="65"/>
      <c r="DD41" s="65"/>
      <c r="DE41" s="70"/>
    </row>
    <row r="42" spans="2:109" ht="17" thickBot="1" x14ac:dyDescent="0.25">
      <c r="B42" s="451" t="s">
        <v>34</v>
      </c>
      <c r="C42" s="452"/>
      <c r="D42" s="453"/>
      <c r="E42" s="71"/>
      <c r="F42" s="72"/>
      <c r="G42" s="72"/>
      <c r="H42" s="72"/>
      <c r="I42" s="73"/>
      <c r="J42" s="74"/>
      <c r="K42" s="75"/>
      <c r="L42" s="75"/>
      <c r="M42" s="75"/>
      <c r="N42" s="76"/>
      <c r="O42" s="71"/>
      <c r="P42" s="72"/>
      <c r="Q42" s="72"/>
      <c r="R42" s="72"/>
      <c r="S42" s="73"/>
      <c r="T42" s="74"/>
      <c r="U42" s="75"/>
      <c r="V42" s="75"/>
      <c r="W42" s="75"/>
      <c r="X42" s="76"/>
      <c r="Y42" s="71"/>
      <c r="Z42" s="72"/>
      <c r="AA42" s="72"/>
      <c r="AB42" s="72"/>
      <c r="AC42" s="73"/>
      <c r="AD42" s="74"/>
      <c r="AE42" s="75"/>
      <c r="AF42" s="75"/>
      <c r="AG42" s="75"/>
      <c r="AH42" s="76"/>
      <c r="AI42" s="71"/>
      <c r="AJ42" s="72"/>
      <c r="AK42" s="72"/>
      <c r="AL42" s="72"/>
      <c r="AM42" s="73"/>
      <c r="AN42" s="74"/>
      <c r="AO42" s="75"/>
      <c r="AP42" s="75"/>
      <c r="AQ42" s="75"/>
      <c r="AR42" s="76"/>
      <c r="AS42" s="71"/>
      <c r="AT42" s="72"/>
      <c r="AU42" s="72"/>
      <c r="AV42" s="72"/>
      <c r="AW42" s="73"/>
      <c r="AX42" s="74"/>
      <c r="AY42" s="75"/>
      <c r="AZ42" s="75"/>
      <c r="BA42" s="75"/>
      <c r="BB42" s="76"/>
      <c r="BC42" s="71"/>
      <c r="BD42" s="72"/>
      <c r="BE42" s="72"/>
      <c r="BF42" s="72"/>
      <c r="BG42" s="73"/>
      <c r="BH42" s="74"/>
      <c r="BI42" s="75"/>
      <c r="BJ42" s="75"/>
      <c r="BK42" s="75"/>
      <c r="BL42" s="76"/>
      <c r="BM42" s="71"/>
      <c r="BN42" s="72"/>
      <c r="BO42" s="72"/>
      <c r="BP42" s="72"/>
      <c r="BQ42" s="73"/>
      <c r="BR42" s="74"/>
      <c r="BS42" s="75"/>
      <c r="BT42" s="75"/>
      <c r="BU42" s="75"/>
      <c r="BV42" s="76"/>
      <c r="BW42" s="71"/>
      <c r="BX42" s="72"/>
      <c r="BY42" s="72"/>
      <c r="BZ42" s="72"/>
      <c r="CA42" s="73"/>
      <c r="CB42" s="74"/>
      <c r="CC42" s="75"/>
      <c r="CD42" s="75"/>
      <c r="CE42" s="75"/>
      <c r="CF42" s="76"/>
      <c r="CG42" s="71"/>
      <c r="CH42" s="72"/>
      <c r="CI42" s="72"/>
      <c r="CJ42" s="72"/>
      <c r="CK42" s="73"/>
      <c r="CL42" s="74"/>
      <c r="CM42" s="75"/>
      <c r="CN42" s="75"/>
      <c r="CO42" s="75"/>
      <c r="CP42" s="76"/>
      <c r="CQ42" s="71"/>
      <c r="CR42" s="72"/>
      <c r="CS42" s="72"/>
      <c r="CT42" s="72"/>
      <c r="CU42" s="73"/>
      <c r="CV42" s="74"/>
      <c r="CW42" s="75"/>
      <c r="CX42" s="75"/>
      <c r="CY42" s="75"/>
      <c r="CZ42" s="76"/>
      <c r="DA42" s="71"/>
      <c r="DB42" s="72"/>
      <c r="DC42" s="72"/>
      <c r="DD42" s="72"/>
      <c r="DE42" s="73"/>
    </row>
    <row r="43" spans="2:109" s="136" customFormat="1" ht="17" thickBot="1" x14ac:dyDescent="0.25"/>
    <row r="44" spans="2:109" ht="17" thickBot="1" x14ac:dyDescent="0.25">
      <c r="C44" s="198" t="s">
        <v>37</v>
      </c>
      <c r="D44" s="199" t="s">
        <v>38</v>
      </c>
    </row>
    <row r="45" spans="2:109" x14ac:dyDescent="0.2">
      <c r="B45" s="83" t="str">
        <f>IFERROR(INDEX(_xlfn._xlws.FILTER(Ressourcer!$B$1:$X$1,_xlfn.BYCOL(Ressourcer!$B$23:$X$25,_xlfn.LAMBDA(_xlpm.c,COUNTIF(_xlpm.c,"&lt;&gt;" )&gt;0))),ROWS($B$2:B2)),"")</f>
        <v>ACWF</v>
      </c>
      <c r="C45" s="80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)&gt;0))),_xlfn.LAMBDA(_xlpm.col,SUM(INDEX(Ressourcer!$B$23:$X$25,,_xlpm.col-COLUMN(Ressourcer!$B$23:$X$25)+1)))),ROWS($B$2:B2))/2,"")</f>
        <v>75</v>
      </c>
      <c r="D45" s="106" t="str">
        <f t="shared" ref="D45:D57" si="35">IF(SUM(E45:DE45)=0,"",SUM(E45:DE45))</f>
        <v/>
      </c>
      <c r="E45" s="81">
        <f>IF($B45="","",IF(COUNTIF(E$16:E$21,$B45)&gt;0,COUNTA(E$7:E$15),0)+IF(COUNTIF(E$37:E$42,$B45)&gt;0,COUNTA(E$27:E$35),0))</f>
        <v>0</v>
      </c>
      <c r="F45" s="46">
        <f>IF($B45="","",IF(COUNTIF(F$16:F$21,$B45)&gt;0,COUNTA(F$7:F$15),0)+IF(COUNTIF(F$37:F$42,$B45)&gt;0,COUNTA(F$27:F$35),0))</f>
        <v>0</v>
      </c>
      <c r="G45" s="46">
        <f>IF($B45="","",IF(COUNTIF(G$16:G$21,$B45)&gt;0,COUNTA(G$7:G$15),0)+IF(COUNTIF(G$37:G$42,$B45)&gt;0,COUNTA(G$27:G$35),0))</f>
        <v>0</v>
      </c>
      <c r="H45" s="46">
        <f>IF($B45="","",IF(COUNTIF(H$16:H$21,$B45)&gt;0,COUNTA(H$7:H$15),0)+IF(COUNTIF(H$37:H$42,$B45)&gt;0,COUNTA(H$27:H$35),0))</f>
        <v>0</v>
      </c>
      <c r="I45" s="46">
        <f>IF($B45="","",IF(COUNTIF(I$16:I$21,$B45)&gt;0,COUNTA(I$7:I$15),0)+IF(COUNTIF(I$37:I$42,$B45)&gt;0,COUNTA(I$27:I$35),0))</f>
        <v>0</v>
      </c>
      <c r="J45" s="46">
        <f>IF($B45="","",IF(COUNTIF(J$16:J$21,$B45)&gt;0,COUNTA(J$7:J$15),0)+IF(COUNTIF(J$37:J$42,$B45)&gt;0,COUNTA(J$27:J$35),0))</f>
        <v>0</v>
      </c>
      <c r="K45" s="46">
        <f>IF($B45="","",IF(COUNTIF(K$16:K$21,$B45)&gt;0,COUNTA(K$7:K$15),0)+IF(COUNTIF(K$37:K$42,$B45)&gt;0,COUNTA(K$27:K$35),0))</f>
        <v>0</v>
      </c>
      <c r="L45" s="46">
        <f>IF($B45="","",IF(COUNTIF(L$16:L$21,$B45)&gt;0,COUNTA(L$7:L$15),0)+IF(COUNTIF(L$37:L$42,$B45)&gt;0,COUNTA(L$27:L$35),0))</f>
        <v>0</v>
      </c>
      <c r="M45" s="46">
        <f>IF($B45="","",IF(COUNTIF(M$16:M$21,$B45)&gt;0,COUNTA(M$7:M$15),0)+IF(COUNTIF(M$37:M$42,$B45)&gt;0,COUNTA(M$27:M$35),0))</f>
        <v>0</v>
      </c>
      <c r="N45" s="46">
        <f>IF($B45="","",IF(COUNTIF(N$16:N$21,$B45)&gt;0,COUNTA(N$7:N$15),0)+IF(COUNTIF(N$37:N$42,$B45)&gt;0,COUNTA(N$27:N$35),0))</f>
        <v>0</v>
      </c>
      <c r="O45" s="46">
        <f>IF($B45="","",IF(COUNTIF(O$16:O$21,$B45)&gt;0,COUNTA(O$7:O$15),0)+IF(COUNTIF(O$37:O$42,$B45)&gt;0,COUNTA(O$27:O$35),0))</f>
        <v>0</v>
      </c>
      <c r="P45" s="46">
        <f>IF($B45="","",IF(COUNTIF(P$16:P$21,$B45)&gt;0,COUNTA(P$7:P$15),0)+IF(COUNTIF(P$37:P$42,$B45)&gt;0,COUNTA(P$27:P$35),0))</f>
        <v>0</v>
      </c>
      <c r="Q45" s="46">
        <f>IF($B45="","",IF(COUNTIF(Q$16:Q$21,$B45)&gt;0,COUNTA(Q$7:Q$15),0)+IF(COUNTIF(Q$37:Q$42,$B45)&gt;0,COUNTA(Q$27:Q$35),0))</f>
        <v>0</v>
      </c>
      <c r="R45" s="46">
        <f>IF($B45="","",IF(COUNTIF(R$16:R$21,$B45)&gt;0,COUNTA(R$7:R$15),0)+IF(COUNTIF(R$37:R$42,$B45)&gt;0,COUNTA(R$27:R$35),0))</f>
        <v>0</v>
      </c>
      <c r="S45" s="46">
        <f>IF($B45="","",IF(COUNTIF(S$16:S$21,$B45)&gt;0,COUNTA(S$7:S$15),0)+IF(COUNTIF(S$37:S$42,$B45)&gt;0,COUNTA(S$27:S$35),0))</f>
        <v>0</v>
      </c>
      <c r="T45" s="46">
        <f>IF($B45="","",IF(COUNTIF(T$16:T$21,$B45)&gt;0,COUNTA(T$7:T$15),0)+IF(COUNTIF(T$37:T$42,$B45)&gt;0,COUNTA(T$27:T$35),0))</f>
        <v>0</v>
      </c>
      <c r="U45" s="46">
        <f>IF($B45="","",IF(COUNTIF(U$16:U$21,$B45)&gt;0,COUNTA(U$7:U$15),0)+IF(COUNTIF(U$37:U$42,$B45)&gt;0,COUNTA(U$27:U$35),0))</f>
        <v>0</v>
      </c>
      <c r="V45" s="46">
        <f>IF($B45="","",IF(COUNTIF(V$16:V$21,$B45)&gt;0,COUNTA(V$7:V$15),0)+IF(COUNTIF(V$37:V$42,$B45)&gt;0,COUNTA(V$27:V$35),0))</f>
        <v>0</v>
      </c>
      <c r="W45" s="46">
        <f>IF($B45="","",IF(COUNTIF(W$16:W$21,$B45)&gt;0,COUNTA(W$7:W$15),0)+IF(COUNTIF(W$37:W$42,$B45)&gt;0,COUNTA(W$27:W$35),0))</f>
        <v>0</v>
      </c>
      <c r="X45" s="46">
        <f>IF($B45="","",IF(COUNTIF(X$16:X$21,$B45)&gt;0,COUNTA(X$7:X$15),0)+IF(COUNTIF(X$37:X$42,$B45)&gt;0,COUNTA(X$27:X$35),0))</f>
        <v>0</v>
      </c>
      <c r="Y45" s="46">
        <f>IF($B45="","",IF(COUNTIF(Y$16:Y$21,$B45)&gt;0,COUNTA(Y$7:Y$15),0)+IF(COUNTIF(Y$37:Y$42,$B45)&gt;0,COUNTA(Y$27:Y$35),0))</f>
        <v>0</v>
      </c>
      <c r="Z45" s="46">
        <f>IF($B45="","",IF(COUNTIF(Z$16:Z$21,$B45)&gt;0,COUNTA(Z$7:Z$15),0)+IF(COUNTIF(Z$37:Z$42,$B45)&gt;0,COUNTA(Z$27:Z$35),0))</f>
        <v>0</v>
      </c>
      <c r="AA45" s="46">
        <f>IF($B45="","",IF(COUNTIF(AA$16:AA$21,$B45)&gt;0,COUNTA(AA$7:AA$15),0)+IF(COUNTIF(AA$37:AA$42,$B45)&gt;0,COUNTA(AA$27:AA$35),0))</f>
        <v>0</v>
      </c>
      <c r="AB45" s="46">
        <f>IF($B45="","",IF(COUNTIF(AB$16:AB$21,$B45)&gt;0,COUNTA(AB$7:AB$15),0)+IF(COUNTIF(AB$37:AB$42,$B45)&gt;0,COUNTA(AB$27:AB$35),0))</f>
        <v>0</v>
      </c>
      <c r="AC45" s="46">
        <f>IF($B45="","",IF(COUNTIF(AC$16:AC$21,$B45)&gt;0,COUNTA(AC$7:AC$15),0)+IF(COUNTIF(AC$37:AC$42,$B45)&gt;0,COUNTA(AC$27:AC$35),0))</f>
        <v>0</v>
      </c>
      <c r="AD45" s="46">
        <f>IF($B45="","",IF(COUNTIF(AD$16:AD$21,$B45)&gt;0,COUNTA(AD$7:AD$15),0)+IF(COUNTIF(AD$37:AD$42,$B45)&gt;0,COUNTA(AD$27:AD$35),0))</f>
        <v>0</v>
      </c>
      <c r="AE45" s="46">
        <f>IF($B45="","",IF(COUNTIF(AE$16:AE$21,$B45)&gt;0,COUNTA(AE$7:AE$15),0)+IF(COUNTIF(AE$37:AE$42,$B45)&gt;0,COUNTA(AE$27:AE$35),0))</f>
        <v>0</v>
      </c>
      <c r="AF45" s="46">
        <f>IF($B45="","",IF(COUNTIF(AF$16:AF$21,$B45)&gt;0,COUNTA(AF$7:AF$15),0)+IF(COUNTIF(AF$37:AF$42,$B45)&gt;0,COUNTA(AF$27:AF$35),0))</f>
        <v>0</v>
      </c>
      <c r="AG45" s="46">
        <f>IF($B45="","",IF(COUNTIF(AG$16:AG$21,$B45)&gt;0,COUNTA(AG$7:AG$15),0)+IF(COUNTIF(AG$37:AG$42,$B45)&gt;0,COUNTA(AG$27:AG$35),0))</f>
        <v>0</v>
      </c>
      <c r="AH45" s="46">
        <f>IF($B45="","",IF(COUNTIF(AH$16:AH$21,$B45)&gt;0,COUNTA(AH$7:AH$15),0)+IF(COUNTIF(AH$37:AH$42,$B45)&gt;0,COUNTA(AH$27:AH$35),0))</f>
        <v>0</v>
      </c>
      <c r="AI45" s="46">
        <f>IF($B45="","",IF(COUNTIF(AI$16:AI$21,$B45)&gt;0,COUNTA(AI$7:AI$15),0)+IF(COUNTIF(AI$37:AI$42,$B45)&gt;0,COUNTA(AI$27:AI$35),0))</f>
        <v>0</v>
      </c>
      <c r="AJ45" s="46">
        <f>IF($B45="","",IF(COUNTIF(AJ$16:AJ$21,$B45)&gt;0,COUNTA(AJ$7:AJ$15),0)+IF(COUNTIF(AJ$37:AJ$42,$B45)&gt;0,COUNTA(AJ$27:AJ$35),0))</f>
        <v>0</v>
      </c>
      <c r="AK45" s="46">
        <f>IF($B45="","",IF(COUNTIF(AK$16:AK$21,$B45)&gt;0,COUNTA(AK$7:AK$15),0)+IF(COUNTIF(AK$37:AK$42,$B45)&gt;0,COUNTA(AK$27:AK$35),0))</f>
        <v>0</v>
      </c>
      <c r="AL45" s="46">
        <f>IF($B45="","",IF(COUNTIF(AL$16:AL$21,$B45)&gt;0,COUNTA(AL$7:AL$15),0)+IF(COUNTIF(AL$37:AL$42,$B45)&gt;0,COUNTA(AL$27:AL$35),0))</f>
        <v>0</v>
      </c>
      <c r="AM45" s="46">
        <f>IF($B45="","",IF(COUNTIF(AM$16:AM$21,$B45)&gt;0,COUNTA(AM$7:AM$15),0)+IF(COUNTIF(AM$37:AM$42,$B45)&gt;0,COUNTA(AM$27:AM$35),0))</f>
        <v>0</v>
      </c>
      <c r="AN45" s="46">
        <f>IF($B45="","",IF(COUNTIF(AN$16:AN$21,$B45)&gt;0,COUNTA(AN$7:AN$15),0)+IF(COUNTIF(AN$37:AN$42,$B45)&gt;0,COUNTA(AN$27:AN$35),0))</f>
        <v>0</v>
      </c>
      <c r="AO45" s="46">
        <f>IF($B45="","",IF(COUNTIF(AO$16:AO$21,$B45)&gt;0,COUNTA(AO$7:AO$15),0)+IF(COUNTIF(AO$37:AO$42,$B45)&gt;0,COUNTA(AO$27:AO$35),0))</f>
        <v>0</v>
      </c>
      <c r="AP45" s="46">
        <f>IF($B45="","",IF(COUNTIF(AP$16:AP$21,$B45)&gt;0,COUNTA(AP$7:AP$15),0)+IF(COUNTIF(AP$37:AP$42,$B45)&gt;0,COUNTA(AP$27:AP$35),0))</f>
        <v>0</v>
      </c>
      <c r="AQ45" s="46">
        <f>IF($B45="","",IF(COUNTIF(AQ$16:AQ$21,$B45)&gt;0,COUNTA(AQ$7:AQ$15),0)+IF(COUNTIF(AQ$37:AQ$42,$B45)&gt;0,COUNTA(AQ$27:AQ$35),0))</f>
        <v>0</v>
      </c>
      <c r="AR45" s="46">
        <f>IF($B45="","",IF(COUNTIF(AR$16:AR$21,$B45)&gt;0,COUNTA(AR$7:AR$15),0)+IF(COUNTIF(AR$37:AR$42,$B45)&gt;0,COUNTA(AR$27:AR$35),0))</f>
        <v>0</v>
      </c>
      <c r="AS45" s="46">
        <f>IF($B45="","",IF(COUNTIF(AS$16:AS$21,$B45)&gt;0,COUNTA(AS$7:AS$15),0)+IF(COUNTIF(AS$37:AS$42,$B45)&gt;0,COUNTA(AS$27:AS$35),0))</f>
        <v>0</v>
      </c>
      <c r="AT45" s="46">
        <f>IF($B45="","",IF(COUNTIF(AT$16:AT$21,$B45)&gt;0,COUNTA(AT$7:AT$15),0)+IF(COUNTIF(AT$37:AT$42,$B45)&gt;0,COUNTA(AT$27:AT$35),0))</f>
        <v>0</v>
      </c>
      <c r="AU45" s="46">
        <f>IF($B45="","",IF(COUNTIF(AU$16:AU$21,$B45)&gt;0,COUNTA(AU$7:AU$15),0)+IF(COUNTIF(AU$37:AU$42,$B45)&gt;0,COUNTA(AU$27:AU$35),0))</f>
        <v>0</v>
      </c>
      <c r="AV45" s="46">
        <f>IF($B45="","",IF(COUNTIF(AV$16:AV$21,$B45)&gt;0,COUNTA(AV$7:AV$15),0)+IF(COUNTIF(AV$37:AV$42,$B45)&gt;0,COUNTA(AV$27:AV$35),0))</f>
        <v>0</v>
      </c>
      <c r="AW45" s="46">
        <f>IF($B45="","",IF(COUNTIF(AW$16:AW$21,$B45)&gt;0,COUNTA(AW$7:AW$15),0)+IF(COUNTIF(AW$37:AW$42,$B45)&gt;0,COUNTA(AW$27:AW$35),0))</f>
        <v>0</v>
      </c>
      <c r="AX45" s="46">
        <f>IF($B45="","",IF(COUNTIF(AX$16:AX$21,$B45)&gt;0,COUNTA(AX$7:AX$15),0)+IF(COUNTIF(AX$37:AX$42,$B45)&gt;0,COUNTA(AX$27:AX$35),0))</f>
        <v>0</v>
      </c>
      <c r="AY45" s="46">
        <f>IF($B45="","",IF(COUNTIF(AY$16:AY$21,$B45)&gt;0,COUNTA(AY$7:AY$15),0)+IF(COUNTIF(AY$37:AY$42,$B45)&gt;0,COUNTA(AY$27:AY$35),0))</f>
        <v>0</v>
      </c>
      <c r="AZ45" s="46">
        <f>IF($B45="","",IF(COUNTIF(AZ$16:AZ$21,$B45)&gt;0,COUNTA(AZ$7:AZ$15),0)+IF(COUNTIF(AZ$37:AZ$42,$B45)&gt;0,COUNTA(AZ$27:AZ$35),0))</f>
        <v>0</v>
      </c>
      <c r="BA45" s="46">
        <f>IF($B45="","",IF(COUNTIF(BA$16:BA$21,$B45)&gt;0,COUNTA(BA$7:BA$15),0)+IF(COUNTIF(BA$37:BA$42,$B45)&gt;0,COUNTA(BA$27:BA$35),0))</f>
        <v>0</v>
      </c>
      <c r="BB45" s="46">
        <f>IF($B45="","",IF(COUNTIF(BB$16:BB$21,$B45)&gt;0,COUNTA(BB$7:BB$15),0)+IF(COUNTIF(BB$37:BB$42,$B45)&gt;0,COUNTA(BB$27:BB$35),0))</f>
        <v>0</v>
      </c>
      <c r="BC45" s="46">
        <f>IF($B45="","",IF(COUNTIF(BC$16:BC$21,$B45)&gt;0,COUNTA(BC$7:BC$15),0)+IF(COUNTIF(BC$37:BC$42,$B45)&gt;0,COUNTA(BC$27:BC$35),0))</f>
        <v>0</v>
      </c>
      <c r="BD45" s="46">
        <f>IF($B45="","",IF(COUNTIF(BD$16:BD$21,$B45)&gt;0,COUNTA(BD$7:BD$15),0)+IF(COUNTIF(BD$37:BD$42,$B45)&gt;0,COUNTA(BD$27:BD$35),0))</f>
        <v>0</v>
      </c>
      <c r="BE45" s="46">
        <f>IF($B45="","",IF(COUNTIF(BE$16:BE$21,$B45)&gt;0,COUNTA(BE$7:BE$15),0)+IF(COUNTIF(BE$37:BE$42,$B45)&gt;0,COUNTA(BE$27:BE$35),0))</f>
        <v>0</v>
      </c>
      <c r="BF45" s="46">
        <f>IF($B45="","",IF(COUNTIF(BF$16:BF$21,$B45)&gt;0,COUNTA(BF$7:BF$15),0)+IF(COUNTIF(BF$37:BF$42,$B45)&gt;0,COUNTA(BF$27:BF$35),0))</f>
        <v>0</v>
      </c>
      <c r="BG45" s="46">
        <f>IF($B45="","",IF(COUNTIF(BG$16:BG$21,$B45)&gt;0,COUNTA(BG$7:BG$15),0)+IF(COUNTIF(BG$37:BG$42,$B45)&gt;0,COUNTA(BG$27:BG$35),0))</f>
        <v>0</v>
      </c>
      <c r="BH45" s="46">
        <f>IF($B45="","",IF(COUNTIF(BH$16:BH$21,$B45)&gt;0,COUNTA(BH$7:BH$15),0)+IF(COUNTIF(BH$37:BH$42,$B45)&gt;0,COUNTA(BH$27:BH$35),0))</f>
        <v>0</v>
      </c>
      <c r="BI45" s="46">
        <f>IF($B45="","",IF(COUNTIF(BI$16:BI$21,$B45)&gt;0,COUNTA(BI$7:BI$15),0)+IF(COUNTIF(BI$37:BI$42,$B45)&gt;0,COUNTA(BI$27:BI$35),0))</f>
        <v>0</v>
      </c>
      <c r="BJ45" s="46">
        <f>IF($B45="","",IF(COUNTIF(BJ$16:BJ$21,$B45)&gt;0,COUNTA(BJ$7:BJ$15),0)+IF(COUNTIF(BJ$37:BJ$42,$B45)&gt;0,COUNTA(BJ$27:BJ$35),0))</f>
        <v>0</v>
      </c>
      <c r="BK45" s="46">
        <f>IF($B45="","",IF(COUNTIF(BK$16:BK$21,$B45)&gt;0,COUNTA(BK$7:BK$15),0)+IF(COUNTIF(BK$37:BK$42,$B45)&gt;0,COUNTA(BK$27:BK$35),0))</f>
        <v>0</v>
      </c>
      <c r="BL45" s="46">
        <f>IF($B45="","",IF(COUNTIF(BL$16:BL$21,$B45)&gt;0,COUNTA(BL$7:BL$15),0)+IF(COUNTIF(BL$37:BL$42,$B45)&gt;0,COUNTA(BL$27:BL$35),0))</f>
        <v>0</v>
      </c>
      <c r="BM45" s="46">
        <f>IF($B45="","",IF(COUNTIF(BM$16:BM$21,$B45)&gt;0,COUNTA(BM$7:BM$15),0)+IF(COUNTIF(BM$37:BM$42,$B45)&gt;0,COUNTA(BM$27:BM$35),0))</f>
        <v>0</v>
      </c>
      <c r="BN45" s="46">
        <f>IF($B45="","",IF(COUNTIF(BN$16:BN$21,$B45)&gt;0,COUNTA(BN$7:BN$15),0)+IF(COUNTIF(BN$37:BN$42,$B45)&gt;0,COUNTA(BN$27:BN$35),0))</f>
        <v>0</v>
      </c>
      <c r="BO45" s="46">
        <f>IF($B45="","",IF(COUNTIF(BO$16:BO$21,$B45)&gt;0,COUNTA(BO$7:BO$15),0)+IF(COUNTIF(BO$37:BO$42,$B45)&gt;0,COUNTA(BO$27:BO$35),0))</f>
        <v>0</v>
      </c>
      <c r="BP45" s="46">
        <f>IF($B45="","",IF(COUNTIF(BP$16:BP$21,$B45)&gt;0,COUNTA(BP$7:BP$15),0)+IF(COUNTIF(BP$37:BP$42,$B45)&gt;0,COUNTA(BP$27:BP$35),0))</f>
        <v>0</v>
      </c>
      <c r="BQ45" s="46">
        <f>IF($B45="","",IF(COUNTIF(BQ$16:BQ$21,$B45)&gt;0,COUNTA(BQ$7:BQ$15),0)+IF(COUNTIF(BQ$37:BQ$42,$B45)&gt;0,COUNTA(BQ$27:BQ$35),0))</f>
        <v>0</v>
      </c>
      <c r="BR45" s="46">
        <f>IF($B45="","",IF(COUNTIF(BR$16:BR$21,$B45)&gt;0,COUNTA(BR$7:BR$15),0)+IF(COUNTIF(BR$37:BR$42,$B45)&gt;0,COUNTA(BR$27:BR$35),0))</f>
        <v>0</v>
      </c>
      <c r="BS45" s="46">
        <f>IF($B45="","",IF(COUNTIF(BS$16:BS$21,$B45)&gt;0,COUNTA(BS$7:BS$15),0)+IF(COUNTIF(BS$37:BS$42,$B45)&gt;0,COUNTA(BS$27:BS$35),0))</f>
        <v>0</v>
      </c>
      <c r="BT45" s="46">
        <f>IF($B45="","",IF(COUNTIF(BT$16:BT$21,$B45)&gt;0,COUNTA(BT$7:BT$15),0)+IF(COUNTIF(BT$37:BT$42,$B45)&gt;0,COUNTA(BT$27:BT$35),0))</f>
        <v>0</v>
      </c>
      <c r="BU45" s="46">
        <f>IF($B45="","",IF(COUNTIF(BU$16:BU$21,$B45)&gt;0,COUNTA(BU$7:BU$15),0)+IF(COUNTIF(BU$37:BU$42,$B45)&gt;0,COUNTA(BU$27:BU$35),0))</f>
        <v>0</v>
      </c>
      <c r="BV45" s="46">
        <f>IF($B45="","",IF(COUNTIF(BV$16:BV$21,$B45)&gt;0,COUNTA(BV$7:BV$15),0)+IF(COUNTIF(BV$37:BV$42,$B45)&gt;0,COUNTA(BV$27:BV$35),0))</f>
        <v>0</v>
      </c>
      <c r="BW45" s="46">
        <f>IF($B45="","",IF(COUNTIF(BW$16:BW$21,$B45)&gt;0,COUNTA(BW$7:BW$15),0)+IF(COUNTIF(BW$37:BW$42,$B45)&gt;0,COUNTA(BW$27:BW$35),0))</f>
        <v>0</v>
      </c>
      <c r="BX45" s="46">
        <f>IF($B45="","",IF(COUNTIF(BX$16:BX$21,$B45)&gt;0,COUNTA(BX$7:BX$15),0)+IF(COUNTIF(BX$37:BX$42,$B45)&gt;0,COUNTA(BX$27:BX$35),0))</f>
        <v>0</v>
      </c>
      <c r="BY45" s="46">
        <f>IF($B45="","",IF(COUNTIF(BY$16:BY$21,$B45)&gt;0,COUNTA(BY$7:BY$15),0)+IF(COUNTIF(BY$37:BY$42,$B45)&gt;0,COUNTA(BY$27:BY$35),0))</f>
        <v>0</v>
      </c>
      <c r="BZ45" s="46">
        <f>IF($B45="","",IF(COUNTIF(BZ$16:BZ$21,$B45)&gt;0,COUNTA(BZ$7:BZ$15),0)+IF(COUNTIF(BZ$37:BZ$42,$B45)&gt;0,COUNTA(BZ$27:BZ$35),0))</f>
        <v>0</v>
      </c>
      <c r="CA45" s="46">
        <f>IF($B45="","",IF(COUNTIF(CA$16:CA$21,$B45)&gt;0,COUNTA(CA$7:CA$15),0)+IF(COUNTIF(CA$37:CA$42,$B45)&gt;0,COUNTA(CA$27:CA$35),0))</f>
        <v>0</v>
      </c>
      <c r="CB45" s="46">
        <f>IF($B45="","",IF(COUNTIF(CB$16:CB$21,$B45)&gt;0,COUNTA(CB$7:CB$15),0)+IF(COUNTIF(CB$37:CB$42,$B45)&gt;0,COUNTA(CB$27:CB$35),0))</f>
        <v>0</v>
      </c>
      <c r="CC45" s="46">
        <f>IF($B45="","",IF(COUNTIF(CC$16:CC$21,$B45)&gt;0,COUNTA(CC$7:CC$15),0)+IF(COUNTIF(CC$37:CC$42,$B45)&gt;0,COUNTA(CC$27:CC$35),0))</f>
        <v>0</v>
      </c>
      <c r="CD45" s="46">
        <f>IF($B45="","",IF(COUNTIF(CD$16:CD$21,$B45)&gt;0,COUNTA(CD$7:CD$15),0)+IF(COUNTIF(CD$37:CD$42,$B45)&gt;0,COUNTA(CD$27:CD$35),0))</f>
        <v>0</v>
      </c>
      <c r="CE45" s="46">
        <f>IF($B45="","",IF(COUNTIF(CE$16:CE$21,$B45)&gt;0,COUNTA(CE$7:CE$15),0)+IF(COUNTIF(CE$37:CE$42,$B45)&gt;0,COUNTA(CE$27:CE$35),0))</f>
        <v>0</v>
      </c>
      <c r="CF45" s="46">
        <f>IF($B45="","",IF(COUNTIF(CF$16:CF$21,$B45)&gt;0,COUNTA(CF$7:CF$15),0)+IF(COUNTIF(CF$37:CF$42,$B45)&gt;0,COUNTA(CF$27:CF$35),0))</f>
        <v>0</v>
      </c>
      <c r="CG45" s="46">
        <f>IF($B45="","",IF(COUNTIF(CG$16:CG$21,$B45)&gt;0,COUNTA(CG$7:CG$15),0)+IF(COUNTIF(CG$37:CG$42,$B45)&gt;0,COUNTA(CG$27:CG$35),0))</f>
        <v>0</v>
      </c>
      <c r="CH45" s="46">
        <f>IF($B45="","",IF(COUNTIF(CH$16:CH$21,$B45)&gt;0,COUNTA(CH$7:CH$15),0)+IF(COUNTIF(CH$37:CH$42,$B45)&gt;0,COUNTA(CH$27:CH$35),0))</f>
        <v>0</v>
      </c>
      <c r="CI45" s="46">
        <f>IF($B45="","",IF(COUNTIF(CI$16:CI$21,$B45)&gt;0,COUNTA(CI$7:CI$15),0)+IF(COUNTIF(CI$37:CI$42,$B45)&gt;0,COUNTA(CI$27:CI$35),0))</f>
        <v>0</v>
      </c>
      <c r="CJ45" s="46">
        <f>IF($B45="","",IF(COUNTIF(CJ$16:CJ$21,$B45)&gt;0,COUNTA(CJ$7:CJ$15),0)+IF(COUNTIF(CJ$37:CJ$42,$B45)&gt;0,COUNTA(CJ$27:CJ$35),0))</f>
        <v>0</v>
      </c>
      <c r="CK45" s="46">
        <f>IF($B45="","",IF(COUNTIF(CK$16:CK$21,$B45)&gt;0,COUNTA(CK$7:CK$15),0)+IF(COUNTIF(CK$37:CK$42,$B45)&gt;0,COUNTA(CK$27:CK$35),0))</f>
        <v>0</v>
      </c>
      <c r="CL45" s="46">
        <f>IF($B45="","",IF(COUNTIF(CL$16:CL$21,$B45)&gt;0,COUNTA(CL$7:CL$15),0)+IF(COUNTIF(CL$37:CL$42,$B45)&gt;0,COUNTA(CL$27:CL$35),0))</f>
        <v>0</v>
      </c>
      <c r="CM45" s="46">
        <f>IF($B45="","",IF(COUNTIF(CM$16:CM$21,$B45)&gt;0,COUNTA(CM$7:CM$15),0)+IF(COUNTIF(CM$37:CM$42,$B45)&gt;0,COUNTA(CM$27:CM$35),0))</f>
        <v>0</v>
      </c>
      <c r="CN45" s="46">
        <f>IF($B45="","",IF(COUNTIF(CN$16:CN$21,$B45)&gt;0,COUNTA(CN$7:CN$15),0)+IF(COUNTIF(CN$37:CN$42,$B45)&gt;0,COUNTA(CN$27:CN$35),0))</f>
        <v>0</v>
      </c>
      <c r="CO45" s="46">
        <f>IF($B45="","",IF(COUNTIF(CO$16:CO$21,$B45)&gt;0,COUNTA(CO$7:CO$15),0)+IF(COUNTIF(CO$37:CO$42,$B45)&gt;0,COUNTA(CO$27:CO$35),0))</f>
        <v>0</v>
      </c>
      <c r="CP45" s="46">
        <f>IF($B45="","",IF(COUNTIF(CP$16:CP$21,$B45)&gt;0,COUNTA(CP$7:CP$15),0)+IF(COUNTIF(CP$37:CP$42,$B45)&gt;0,COUNTA(CP$27:CP$35),0))</f>
        <v>0</v>
      </c>
      <c r="CQ45" s="46">
        <f>IF($B45="","",IF(COUNTIF(CQ$16:CQ$21,$B45)&gt;0,COUNTA(CQ$7:CQ$15),0)+IF(COUNTIF(CQ$37:CQ$42,$B45)&gt;0,COUNTA(CQ$27:CQ$35),0))</f>
        <v>0</v>
      </c>
      <c r="CR45" s="46">
        <f>IF($B45="","",IF(COUNTIF(CR$16:CR$21,$B45)&gt;0,COUNTA(CR$7:CR$15),0)+IF(COUNTIF(CR$37:CR$42,$B45)&gt;0,COUNTA(CR$27:CR$35),0))</f>
        <v>0</v>
      </c>
      <c r="CS45" s="46">
        <f>IF($B45="","",IF(COUNTIF(CS$16:CS$21,$B45)&gt;0,COUNTA(CS$7:CS$15),0)+IF(COUNTIF(CS$37:CS$42,$B45)&gt;0,COUNTA(CS$27:CS$35),0))</f>
        <v>0</v>
      </c>
      <c r="CT45" s="46">
        <f>IF($B45="","",IF(COUNTIF(CT$16:CT$21,$B45)&gt;0,COUNTA(CT$7:CT$15),0)+IF(COUNTIF(CT$37:CT$42,$B45)&gt;0,COUNTA(CT$27:CT$35),0))</f>
        <v>0</v>
      </c>
      <c r="CU45" s="46">
        <f>IF($B45="","",IF(COUNTIF(CU$16:CU$21,$B45)&gt;0,COUNTA(CU$7:CU$15),0)+IF(COUNTIF(CU$37:CU$42,$B45)&gt;0,COUNTA(CU$27:CU$35),0))</f>
        <v>0</v>
      </c>
      <c r="CV45" s="46">
        <f>IF($B45="","",IF(COUNTIF(CV$16:CV$21,$B45)&gt;0,COUNTA(CV$7:CV$15),0)+IF(COUNTIF(CV$37:CV$42,$B45)&gt;0,COUNTA(CV$27:CV$35),0))</f>
        <v>0</v>
      </c>
      <c r="CW45" s="46">
        <f>IF($B45="","",IF(COUNTIF(CW$16:CW$21,$B45)&gt;0,COUNTA(CW$7:CW$15),0)+IF(COUNTIF(CW$37:CW$42,$B45)&gt;0,COUNTA(CW$27:CW$35),0))</f>
        <v>0</v>
      </c>
      <c r="CX45" s="46">
        <f>IF($B45="","",IF(COUNTIF(CX$16:CX$21,$B45)&gt;0,COUNTA(CX$7:CX$15),0)+IF(COUNTIF(CX$37:CX$42,$B45)&gt;0,COUNTA(CX$27:CX$35),0))</f>
        <v>0</v>
      </c>
      <c r="CY45" s="46">
        <f>IF($B45="","",IF(COUNTIF(CY$16:CY$21,$B45)&gt;0,COUNTA(CY$7:CY$15),0)+IF(COUNTIF(CY$37:CY$42,$B45)&gt;0,COUNTA(CY$27:CY$35),0))</f>
        <v>0</v>
      </c>
      <c r="CZ45" s="46">
        <f>IF($B45="","",IF(COUNTIF(CZ$16:CZ$21,$B45)&gt;0,COUNTA(CZ$7:CZ$15),0)+IF(COUNTIF(CZ$37:CZ$42,$B45)&gt;0,COUNTA(CZ$27:CZ$35),0))</f>
        <v>0</v>
      </c>
      <c r="DA45" s="46">
        <f>IF($B45="","",IF(COUNTIF(DA$16:DA$21,$B45)&gt;0,COUNTA(DA$7:DA$15),0)+IF(COUNTIF(DA$37:DA$42,$B45)&gt;0,COUNTA(DA$27:DA$35),0))</f>
        <v>0</v>
      </c>
      <c r="DB45" s="46">
        <f>IF($B45="","",IF(COUNTIF(DB$16:DB$21,$B45)&gt;0,COUNTA(DB$7:DB$15),0)+IF(COUNTIF(DB$37:DB$42,$B45)&gt;0,COUNTA(DB$27:DB$35),0))</f>
        <v>0</v>
      </c>
      <c r="DC45" s="46">
        <f>IF($B45="","",IF(COUNTIF(DC$16:DC$21,$B45)&gt;0,COUNTA(DC$7:DC$15),0)+IF(COUNTIF(DC$37:DC$42,$B45)&gt;0,COUNTA(DC$27:DC$35),0))</f>
        <v>0</v>
      </c>
      <c r="DD45" s="46">
        <f>IF($B45="","",IF(COUNTIF(DD$16:DD$21,$B45)&gt;0,COUNTA(DD$7:DD$15),0)+IF(COUNTIF(DD$37:DD$42,$B45)&gt;0,COUNTA(DD$27:DD$35),0))</f>
        <v>0</v>
      </c>
      <c r="DE45" s="78">
        <f>IF($B45="","",IF(COUNTIF(DE$16:DE$21,$B45)&gt;0,COUNTA(DE$7:DE$15),0)+IF(COUNTIF(DE$37:DE$42,$B45)&gt;0,COUNTA(DE$27:DE$35),0))</f>
        <v>0</v>
      </c>
    </row>
    <row r="46" spans="2:109" x14ac:dyDescent="0.2">
      <c r="B46" s="84" t="str">
        <f>IFERROR(INDEX(_xlfn._xlws.FILTER(Ressourcer!$B$1:$X$1,_xlfn.BYCOL(Ressourcer!$B$23:$X$25,_xlfn.LAMBDA(_xlpm.c,COUNTIF(_xlpm.c,"&lt;&gt;" )&gt;0))),ROWS($B$2:B3)),"")</f>
        <v>BENI</v>
      </c>
      <c r="C46" s="79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)&gt;0))),_xlfn.LAMBDA(_xlpm.col,SUM(INDEX(Ressourcer!$B$23:$X$25,,_xlpm.col-COLUMN(Ressourcer!$B$23:$X$25)+1)))),ROWS($B$2:B3))/2,"")</f>
        <v>200</v>
      </c>
      <c r="D46" s="106" t="str">
        <f t="shared" si="35"/>
        <v/>
      </c>
      <c r="E46" s="57">
        <f>IF($B46="","",IF(COUNTIF(E$16:E$21,$B46)&gt;0,COUNTA(E$7:E$15),0)+IF(COUNTIF(E$37:E$42,$B46)&gt;0,COUNTA(E$27:E$35),0))</f>
        <v>0</v>
      </c>
      <c r="F46" s="55">
        <f>IF($B46="","",IF(COUNTIF(F$16:F$21,$B46)&gt;0,COUNTA(F$7:F$15),0)+IF(COUNTIF(F$37:F$42,$B46)&gt;0,COUNTA(F$27:F$35),0))</f>
        <v>0</v>
      </c>
      <c r="G46" s="55">
        <f>IF($B46="","",IF(COUNTIF(G$16:G$21,$B46)&gt;0,COUNTA(G$7:G$15),0)+IF(COUNTIF(G$37:G$42,$B46)&gt;0,COUNTA(G$27:G$35),0))</f>
        <v>0</v>
      </c>
      <c r="H46" s="55">
        <f>IF($B46="","",IF(COUNTIF(H$16:H$21,$B46)&gt;0,COUNTA(H$7:H$15),0)+IF(COUNTIF(H$37:H$42,$B46)&gt;0,COUNTA(H$27:H$35),0))</f>
        <v>0</v>
      </c>
      <c r="I46" s="55">
        <f>IF($B46="","",IF(COUNTIF(I$16:I$21,$B46)&gt;0,COUNTA(I$7:I$15),0)+IF(COUNTIF(I$37:I$42,$B46)&gt;0,COUNTA(I$27:I$35),0))</f>
        <v>0</v>
      </c>
      <c r="J46" s="55">
        <f>IF($B46="","",IF(COUNTIF(J$16:J$21,$B46)&gt;0,COUNTA(J$7:J$15),0)+IF(COUNTIF(J$37:J$42,$B46)&gt;0,COUNTA(J$27:J$35),0))</f>
        <v>0</v>
      </c>
      <c r="K46" s="55">
        <f>IF($B46="","",IF(COUNTIF(K$16:K$21,$B46)&gt;0,COUNTA(K$7:K$15),0)+IF(COUNTIF(K$37:K$42,$B46)&gt;0,COUNTA(K$27:K$35),0))</f>
        <v>0</v>
      </c>
      <c r="L46" s="55">
        <f>IF($B46="","",IF(COUNTIF(L$16:L$21,$B46)&gt;0,COUNTA(L$7:L$15),0)+IF(COUNTIF(L$37:L$42,$B46)&gt;0,COUNTA(L$27:L$35),0))</f>
        <v>0</v>
      </c>
      <c r="M46" s="55">
        <f>IF($B46="","",IF(COUNTIF(M$16:M$21,$B46)&gt;0,COUNTA(M$7:M$15),0)+IF(COUNTIF(M$37:M$42,$B46)&gt;0,COUNTA(M$27:M$35),0))</f>
        <v>0</v>
      </c>
      <c r="N46" s="55">
        <f>IF($B46="","",IF(COUNTIF(N$16:N$21,$B46)&gt;0,COUNTA(N$7:N$15),0)+IF(COUNTIF(N$37:N$42,$B46)&gt;0,COUNTA(N$27:N$35),0))</f>
        <v>0</v>
      </c>
      <c r="O46" s="55">
        <f>IF($B46="","",IF(COUNTIF(O$16:O$21,$B46)&gt;0,COUNTA(O$7:O$15),0)+IF(COUNTIF(O$37:O$42,$B46)&gt;0,COUNTA(O$27:O$35),0))</f>
        <v>0</v>
      </c>
      <c r="P46" s="55">
        <f>IF($B46="","",IF(COUNTIF(P$16:P$21,$B46)&gt;0,COUNTA(P$7:P$15),0)+IF(COUNTIF(P$37:P$42,$B46)&gt;0,COUNTA(P$27:P$35),0))</f>
        <v>0</v>
      </c>
      <c r="Q46" s="55">
        <f>IF($B46="","",IF(COUNTIF(Q$16:Q$21,$B46)&gt;0,COUNTA(Q$7:Q$15),0)+IF(COUNTIF(Q$37:Q$42,$B46)&gt;0,COUNTA(Q$27:Q$35),0))</f>
        <v>0</v>
      </c>
      <c r="R46" s="55">
        <f>IF($B46="","",IF(COUNTIF(R$16:R$21,$B46)&gt;0,COUNTA(R$7:R$15),0)+IF(COUNTIF(R$37:R$42,$B46)&gt;0,COUNTA(R$27:R$35),0))</f>
        <v>0</v>
      </c>
      <c r="S46" s="55">
        <f>IF($B46="","",IF(COUNTIF(S$16:S$21,$B46)&gt;0,COUNTA(S$7:S$15),0)+IF(COUNTIF(S$37:S$42,$B46)&gt;0,COUNTA(S$27:S$35),0))</f>
        <v>0</v>
      </c>
      <c r="T46" s="55">
        <f>IF($B46="","",IF(COUNTIF(T$16:T$21,$B46)&gt;0,COUNTA(T$7:T$15),0)+IF(COUNTIF(T$37:T$42,$B46)&gt;0,COUNTA(T$27:T$35),0))</f>
        <v>0</v>
      </c>
      <c r="U46" s="55">
        <f>IF($B46="","",IF(COUNTIF(U$16:U$21,$B46)&gt;0,COUNTA(U$7:U$15),0)+IF(COUNTIF(U$37:U$42,$B46)&gt;0,COUNTA(U$27:U$35),0))</f>
        <v>0</v>
      </c>
      <c r="V46" s="55">
        <f>IF($B46="","",IF(COUNTIF(V$16:V$21,$B46)&gt;0,COUNTA(V$7:V$15),0)+IF(COUNTIF(V$37:V$42,$B46)&gt;0,COUNTA(V$27:V$35),0))</f>
        <v>0</v>
      </c>
      <c r="W46" s="55">
        <f>IF($B46="","",IF(COUNTIF(W$16:W$21,$B46)&gt;0,COUNTA(W$7:W$15),0)+IF(COUNTIF(W$37:W$42,$B46)&gt;0,COUNTA(W$27:W$35),0))</f>
        <v>0</v>
      </c>
      <c r="X46" s="55">
        <f>IF($B46="","",IF(COUNTIF(X$16:X$21,$B46)&gt;0,COUNTA(X$7:X$15),0)+IF(COUNTIF(X$37:X$42,$B46)&gt;0,COUNTA(X$27:X$35),0))</f>
        <v>0</v>
      </c>
      <c r="Y46" s="55">
        <f>IF($B46="","",IF(COUNTIF(Y$16:Y$21,$B46)&gt;0,COUNTA(Y$7:Y$15),0)+IF(COUNTIF(Y$37:Y$42,$B46)&gt;0,COUNTA(Y$27:Y$35),0))</f>
        <v>0</v>
      </c>
      <c r="Z46" s="55">
        <f>IF($B46="","",IF(COUNTIF(Z$16:Z$21,$B46)&gt;0,COUNTA(Z$7:Z$15),0)+IF(COUNTIF(Z$37:Z$42,$B46)&gt;0,COUNTA(Z$27:Z$35),0))</f>
        <v>0</v>
      </c>
      <c r="AA46" s="55">
        <f>IF($B46="","",IF(COUNTIF(AA$16:AA$21,$B46)&gt;0,COUNTA(AA$7:AA$15),0)+IF(COUNTIF(AA$37:AA$42,$B46)&gt;0,COUNTA(AA$27:AA$35),0))</f>
        <v>0</v>
      </c>
      <c r="AB46" s="55">
        <f>IF($B46="","",IF(COUNTIF(AB$16:AB$21,$B46)&gt;0,COUNTA(AB$7:AB$15),0)+IF(COUNTIF(AB$37:AB$42,$B46)&gt;0,COUNTA(AB$27:AB$35),0))</f>
        <v>0</v>
      </c>
      <c r="AC46" s="55">
        <f>IF($B46="","",IF(COUNTIF(AC$16:AC$21,$B46)&gt;0,COUNTA(AC$7:AC$15),0)+IF(COUNTIF(AC$37:AC$42,$B46)&gt;0,COUNTA(AC$27:AC$35),0))</f>
        <v>0</v>
      </c>
      <c r="AD46" s="55">
        <f>IF($B46="","",IF(COUNTIF(AD$16:AD$21,$B46)&gt;0,COUNTA(AD$7:AD$15),0)+IF(COUNTIF(AD$37:AD$42,$B46)&gt;0,COUNTA(AD$27:AD$35),0))</f>
        <v>0</v>
      </c>
      <c r="AE46" s="55">
        <f>IF($B46="","",IF(COUNTIF(AE$16:AE$21,$B46)&gt;0,COUNTA(AE$7:AE$15),0)+IF(COUNTIF(AE$37:AE$42,$B46)&gt;0,COUNTA(AE$27:AE$35),0))</f>
        <v>0</v>
      </c>
      <c r="AF46" s="55">
        <f>IF($B46="","",IF(COUNTIF(AF$16:AF$21,$B46)&gt;0,COUNTA(AF$7:AF$15),0)+IF(COUNTIF(AF$37:AF$42,$B46)&gt;0,COUNTA(AF$27:AF$35),0))</f>
        <v>0</v>
      </c>
      <c r="AG46" s="55">
        <f>IF($B46="","",IF(COUNTIF(AG$16:AG$21,$B46)&gt;0,COUNTA(AG$7:AG$15),0)+IF(COUNTIF(AG$37:AG$42,$B46)&gt;0,COUNTA(AG$27:AG$35),0))</f>
        <v>0</v>
      </c>
      <c r="AH46" s="55">
        <f>IF($B46="","",IF(COUNTIF(AH$16:AH$21,$B46)&gt;0,COUNTA(AH$7:AH$15),0)+IF(COUNTIF(AH$37:AH$42,$B46)&gt;0,COUNTA(AH$27:AH$35),0))</f>
        <v>0</v>
      </c>
      <c r="AI46" s="55">
        <f>IF($B46="","",IF(COUNTIF(AI$16:AI$21,$B46)&gt;0,COUNTA(AI$7:AI$15),0)+IF(COUNTIF(AI$37:AI$42,$B46)&gt;0,COUNTA(AI$27:AI$35),0))</f>
        <v>0</v>
      </c>
      <c r="AJ46" s="55">
        <f>IF($B46="","",IF(COUNTIF(AJ$16:AJ$21,$B46)&gt;0,COUNTA(AJ$7:AJ$15),0)+IF(COUNTIF(AJ$37:AJ$42,$B46)&gt;0,COUNTA(AJ$27:AJ$35),0))</f>
        <v>0</v>
      </c>
      <c r="AK46" s="55">
        <f>IF($B46="","",IF(COUNTIF(AK$16:AK$21,$B46)&gt;0,COUNTA(AK$7:AK$15),0)+IF(COUNTIF(AK$37:AK$42,$B46)&gt;0,COUNTA(AK$27:AK$35),0))</f>
        <v>0</v>
      </c>
      <c r="AL46" s="55">
        <f>IF($B46="","",IF(COUNTIF(AL$16:AL$21,$B46)&gt;0,COUNTA(AL$7:AL$15),0)+IF(COUNTIF(AL$37:AL$42,$B46)&gt;0,COUNTA(AL$27:AL$35),0))</f>
        <v>0</v>
      </c>
      <c r="AM46" s="55">
        <f>IF($B46="","",IF(COUNTIF(AM$16:AM$21,$B46)&gt;0,COUNTA(AM$7:AM$15),0)+IF(COUNTIF(AM$37:AM$42,$B46)&gt;0,COUNTA(AM$27:AM$35),0))</f>
        <v>0</v>
      </c>
      <c r="AN46" s="55">
        <f>IF($B46="","",IF(COUNTIF(AN$16:AN$21,$B46)&gt;0,COUNTA(AN$7:AN$15),0)+IF(COUNTIF(AN$37:AN$42,$B46)&gt;0,COUNTA(AN$27:AN$35),0))</f>
        <v>0</v>
      </c>
      <c r="AO46" s="55">
        <f>IF($B46="","",IF(COUNTIF(AO$16:AO$21,$B46)&gt;0,COUNTA(AO$7:AO$15),0)+IF(COUNTIF(AO$37:AO$42,$B46)&gt;0,COUNTA(AO$27:AO$35),0))</f>
        <v>0</v>
      </c>
      <c r="AP46" s="55">
        <f>IF($B46="","",IF(COUNTIF(AP$16:AP$21,$B46)&gt;0,COUNTA(AP$7:AP$15),0)+IF(COUNTIF(AP$37:AP$42,$B46)&gt;0,COUNTA(AP$27:AP$35),0))</f>
        <v>0</v>
      </c>
      <c r="AQ46" s="55">
        <f>IF($B46="","",IF(COUNTIF(AQ$16:AQ$21,$B46)&gt;0,COUNTA(AQ$7:AQ$15),0)+IF(COUNTIF(AQ$37:AQ$42,$B46)&gt;0,COUNTA(AQ$27:AQ$35),0))</f>
        <v>0</v>
      </c>
      <c r="AR46" s="55">
        <f>IF($B46="","",IF(COUNTIF(AR$16:AR$21,$B46)&gt;0,COUNTA(AR$7:AR$15),0)+IF(COUNTIF(AR$37:AR$42,$B46)&gt;0,COUNTA(AR$27:AR$35),0))</f>
        <v>0</v>
      </c>
      <c r="AS46" s="55">
        <f>IF($B46="","",IF(COUNTIF(AS$16:AS$21,$B46)&gt;0,COUNTA(AS$7:AS$15),0)+IF(COUNTIF(AS$37:AS$42,$B46)&gt;0,COUNTA(AS$27:AS$35),0))</f>
        <v>0</v>
      </c>
      <c r="AT46" s="55">
        <f>IF($B46="","",IF(COUNTIF(AT$16:AT$21,$B46)&gt;0,COUNTA(AT$7:AT$15),0)+IF(COUNTIF(AT$37:AT$42,$B46)&gt;0,COUNTA(AT$27:AT$35),0))</f>
        <v>0</v>
      </c>
      <c r="AU46" s="55">
        <f>IF($B46="","",IF(COUNTIF(AU$16:AU$21,$B46)&gt;0,COUNTA(AU$7:AU$15),0)+IF(COUNTIF(AU$37:AU$42,$B46)&gt;0,COUNTA(AU$27:AU$35),0))</f>
        <v>0</v>
      </c>
      <c r="AV46" s="55">
        <f>IF($B46="","",IF(COUNTIF(AV$16:AV$21,$B46)&gt;0,COUNTA(AV$7:AV$15),0)+IF(COUNTIF(AV$37:AV$42,$B46)&gt;0,COUNTA(AV$27:AV$35),0))</f>
        <v>0</v>
      </c>
      <c r="AW46" s="55">
        <f>IF($B46="","",IF(COUNTIF(AW$16:AW$21,$B46)&gt;0,COUNTA(AW$7:AW$15),0)+IF(COUNTIF(AW$37:AW$42,$B46)&gt;0,COUNTA(AW$27:AW$35),0))</f>
        <v>0</v>
      </c>
      <c r="AX46" s="55">
        <f>IF($B46="","",IF(COUNTIF(AX$16:AX$21,$B46)&gt;0,COUNTA(AX$7:AX$15),0)+IF(COUNTIF(AX$37:AX$42,$B46)&gt;0,COUNTA(AX$27:AX$35),0))</f>
        <v>0</v>
      </c>
      <c r="AY46" s="55">
        <f>IF($B46="","",IF(COUNTIF(AY$16:AY$21,$B46)&gt;0,COUNTA(AY$7:AY$15),0)+IF(COUNTIF(AY$37:AY$42,$B46)&gt;0,COUNTA(AY$27:AY$35),0))</f>
        <v>0</v>
      </c>
      <c r="AZ46" s="55">
        <f>IF($B46="","",IF(COUNTIF(AZ$16:AZ$21,$B46)&gt;0,COUNTA(AZ$7:AZ$15),0)+IF(COUNTIF(AZ$37:AZ$42,$B46)&gt;0,COUNTA(AZ$27:AZ$35),0))</f>
        <v>0</v>
      </c>
      <c r="BA46" s="55">
        <f>IF($B46="","",IF(COUNTIF(BA$16:BA$21,$B46)&gt;0,COUNTA(BA$7:BA$15),0)+IF(COUNTIF(BA$37:BA$42,$B46)&gt;0,COUNTA(BA$27:BA$35),0))</f>
        <v>0</v>
      </c>
      <c r="BB46" s="55">
        <f>IF($B46="","",IF(COUNTIF(BB$16:BB$21,$B46)&gt;0,COUNTA(BB$7:BB$15),0)+IF(COUNTIF(BB$37:BB$42,$B46)&gt;0,COUNTA(BB$27:BB$35),0))</f>
        <v>0</v>
      </c>
      <c r="BC46" s="55">
        <f>IF($B46="","",IF(COUNTIF(BC$16:BC$21,$B46)&gt;0,COUNTA(BC$7:BC$15),0)+IF(COUNTIF(BC$37:BC$42,$B46)&gt;0,COUNTA(BC$27:BC$35),0))</f>
        <v>0</v>
      </c>
      <c r="BD46" s="55">
        <f>IF($B46="","",IF(COUNTIF(BD$16:BD$21,$B46)&gt;0,COUNTA(BD$7:BD$15),0)+IF(COUNTIF(BD$37:BD$42,$B46)&gt;0,COUNTA(BD$27:BD$35),0))</f>
        <v>0</v>
      </c>
      <c r="BE46" s="55">
        <f>IF($B46="","",IF(COUNTIF(BE$16:BE$21,$B46)&gt;0,COUNTA(BE$7:BE$15),0)+IF(COUNTIF(BE$37:BE$42,$B46)&gt;0,COUNTA(BE$27:BE$35),0))</f>
        <v>0</v>
      </c>
      <c r="BF46" s="55">
        <f>IF($B46="","",IF(COUNTIF(BF$16:BF$21,$B46)&gt;0,COUNTA(BF$7:BF$15),0)+IF(COUNTIF(BF$37:BF$42,$B46)&gt;0,COUNTA(BF$27:BF$35),0))</f>
        <v>0</v>
      </c>
      <c r="BG46" s="55">
        <f>IF($B46="","",IF(COUNTIF(BG$16:BG$21,$B46)&gt;0,COUNTA(BG$7:BG$15),0)+IF(COUNTIF(BG$37:BG$42,$B46)&gt;0,COUNTA(BG$27:BG$35),0))</f>
        <v>0</v>
      </c>
      <c r="BH46" s="55">
        <f>IF($B46="","",IF(COUNTIF(BH$16:BH$21,$B46)&gt;0,COUNTA(BH$7:BH$15),0)+IF(COUNTIF(BH$37:BH$42,$B46)&gt;0,COUNTA(BH$27:BH$35),0))</f>
        <v>0</v>
      </c>
      <c r="BI46" s="55">
        <f>IF($B46="","",IF(COUNTIF(BI$16:BI$21,$B46)&gt;0,COUNTA(BI$7:BI$15),0)+IF(COUNTIF(BI$37:BI$42,$B46)&gt;0,COUNTA(BI$27:BI$35),0))</f>
        <v>0</v>
      </c>
      <c r="BJ46" s="55">
        <f>IF($B46="","",IF(COUNTIF(BJ$16:BJ$21,$B46)&gt;0,COUNTA(BJ$7:BJ$15),0)+IF(COUNTIF(BJ$37:BJ$42,$B46)&gt;0,COUNTA(BJ$27:BJ$35),0))</f>
        <v>0</v>
      </c>
      <c r="BK46" s="55">
        <f>IF($B46="","",IF(COUNTIF(BK$16:BK$21,$B46)&gt;0,COUNTA(BK$7:BK$15),0)+IF(COUNTIF(BK$37:BK$42,$B46)&gt;0,COUNTA(BK$27:BK$35),0))</f>
        <v>0</v>
      </c>
      <c r="BL46" s="55">
        <f>IF($B46="","",IF(COUNTIF(BL$16:BL$21,$B46)&gt;0,COUNTA(BL$7:BL$15),0)+IF(COUNTIF(BL$37:BL$42,$B46)&gt;0,COUNTA(BL$27:BL$35),0))</f>
        <v>0</v>
      </c>
      <c r="BM46" s="55">
        <f>IF($B46="","",IF(COUNTIF(BM$16:BM$21,$B46)&gt;0,COUNTA(BM$7:BM$15),0)+IF(COUNTIF(BM$37:BM$42,$B46)&gt;0,COUNTA(BM$27:BM$35),0))</f>
        <v>0</v>
      </c>
      <c r="BN46" s="55">
        <f>IF($B46="","",IF(COUNTIF(BN$16:BN$21,$B46)&gt;0,COUNTA(BN$7:BN$15),0)+IF(COUNTIF(BN$37:BN$42,$B46)&gt;0,COUNTA(BN$27:BN$35),0))</f>
        <v>0</v>
      </c>
      <c r="BO46" s="55">
        <f>IF($B46="","",IF(COUNTIF(BO$16:BO$21,$B46)&gt;0,COUNTA(BO$7:BO$15),0)+IF(COUNTIF(BO$37:BO$42,$B46)&gt;0,COUNTA(BO$27:BO$35),0))</f>
        <v>0</v>
      </c>
      <c r="BP46" s="55">
        <f>IF($B46="","",IF(COUNTIF(BP$16:BP$21,$B46)&gt;0,COUNTA(BP$7:BP$15),0)+IF(COUNTIF(BP$37:BP$42,$B46)&gt;0,COUNTA(BP$27:BP$35),0))</f>
        <v>0</v>
      </c>
      <c r="BQ46" s="55">
        <f>IF($B46="","",IF(COUNTIF(BQ$16:BQ$21,$B46)&gt;0,COUNTA(BQ$7:BQ$15),0)+IF(COUNTIF(BQ$37:BQ$42,$B46)&gt;0,COUNTA(BQ$27:BQ$35),0))</f>
        <v>0</v>
      </c>
      <c r="BR46" s="55">
        <f>IF($B46="","",IF(COUNTIF(BR$16:BR$21,$B46)&gt;0,COUNTA(BR$7:BR$15),0)+IF(COUNTIF(BR$37:BR$42,$B46)&gt;0,COUNTA(BR$27:BR$35),0))</f>
        <v>0</v>
      </c>
      <c r="BS46" s="55">
        <f>IF($B46="","",IF(COUNTIF(BS$16:BS$21,$B46)&gt;0,COUNTA(BS$7:BS$15),0)+IF(COUNTIF(BS$37:BS$42,$B46)&gt;0,COUNTA(BS$27:BS$35),0))</f>
        <v>0</v>
      </c>
      <c r="BT46" s="55">
        <f>IF($B46="","",IF(COUNTIF(BT$16:BT$21,$B46)&gt;0,COUNTA(BT$7:BT$15),0)+IF(COUNTIF(BT$37:BT$42,$B46)&gt;0,COUNTA(BT$27:BT$35),0))</f>
        <v>0</v>
      </c>
      <c r="BU46" s="55">
        <f>IF($B46="","",IF(COUNTIF(BU$16:BU$21,$B46)&gt;0,COUNTA(BU$7:BU$15),0)+IF(COUNTIF(BU$37:BU$42,$B46)&gt;0,COUNTA(BU$27:BU$35),0))</f>
        <v>0</v>
      </c>
      <c r="BV46" s="55">
        <f>IF($B46="","",IF(COUNTIF(BV$16:BV$21,$B46)&gt;0,COUNTA(BV$7:BV$15),0)+IF(COUNTIF(BV$37:BV$42,$B46)&gt;0,COUNTA(BV$27:BV$35),0))</f>
        <v>0</v>
      </c>
      <c r="BW46" s="55">
        <f>IF($B46="","",IF(COUNTIF(BW$16:BW$21,$B46)&gt;0,COUNTA(BW$7:BW$15),0)+IF(COUNTIF(BW$37:BW$42,$B46)&gt;0,COUNTA(BW$27:BW$35),0))</f>
        <v>0</v>
      </c>
      <c r="BX46" s="55">
        <f>IF($B46="","",IF(COUNTIF(BX$16:BX$21,$B46)&gt;0,COUNTA(BX$7:BX$15),0)+IF(COUNTIF(BX$37:BX$42,$B46)&gt;0,COUNTA(BX$27:BX$35),0))</f>
        <v>0</v>
      </c>
      <c r="BY46" s="55">
        <f>IF($B46="","",IF(COUNTIF(BY$16:BY$21,$B46)&gt;0,COUNTA(BY$7:BY$15),0)+IF(COUNTIF(BY$37:BY$42,$B46)&gt;0,COUNTA(BY$27:BY$35),0))</f>
        <v>0</v>
      </c>
      <c r="BZ46" s="55">
        <f>IF($B46="","",IF(COUNTIF(BZ$16:BZ$21,$B46)&gt;0,COUNTA(BZ$7:BZ$15),0)+IF(COUNTIF(BZ$37:BZ$42,$B46)&gt;0,COUNTA(BZ$27:BZ$35),0))</f>
        <v>0</v>
      </c>
      <c r="CA46" s="55">
        <f>IF($B46="","",IF(COUNTIF(CA$16:CA$21,$B46)&gt;0,COUNTA(CA$7:CA$15),0)+IF(COUNTIF(CA$37:CA$42,$B46)&gt;0,COUNTA(CA$27:CA$35),0))</f>
        <v>0</v>
      </c>
      <c r="CB46" s="55">
        <f>IF($B46="","",IF(COUNTIF(CB$16:CB$21,$B46)&gt;0,COUNTA(CB$7:CB$15),0)+IF(COUNTIF(CB$37:CB$42,$B46)&gt;0,COUNTA(CB$27:CB$35),0))</f>
        <v>0</v>
      </c>
      <c r="CC46" s="55">
        <f>IF($B46="","",IF(COUNTIF(CC$16:CC$21,$B46)&gt;0,COUNTA(CC$7:CC$15),0)+IF(COUNTIF(CC$37:CC$42,$B46)&gt;0,COUNTA(CC$27:CC$35),0))</f>
        <v>0</v>
      </c>
      <c r="CD46" s="55">
        <f>IF($B46="","",IF(COUNTIF(CD$16:CD$21,$B46)&gt;0,COUNTA(CD$7:CD$15),0)+IF(COUNTIF(CD$37:CD$42,$B46)&gt;0,COUNTA(CD$27:CD$35),0))</f>
        <v>0</v>
      </c>
      <c r="CE46" s="55">
        <f>IF($B46="","",IF(COUNTIF(CE$16:CE$21,$B46)&gt;0,COUNTA(CE$7:CE$15),0)+IF(COUNTIF(CE$37:CE$42,$B46)&gt;0,COUNTA(CE$27:CE$35),0))</f>
        <v>0</v>
      </c>
      <c r="CF46" s="55">
        <f>IF($B46="","",IF(COUNTIF(CF$16:CF$21,$B46)&gt;0,COUNTA(CF$7:CF$15),0)+IF(COUNTIF(CF$37:CF$42,$B46)&gt;0,COUNTA(CF$27:CF$35),0))</f>
        <v>0</v>
      </c>
      <c r="CG46" s="55">
        <f>IF($B46="","",IF(COUNTIF(CG$16:CG$21,$B46)&gt;0,COUNTA(CG$7:CG$15),0)+IF(COUNTIF(CG$37:CG$42,$B46)&gt;0,COUNTA(CG$27:CG$35),0))</f>
        <v>0</v>
      </c>
      <c r="CH46" s="55">
        <f>IF($B46="","",IF(COUNTIF(CH$16:CH$21,$B46)&gt;0,COUNTA(CH$7:CH$15),0)+IF(COUNTIF(CH$37:CH$42,$B46)&gt;0,COUNTA(CH$27:CH$35),0))</f>
        <v>0</v>
      </c>
      <c r="CI46" s="55">
        <f>IF($B46="","",IF(COUNTIF(CI$16:CI$21,$B46)&gt;0,COUNTA(CI$7:CI$15),0)+IF(COUNTIF(CI$37:CI$42,$B46)&gt;0,COUNTA(CI$27:CI$35),0))</f>
        <v>0</v>
      </c>
      <c r="CJ46" s="55">
        <f>IF($B46="","",IF(COUNTIF(CJ$16:CJ$21,$B46)&gt;0,COUNTA(CJ$7:CJ$15),0)+IF(COUNTIF(CJ$37:CJ$42,$B46)&gt;0,COUNTA(CJ$27:CJ$35),0))</f>
        <v>0</v>
      </c>
      <c r="CK46" s="55">
        <f>IF($B46="","",IF(COUNTIF(CK$16:CK$21,$B46)&gt;0,COUNTA(CK$7:CK$15),0)+IF(COUNTIF(CK$37:CK$42,$B46)&gt;0,COUNTA(CK$27:CK$35),0))</f>
        <v>0</v>
      </c>
      <c r="CL46" s="55">
        <f>IF($B46="","",IF(COUNTIF(CL$16:CL$21,$B46)&gt;0,COUNTA(CL$7:CL$15),0)+IF(COUNTIF(CL$37:CL$42,$B46)&gt;0,COUNTA(CL$27:CL$35),0))</f>
        <v>0</v>
      </c>
      <c r="CM46" s="55">
        <f>IF($B46="","",IF(COUNTIF(CM$16:CM$21,$B46)&gt;0,COUNTA(CM$7:CM$15),0)+IF(COUNTIF(CM$37:CM$42,$B46)&gt;0,COUNTA(CM$27:CM$35),0))</f>
        <v>0</v>
      </c>
      <c r="CN46" s="55">
        <f>IF($B46="","",IF(COUNTIF(CN$16:CN$21,$B46)&gt;0,COUNTA(CN$7:CN$15),0)+IF(COUNTIF(CN$37:CN$42,$B46)&gt;0,COUNTA(CN$27:CN$35),0))</f>
        <v>0</v>
      </c>
      <c r="CO46" s="55">
        <f>IF($B46="","",IF(COUNTIF(CO$16:CO$21,$B46)&gt;0,COUNTA(CO$7:CO$15),0)+IF(COUNTIF(CO$37:CO$42,$B46)&gt;0,COUNTA(CO$27:CO$35),0))</f>
        <v>0</v>
      </c>
      <c r="CP46" s="55">
        <f>IF($B46="","",IF(COUNTIF(CP$16:CP$21,$B46)&gt;0,COUNTA(CP$7:CP$15),0)+IF(COUNTIF(CP$37:CP$42,$B46)&gt;0,COUNTA(CP$27:CP$35),0))</f>
        <v>0</v>
      </c>
      <c r="CQ46" s="55">
        <f>IF($B46="","",IF(COUNTIF(CQ$16:CQ$21,$B46)&gt;0,COUNTA(CQ$7:CQ$15),0)+IF(COUNTIF(CQ$37:CQ$42,$B46)&gt;0,COUNTA(CQ$27:CQ$35),0))</f>
        <v>0</v>
      </c>
      <c r="CR46" s="55">
        <f>IF($B46="","",IF(COUNTIF(CR$16:CR$21,$B46)&gt;0,COUNTA(CR$7:CR$15),0)+IF(COUNTIF(CR$37:CR$42,$B46)&gt;0,COUNTA(CR$27:CR$35),0))</f>
        <v>0</v>
      </c>
      <c r="CS46" s="55">
        <f>IF($B46="","",IF(COUNTIF(CS$16:CS$21,$B46)&gt;0,COUNTA(CS$7:CS$15),0)+IF(COUNTIF(CS$37:CS$42,$B46)&gt;0,COUNTA(CS$27:CS$35),0))</f>
        <v>0</v>
      </c>
      <c r="CT46" s="55">
        <f>IF($B46="","",IF(COUNTIF(CT$16:CT$21,$B46)&gt;0,COUNTA(CT$7:CT$15),0)+IF(COUNTIF(CT$37:CT$42,$B46)&gt;0,COUNTA(CT$27:CT$35),0))</f>
        <v>0</v>
      </c>
      <c r="CU46" s="55">
        <f>IF($B46="","",IF(COUNTIF(CU$16:CU$21,$B46)&gt;0,COUNTA(CU$7:CU$15),0)+IF(COUNTIF(CU$37:CU$42,$B46)&gt;0,COUNTA(CU$27:CU$35),0))</f>
        <v>0</v>
      </c>
      <c r="CV46" s="55">
        <f>IF($B46="","",IF(COUNTIF(CV$16:CV$21,$B46)&gt;0,COUNTA(CV$7:CV$15),0)+IF(COUNTIF(CV$37:CV$42,$B46)&gt;0,COUNTA(CV$27:CV$35),0))</f>
        <v>0</v>
      </c>
      <c r="CW46" s="55">
        <f>IF($B46="","",IF(COUNTIF(CW$16:CW$21,$B46)&gt;0,COUNTA(CW$7:CW$15),0)+IF(COUNTIF(CW$37:CW$42,$B46)&gt;0,COUNTA(CW$27:CW$35),0))</f>
        <v>0</v>
      </c>
      <c r="CX46" s="55">
        <f>IF($B46="","",IF(COUNTIF(CX$16:CX$21,$B46)&gt;0,COUNTA(CX$7:CX$15),0)+IF(COUNTIF(CX$37:CX$42,$B46)&gt;0,COUNTA(CX$27:CX$35),0))</f>
        <v>0</v>
      </c>
      <c r="CY46" s="55">
        <f>IF($B46="","",IF(COUNTIF(CY$16:CY$21,$B46)&gt;0,COUNTA(CY$7:CY$15),0)+IF(COUNTIF(CY$37:CY$42,$B46)&gt;0,COUNTA(CY$27:CY$35),0))</f>
        <v>0</v>
      </c>
      <c r="CZ46" s="55">
        <f>IF($B46="","",IF(COUNTIF(CZ$16:CZ$21,$B46)&gt;0,COUNTA(CZ$7:CZ$15),0)+IF(COUNTIF(CZ$37:CZ$42,$B46)&gt;0,COUNTA(CZ$27:CZ$35),0))</f>
        <v>0</v>
      </c>
      <c r="DA46" s="55">
        <f>IF($B46="","",IF(COUNTIF(DA$16:DA$21,$B46)&gt;0,COUNTA(DA$7:DA$15),0)+IF(COUNTIF(DA$37:DA$42,$B46)&gt;0,COUNTA(DA$27:DA$35),0))</f>
        <v>0</v>
      </c>
      <c r="DB46" s="55">
        <f>IF($B46="","",IF(COUNTIF(DB$16:DB$21,$B46)&gt;0,COUNTA(DB$7:DB$15),0)+IF(COUNTIF(DB$37:DB$42,$B46)&gt;0,COUNTA(DB$27:DB$35),0))</f>
        <v>0</v>
      </c>
      <c r="DC46" s="55">
        <f>IF($B46="","",IF(COUNTIF(DC$16:DC$21,$B46)&gt;0,COUNTA(DC$7:DC$15),0)+IF(COUNTIF(DC$37:DC$42,$B46)&gt;0,COUNTA(DC$27:DC$35),0))</f>
        <v>0</v>
      </c>
      <c r="DD46" s="55">
        <f>IF($B46="","",IF(COUNTIF(DD$16:DD$21,$B46)&gt;0,COUNTA(DD$7:DD$15),0)+IF(COUNTIF(DD$37:DD$42,$B46)&gt;0,COUNTA(DD$27:DD$35),0))</f>
        <v>0</v>
      </c>
      <c r="DE46" s="58">
        <f>IF($B46="","",IF(COUNTIF(DE$16:DE$21,$B46)&gt;0,COUNTA(DE$7:DE$15),0)+IF(COUNTIF(DE$37:DE$42,$B46)&gt;0,COUNTA(DE$27:DE$35),0))</f>
        <v>0</v>
      </c>
    </row>
    <row r="47" spans="2:109" x14ac:dyDescent="0.2">
      <c r="B47" s="84" t="str">
        <f>IFERROR(INDEX(_xlfn._xlws.FILTER(Ressourcer!$B$1:$X$1,_xlfn.BYCOL(Ressourcer!$B$23:$X$25,_xlfn.LAMBDA(_xlpm.c,COUNTIF(_xlpm.c,"&lt;&gt;" )&gt;0))),ROWS($B$2:B4)),"")</f>
        <v>HLLA</v>
      </c>
      <c r="C47" s="79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)&gt;0))),_xlfn.LAMBDA(_xlpm.col,SUM(INDEX(Ressourcer!$B$23:$X$25,,_xlpm.col-COLUMN(Ressourcer!$B$23:$X$25)+1)))),ROWS($B$2:B4))/2,"")</f>
        <v>200</v>
      </c>
      <c r="D47" s="106" t="str">
        <f t="shared" si="35"/>
        <v/>
      </c>
      <c r="E47" s="57">
        <f>IF($B47="","",IF(COUNTIF(E$16:E$21,$B47)&gt;0,COUNTA(E$7:E$15),0)+IF(COUNTIF(E$37:E$42,$B47)&gt;0,COUNTA(E$27:E$35),0))</f>
        <v>0</v>
      </c>
      <c r="F47" s="55">
        <f>IF($B47="","",IF(COUNTIF(F$16:F$21,$B47)&gt;0,COUNTA(F$7:F$15),0)+IF(COUNTIF(F$37:F$42,$B47)&gt;0,COUNTA(F$27:F$35),0))</f>
        <v>0</v>
      </c>
      <c r="G47" s="55">
        <f>IF($B47="","",IF(COUNTIF(G$16:G$21,$B47)&gt;0,COUNTA(G$7:G$15),0)+IF(COUNTIF(G$37:G$42,$B47)&gt;0,COUNTA(G$27:G$35),0))</f>
        <v>0</v>
      </c>
      <c r="H47" s="55">
        <f>IF($B47="","",IF(COUNTIF(H$16:H$21,$B47)&gt;0,COUNTA(H$7:H$15),0)+IF(COUNTIF(H$37:H$42,$B47)&gt;0,COUNTA(H$27:H$35),0))</f>
        <v>0</v>
      </c>
      <c r="I47" s="55">
        <f>IF($B47="","",IF(COUNTIF(I$16:I$21,$B47)&gt;0,COUNTA(I$7:I$15),0)+IF(COUNTIF(I$37:I$42,$B47)&gt;0,COUNTA(I$27:I$35),0))</f>
        <v>0</v>
      </c>
      <c r="J47" s="55">
        <f>IF($B47="","",IF(COUNTIF(J$16:J$21,$B47)&gt;0,COUNTA(J$7:J$15),0)+IF(COUNTIF(J$37:J$42,$B47)&gt;0,COUNTA(J$27:J$35),0))</f>
        <v>0</v>
      </c>
      <c r="K47" s="55">
        <f>IF($B47="","",IF(COUNTIF(K$16:K$21,$B47)&gt;0,COUNTA(K$7:K$15),0)+IF(COUNTIF(K$37:K$42,$B47)&gt;0,COUNTA(K$27:K$35),0))</f>
        <v>0</v>
      </c>
      <c r="L47" s="55">
        <f>IF($B47="","",IF(COUNTIF(L$16:L$21,$B47)&gt;0,COUNTA(L$7:L$15),0)+IF(COUNTIF(L$37:L$42,$B47)&gt;0,COUNTA(L$27:L$35),0))</f>
        <v>0</v>
      </c>
      <c r="M47" s="55">
        <f>IF($B47="","",IF(COUNTIF(M$16:M$21,$B47)&gt;0,COUNTA(M$7:M$15),0)+IF(COUNTIF(M$37:M$42,$B47)&gt;0,COUNTA(M$27:M$35),0))</f>
        <v>0</v>
      </c>
      <c r="N47" s="55">
        <f>IF($B47="","",IF(COUNTIF(N$16:N$21,$B47)&gt;0,COUNTA(N$7:N$15),0)+IF(COUNTIF(N$37:N$42,$B47)&gt;0,COUNTA(N$27:N$35),0))</f>
        <v>0</v>
      </c>
      <c r="O47" s="55">
        <f>IF($B47="","",IF(COUNTIF(O$16:O$21,$B47)&gt;0,COUNTA(O$7:O$15),0)+IF(COUNTIF(O$37:O$42,$B47)&gt;0,COUNTA(O$27:O$35),0))</f>
        <v>0</v>
      </c>
      <c r="P47" s="55">
        <f>IF($B47="","",IF(COUNTIF(P$16:P$21,$B47)&gt;0,COUNTA(P$7:P$15),0)+IF(COUNTIF(P$37:P$42,$B47)&gt;0,COUNTA(P$27:P$35),0))</f>
        <v>0</v>
      </c>
      <c r="Q47" s="55">
        <f>IF($B47="","",IF(COUNTIF(Q$16:Q$21,$B47)&gt;0,COUNTA(Q$7:Q$15),0)+IF(COUNTIF(Q$37:Q$42,$B47)&gt;0,COUNTA(Q$27:Q$35),0))</f>
        <v>0</v>
      </c>
      <c r="R47" s="55">
        <f>IF($B47="","",IF(COUNTIF(R$16:R$21,$B47)&gt;0,COUNTA(R$7:R$15),0)+IF(COUNTIF(R$37:R$42,$B47)&gt;0,COUNTA(R$27:R$35),0))</f>
        <v>0</v>
      </c>
      <c r="S47" s="55">
        <f>IF($B47="","",IF(COUNTIF(S$16:S$21,$B47)&gt;0,COUNTA(S$7:S$15),0)+IF(COUNTIF(S$37:S$42,$B47)&gt;0,COUNTA(S$27:S$35),0))</f>
        <v>0</v>
      </c>
      <c r="T47" s="55">
        <f>IF($B47="","",IF(COUNTIF(T$16:T$21,$B47)&gt;0,COUNTA(T$7:T$15),0)+IF(COUNTIF(T$37:T$42,$B47)&gt;0,COUNTA(T$27:T$35),0))</f>
        <v>0</v>
      </c>
      <c r="U47" s="55">
        <f>IF($B47="","",IF(COUNTIF(U$16:U$21,$B47)&gt;0,COUNTA(U$7:U$15),0)+IF(COUNTIF(U$37:U$42,$B47)&gt;0,COUNTA(U$27:U$35),0))</f>
        <v>0</v>
      </c>
      <c r="V47" s="55">
        <f>IF($B47="","",IF(COUNTIF(V$16:V$21,$B47)&gt;0,COUNTA(V$7:V$15),0)+IF(COUNTIF(V$37:V$42,$B47)&gt;0,COUNTA(V$27:V$35),0))</f>
        <v>0</v>
      </c>
      <c r="W47" s="55">
        <f>IF($B47="","",IF(COUNTIF(W$16:W$21,$B47)&gt;0,COUNTA(W$7:W$15),0)+IF(COUNTIF(W$37:W$42,$B47)&gt;0,COUNTA(W$27:W$35),0))</f>
        <v>0</v>
      </c>
      <c r="X47" s="55">
        <f>IF($B47="","",IF(COUNTIF(X$16:X$21,$B47)&gt;0,COUNTA(X$7:X$15),0)+IF(COUNTIF(X$37:X$42,$B47)&gt;0,COUNTA(X$27:X$35),0))</f>
        <v>0</v>
      </c>
      <c r="Y47" s="55">
        <f>IF($B47="","",IF(COUNTIF(Y$16:Y$21,$B47)&gt;0,COUNTA(Y$7:Y$15),0)+IF(COUNTIF(Y$37:Y$42,$B47)&gt;0,COUNTA(Y$27:Y$35),0))</f>
        <v>0</v>
      </c>
      <c r="Z47" s="55">
        <f>IF($B47="","",IF(COUNTIF(Z$16:Z$21,$B47)&gt;0,COUNTA(Z$7:Z$15),0)+IF(COUNTIF(Z$37:Z$42,$B47)&gt;0,COUNTA(Z$27:Z$35),0))</f>
        <v>0</v>
      </c>
      <c r="AA47" s="55">
        <f>IF($B47="","",IF(COUNTIF(AA$16:AA$21,$B47)&gt;0,COUNTA(AA$7:AA$15),0)+IF(COUNTIF(AA$37:AA$42,$B47)&gt;0,COUNTA(AA$27:AA$35),0))</f>
        <v>0</v>
      </c>
      <c r="AB47" s="55">
        <f>IF($B47="","",IF(COUNTIF(AB$16:AB$21,$B47)&gt;0,COUNTA(AB$7:AB$15),0)+IF(COUNTIF(AB$37:AB$42,$B47)&gt;0,COUNTA(AB$27:AB$35),0))</f>
        <v>0</v>
      </c>
      <c r="AC47" s="55">
        <f>IF($B47="","",IF(COUNTIF(AC$16:AC$21,$B47)&gt;0,COUNTA(AC$7:AC$15),0)+IF(COUNTIF(AC$37:AC$42,$B47)&gt;0,COUNTA(AC$27:AC$35),0))</f>
        <v>0</v>
      </c>
      <c r="AD47" s="55">
        <f>IF($B47="","",IF(COUNTIF(AD$16:AD$21,$B47)&gt;0,COUNTA(AD$7:AD$15),0)+IF(COUNTIF(AD$37:AD$42,$B47)&gt;0,COUNTA(AD$27:AD$35),0))</f>
        <v>0</v>
      </c>
      <c r="AE47" s="55">
        <f>IF($B47="","",IF(COUNTIF(AE$16:AE$21,$B47)&gt;0,COUNTA(AE$7:AE$15),0)+IF(COUNTIF(AE$37:AE$42,$B47)&gt;0,COUNTA(AE$27:AE$35),0))</f>
        <v>0</v>
      </c>
      <c r="AF47" s="55">
        <f>IF($B47="","",IF(COUNTIF(AF$16:AF$21,$B47)&gt;0,COUNTA(AF$7:AF$15),0)+IF(COUNTIF(AF$37:AF$42,$B47)&gt;0,COUNTA(AF$27:AF$35),0))</f>
        <v>0</v>
      </c>
      <c r="AG47" s="55">
        <f>IF($B47="","",IF(COUNTIF(AG$16:AG$21,$B47)&gt;0,COUNTA(AG$7:AG$15),0)+IF(COUNTIF(AG$37:AG$42,$B47)&gt;0,COUNTA(AG$27:AG$35),0))</f>
        <v>0</v>
      </c>
      <c r="AH47" s="55">
        <f>IF($B47="","",IF(COUNTIF(AH$16:AH$21,$B47)&gt;0,COUNTA(AH$7:AH$15),0)+IF(COUNTIF(AH$37:AH$42,$B47)&gt;0,COUNTA(AH$27:AH$35),0))</f>
        <v>0</v>
      </c>
      <c r="AI47" s="55">
        <f>IF($B47="","",IF(COUNTIF(AI$16:AI$21,$B47)&gt;0,COUNTA(AI$7:AI$15),0)+IF(COUNTIF(AI$37:AI$42,$B47)&gt;0,COUNTA(AI$27:AI$35),0))</f>
        <v>0</v>
      </c>
      <c r="AJ47" s="55">
        <f>IF($B47="","",IF(COUNTIF(AJ$16:AJ$21,$B47)&gt;0,COUNTA(AJ$7:AJ$15),0)+IF(COUNTIF(AJ$37:AJ$42,$B47)&gt;0,COUNTA(AJ$27:AJ$35),0))</f>
        <v>0</v>
      </c>
      <c r="AK47" s="55">
        <f>IF($B47="","",IF(COUNTIF(AK$16:AK$21,$B47)&gt;0,COUNTA(AK$7:AK$15),0)+IF(COUNTIF(AK$37:AK$42,$B47)&gt;0,COUNTA(AK$27:AK$35),0))</f>
        <v>0</v>
      </c>
      <c r="AL47" s="55">
        <f>IF($B47="","",IF(COUNTIF(AL$16:AL$21,$B47)&gt;0,COUNTA(AL$7:AL$15),0)+IF(COUNTIF(AL$37:AL$42,$B47)&gt;0,COUNTA(AL$27:AL$35),0))</f>
        <v>0</v>
      </c>
      <c r="AM47" s="55">
        <f>IF($B47="","",IF(COUNTIF(AM$16:AM$21,$B47)&gt;0,COUNTA(AM$7:AM$15),0)+IF(COUNTIF(AM$37:AM$42,$B47)&gt;0,COUNTA(AM$27:AM$35),0))</f>
        <v>0</v>
      </c>
      <c r="AN47" s="55">
        <f>IF($B47="","",IF(COUNTIF(AN$16:AN$21,$B47)&gt;0,COUNTA(AN$7:AN$15),0)+IF(COUNTIF(AN$37:AN$42,$B47)&gt;0,COUNTA(AN$27:AN$35),0))</f>
        <v>0</v>
      </c>
      <c r="AO47" s="55">
        <f>IF($B47="","",IF(COUNTIF(AO$16:AO$21,$B47)&gt;0,COUNTA(AO$7:AO$15),0)+IF(COUNTIF(AO$37:AO$42,$B47)&gt;0,COUNTA(AO$27:AO$35),0))</f>
        <v>0</v>
      </c>
      <c r="AP47" s="55">
        <f>IF($B47="","",IF(COUNTIF(AP$16:AP$21,$B47)&gt;0,COUNTA(AP$7:AP$15),0)+IF(COUNTIF(AP$37:AP$42,$B47)&gt;0,COUNTA(AP$27:AP$35),0))</f>
        <v>0</v>
      </c>
      <c r="AQ47" s="55">
        <f>IF($B47="","",IF(COUNTIF(AQ$16:AQ$21,$B47)&gt;0,COUNTA(AQ$7:AQ$15),0)+IF(COUNTIF(AQ$37:AQ$42,$B47)&gt;0,COUNTA(AQ$27:AQ$35),0))</f>
        <v>0</v>
      </c>
      <c r="AR47" s="55">
        <f>IF($B47="","",IF(COUNTIF(AR$16:AR$21,$B47)&gt;0,COUNTA(AR$7:AR$15),0)+IF(COUNTIF(AR$37:AR$42,$B47)&gt;0,COUNTA(AR$27:AR$35),0))</f>
        <v>0</v>
      </c>
      <c r="AS47" s="55">
        <f>IF($B47="","",IF(COUNTIF(AS$16:AS$21,$B47)&gt;0,COUNTA(AS$7:AS$15),0)+IF(COUNTIF(AS$37:AS$42,$B47)&gt;0,COUNTA(AS$27:AS$35),0))</f>
        <v>0</v>
      </c>
      <c r="AT47" s="55">
        <f>IF($B47="","",IF(COUNTIF(AT$16:AT$21,$B47)&gt;0,COUNTA(AT$7:AT$15),0)+IF(COUNTIF(AT$37:AT$42,$B47)&gt;0,COUNTA(AT$27:AT$35),0))</f>
        <v>0</v>
      </c>
      <c r="AU47" s="55">
        <f>IF($B47="","",IF(COUNTIF(AU$16:AU$21,$B47)&gt;0,COUNTA(AU$7:AU$15),0)+IF(COUNTIF(AU$37:AU$42,$B47)&gt;0,COUNTA(AU$27:AU$35),0))</f>
        <v>0</v>
      </c>
      <c r="AV47" s="55">
        <f>IF($B47="","",IF(COUNTIF(AV$16:AV$21,$B47)&gt;0,COUNTA(AV$7:AV$15),0)+IF(COUNTIF(AV$37:AV$42,$B47)&gt;0,COUNTA(AV$27:AV$35),0))</f>
        <v>0</v>
      </c>
      <c r="AW47" s="55">
        <f>IF($B47="","",IF(COUNTIF(AW$16:AW$21,$B47)&gt;0,COUNTA(AW$7:AW$15),0)+IF(COUNTIF(AW$37:AW$42,$B47)&gt;0,COUNTA(AW$27:AW$35),0))</f>
        <v>0</v>
      </c>
      <c r="AX47" s="55">
        <f>IF($B47="","",IF(COUNTIF(AX$16:AX$21,$B47)&gt;0,COUNTA(AX$7:AX$15),0)+IF(COUNTIF(AX$37:AX$42,$B47)&gt;0,COUNTA(AX$27:AX$35),0))</f>
        <v>0</v>
      </c>
      <c r="AY47" s="55">
        <f>IF($B47="","",IF(COUNTIF(AY$16:AY$21,$B47)&gt;0,COUNTA(AY$7:AY$15),0)+IF(COUNTIF(AY$37:AY$42,$B47)&gt;0,COUNTA(AY$27:AY$35),0))</f>
        <v>0</v>
      </c>
      <c r="AZ47" s="55">
        <f>IF($B47="","",IF(COUNTIF(AZ$16:AZ$21,$B47)&gt;0,COUNTA(AZ$7:AZ$15),0)+IF(COUNTIF(AZ$37:AZ$42,$B47)&gt;0,COUNTA(AZ$27:AZ$35),0))</f>
        <v>0</v>
      </c>
      <c r="BA47" s="55">
        <f>IF($B47="","",IF(COUNTIF(BA$16:BA$21,$B47)&gt;0,COUNTA(BA$7:BA$15),0)+IF(COUNTIF(BA$37:BA$42,$B47)&gt;0,COUNTA(BA$27:BA$35),0))</f>
        <v>0</v>
      </c>
      <c r="BB47" s="55">
        <f>IF($B47="","",IF(COUNTIF(BB$16:BB$21,$B47)&gt;0,COUNTA(BB$7:BB$15),0)+IF(COUNTIF(BB$37:BB$42,$B47)&gt;0,COUNTA(BB$27:BB$35),0))</f>
        <v>0</v>
      </c>
      <c r="BC47" s="55">
        <f>IF($B47="","",IF(COUNTIF(BC$16:BC$21,$B47)&gt;0,COUNTA(BC$7:BC$15),0)+IF(COUNTIF(BC$37:BC$42,$B47)&gt;0,COUNTA(BC$27:BC$35),0))</f>
        <v>0</v>
      </c>
      <c r="BD47" s="55">
        <f>IF($B47="","",IF(COUNTIF(BD$16:BD$21,$B47)&gt;0,COUNTA(BD$7:BD$15),0)+IF(COUNTIF(BD$37:BD$42,$B47)&gt;0,COUNTA(BD$27:BD$35),0))</f>
        <v>0</v>
      </c>
      <c r="BE47" s="55">
        <f>IF($B47="","",IF(COUNTIF(BE$16:BE$21,$B47)&gt;0,COUNTA(BE$7:BE$15),0)+IF(COUNTIF(BE$37:BE$42,$B47)&gt;0,COUNTA(BE$27:BE$35),0))</f>
        <v>0</v>
      </c>
      <c r="BF47" s="55">
        <f>IF($B47="","",IF(COUNTIF(BF$16:BF$21,$B47)&gt;0,COUNTA(BF$7:BF$15),0)+IF(COUNTIF(BF$37:BF$42,$B47)&gt;0,COUNTA(BF$27:BF$35),0))</f>
        <v>0</v>
      </c>
      <c r="BG47" s="55">
        <f>IF($B47="","",IF(COUNTIF(BG$16:BG$21,$B47)&gt;0,COUNTA(BG$7:BG$15),0)+IF(COUNTIF(BG$37:BG$42,$B47)&gt;0,COUNTA(BG$27:BG$35),0))</f>
        <v>0</v>
      </c>
      <c r="BH47" s="55">
        <f>IF($B47="","",IF(COUNTIF(BH$16:BH$21,$B47)&gt;0,COUNTA(BH$7:BH$15),0)+IF(COUNTIF(BH$37:BH$42,$B47)&gt;0,COUNTA(BH$27:BH$35),0))</f>
        <v>0</v>
      </c>
      <c r="BI47" s="55">
        <f>IF($B47="","",IF(COUNTIF(BI$16:BI$21,$B47)&gt;0,COUNTA(BI$7:BI$15),0)+IF(COUNTIF(BI$37:BI$42,$B47)&gt;0,COUNTA(BI$27:BI$35),0))</f>
        <v>0</v>
      </c>
      <c r="BJ47" s="55">
        <f>IF($B47="","",IF(COUNTIF(BJ$16:BJ$21,$B47)&gt;0,COUNTA(BJ$7:BJ$15),0)+IF(COUNTIF(BJ$37:BJ$42,$B47)&gt;0,COUNTA(BJ$27:BJ$35),0))</f>
        <v>0</v>
      </c>
      <c r="BK47" s="55">
        <f>IF($B47="","",IF(COUNTIF(BK$16:BK$21,$B47)&gt;0,COUNTA(BK$7:BK$15),0)+IF(COUNTIF(BK$37:BK$42,$B47)&gt;0,COUNTA(BK$27:BK$35),0))</f>
        <v>0</v>
      </c>
      <c r="BL47" s="55">
        <f>IF($B47="","",IF(COUNTIF(BL$16:BL$21,$B47)&gt;0,COUNTA(BL$7:BL$15),0)+IF(COUNTIF(BL$37:BL$42,$B47)&gt;0,COUNTA(BL$27:BL$35),0))</f>
        <v>0</v>
      </c>
      <c r="BM47" s="55">
        <f>IF($B47="","",IF(COUNTIF(BM$16:BM$21,$B47)&gt;0,COUNTA(BM$7:BM$15),0)+IF(COUNTIF(BM$37:BM$42,$B47)&gt;0,COUNTA(BM$27:BM$35),0))</f>
        <v>0</v>
      </c>
      <c r="BN47" s="55">
        <f>IF($B47="","",IF(COUNTIF(BN$16:BN$21,$B47)&gt;0,COUNTA(BN$7:BN$15),0)+IF(COUNTIF(BN$37:BN$42,$B47)&gt;0,COUNTA(BN$27:BN$35),0))</f>
        <v>0</v>
      </c>
      <c r="BO47" s="55">
        <f>IF($B47="","",IF(COUNTIF(BO$16:BO$21,$B47)&gt;0,COUNTA(BO$7:BO$15),0)+IF(COUNTIF(BO$37:BO$42,$B47)&gt;0,COUNTA(BO$27:BO$35),0))</f>
        <v>0</v>
      </c>
      <c r="BP47" s="55">
        <f>IF($B47="","",IF(COUNTIF(BP$16:BP$21,$B47)&gt;0,COUNTA(BP$7:BP$15),0)+IF(COUNTIF(BP$37:BP$42,$B47)&gt;0,COUNTA(BP$27:BP$35),0))</f>
        <v>0</v>
      </c>
      <c r="BQ47" s="55">
        <f>IF($B47="","",IF(COUNTIF(BQ$16:BQ$21,$B47)&gt;0,COUNTA(BQ$7:BQ$15),0)+IF(COUNTIF(BQ$37:BQ$42,$B47)&gt;0,COUNTA(BQ$27:BQ$35),0))</f>
        <v>0</v>
      </c>
      <c r="BR47" s="55">
        <f>IF($B47="","",IF(COUNTIF(BR$16:BR$21,$B47)&gt;0,COUNTA(BR$7:BR$15),0)+IF(COUNTIF(BR$37:BR$42,$B47)&gt;0,COUNTA(BR$27:BR$35),0))</f>
        <v>0</v>
      </c>
      <c r="BS47" s="55">
        <f>IF($B47="","",IF(COUNTIF(BS$16:BS$21,$B47)&gt;0,COUNTA(BS$7:BS$15),0)+IF(COUNTIF(BS$37:BS$42,$B47)&gt;0,COUNTA(BS$27:BS$35),0))</f>
        <v>0</v>
      </c>
      <c r="BT47" s="55">
        <f>IF($B47="","",IF(COUNTIF(BT$16:BT$21,$B47)&gt;0,COUNTA(BT$7:BT$15),0)+IF(COUNTIF(BT$37:BT$42,$B47)&gt;0,COUNTA(BT$27:BT$35),0))</f>
        <v>0</v>
      </c>
      <c r="BU47" s="55">
        <f>IF($B47="","",IF(COUNTIF(BU$16:BU$21,$B47)&gt;0,COUNTA(BU$7:BU$15),0)+IF(COUNTIF(BU$37:BU$42,$B47)&gt;0,COUNTA(BU$27:BU$35),0))</f>
        <v>0</v>
      </c>
      <c r="BV47" s="55">
        <f>IF($B47="","",IF(COUNTIF(BV$16:BV$21,$B47)&gt;0,COUNTA(BV$7:BV$15),0)+IF(COUNTIF(BV$37:BV$42,$B47)&gt;0,COUNTA(BV$27:BV$35),0))</f>
        <v>0</v>
      </c>
      <c r="BW47" s="55">
        <f>IF($B47="","",IF(COUNTIF(BW$16:BW$21,$B47)&gt;0,COUNTA(BW$7:BW$15),0)+IF(COUNTIF(BW$37:BW$42,$B47)&gt;0,COUNTA(BW$27:BW$35),0))</f>
        <v>0</v>
      </c>
      <c r="BX47" s="55">
        <f>IF($B47="","",IF(COUNTIF(BX$16:BX$21,$B47)&gt;0,COUNTA(BX$7:BX$15),0)+IF(COUNTIF(BX$37:BX$42,$B47)&gt;0,COUNTA(BX$27:BX$35),0))</f>
        <v>0</v>
      </c>
      <c r="BY47" s="55">
        <f>IF($B47="","",IF(COUNTIF(BY$16:BY$21,$B47)&gt;0,COUNTA(BY$7:BY$15),0)+IF(COUNTIF(BY$37:BY$42,$B47)&gt;0,COUNTA(BY$27:BY$35),0))</f>
        <v>0</v>
      </c>
      <c r="BZ47" s="55">
        <f>IF($B47="","",IF(COUNTIF(BZ$16:BZ$21,$B47)&gt;0,COUNTA(BZ$7:BZ$15),0)+IF(COUNTIF(BZ$37:BZ$42,$B47)&gt;0,COUNTA(BZ$27:BZ$35),0))</f>
        <v>0</v>
      </c>
      <c r="CA47" s="55">
        <f>IF($B47="","",IF(COUNTIF(CA$16:CA$21,$B47)&gt;0,COUNTA(CA$7:CA$15),0)+IF(COUNTIF(CA$37:CA$42,$B47)&gt;0,COUNTA(CA$27:CA$35),0))</f>
        <v>0</v>
      </c>
      <c r="CB47" s="55">
        <f>IF($B47="","",IF(COUNTIF(CB$16:CB$21,$B47)&gt;0,COUNTA(CB$7:CB$15),0)+IF(COUNTIF(CB$37:CB$42,$B47)&gt;0,COUNTA(CB$27:CB$35),0))</f>
        <v>0</v>
      </c>
      <c r="CC47" s="55">
        <f>IF($B47="","",IF(COUNTIF(CC$16:CC$21,$B47)&gt;0,COUNTA(CC$7:CC$15),0)+IF(COUNTIF(CC$37:CC$42,$B47)&gt;0,COUNTA(CC$27:CC$35),0))</f>
        <v>0</v>
      </c>
      <c r="CD47" s="55">
        <f>IF($B47="","",IF(COUNTIF(CD$16:CD$21,$B47)&gt;0,COUNTA(CD$7:CD$15),0)+IF(COUNTIF(CD$37:CD$42,$B47)&gt;0,COUNTA(CD$27:CD$35),0))</f>
        <v>0</v>
      </c>
      <c r="CE47" s="55">
        <f>IF($B47="","",IF(COUNTIF(CE$16:CE$21,$B47)&gt;0,COUNTA(CE$7:CE$15),0)+IF(COUNTIF(CE$37:CE$42,$B47)&gt;0,COUNTA(CE$27:CE$35),0))</f>
        <v>0</v>
      </c>
      <c r="CF47" s="55">
        <f>IF($B47="","",IF(COUNTIF(CF$16:CF$21,$B47)&gt;0,COUNTA(CF$7:CF$15),0)+IF(COUNTIF(CF$37:CF$42,$B47)&gt;0,COUNTA(CF$27:CF$35),0))</f>
        <v>0</v>
      </c>
      <c r="CG47" s="55">
        <f>IF($B47="","",IF(COUNTIF(CG$16:CG$21,$B47)&gt;0,COUNTA(CG$7:CG$15),0)+IF(COUNTIF(CG$37:CG$42,$B47)&gt;0,COUNTA(CG$27:CG$35),0))</f>
        <v>0</v>
      </c>
      <c r="CH47" s="55">
        <f>IF($B47="","",IF(COUNTIF(CH$16:CH$21,$B47)&gt;0,COUNTA(CH$7:CH$15),0)+IF(COUNTIF(CH$37:CH$42,$B47)&gt;0,COUNTA(CH$27:CH$35),0))</f>
        <v>0</v>
      </c>
      <c r="CI47" s="55">
        <f>IF($B47="","",IF(COUNTIF(CI$16:CI$21,$B47)&gt;0,COUNTA(CI$7:CI$15),0)+IF(COUNTIF(CI$37:CI$42,$B47)&gt;0,COUNTA(CI$27:CI$35),0))</f>
        <v>0</v>
      </c>
      <c r="CJ47" s="55">
        <f>IF($B47="","",IF(COUNTIF(CJ$16:CJ$21,$B47)&gt;0,COUNTA(CJ$7:CJ$15),0)+IF(COUNTIF(CJ$37:CJ$42,$B47)&gt;0,COUNTA(CJ$27:CJ$35),0))</f>
        <v>0</v>
      </c>
      <c r="CK47" s="55">
        <f>IF($B47="","",IF(COUNTIF(CK$16:CK$21,$B47)&gt;0,COUNTA(CK$7:CK$15),0)+IF(COUNTIF(CK$37:CK$42,$B47)&gt;0,COUNTA(CK$27:CK$35),0))</f>
        <v>0</v>
      </c>
      <c r="CL47" s="55">
        <f>IF($B47="","",IF(COUNTIF(CL$16:CL$21,$B47)&gt;0,COUNTA(CL$7:CL$15),0)+IF(COUNTIF(CL$37:CL$42,$B47)&gt;0,COUNTA(CL$27:CL$35),0))</f>
        <v>0</v>
      </c>
      <c r="CM47" s="55">
        <f>IF($B47="","",IF(COUNTIF(CM$16:CM$21,$B47)&gt;0,COUNTA(CM$7:CM$15),0)+IF(COUNTIF(CM$37:CM$42,$B47)&gt;0,COUNTA(CM$27:CM$35),0))</f>
        <v>0</v>
      </c>
      <c r="CN47" s="55">
        <f>IF($B47="","",IF(COUNTIF(CN$16:CN$21,$B47)&gt;0,COUNTA(CN$7:CN$15),0)+IF(COUNTIF(CN$37:CN$42,$B47)&gt;0,COUNTA(CN$27:CN$35),0))</f>
        <v>0</v>
      </c>
      <c r="CO47" s="55">
        <f>IF($B47="","",IF(COUNTIF(CO$16:CO$21,$B47)&gt;0,COUNTA(CO$7:CO$15),0)+IF(COUNTIF(CO$37:CO$42,$B47)&gt;0,COUNTA(CO$27:CO$35),0))</f>
        <v>0</v>
      </c>
      <c r="CP47" s="55">
        <f>IF($B47="","",IF(COUNTIF(CP$16:CP$21,$B47)&gt;0,COUNTA(CP$7:CP$15),0)+IF(COUNTIF(CP$37:CP$42,$B47)&gt;0,COUNTA(CP$27:CP$35),0))</f>
        <v>0</v>
      </c>
      <c r="CQ47" s="55">
        <f>IF($B47="","",IF(COUNTIF(CQ$16:CQ$21,$B47)&gt;0,COUNTA(CQ$7:CQ$15),0)+IF(COUNTIF(CQ$37:CQ$42,$B47)&gt;0,COUNTA(CQ$27:CQ$35),0))</f>
        <v>0</v>
      </c>
      <c r="CR47" s="55">
        <f>IF($B47="","",IF(COUNTIF(CR$16:CR$21,$B47)&gt;0,COUNTA(CR$7:CR$15),0)+IF(COUNTIF(CR$37:CR$42,$B47)&gt;0,COUNTA(CR$27:CR$35),0))</f>
        <v>0</v>
      </c>
      <c r="CS47" s="55">
        <f>IF($B47="","",IF(COUNTIF(CS$16:CS$21,$B47)&gt;0,COUNTA(CS$7:CS$15),0)+IF(COUNTIF(CS$37:CS$42,$B47)&gt;0,COUNTA(CS$27:CS$35),0))</f>
        <v>0</v>
      </c>
      <c r="CT47" s="55">
        <f>IF($B47="","",IF(COUNTIF(CT$16:CT$21,$B47)&gt;0,COUNTA(CT$7:CT$15),0)+IF(COUNTIF(CT$37:CT$42,$B47)&gt;0,COUNTA(CT$27:CT$35),0))</f>
        <v>0</v>
      </c>
      <c r="CU47" s="55">
        <f>IF($B47="","",IF(COUNTIF(CU$16:CU$21,$B47)&gt;0,COUNTA(CU$7:CU$15),0)+IF(COUNTIF(CU$37:CU$42,$B47)&gt;0,COUNTA(CU$27:CU$35),0))</f>
        <v>0</v>
      </c>
      <c r="CV47" s="55">
        <f>IF($B47="","",IF(COUNTIF(CV$16:CV$21,$B47)&gt;0,COUNTA(CV$7:CV$15),0)+IF(COUNTIF(CV$37:CV$42,$B47)&gt;0,COUNTA(CV$27:CV$35),0))</f>
        <v>0</v>
      </c>
      <c r="CW47" s="55">
        <f>IF($B47="","",IF(COUNTIF(CW$16:CW$21,$B47)&gt;0,COUNTA(CW$7:CW$15),0)+IF(COUNTIF(CW$37:CW$42,$B47)&gt;0,COUNTA(CW$27:CW$35),0))</f>
        <v>0</v>
      </c>
      <c r="CX47" s="55">
        <f>IF($B47="","",IF(COUNTIF(CX$16:CX$21,$B47)&gt;0,COUNTA(CX$7:CX$15),0)+IF(COUNTIF(CX$37:CX$42,$B47)&gt;0,COUNTA(CX$27:CX$35),0))</f>
        <v>0</v>
      </c>
      <c r="CY47" s="55">
        <f>IF($B47="","",IF(COUNTIF(CY$16:CY$21,$B47)&gt;0,COUNTA(CY$7:CY$15),0)+IF(COUNTIF(CY$37:CY$42,$B47)&gt;0,COUNTA(CY$27:CY$35),0))</f>
        <v>0</v>
      </c>
      <c r="CZ47" s="55">
        <f>IF($B47="","",IF(COUNTIF(CZ$16:CZ$21,$B47)&gt;0,COUNTA(CZ$7:CZ$15),0)+IF(COUNTIF(CZ$37:CZ$42,$B47)&gt;0,COUNTA(CZ$27:CZ$35),0))</f>
        <v>0</v>
      </c>
      <c r="DA47" s="55">
        <f>IF($B47="","",IF(COUNTIF(DA$16:DA$21,$B47)&gt;0,COUNTA(DA$7:DA$15),0)+IF(COUNTIF(DA$37:DA$42,$B47)&gt;0,COUNTA(DA$27:DA$35),0))</f>
        <v>0</v>
      </c>
      <c r="DB47" s="55">
        <f>IF($B47="","",IF(COUNTIF(DB$16:DB$21,$B47)&gt;0,COUNTA(DB$7:DB$15),0)+IF(COUNTIF(DB$37:DB$42,$B47)&gt;0,COUNTA(DB$27:DB$35),0))</f>
        <v>0</v>
      </c>
      <c r="DC47" s="55">
        <f>IF($B47="","",IF(COUNTIF(DC$16:DC$21,$B47)&gt;0,COUNTA(DC$7:DC$15),0)+IF(COUNTIF(DC$37:DC$42,$B47)&gt;0,COUNTA(DC$27:DC$35),0))</f>
        <v>0</v>
      </c>
      <c r="DD47" s="55">
        <f>IF($B47="","",IF(COUNTIF(DD$16:DD$21,$B47)&gt;0,COUNTA(DD$7:DD$15),0)+IF(COUNTIF(DD$37:DD$42,$B47)&gt;0,COUNTA(DD$27:DD$35),0))</f>
        <v>0</v>
      </c>
      <c r="DE47" s="58">
        <f>IF($B47="","",IF(COUNTIF(DE$16:DE$21,$B47)&gt;0,COUNTA(DE$7:DE$15),0)+IF(COUNTIF(DE$37:DE$42,$B47)&gt;0,COUNTA(DE$27:DE$35),0))</f>
        <v>0</v>
      </c>
    </row>
    <row r="48" spans="2:109" x14ac:dyDescent="0.2">
      <c r="B48" s="84" t="str">
        <f>IFERROR(INDEX(_xlfn._xlws.FILTER(Ressourcer!$B$1:$X$1,_xlfn.BYCOL(Ressourcer!$B$23:$X$25,_xlfn.LAMBDA(_xlpm.c,COUNTIF(_xlpm.c,"&lt;&gt;" )&gt;0))),ROWS($B$2:B5)),"")</f>
        <v>MLBR</v>
      </c>
      <c r="C48" s="79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)&gt;0))),_xlfn.LAMBDA(_xlpm.col,SUM(INDEX(Ressourcer!$B$23:$X$25,,_xlpm.col-COLUMN(Ressourcer!$B$23:$X$25)+1)))),ROWS($B$2:B5))/2,"")</f>
        <v>50</v>
      </c>
      <c r="D48" s="106" t="str">
        <f t="shared" si="35"/>
        <v/>
      </c>
      <c r="E48" s="57">
        <f>IF($B48="","",IF(COUNTIF(E$16:E$21,$B48)&gt;0,COUNTA(E$7:E$15),0)+IF(COUNTIF(E$37:E$42,$B48)&gt;0,COUNTA(E$27:E$35),0))</f>
        <v>0</v>
      </c>
      <c r="F48" s="55">
        <f>IF($B48="","",IF(COUNTIF(F$16:F$21,$B48)&gt;0,COUNTA(F$7:F$15),0)+IF(COUNTIF(F$37:F$42,$B48)&gt;0,COUNTA(F$27:F$35),0))</f>
        <v>0</v>
      </c>
      <c r="G48" s="55">
        <f>IF($B48="","",IF(COUNTIF(G$16:G$21,$B48)&gt;0,COUNTA(G$7:G$15),0)+IF(COUNTIF(G$37:G$42,$B48)&gt;0,COUNTA(G$27:G$35),0))</f>
        <v>0</v>
      </c>
      <c r="H48" s="55">
        <f>IF($B48="","",IF(COUNTIF(H$16:H$21,$B48)&gt;0,COUNTA(H$7:H$15),0)+IF(COUNTIF(H$37:H$42,$B48)&gt;0,COUNTA(H$27:H$35),0))</f>
        <v>0</v>
      </c>
      <c r="I48" s="55">
        <f>IF($B48="","",IF(COUNTIF(I$16:I$21,$B48)&gt;0,COUNTA(I$7:I$15),0)+IF(COUNTIF(I$37:I$42,$B48)&gt;0,COUNTA(I$27:I$35),0))</f>
        <v>0</v>
      </c>
      <c r="J48" s="55">
        <f>IF($B48="","",IF(COUNTIF(J$16:J$21,$B48)&gt;0,COUNTA(J$7:J$15),0)+IF(COUNTIF(J$37:J$42,$B48)&gt;0,COUNTA(J$27:J$35),0))</f>
        <v>0</v>
      </c>
      <c r="K48" s="55">
        <f>IF($B48="","",IF(COUNTIF(K$16:K$21,$B48)&gt;0,COUNTA(K$7:K$15),0)+IF(COUNTIF(K$37:K$42,$B48)&gt;0,COUNTA(K$27:K$35),0))</f>
        <v>0</v>
      </c>
      <c r="L48" s="55">
        <f>IF($B48="","",IF(COUNTIF(L$16:L$21,$B48)&gt;0,COUNTA(L$7:L$15),0)+IF(COUNTIF(L$37:L$42,$B48)&gt;0,COUNTA(L$27:L$35),0))</f>
        <v>0</v>
      </c>
      <c r="M48" s="55">
        <f>IF($B48="","",IF(COUNTIF(M$16:M$21,$B48)&gt;0,COUNTA(M$7:M$15),0)+IF(COUNTIF(M$37:M$42,$B48)&gt;0,COUNTA(M$27:M$35),0))</f>
        <v>0</v>
      </c>
      <c r="N48" s="55">
        <f>IF($B48="","",IF(COUNTIF(N$16:N$21,$B48)&gt;0,COUNTA(N$7:N$15),0)+IF(COUNTIF(N$37:N$42,$B48)&gt;0,COUNTA(N$27:N$35),0))</f>
        <v>0</v>
      </c>
      <c r="O48" s="55">
        <f>IF($B48="","",IF(COUNTIF(O$16:O$21,$B48)&gt;0,COUNTA(O$7:O$15),0)+IF(COUNTIF(O$37:O$42,$B48)&gt;0,COUNTA(O$27:O$35),0))</f>
        <v>0</v>
      </c>
      <c r="P48" s="55">
        <f>IF($B48="","",IF(COUNTIF(P$16:P$21,$B48)&gt;0,COUNTA(P$7:P$15),0)+IF(COUNTIF(P$37:P$42,$B48)&gt;0,COUNTA(P$27:P$35),0))</f>
        <v>0</v>
      </c>
      <c r="Q48" s="55">
        <f>IF($B48="","",IF(COUNTIF(Q$16:Q$21,$B48)&gt;0,COUNTA(Q$7:Q$15),0)+IF(COUNTIF(Q$37:Q$42,$B48)&gt;0,COUNTA(Q$27:Q$35),0))</f>
        <v>0</v>
      </c>
      <c r="R48" s="55">
        <f>IF($B48="","",IF(COUNTIF(R$16:R$21,$B48)&gt;0,COUNTA(R$7:R$15),0)+IF(COUNTIF(R$37:R$42,$B48)&gt;0,COUNTA(R$27:R$35),0))</f>
        <v>0</v>
      </c>
      <c r="S48" s="55">
        <f>IF($B48="","",IF(COUNTIF(S$16:S$21,$B48)&gt;0,COUNTA(S$7:S$15),0)+IF(COUNTIF(S$37:S$42,$B48)&gt;0,COUNTA(S$27:S$35),0))</f>
        <v>0</v>
      </c>
      <c r="T48" s="55">
        <f>IF($B48="","",IF(COUNTIF(T$16:T$21,$B48)&gt;0,COUNTA(T$7:T$15),0)+IF(COUNTIF(T$37:T$42,$B48)&gt;0,COUNTA(T$27:T$35),0))</f>
        <v>0</v>
      </c>
      <c r="U48" s="55">
        <f>IF($B48="","",IF(COUNTIF(U$16:U$21,$B48)&gt;0,COUNTA(U$7:U$15),0)+IF(COUNTIF(U$37:U$42,$B48)&gt;0,COUNTA(U$27:U$35),0))</f>
        <v>0</v>
      </c>
      <c r="V48" s="55">
        <f>IF($B48="","",IF(COUNTIF(V$16:V$21,$B48)&gt;0,COUNTA(V$7:V$15),0)+IF(COUNTIF(V$37:V$42,$B48)&gt;0,COUNTA(V$27:V$35),0))</f>
        <v>0</v>
      </c>
      <c r="W48" s="55">
        <f>IF($B48="","",IF(COUNTIF(W$16:W$21,$B48)&gt;0,COUNTA(W$7:W$15),0)+IF(COUNTIF(W$37:W$42,$B48)&gt;0,COUNTA(W$27:W$35),0))</f>
        <v>0</v>
      </c>
      <c r="X48" s="55">
        <f>IF($B48="","",IF(COUNTIF(X$16:X$21,$B48)&gt;0,COUNTA(X$7:X$15),0)+IF(COUNTIF(X$37:X$42,$B48)&gt;0,COUNTA(X$27:X$35),0))</f>
        <v>0</v>
      </c>
      <c r="Y48" s="55">
        <f>IF($B48="","",IF(COUNTIF(Y$16:Y$21,$B48)&gt;0,COUNTA(Y$7:Y$15),0)+IF(COUNTIF(Y$37:Y$42,$B48)&gt;0,COUNTA(Y$27:Y$35),0))</f>
        <v>0</v>
      </c>
      <c r="Z48" s="55">
        <f>IF($B48="","",IF(COUNTIF(Z$16:Z$21,$B48)&gt;0,COUNTA(Z$7:Z$15),0)+IF(COUNTIF(Z$37:Z$42,$B48)&gt;0,COUNTA(Z$27:Z$35),0))</f>
        <v>0</v>
      </c>
      <c r="AA48" s="55">
        <f>IF($B48="","",IF(COUNTIF(AA$16:AA$21,$B48)&gt;0,COUNTA(AA$7:AA$15),0)+IF(COUNTIF(AA$37:AA$42,$B48)&gt;0,COUNTA(AA$27:AA$35),0))</f>
        <v>0</v>
      </c>
      <c r="AB48" s="55">
        <f>IF($B48="","",IF(COUNTIF(AB$16:AB$21,$B48)&gt;0,COUNTA(AB$7:AB$15),0)+IF(COUNTIF(AB$37:AB$42,$B48)&gt;0,COUNTA(AB$27:AB$35),0))</f>
        <v>0</v>
      </c>
      <c r="AC48" s="55">
        <f>IF($B48="","",IF(COUNTIF(AC$16:AC$21,$B48)&gt;0,COUNTA(AC$7:AC$15),0)+IF(COUNTIF(AC$37:AC$42,$B48)&gt;0,COUNTA(AC$27:AC$35),0))</f>
        <v>0</v>
      </c>
      <c r="AD48" s="55">
        <f>IF($B48="","",IF(COUNTIF(AD$16:AD$21,$B48)&gt;0,COUNTA(AD$7:AD$15),0)+IF(COUNTIF(AD$37:AD$42,$B48)&gt;0,COUNTA(AD$27:AD$35),0))</f>
        <v>0</v>
      </c>
      <c r="AE48" s="55">
        <f>IF($B48="","",IF(COUNTIF(AE$16:AE$21,$B48)&gt;0,COUNTA(AE$7:AE$15),0)+IF(COUNTIF(AE$37:AE$42,$B48)&gt;0,COUNTA(AE$27:AE$35),0))</f>
        <v>0</v>
      </c>
      <c r="AF48" s="55">
        <f>IF($B48="","",IF(COUNTIF(AF$16:AF$21,$B48)&gt;0,COUNTA(AF$7:AF$15),0)+IF(COUNTIF(AF$37:AF$42,$B48)&gt;0,COUNTA(AF$27:AF$35),0))</f>
        <v>0</v>
      </c>
      <c r="AG48" s="55">
        <f>IF($B48="","",IF(COUNTIF(AG$16:AG$21,$B48)&gt;0,COUNTA(AG$7:AG$15),0)+IF(COUNTIF(AG$37:AG$42,$B48)&gt;0,COUNTA(AG$27:AG$35),0))</f>
        <v>0</v>
      </c>
      <c r="AH48" s="55">
        <f>IF($B48="","",IF(COUNTIF(AH$16:AH$21,$B48)&gt;0,COUNTA(AH$7:AH$15),0)+IF(COUNTIF(AH$37:AH$42,$B48)&gt;0,COUNTA(AH$27:AH$35),0))</f>
        <v>0</v>
      </c>
      <c r="AI48" s="55">
        <f>IF($B48="","",IF(COUNTIF(AI$16:AI$21,$B48)&gt;0,COUNTA(AI$7:AI$15),0)+IF(COUNTIF(AI$37:AI$42,$B48)&gt;0,COUNTA(AI$27:AI$35),0))</f>
        <v>0</v>
      </c>
      <c r="AJ48" s="55">
        <f>IF($B48="","",IF(COUNTIF(AJ$16:AJ$21,$B48)&gt;0,COUNTA(AJ$7:AJ$15),0)+IF(COUNTIF(AJ$37:AJ$42,$B48)&gt;0,COUNTA(AJ$27:AJ$35),0))</f>
        <v>0</v>
      </c>
      <c r="AK48" s="55">
        <f>IF($B48="","",IF(COUNTIF(AK$16:AK$21,$B48)&gt;0,COUNTA(AK$7:AK$15),0)+IF(COUNTIF(AK$37:AK$42,$B48)&gt;0,COUNTA(AK$27:AK$35),0))</f>
        <v>0</v>
      </c>
      <c r="AL48" s="55">
        <f>IF($B48="","",IF(COUNTIF(AL$16:AL$21,$B48)&gt;0,COUNTA(AL$7:AL$15),0)+IF(COUNTIF(AL$37:AL$42,$B48)&gt;0,COUNTA(AL$27:AL$35),0))</f>
        <v>0</v>
      </c>
      <c r="AM48" s="55">
        <f>IF($B48="","",IF(COUNTIF(AM$16:AM$21,$B48)&gt;0,COUNTA(AM$7:AM$15),0)+IF(COUNTIF(AM$37:AM$42,$B48)&gt;0,COUNTA(AM$27:AM$35),0))</f>
        <v>0</v>
      </c>
      <c r="AN48" s="55">
        <f>IF($B48="","",IF(COUNTIF(AN$16:AN$21,$B48)&gt;0,COUNTA(AN$7:AN$15),0)+IF(COUNTIF(AN$37:AN$42,$B48)&gt;0,COUNTA(AN$27:AN$35),0))</f>
        <v>0</v>
      </c>
      <c r="AO48" s="55">
        <f>IF($B48="","",IF(COUNTIF(AO$16:AO$21,$B48)&gt;0,COUNTA(AO$7:AO$15),0)+IF(COUNTIF(AO$37:AO$42,$B48)&gt;0,COUNTA(AO$27:AO$35),0))</f>
        <v>0</v>
      </c>
      <c r="AP48" s="55">
        <f>IF($B48="","",IF(COUNTIF(AP$16:AP$21,$B48)&gt;0,COUNTA(AP$7:AP$15),0)+IF(COUNTIF(AP$37:AP$42,$B48)&gt;0,COUNTA(AP$27:AP$35),0))</f>
        <v>0</v>
      </c>
      <c r="AQ48" s="55">
        <f>IF($B48="","",IF(COUNTIF(AQ$16:AQ$21,$B48)&gt;0,COUNTA(AQ$7:AQ$15),0)+IF(COUNTIF(AQ$37:AQ$42,$B48)&gt;0,COUNTA(AQ$27:AQ$35),0))</f>
        <v>0</v>
      </c>
      <c r="AR48" s="55">
        <f>IF($B48="","",IF(COUNTIF(AR$16:AR$21,$B48)&gt;0,COUNTA(AR$7:AR$15),0)+IF(COUNTIF(AR$37:AR$42,$B48)&gt;0,COUNTA(AR$27:AR$35),0))</f>
        <v>0</v>
      </c>
      <c r="AS48" s="55">
        <f>IF($B48="","",IF(COUNTIF(AS$16:AS$21,$B48)&gt;0,COUNTA(AS$7:AS$15),0)+IF(COUNTIF(AS$37:AS$42,$B48)&gt;0,COUNTA(AS$27:AS$35),0))</f>
        <v>0</v>
      </c>
      <c r="AT48" s="55">
        <f>IF($B48="","",IF(COUNTIF(AT$16:AT$21,$B48)&gt;0,COUNTA(AT$7:AT$15),0)+IF(COUNTIF(AT$37:AT$42,$B48)&gt;0,COUNTA(AT$27:AT$35),0))</f>
        <v>0</v>
      </c>
      <c r="AU48" s="55">
        <f>IF($B48="","",IF(COUNTIF(AU$16:AU$21,$B48)&gt;0,COUNTA(AU$7:AU$15),0)+IF(COUNTIF(AU$37:AU$42,$B48)&gt;0,COUNTA(AU$27:AU$35),0))</f>
        <v>0</v>
      </c>
      <c r="AV48" s="55">
        <f>IF($B48="","",IF(COUNTIF(AV$16:AV$21,$B48)&gt;0,COUNTA(AV$7:AV$15),0)+IF(COUNTIF(AV$37:AV$42,$B48)&gt;0,COUNTA(AV$27:AV$35),0))</f>
        <v>0</v>
      </c>
      <c r="AW48" s="55">
        <f>IF($B48="","",IF(COUNTIF(AW$16:AW$21,$B48)&gt;0,COUNTA(AW$7:AW$15),0)+IF(COUNTIF(AW$37:AW$42,$B48)&gt;0,COUNTA(AW$27:AW$35),0))</f>
        <v>0</v>
      </c>
      <c r="AX48" s="55">
        <f>IF($B48="","",IF(COUNTIF(AX$16:AX$21,$B48)&gt;0,COUNTA(AX$7:AX$15),0)+IF(COUNTIF(AX$37:AX$42,$B48)&gt;0,COUNTA(AX$27:AX$35),0))</f>
        <v>0</v>
      </c>
      <c r="AY48" s="55">
        <f>IF($B48="","",IF(COUNTIF(AY$16:AY$21,$B48)&gt;0,COUNTA(AY$7:AY$15),0)+IF(COUNTIF(AY$37:AY$42,$B48)&gt;0,COUNTA(AY$27:AY$35),0))</f>
        <v>0</v>
      </c>
      <c r="AZ48" s="55">
        <f>IF($B48="","",IF(COUNTIF(AZ$16:AZ$21,$B48)&gt;0,COUNTA(AZ$7:AZ$15),0)+IF(COUNTIF(AZ$37:AZ$42,$B48)&gt;0,COUNTA(AZ$27:AZ$35),0))</f>
        <v>0</v>
      </c>
      <c r="BA48" s="55">
        <f>IF($B48="","",IF(COUNTIF(BA$16:BA$21,$B48)&gt;0,COUNTA(BA$7:BA$15),0)+IF(COUNTIF(BA$37:BA$42,$B48)&gt;0,COUNTA(BA$27:BA$35),0))</f>
        <v>0</v>
      </c>
      <c r="BB48" s="55">
        <f>IF($B48="","",IF(COUNTIF(BB$16:BB$21,$B48)&gt;0,COUNTA(BB$7:BB$15),0)+IF(COUNTIF(BB$37:BB$42,$B48)&gt;0,COUNTA(BB$27:BB$35),0))</f>
        <v>0</v>
      </c>
      <c r="BC48" s="55">
        <f>IF($B48="","",IF(COUNTIF(BC$16:BC$21,$B48)&gt;0,COUNTA(BC$7:BC$15),0)+IF(COUNTIF(BC$37:BC$42,$B48)&gt;0,COUNTA(BC$27:BC$35),0))</f>
        <v>0</v>
      </c>
      <c r="BD48" s="55">
        <f>IF($B48="","",IF(COUNTIF(BD$16:BD$21,$B48)&gt;0,COUNTA(BD$7:BD$15),0)+IF(COUNTIF(BD$37:BD$42,$B48)&gt;0,COUNTA(BD$27:BD$35),0))</f>
        <v>0</v>
      </c>
      <c r="BE48" s="55">
        <f>IF($B48="","",IF(COUNTIF(BE$16:BE$21,$B48)&gt;0,COUNTA(BE$7:BE$15),0)+IF(COUNTIF(BE$37:BE$42,$B48)&gt;0,COUNTA(BE$27:BE$35),0))</f>
        <v>0</v>
      </c>
      <c r="BF48" s="55">
        <f>IF($B48="","",IF(COUNTIF(BF$16:BF$21,$B48)&gt;0,COUNTA(BF$7:BF$15),0)+IF(COUNTIF(BF$37:BF$42,$B48)&gt;0,COUNTA(BF$27:BF$35),0))</f>
        <v>0</v>
      </c>
      <c r="BG48" s="55">
        <f>IF($B48="","",IF(COUNTIF(BG$16:BG$21,$B48)&gt;0,COUNTA(BG$7:BG$15),0)+IF(COUNTIF(BG$37:BG$42,$B48)&gt;0,COUNTA(BG$27:BG$35),0))</f>
        <v>0</v>
      </c>
      <c r="BH48" s="55">
        <f>IF($B48="","",IF(COUNTIF(BH$16:BH$21,$B48)&gt;0,COUNTA(BH$7:BH$15),0)+IF(COUNTIF(BH$37:BH$42,$B48)&gt;0,COUNTA(BH$27:BH$35),0))</f>
        <v>0</v>
      </c>
      <c r="BI48" s="55">
        <f>IF($B48="","",IF(COUNTIF(BI$16:BI$21,$B48)&gt;0,COUNTA(BI$7:BI$15),0)+IF(COUNTIF(BI$37:BI$42,$B48)&gt;0,COUNTA(BI$27:BI$35),0))</f>
        <v>0</v>
      </c>
      <c r="BJ48" s="55">
        <f>IF($B48="","",IF(COUNTIF(BJ$16:BJ$21,$B48)&gt;0,COUNTA(BJ$7:BJ$15),0)+IF(COUNTIF(BJ$37:BJ$42,$B48)&gt;0,COUNTA(BJ$27:BJ$35),0))</f>
        <v>0</v>
      </c>
      <c r="BK48" s="55">
        <f>IF($B48="","",IF(COUNTIF(BK$16:BK$21,$B48)&gt;0,COUNTA(BK$7:BK$15),0)+IF(COUNTIF(BK$37:BK$42,$B48)&gt;0,COUNTA(BK$27:BK$35),0))</f>
        <v>0</v>
      </c>
      <c r="BL48" s="55">
        <f>IF($B48="","",IF(COUNTIF(BL$16:BL$21,$B48)&gt;0,COUNTA(BL$7:BL$15),0)+IF(COUNTIF(BL$37:BL$42,$B48)&gt;0,COUNTA(BL$27:BL$35),0))</f>
        <v>0</v>
      </c>
      <c r="BM48" s="55">
        <f>IF($B48="","",IF(COUNTIF(BM$16:BM$21,$B48)&gt;0,COUNTA(BM$7:BM$15),0)+IF(COUNTIF(BM$37:BM$42,$B48)&gt;0,COUNTA(BM$27:BM$35),0))</f>
        <v>0</v>
      </c>
      <c r="BN48" s="55">
        <f>IF($B48="","",IF(COUNTIF(BN$16:BN$21,$B48)&gt;0,COUNTA(BN$7:BN$15),0)+IF(COUNTIF(BN$37:BN$42,$B48)&gt;0,COUNTA(BN$27:BN$35),0))</f>
        <v>0</v>
      </c>
      <c r="BO48" s="55">
        <f>IF($B48="","",IF(COUNTIF(BO$16:BO$21,$B48)&gt;0,COUNTA(BO$7:BO$15),0)+IF(COUNTIF(BO$37:BO$42,$B48)&gt;0,COUNTA(BO$27:BO$35),0))</f>
        <v>0</v>
      </c>
      <c r="BP48" s="55">
        <f>IF($B48="","",IF(COUNTIF(BP$16:BP$21,$B48)&gt;0,COUNTA(BP$7:BP$15),0)+IF(COUNTIF(BP$37:BP$42,$B48)&gt;0,COUNTA(BP$27:BP$35),0))</f>
        <v>0</v>
      </c>
      <c r="BQ48" s="55">
        <f>IF($B48="","",IF(COUNTIF(BQ$16:BQ$21,$B48)&gt;0,COUNTA(BQ$7:BQ$15),0)+IF(COUNTIF(BQ$37:BQ$42,$B48)&gt;0,COUNTA(BQ$27:BQ$35),0))</f>
        <v>0</v>
      </c>
      <c r="BR48" s="55">
        <f>IF($B48="","",IF(COUNTIF(BR$16:BR$21,$B48)&gt;0,COUNTA(BR$7:BR$15),0)+IF(COUNTIF(BR$37:BR$42,$B48)&gt;0,COUNTA(BR$27:BR$35),0))</f>
        <v>0</v>
      </c>
      <c r="BS48" s="55">
        <f>IF($B48="","",IF(COUNTIF(BS$16:BS$21,$B48)&gt;0,COUNTA(BS$7:BS$15),0)+IF(COUNTIF(BS$37:BS$42,$B48)&gt;0,COUNTA(BS$27:BS$35),0))</f>
        <v>0</v>
      </c>
      <c r="BT48" s="55">
        <f>IF($B48="","",IF(COUNTIF(BT$16:BT$21,$B48)&gt;0,COUNTA(BT$7:BT$15),0)+IF(COUNTIF(BT$37:BT$42,$B48)&gt;0,COUNTA(BT$27:BT$35),0))</f>
        <v>0</v>
      </c>
      <c r="BU48" s="55">
        <f>IF($B48="","",IF(COUNTIF(BU$16:BU$21,$B48)&gt;0,COUNTA(BU$7:BU$15),0)+IF(COUNTIF(BU$37:BU$42,$B48)&gt;0,COUNTA(BU$27:BU$35),0))</f>
        <v>0</v>
      </c>
      <c r="BV48" s="55">
        <f>IF($B48="","",IF(COUNTIF(BV$16:BV$21,$B48)&gt;0,COUNTA(BV$7:BV$15),0)+IF(COUNTIF(BV$37:BV$42,$B48)&gt;0,COUNTA(BV$27:BV$35),0))</f>
        <v>0</v>
      </c>
      <c r="BW48" s="55">
        <f>IF($B48="","",IF(COUNTIF(BW$16:BW$21,$B48)&gt;0,COUNTA(BW$7:BW$15),0)+IF(COUNTIF(BW$37:BW$42,$B48)&gt;0,COUNTA(BW$27:BW$35),0))</f>
        <v>0</v>
      </c>
      <c r="BX48" s="55">
        <f>IF($B48="","",IF(COUNTIF(BX$16:BX$21,$B48)&gt;0,COUNTA(BX$7:BX$15),0)+IF(COUNTIF(BX$37:BX$42,$B48)&gt;0,COUNTA(BX$27:BX$35),0))</f>
        <v>0</v>
      </c>
      <c r="BY48" s="55">
        <f>IF($B48="","",IF(COUNTIF(BY$16:BY$21,$B48)&gt;0,COUNTA(BY$7:BY$15),0)+IF(COUNTIF(BY$37:BY$42,$B48)&gt;0,COUNTA(BY$27:BY$35),0))</f>
        <v>0</v>
      </c>
      <c r="BZ48" s="55">
        <f>IF($B48="","",IF(COUNTIF(BZ$16:BZ$21,$B48)&gt;0,COUNTA(BZ$7:BZ$15),0)+IF(COUNTIF(BZ$37:BZ$42,$B48)&gt;0,COUNTA(BZ$27:BZ$35),0))</f>
        <v>0</v>
      </c>
      <c r="CA48" s="55">
        <f>IF($B48="","",IF(COUNTIF(CA$16:CA$21,$B48)&gt;0,COUNTA(CA$7:CA$15),0)+IF(COUNTIF(CA$37:CA$42,$B48)&gt;0,COUNTA(CA$27:CA$35),0))</f>
        <v>0</v>
      </c>
      <c r="CB48" s="55">
        <f>IF($B48="","",IF(COUNTIF(CB$16:CB$21,$B48)&gt;0,COUNTA(CB$7:CB$15),0)+IF(COUNTIF(CB$37:CB$42,$B48)&gt;0,COUNTA(CB$27:CB$35),0))</f>
        <v>0</v>
      </c>
      <c r="CC48" s="55">
        <f>IF($B48="","",IF(COUNTIF(CC$16:CC$21,$B48)&gt;0,COUNTA(CC$7:CC$15),0)+IF(COUNTIF(CC$37:CC$42,$B48)&gt;0,COUNTA(CC$27:CC$35),0))</f>
        <v>0</v>
      </c>
      <c r="CD48" s="55">
        <f>IF($B48="","",IF(COUNTIF(CD$16:CD$21,$B48)&gt;0,COUNTA(CD$7:CD$15),0)+IF(COUNTIF(CD$37:CD$42,$B48)&gt;0,COUNTA(CD$27:CD$35),0))</f>
        <v>0</v>
      </c>
      <c r="CE48" s="55">
        <f>IF($B48="","",IF(COUNTIF(CE$16:CE$21,$B48)&gt;0,COUNTA(CE$7:CE$15),0)+IF(COUNTIF(CE$37:CE$42,$B48)&gt;0,COUNTA(CE$27:CE$35),0))</f>
        <v>0</v>
      </c>
      <c r="CF48" s="55">
        <f>IF($B48="","",IF(COUNTIF(CF$16:CF$21,$B48)&gt;0,COUNTA(CF$7:CF$15),0)+IF(COUNTIF(CF$37:CF$42,$B48)&gt;0,COUNTA(CF$27:CF$35),0))</f>
        <v>0</v>
      </c>
      <c r="CG48" s="55">
        <f>IF($B48="","",IF(COUNTIF(CG$16:CG$21,$B48)&gt;0,COUNTA(CG$7:CG$15),0)+IF(COUNTIF(CG$37:CG$42,$B48)&gt;0,COUNTA(CG$27:CG$35),0))</f>
        <v>0</v>
      </c>
      <c r="CH48" s="55">
        <f>IF($B48="","",IF(COUNTIF(CH$16:CH$21,$B48)&gt;0,COUNTA(CH$7:CH$15),0)+IF(COUNTIF(CH$37:CH$42,$B48)&gt;0,COUNTA(CH$27:CH$35),0))</f>
        <v>0</v>
      </c>
      <c r="CI48" s="55">
        <f>IF($B48="","",IF(COUNTIF(CI$16:CI$21,$B48)&gt;0,COUNTA(CI$7:CI$15),0)+IF(COUNTIF(CI$37:CI$42,$B48)&gt;0,COUNTA(CI$27:CI$35),0))</f>
        <v>0</v>
      </c>
      <c r="CJ48" s="55">
        <f>IF($B48="","",IF(COUNTIF(CJ$16:CJ$21,$B48)&gt;0,COUNTA(CJ$7:CJ$15),0)+IF(COUNTIF(CJ$37:CJ$42,$B48)&gt;0,COUNTA(CJ$27:CJ$35),0))</f>
        <v>0</v>
      </c>
      <c r="CK48" s="55">
        <f>IF($B48="","",IF(COUNTIF(CK$16:CK$21,$B48)&gt;0,COUNTA(CK$7:CK$15),0)+IF(COUNTIF(CK$37:CK$42,$B48)&gt;0,COUNTA(CK$27:CK$35),0))</f>
        <v>0</v>
      </c>
      <c r="CL48" s="55">
        <f>IF($B48="","",IF(COUNTIF(CL$16:CL$21,$B48)&gt;0,COUNTA(CL$7:CL$15),0)+IF(COUNTIF(CL$37:CL$42,$B48)&gt;0,COUNTA(CL$27:CL$35),0))</f>
        <v>0</v>
      </c>
      <c r="CM48" s="55">
        <f>IF($B48="","",IF(COUNTIF(CM$16:CM$21,$B48)&gt;0,COUNTA(CM$7:CM$15),0)+IF(COUNTIF(CM$37:CM$42,$B48)&gt;0,COUNTA(CM$27:CM$35),0))</f>
        <v>0</v>
      </c>
      <c r="CN48" s="55">
        <f>IF($B48="","",IF(COUNTIF(CN$16:CN$21,$B48)&gt;0,COUNTA(CN$7:CN$15),0)+IF(COUNTIF(CN$37:CN$42,$B48)&gt;0,COUNTA(CN$27:CN$35),0))</f>
        <v>0</v>
      </c>
      <c r="CO48" s="55">
        <f>IF($B48="","",IF(COUNTIF(CO$16:CO$21,$B48)&gt;0,COUNTA(CO$7:CO$15),0)+IF(COUNTIF(CO$37:CO$42,$B48)&gt;0,COUNTA(CO$27:CO$35),0))</f>
        <v>0</v>
      </c>
      <c r="CP48" s="55">
        <f>IF($B48="","",IF(COUNTIF(CP$16:CP$21,$B48)&gt;0,COUNTA(CP$7:CP$15),0)+IF(COUNTIF(CP$37:CP$42,$B48)&gt;0,COUNTA(CP$27:CP$35),0))</f>
        <v>0</v>
      </c>
      <c r="CQ48" s="55">
        <f>IF($B48="","",IF(COUNTIF(CQ$16:CQ$21,$B48)&gt;0,COUNTA(CQ$7:CQ$15),0)+IF(COUNTIF(CQ$37:CQ$42,$B48)&gt;0,COUNTA(CQ$27:CQ$35),0))</f>
        <v>0</v>
      </c>
      <c r="CR48" s="55">
        <f>IF($B48="","",IF(COUNTIF(CR$16:CR$21,$B48)&gt;0,COUNTA(CR$7:CR$15),0)+IF(COUNTIF(CR$37:CR$42,$B48)&gt;0,COUNTA(CR$27:CR$35),0))</f>
        <v>0</v>
      </c>
      <c r="CS48" s="55">
        <f>IF($B48="","",IF(COUNTIF(CS$16:CS$21,$B48)&gt;0,COUNTA(CS$7:CS$15),0)+IF(COUNTIF(CS$37:CS$42,$B48)&gt;0,COUNTA(CS$27:CS$35),0))</f>
        <v>0</v>
      </c>
      <c r="CT48" s="55">
        <f>IF($B48="","",IF(COUNTIF(CT$16:CT$21,$B48)&gt;0,COUNTA(CT$7:CT$15),0)+IF(COUNTIF(CT$37:CT$42,$B48)&gt;0,COUNTA(CT$27:CT$35),0))</f>
        <v>0</v>
      </c>
      <c r="CU48" s="55">
        <f>IF($B48="","",IF(COUNTIF(CU$16:CU$21,$B48)&gt;0,COUNTA(CU$7:CU$15),0)+IF(COUNTIF(CU$37:CU$42,$B48)&gt;0,COUNTA(CU$27:CU$35),0))</f>
        <v>0</v>
      </c>
      <c r="CV48" s="55">
        <f>IF($B48="","",IF(COUNTIF(CV$16:CV$21,$B48)&gt;0,COUNTA(CV$7:CV$15),0)+IF(COUNTIF(CV$37:CV$42,$B48)&gt;0,COUNTA(CV$27:CV$35),0))</f>
        <v>0</v>
      </c>
      <c r="CW48" s="55">
        <f>IF($B48="","",IF(COUNTIF(CW$16:CW$21,$B48)&gt;0,COUNTA(CW$7:CW$15),0)+IF(COUNTIF(CW$37:CW$42,$B48)&gt;0,COUNTA(CW$27:CW$35),0))</f>
        <v>0</v>
      </c>
      <c r="CX48" s="55">
        <f>IF($B48="","",IF(COUNTIF(CX$16:CX$21,$B48)&gt;0,COUNTA(CX$7:CX$15),0)+IF(COUNTIF(CX$37:CX$42,$B48)&gt;0,COUNTA(CX$27:CX$35),0))</f>
        <v>0</v>
      </c>
      <c r="CY48" s="55">
        <f>IF($B48="","",IF(COUNTIF(CY$16:CY$21,$B48)&gt;0,COUNTA(CY$7:CY$15),0)+IF(COUNTIF(CY$37:CY$42,$B48)&gt;0,COUNTA(CY$27:CY$35),0))</f>
        <v>0</v>
      </c>
      <c r="CZ48" s="55">
        <f>IF($B48="","",IF(COUNTIF(CZ$16:CZ$21,$B48)&gt;0,COUNTA(CZ$7:CZ$15),0)+IF(COUNTIF(CZ$37:CZ$42,$B48)&gt;0,COUNTA(CZ$27:CZ$35),0))</f>
        <v>0</v>
      </c>
      <c r="DA48" s="55">
        <f>IF($B48="","",IF(COUNTIF(DA$16:DA$21,$B48)&gt;0,COUNTA(DA$7:DA$15),0)+IF(COUNTIF(DA$37:DA$42,$B48)&gt;0,COUNTA(DA$27:DA$35),0))</f>
        <v>0</v>
      </c>
      <c r="DB48" s="55">
        <f>IF($B48="","",IF(COUNTIF(DB$16:DB$21,$B48)&gt;0,COUNTA(DB$7:DB$15),0)+IF(COUNTIF(DB$37:DB$42,$B48)&gt;0,COUNTA(DB$27:DB$35),0))</f>
        <v>0</v>
      </c>
      <c r="DC48" s="55">
        <f>IF($B48="","",IF(COUNTIF(DC$16:DC$21,$B48)&gt;0,COUNTA(DC$7:DC$15),0)+IF(COUNTIF(DC$37:DC$42,$B48)&gt;0,COUNTA(DC$27:DC$35),0))</f>
        <v>0</v>
      </c>
      <c r="DD48" s="55">
        <f>IF($B48="","",IF(COUNTIF(DD$16:DD$21,$B48)&gt;0,COUNTA(DD$7:DD$15),0)+IF(COUNTIF(DD$37:DD$42,$B48)&gt;0,COUNTA(DD$27:DD$35),0))</f>
        <v>0</v>
      </c>
      <c r="DE48" s="58">
        <f>IF($B48="","",IF(COUNTIF(DE$16:DE$21,$B48)&gt;0,COUNTA(DE$7:DE$15),0)+IF(COUNTIF(DE$37:DE$42,$B48)&gt;0,COUNTA(DE$27:DE$35),0))</f>
        <v>0</v>
      </c>
    </row>
    <row r="49" spans="2:109" x14ac:dyDescent="0.2">
      <c r="B49" s="84" t="str">
        <f>IFERROR(INDEX(_xlfn._xlws.FILTER(Ressourcer!$B$1:$X$1,_xlfn.BYCOL(Ressourcer!$B$23:$X$25,_xlfn.LAMBDA(_xlpm.c,COUNTIF(_xlpm.c,"&lt;&gt;" )&gt;0))),ROWS($B$2:B6)),"")</f>
        <v>THON</v>
      </c>
      <c r="C49" s="79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)&gt;0))),_xlfn.LAMBDA(_xlpm.col,SUM(INDEX(Ressourcer!$B$23:$X$25,,_xlpm.col-COLUMN(Ressourcer!$B$23:$X$25)+1)))),ROWS($B$2:B6))/2,"")</f>
        <v>200</v>
      </c>
      <c r="D49" s="106" t="str">
        <f t="shared" si="35"/>
        <v/>
      </c>
      <c r="E49" s="57">
        <f>IF($B49="","",IF(COUNTIF(E$16:E$21,$B49)&gt;0,COUNTA(E$7:E$15),0)+IF(COUNTIF(E$37:E$42,$B49)&gt;0,COUNTA(E$27:E$35),0))</f>
        <v>0</v>
      </c>
      <c r="F49" s="55">
        <f>IF($B49="","",IF(COUNTIF(F$16:F$21,$B49)&gt;0,COUNTA(F$7:F$15),0)+IF(COUNTIF(F$37:F$42,$B49)&gt;0,COUNTA(F$27:F$35),0))</f>
        <v>0</v>
      </c>
      <c r="G49" s="55">
        <f>IF($B49="","",IF(COUNTIF(G$16:G$21,$B49)&gt;0,COUNTA(G$7:G$15),0)+IF(COUNTIF(G$37:G$42,$B49)&gt;0,COUNTA(G$27:G$35),0))</f>
        <v>0</v>
      </c>
      <c r="H49" s="55">
        <f>IF($B49="","",IF(COUNTIF(H$16:H$21,$B49)&gt;0,COUNTA(H$7:H$15),0)+IF(COUNTIF(H$37:H$42,$B49)&gt;0,COUNTA(H$27:H$35),0))</f>
        <v>0</v>
      </c>
      <c r="I49" s="55">
        <f>IF($B49="","",IF(COUNTIF(I$16:I$21,$B49)&gt;0,COUNTA(I$7:I$15),0)+IF(COUNTIF(I$37:I$42,$B49)&gt;0,COUNTA(I$27:I$35),0))</f>
        <v>0</v>
      </c>
      <c r="J49" s="55">
        <f>IF($B49="","",IF(COUNTIF(J$16:J$21,$B49)&gt;0,COUNTA(J$7:J$15),0)+IF(COUNTIF(J$37:J$42,$B49)&gt;0,COUNTA(J$27:J$35),0))</f>
        <v>0</v>
      </c>
      <c r="K49" s="55">
        <f>IF($B49="","",IF(COUNTIF(K$16:K$21,$B49)&gt;0,COUNTA(K$7:K$15),0)+IF(COUNTIF(K$37:K$42,$B49)&gt;0,COUNTA(K$27:K$35),0))</f>
        <v>0</v>
      </c>
      <c r="L49" s="55">
        <f>IF($B49="","",IF(COUNTIF(L$16:L$21,$B49)&gt;0,COUNTA(L$7:L$15),0)+IF(COUNTIF(L$37:L$42,$B49)&gt;0,COUNTA(L$27:L$35),0))</f>
        <v>0</v>
      </c>
      <c r="M49" s="55">
        <f>IF($B49="","",IF(COUNTIF(M$16:M$21,$B49)&gt;0,COUNTA(M$7:M$15),0)+IF(COUNTIF(M$37:M$42,$B49)&gt;0,COUNTA(M$27:M$35),0))</f>
        <v>0</v>
      </c>
      <c r="N49" s="55">
        <f>IF($B49="","",IF(COUNTIF(N$16:N$21,$B49)&gt;0,COUNTA(N$7:N$15),0)+IF(COUNTIF(N$37:N$42,$B49)&gt;0,COUNTA(N$27:N$35),0))</f>
        <v>0</v>
      </c>
      <c r="O49" s="55">
        <f>IF($B49="","",IF(COUNTIF(O$16:O$21,$B49)&gt;0,COUNTA(O$7:O$15),0)+IF(COUNTIF(O$37:O$42,$B49)&gt;0,COUNTA(O$27:O$35),0))</f>
        <v>0</v>
      </c>
      <c r="P49" s="55">
        <f>IF($B49="","",IF(COUNTIF(P$16:P$21,$B49)&gt;0,COUNTA(P$7:P$15),0)+IF(COUNTIF(P$37:P$42,$B49)&gt;0,COUNTA(P$27:P$35),0))</f>
        <v>0</v>
      </c>
      <c r="Q49" s="55">
        <f>IF($B49="","",IF(COUNTIF(Q$16:Q$21,$B49)&gt;0,COUNTA(Q$7:Q$15),0)+IF(COUNTIF(Q$37:Q$42,$B49)&gt;0,COUNTA(Q$27:Q$35),0))</f>
        <v>0</v>
      </c>
      <c r="R49" s="55">
        <f>IF($B49="","",IF(COUNTIF(R$16:R$21,$B49)&gt;0,COUNTA(R$7:R$15),0)+IF(COUNTIF(R$37:R$42,$B49)&gt;0,COUNTA(R$27:R$35),0))</f>
        <v>0</v>
      </c>
      <c r="S49" s="55">
        <f>IF($B49="","",IF(COUNTIF(S$16:S$21,$B49)&gt;0,COUNTA(S$7:S$15),0)+IF(COUNTIF(S$37:S$42,$B49)&gt;0,COUNTA(S$27:S$35),0))</f>
        <v>0</v>
      </c>
      <c r="T49" s="55">
        <f>IF($B49="","",IF(COUNTIF(T$16:T$21,$B49)&gt;0,COUNTA(T$7:T$15),0)+IF(COUNTIF(T$37:T$42,$B49)&gt;0,COUNTA(T$27:T$35),0))</f>
        <v>0</v>
      </c>
      <c r="U49" s="55">
        <f>IF($B49="","",IF(COUNTIF(U$16:U$21,$B49)&gt;0,COUNTA(U$7:U$15),0)+IF(COUNTIF(U$37:U$42,$B49)&gt;0,COUNTA(U$27:U$35),0))</f>
        <v>0</v>
      </c>
      <c r="V49" s="55">
        <f>IF($B49="","",IF(COUNTIF(V$16:V$21,$B49)&gt;0,COUNTA(V$7:V$15),0)+IF(COUNTIF(V$37:V$42,$B49)&gt;0,COUNTA(V$27:V$35),0))</f>
        <v>0</v>
      </c>
      <c r="W49" s="55">
        <f>IF($B49="","",IF(COUNTIF(W$16:W$21,$B49)&gt;0,COUNTA(W$7:W$15),0)+IF(COUNTIF(W$37:W$42,$B49)&gt;0,COUNTA(W$27:W$35),0))</f>
        <v>0</v>
      </c>
      <c r="X49" s="55">
        <f>IF($B49="","",IF(COUNTIF(X$16:X$21,$B49)&gt;0,COUNTA(X$7:X$15),0)+IF(COUNTIF(X$37:X$42,$B49)&gt;0,COUNTA(X$27:X$35),0))</f>
        <v>0</v>
      </c>
      <c r="Y49" s="55">
        <f>IF($B49="","",IF(COUNTIF(Y$16:Y$21,$B49)&gt;0,COUNTA(Y$7:Y$15),0)+IF(COUNTIF(Y$37:Y$42,$B49)&gt;0,COUNTA(Y$27:Y$35),0))</f>
        <v>0</v>
      </c>
      <c r="Z49" s="55">
        <f>IF($B49="","",IF(COUNTIF(Z$16:Z$21,$B49)&gt;0,COUNTA(Z$7:Z$15),0)+IF(COUNTIF(Z$37:Z$42,$B49)&gt;0,COUNTA(Z$27:Z$35),0))</f>
        <v>0</v>
      </c>
      <c r="AA49" s="55">
        <f>IF($B49="","",IF(COUNTIF(AA$16:AA$21,$B49)&gt;0,COUNTA(AA$7:AA$15),0)+IF(COUNTIF(AA$37:AA$42,$B49)&gt;0,COUNTA(AA$27:AA$35),0))</f>
        <v>0</v>
      </c>
      <c r="AB49" s="55">
        <f>IF($B49="","",IF(COUNTIF(AB$16:AB$21,$B49)&gt;0,COUNTA(AB$7:AB$15),0)+IF(COUNTIF(AB$37:AB$42,$B49)&gt;0,COUNTA(AB$27:AB$35),0))</f>
        <v>0</v>
      </c>
      <c r="AC49" s="55">
        <f>IF($B49="","",IF(COUNTIF(AC$16:AC$21,$B49)&gt;0,COUNTA(AC$7:AC$15),0)+IF(COUNTIF(AC$37:AC$42,$B49)&gt;0,COUNTA(AC$27:AC$35),0))</f>
        <v>0</v>
      </c>
      <c r="AD49" s="55">
        <f>IF($B49="","",IF(COUNTIF(AD$16:AD$21,$B49)&gt;0,COUNTA(AD$7:AD$15),0)+IF(COUNTIF(AD$37:AD$42,$B49)&gt;0,COUNTA(AD$27:AD$35),0))</f>
        <v>0</v>
      </c>
      <c r="AE49" s="55">
        <f>IF($B49="","",IF(COUNTIF(AE$16:AE$21,$B49)&gt;0,COUNTA(AE$7:AE$15),0)+IF(COUNTIF(AE$37:AE$42,$B49)&gt;0,COUNTA(AE$27:AE$35),0))</f>
        <v>0</v>
      </c>
      <c r="AF49" s="55">
        <f>IF($B49="","",IF(COUNTIF(AF$16:AF$21,$B49)&gt;0,COUNTA(AF$7:AF$15),0)+IF(COUNTIF(AF$37:AF$42,$B49)&gt;0,COUNTA(AF$27:AF$35),0))</f>
        <v>0</v>
      </c>
      <c r="AG49" s="55">
        <f>IF($B49="","",IF(COUNTIF(AG$16:AG$21,$B49)&gt;0,COUNTA(AG$7:AG$15),0)+IF(COUNTIF(AG$37:AG$42,$B49)&gt;0,COUNTA(AG$27:AG$35),0))</f>
        <v>0</v>
      </c>
      <c r="AH49" s="55">
        <f>IF($B49="","",IF(COUNTIF(AH$16:AH$21,$B49)&gt;0,COUNTA(AH$7:AH$15),0)+IF(COUNTIF(AH$37:AH$42,$B49)&gt;0,COUNTA(AH$27:AH$35),0))</f>
        <v>0</v>
      </c>
      <c r="AI49" s="55">
        <f>IF($B49="","",IF(COUNTIF(AI$16:AI$21,$B49)&gt;0,COUNTA(AI$7:AI$15),0)+IF(COUNTIF(AI$37:AI$42,$B49)&gt;0,COUNTA(AI$27:AI$35),0))</f>
        <v>0</v>
      </c>
      <c r="AJ49" s="55">
        <f>IF($B49="","",IF(COUNTIF(AJ$16:AJ$21,$B49)&gt;0,COUNTA(AJ$7:AJ$15),0)+IF(COUNTIF(AJ$37:AJ$42,$B49)&gt;0,COUNTA(AJ$27:AJ$35),0))</f>
        <v>0</v>
      </c>
      <c r="AK49" s="55">
        <f>IF($B49="","",IF(COUNTIF(AK$16:AK$21,$B49)&gt;0,COUNTA(AK$7:AK$15),0)+IF(COUNTIF(AK$37:AK$42,$B49)&gt;0,COUNTA(AK$27:AK$35),0))</f>
        <v>0</v>
      </c>
      <c r="AL49" s="55">
        <f>IF($B49="","",IF(COUNTIF(AL$16:AL$21,$B49)&gt;0,COUNTA(AL$7:AL$15),0)+IF(COUNTIF(AL$37:AL$42,$B49)&gt;0,COUNTA(AL$27:AL$35),0))</f>
        <v>0</v>
      </c>
      <c r="AM49" s="55">
        <f>IF($B49="","",IF(COUNTIF(AM$16:AM$21,$B49)&gt;0,COUNTA(AM$7:AM$15),0)+IF(COUNTIF(AM$37:AM$42,$B49)&gt;0,COUNTA(AM$27:AM$35),0))</f>
        <v>0</v>
      </c>
      <c r="AN49" s="55">
        <f>IF($B49="","",IF(COUNTIF(AN$16:AN$21,$B49)&gt;0,COUNTA(AN$7:AN$15),0)+IF(COUNTIF(AN$37:AN$42,$B49)&gt;0,COUNTA(AN$27:AN$35),0))</f>
        <v>0</v>
      </c>
      <c r="AO49" s="55">
        <f>IF($B49="","",IF(COUNTIF(AO$16:AO$21,$B49)&gt;0,COUNTA(AO$7:AO$15),0)+IF(COUNTIF(AO$37:AO$42,$B49)&gt;0,COUNTA(AO$27:AO$35),0))</f>
        <v>0</v>
      </c>
      <c r="AP49" s="55">
        <f>IF($B49="","",IF(COUNTIF(AP$16:AP$21,$B49)&gt;0,COUNTA(AP$7:AP$15),0)+IF(COUNTIF(AP$37:AP$42,$B49)&gt;0,COUNTA(AP$27:AP$35),0))</f>
        <v>0</v>
      </c>
      <c r="AQ49" s="55">
        <f>IF($B49="","",IF(COUNTIF(AQ$16:AQ$21,$B49)&gt;0,COUNTA(AQ$7:AQ$15),0)+IF(COUNTIF(AQ$37:AQ$42,$B49)&gt;0,COUNTA(AQ$27:AQ$35),0))</f>
        <v>0</v>
      </c>
      <c r="AR49" s="55">
        <f>IF($B49="","",IF(COUNTIF(AR$16:AR$21,$B49)&gt;0,COUNTA(AR$7:AR$15),0)+IF(COUNTIF(AR$37:AR$42,$B49)&gt;0,COUNTA(AR$27:AR$35),0))</f>
        <v>0</v>
      </c>
      <c r="AS49" s="55">
        <f>IF($B49="","",IF(COUNTIF(AS$16:AS$21,$B49)&gt;0,COUNTA(AS$7:AS$15),0)+IF(COUNTIF(AS$37:AS$42,$B49)&gt;0,COUNTA(AS$27:AS$35),0))</f>
        <v>0</v>
      </c>
      <c r="AT49" s="55">
        <f>IF($B49="","",IF(COUNTIF(AT$16:AT$21,$B49)&gt;0,COUNTA(AT$7:AT$15),0)+IF(COUNTIF(AT$37:AT$42,$B49)&gt;0,COUNTA(AT$27:AT$35),0))</f>
        <v>0</v>
      </c>
      <c r="AU49" s="55">
        <f>IF($B49="","",IF(COUNTIF(AU$16:AU$21,$B49)&gt;0,COUNTA(AU$7:AU$15),0)+IF(COUNTIF(AU$37:AU$42,$B49)&gt;0,COUNTA(AU$27:AU$35),0))</f>
        <v>0</v>
      </c>
      <c r="AV49" s="55">
        <f>IF($B49="","",IF(COUNTIF(AV$16:AV$21,$B49)&gt;0,COUNTA(AV$7:AV$15),0)+IF(COUNTIF(AV$37:AV$42,$B49)&gt;0,COUNTA(AV$27:AV$35),0))</f>
        <v>0</v>
      </c>
      <c r="AW49" s="55">
        <f>IF($B49="","",IF(COUNTIF(AW$16:AW$21,$B49)&gt;0,COUNTA(AW$7:AW$15),0)+IF(COUNTIF(AW$37:AW$42,$B49)&gt;0,COUNTA(AW$27:AW$35),0))</f>
        <v>0</v>
      </c>
      <c r="AX49" s="55">
        <f>IF($B49="","",IF(COUNTIF(AX$16:AX$21,$B49)&gt;0,COUNTA(AX$7:AX$15),0)+IF(COUNTIF(AX$37:AX$42,$B49)&gt;0,COUNTA(AX$27:AX$35),0))</f>
        <v>0</v>
      </c>
      <c r="AY49" s="55">
        <f>IF($B49="","",IF(COUNTIF(AY$16:AY$21,$B49)&gt;0,COUNTA(AY$7:AY$15),0)+IF(COUNTIF(AY$37:AY$42,$B49)&gt;0,COUNTA(AY$27:AY$35),0))</f>
        <v>0</v>
      </c>
      <c r="AZ49" s="55">
        <f>IF($B49="","",IF(COUNTIF(AZ$16:AZ$21,$B49)&gt;0,COUNTA(AZ$7:AZ$15),0)+IF(COUNTIF(AZ$37:AZ$42,$B49)&gt;0,COUNTA(AZ$27:AZ$35),0))</f>
        <v>0</v>
      </c>
      <c r="BA49" s="55">
        <f>IF($B49="","",IF(COUNTIF(BA$16:BA$21,$B49)&gt;0,COUNTA(BA$7:BA$15),0)+IF(COUNTIF(BA$37:BA$42,$B49)&gt;0,COUNTA(BA$27:BA$35),0))</f>
        <v>0</v>
      </c>
      <c r="BB49" s="55">
        <f>IF($B49="","",IF(COUNTIF(BB$16:BB$21,$B49)&gt;0,COUNTA(BB$7:BB$15),0)+IF(COUNTIF(BB$37:BB$42,$B49)&gt;0,COUNTA(BB$27:BB$35),0))</f>
        <v>0</v>
      </c>
      <c r="BC49" s="55">
        <f>IF($B49="","",IF(COUNTIF(BC$16:BC$21,$B49)&gt;0,COUNTA(BC$7:BC$15),0)+IF(COUNTIF(BC$37:BC$42,$B49)&gt;0,COUNTA(BC$27:BC$35),0))</f>
        <v>0</v>
      </c>
      <c r="BD49" s="55">
        <f>IF($B49="","",IF(COUNTIF(BD$16:BD$21,$B49)&gt;0,COUNTA(BD$7:BD$15),0)+IF(COUNTIF(BD$37:BD$42,$B49)&gt;0,COUNTA(BD$27:BD$35),0))</f>
        <v>0</v>
      </c>
      <c r="BE49" s="55">
        <f>IF($B49="","",IF(COUNTIF(BE$16:BE$21,$B49)&gt;0,COUNTA(BE$7:BE$15),0)+IF(COUNTIF(BE$37:BE$42,$B49)&gt;0,COUNTA(BE$27:BE$35),0))</f>
        <v>0</v>
      </c>
      <c r="BF49" s="55">
        <f>IF($B49="","",IF(COUNTIF(BF$16:BF$21,$B49)&gt;0,COUNTA(BF$7:BF$15),0)+IF(COUNTIF(BF$37:BF$42,$B49)&gt;0,COUNTA(BF$27:BF$35),0))</f>
        <v>0</v>
      </c>
      <c r="BG49" s="55">
        <f>IF($B49="","",IF(COUNTIF(BG$16:BG$21,$B49)&gt;0,COUNTA(BG$7:BG$15),0)+IF(COUNTIF(BG$37:BG$42,$B49)&gt;0,COUNTA(BG$27:BG$35),0))</f>
        <v>0</v>
      </c>
      <c r="BH49" s="55">
        <f>IF($B49="","",IF(COUNTIF(BH$16:BH$21,$B49)&gt;0,COUNTA(BH$7:BH$15),0)+IF(COUNTIF(BH$37:BH$42,$B49)&gt;0,COUNTA(BH$27:BH$35),0))</f>
        <v>0</v>
      </c>
      <c r="BI49" s="55">
        <f>IF($B49="","",IF(COUNTIF(BI$16:BI$21,$B49)&gt;0,COUNTA(BI$7:BI$15),0)+IF(COUNTIF(BI$37:BI$42,$B49)&gt;0,COUNTA(BI$27:BI$35),0))</f>
        <v>0</v>
      </c>
      <c r="BJ49" s="55">
        <f>IF($B49="","",IF(COUNTIF(BJ$16:BJ$21,$B49)&gt;0,COUNTA(BJ$7:BJ$15),0)+IF(COUNTIF(BJ$37:BJ$42,$B49)&gt;0,COUNTA(BJ$27:BJ$35),0))</f>
        <v>0</v>
      </c>
      <c r="BK49" s="55">
        <f>IF($B49="","",IF(COUNTIF(BK$16:BK$21,$B49)&gt;0,COUNTA(BK$7:BK$15),0)+IF(COUNTIF(BK$37:BK$42,$B49)&gt;0,COUNTA(BK$27:BK$35),0))</f>
        <v>0</v>
      </c>
      <c r="BL49" s="55">
        <f>IF($B49="","",IF(COUNTIF(BL$16:BL$21,$B49)&gt;0,COUNTA(BL$7:BL$15),0)+IF(COUNTIF(BL$37:BL$42,$B49)&gt;0,COUNTA(BL$27:BL$35),0))</f>
        <v>0</v>
      </c>
      <c r="BM49" s="55">
        <f>IF($B49="","",IF(COUNTIF(BM$16:BM$21,$B49)&gt;0,COUNTA(BM$7:BM$15),0)+IF(COUNTIF(BM$37:BM$42,$B49)&gt;0,COUNTA(BM$27:BM$35),0))</f>
        <v>0</v>
      </c>
      <c r="BN49" s="55">
        <f>IF($B49="","",IF(COUNTIF(BN$16:BN$21,$B49)&gt;0,COUNTA(BN$7:BN$15),0)+IF(COUNTIF(BN$37:BN$42,$B49)&gt;0,COUNTA(BN$27:BN$35),0))</f>
        <v>0</v>
      </c>
      <c r="BO49" s="55">
        <f>IF($B49="","",IF(COUNTIF(BO$16:BO$21,$B49)&gt;0,COUNTA(BO$7:BO$15),0)+IF(COUNTIF(BO$37:BO$42,$B49)&gt;0,COUNTA(BO$27:BO$35),0))</f>
        <v>0</v>
      </c>
      <c r="BP49" s="55">
        <f>IF($B49="","",IF(COUNTIF(BP$16:BP$21,$B49)&gt;0,COUNTA(BP$7:BP$15),0)+IF(COUNTIF(BP$37:BP$42,$B49)&gt;0,COUNTA(BP$27:BP$35),0))</f>
        <v>0</v>
      </c>
      <c r="BQ49" s="55">
        <f>IF($B49="","",IF(COUNTIF(BQ$16:BQ$21,$B49)&gt;0,COUNTA(BQ$7:BQ$15),0)+IF(COUNTIF(BQ$37:BQ$42,$B49)&gt;0,COUNTA(BQ$27:BQ$35),0))</f>
        <v>0</v>
      </c>
      <c r="BR49" s="55">
        <f>IF($B49="","",IF(COUNTIF(BR$16:BR$21,$B49)&gt;0,COUNTA(BR$7:BR$15),0)+IF(COUNTIF(BR$37:BR$42,$B49)&gt;0,COUNTA(BR$27:BR$35),0))</f>
        <v>0</v>
      </c>
      <c r="BS49" s="55">
        <f>IF($B49="","",IF(COUNTIF(BS$16:BS$21,$B49)&gt;0,COUNTA(BS$7:BS$15),0)+IF(COUNTIF(BS$37:BS$42,$B49)&gt;0,COUNTA(BS$27:BS$35),0))</f>
        <v>0</v>
      </c>
      <c r="BT49" s="55">
        <f>IF($B49="","",IF(COUNTIF(BT$16:BT$21,$B49)&gt;0,COUNTA(BT$7:BT$15),0)+IF(COUNTIF(BT$37:BT$42,$B49)&gt;0,COUNTA(BT$27:BT$35),0))</f>
        <v>0</v>
      </c>
      <c r="BU49" s="55">
        <f>IF($B49="","",IF(COUNTIF(BU$16:BU$21,$B49)&gt;0,COUNTA(BU$7:BU$15),0)+IF(COUNTIF(BU$37:BU$42,$B49)&gt;0,COUNTA(BU$27:BU$35),0))</f>
        <v>0</v>
      </c>
      <c r="BV49" s="55">
        <f>IF($B49="","",IF(COUNTIF(BV$16:BV$21,$B49)&gt;0,COUNTA(BV$7:BV$15),0)+IF(COUNTIF(BV$37:BV$42,$B49)&gt;0,COUNTA(BV$27:BV$35),0))</f>
        <v>0</v>
      </c>
      <c r="BW49" s="55">
        <f>IF($B49="","",IF(COUNTIF(BW$16:BW$21,$B49)&gt;0,COUNTA(BW$7:BW$15),0)+IF(COUNTIF(BW$37:BW$42,$B49)&gt;0,COUNTA(BW$27:BW$35),0))</f>
        <v>0</v>
      </c>
      <c r="BX49" s="55">
        <f>IF($B49="","",IF(COUNTIF(BX$16:BX$21,$B49)&gt;0,COUNTA(BX$7:BX$15),0)+IF(COUNTIF(BX$37:BX$42,$B49)&gt;0,COUNTA(BX$27:BX$35),0))</f>
        <v>0</v>
      </c>
      <c r="BY49" s="55">
        <f>IF($B49="","",IF(COUNTIF(BY$16:BY$21,$B49)&gt;0,COUNTA(BY$7:BY$15),0)+IF(COUNTIF(BY$37:BY$42,$B49)&gt;0,COUNTA(BY$27:BY$35),0))</f>
        <v>0</v>
      </c>
      <c r="BZ49" s="55">
        <f>IF($B49="","",IF(COUNTIF(BZ$16:BZ$21,$B49)&gt;0,COUNTA(BZ$7:BZ$15),0)+IF(COUNTIF(BZ$37:BZ$42,$B49)&gt;0,COUNTA(BZ$27:BZ$35),0))</f>
        <v>0</v>
      </c>
      <c r="CA49" s="55">
        <f>IF($B49="","",IF(COUNTIF(CA$16:CA$21,$B49)&gt;0,COUNTA(CA$7:CA$15),0)+IF(COUNTIF(CA$37:CA$42,$B49)&gt;0,COUNTA(CA$27:CA$35),0))</f>
        <v>0</v>
      </c>
      <c r="CB49" s="55">
        <f>IF($B49="","",IF(COUNTIF(CB$16:CB$21,$B49)&gt;0,COUNTA(CB$7:CB$15),0)+IF(COUNTIF(CB$37:CB$42,$B49)&gt;0,COUNTA(CB$27:CB$35),0))</f>
        <v>0</v>
      </c>
      <c r="CC49" s="55">
        <f>IF($B49="","",IF(COUNTIF(CC$16:CC$21,$B49)&gt;0,COUNTA(CC$7:CC$15),0)+IF(COUNTIF(CC$37:CC$42,$B49)&gt;0,COUNTA(CC$27:CC$35),0))</f>
        <v>0</v>
      </c>
      <c r="CD49" s="55">
        <f>IF($B49="","",IF(COUNTIF(CD$16:CD$21,$B49)&gt;0,COUNTA(CD$7:CD$15),0)+IF(COUNTIF(CD$37:CD$42,$B49)&gt;0,COUNTA(CD$27:CD$35),0))</f>
        <v>0</v>
      </c>
      <c r="CE49" s="55">
        <f>IF($B49="","",IF(COUNTIF(CE$16:CE$21,$B49)&gt;0,COUNTA(CE$7:CE$15),0)+IF(COUNTIF(CE$37:CE$42,$B49)&gt;0,COUNTA(CE$27:CE$35),0))</f>
        <v>0</v>
      </c>
      <c r="CF49" s="55">
        <f>IF($B49="","",IF(COUNTIF(CF$16:CF$21,$B49)&gt;0,COUNTA(CF$7:CF$15),0)+IF(COUNTIF(CF$37:CF$42,$B49)&gt;0,COUNTA(CF$27:CF$35),0))</f>
        <v>0</v>
      </c>
      <c r="CG49" s="55">
        <f>IF($B49="","",IF(COUNTIF(CG$16:CG$21,$B49)&gt;0,COUNTA(CG$7:CG$15),0)+IF(COUNTIF(CG$37:CG$42,$B49)&gt;0,COUNTA(CG$27:CG$35),0))</f>
        <v>0</v>
      </c>
      <c r="CH49" s="55">
        <f>IF($B49="","",IF(COUNTIF(CH$16:CH$21,$B49)&gt;0,COUNTA(CH$7:CH$15),0)+IF(COUNTIF(CH$37:CH$42,$B49)&gt;0,COUNTA(CH$27:CH$35),0))</f>
        <v>0</v>
      </c>
      <c r="CI49" s="55">
        <f>IF($B49="","",IF(COUNTIF(CI$16:CI$21,$B49)&gt;0,COUNTA(CI$7:CI$15),0)+IF(COUNTIF(CI$37:CI$42,$B49)&gt;0,COUNTA(CI$27:CI$35),0))</f>
        <v>0</v>
      </c>
      <c r="CJ49" s="55">
        <f>IF($B49="","",IF(COUNTIF(CJ$16:CJ$21,$B49)&gt;0,COUNTA(CJ$7:CJ$15),0)+IF(COUNTIF(CJ$37:CJ$42,$B49)&gt;0,COUNTA(CJ$27:CJ$35),0))</f>
        <v>0</v>
      </c>
      <c r="CK49" s="55">
        <f>IF($B49="","",IF(COUNTIF(CK$16:CK$21,$B49)&gt;0,COUNTA(CK$7:CK$15),0)+IF(COUNTIF(CK$37:CK$42,$B49)&gt;0,COUNTA(CK$27:CK$35),0))</f>
        <v>0</v>
      </c>
      <c r="CL49" s="55">
        <f>IF($B49="","",IF(COUNTIF(CL$16:CL$21,$B49)&gt;0,COUNTA(CL$7:CL$15),0)+IF(COUNTIF(CL$37:CL$42,$B49)&gt;0,COUNTA(CL$27:CL$35),0))</f>
        <v>0</v>
      </c>
      <c r="CM49" s="55">
        <f>IF($B49="","",IF(COUNTIF(CM$16:CM$21,$B49)&gt;0,COUNTA(CM$7:CM$15),0)+IF(COUNTIF(CM$37:CM$42,$B49)&gt;0,COUNTA(CM$27:CM$35),0))</f>
        <v>0</v>
      </c>
      <c r="CN49" s="55">
        <f>IF($B49="","",IF(COUNTIF(CN$16:CN$21,$B49)&gt;0,COUNTA(CN$7:CN$15),0)+IF(COUNTIF(CN$37:CN$42,$B49)&gt;0,COUNTA(CN$27:CN$35),0))</f>
        <v>0</v>
      </c>
      <c r="CO49" s="55">
        <f>IF($B49="","",IF(COUNTIF(CO$16:CO$21,$B49)&gt;0,COUNTA(CO$7:CO$15),0)+IF(COUNTIF(CO$37:CO$42,$B49)&gt;0,COUNTA(CO$27:CO$35),0))</f>
        <v>0</v>
      </c>
      <c r="CP49" s="55">
        <f>IF($B49="","",IF(COUNTIF(CP$16:CP$21,$B49)&gt;0,COUNTA(CP$7:CP$15),0)+IF(COUNTIF(CP$37:CP$42,$B49)&gt;0,COUNTA(CP$27:CP$35),0))</f>
        <v>0</v>
      </c>
      <c r="CQ49" s="55">
        <f>IF($B49="","",IF(COUNTIF(CQ$16:CQ$21,$B49)&gt;0,COUNTA(CQ$7:CQ$15),0)+IF(COUNTIF(CQ$37:CQ$42,$B49)&gt;0,COUNTA(CQ$27:CQ$35),0))</f>
        <v>0</v>
      </c>
      <c r="CR49" s="55">
        <f>IF($B49="","",IF(COUNTIF(CR$16:CR$21,$B49)&gt;0,COUNTA(CR$7:CR$15),0)+IF(COUNTIF(CR$37:CR$42,$B49)&gt;0,COUNTA(CR$27:CR$35),0))</f>
        <v>0</v>
      </c>
      <c r="CS49" s="55">
        <f>IF($B49="","",IF(COUNTIF(CS$16:CS$21,$B49)&gt;0,COUNTA(CS$7:CS$15),0)+IF(COUNTIF(CS$37:CS$42,$B49)&gt;0,COUNTA(CS$27:CS$35),0))</f>
        <v>0</v>
      </c>
      <c r="CT49" s="55">
        <f>IF($B49="","",IF(COUNTIF(CT$16:CT$21,$B49)&gt;0,COUNTA(CT$7:CT$15),0)+IF(COUNTIF(CT$37:CT$42,$B49)&gt;0,COUNTA(CT$27:CT$35),0))</f>
        <v>0</v>
      </c>
      <c r="CU49" s="55">
        <f>IF($B49="","",IF(COUNTIF(CU$16:CU$21,$B49)&gt;0,COUNTA(CU$7:CU$15),0)+IF(COUNTIF(CU$37:CU$42,$B49)&gt;0,COUNTA(CU$27:CU$35),0))</f>
        <v>0</v>
      </c>
      <c r="CV49" s="55">
        <f>IF($B49="","",IF(COUNTIF(CV$16:CV$21,$B49)&gt;0,COUNTA(CV$7:CV$15),0)+IF(COUNTIF(CV$37:CV$42,$B49)&gt;0,COUNTA(CV$27:CV$35),0))</f>
        <v>0</v>
      </c>
      <c r="CW49" s="55">
        <f>IF($B49="","",IF(COUNTIF(CW$16:CW$21,$B49)&gt;0,COUNTA(CW$7:CW$15),0)+IF(COUNTIF(CW$37:CW$42,$B49)&gt;0,COUNTA(CW$27:CW$35),0))</f>
        <v>0</v>
      </c>
      <c r="CX49" s="55">
        <f>IF($B49="","",IF(COUNTIF(CX$16:CX$21,$B49)&gt;0,COUNTA(CX$7:CX$15),0)+IF(COUNTIF(CX$37:CX$42,$B49)&gt;0,COUNTA(CX$27:CX$35),0))</f>
        <v>0</v>
      </c>
      <c r="CY49" s="55">
        <f>IF($B49="","",IF(COUNTIF(CY$16:CY$21,$B49)&gt;0,COUNTA(CY$7:CY$15),0)+IF(COUNTIF(CY$37:CY$42,$B49)&gt;0,COUNTA(CY$27:CY$35),0))</f>
        <v>0</v>
      </c>
      <c r="CZ49" s="55">
        <f>IF($B49="","",IF(COUNTIF(CZ$16:CZ$21,$B49)&gt;0,COUNTA(CZ$7:CZ$15),0)+IF(COUNTIF(CZ$37:CZ$42,$B49)&gt;0,COUNTA(CZ$27:CZ$35),0))</f>
        <v>0</v>
      </c>
      <c r="DA49" s="55">
        <f>IF($B49="","",IF(COUNTIF(DA$16:DA$21,$B49)&gt;0,COUNTA(DA$7:DA$15),0)+IF(COUNTIF(DA$37:DA$42,$B49)&gt;0,COUNTA(DA$27:DA$35),0))</f>
        <v>0</v>
      </c>
      <c r="DB49" s="55">
        <f>IF($B49="","",IF(COUNTIF(DB$16:DB$21,$B49)&gt;0,COUNTA(DB$7:DB$15),0)+IF(COUNTIF(DB$37:DB$42,$B49)&gt;0,COUNTA(DB$27:DB$35),0))</f>
        <v>0</v>
      </c>
      <c r="DC49" s="55">
        <f>IF($B49="","",IF(COUNTIF(DC$16:DC$21,$B49)&gt;0,COUNTA(DC$7:DC$15),0)+IF(COUNTIF(DC$37:DC$42,$B49)&gt;0,COUNTA(DC$27:DC$35),0))</f>
        <v>0</v>
      </c>
      <c r="DD49" s="55">
        <f>IF($B49="","",IF(COUNTIF(DD$16:DD$21,$B49)&gt;0,COUNTA(DD$7:DD$15),0)+IF(COUNTIF(DD$37:DD$42,$B49)&gt;0,COUNTA(DD$27:DD$35),0))</f>
        <v>0</v>
      </c>
      <c r="DE49" s="58">
        <f>IF($B49="","",IF(COUNTIF(DE$16:DE$21,$B49)&gt;0,COUNTA(DE$7:DE$15),0)+IF(COUNTIF(DE$37:DE$42,$B49)&gt;0,COUNTA(DE$27:DE$35),0))</f>
        <v>0</v>
      </c>
    </row>
    <row r="50" spans="2:109" x14ac:dyDescent="0.2">
      <c r="B50" s="84" t="str">
        <f>IFERROR(INDEX(_xlfn._xlws.FILTER(Ressourcer!$B$1:$X$1,_xlfn.BYCOL(Ressourcer!$B$23:$X$25,_xlfn.LAMBDA(_xlpm.c,COUNTIF(_xlpm.c,"&lt;&gt;" )&gt;0))),ROWS($B$2:B7)),"")</f>
        <v/>
      </c>
      <c r="C50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)&gt;0))),_xlfn.LAMBDA(_xlpm.col,SUM(INDEX(Ressourcer!$B$23:$X$25,,_xlpm.col-COLUMN(Ressourcer!$B$23:$X$25)+1)))),ROWS($B$2:B7))/2,"")</f>
        <v/>
      </c>
      <c r="D50" s="106" t="str">
        <f t="shared" si="35"/>
        <v/>
      </c>
      <c r="E50" s="57" t="str">
        <f>IF($B50="","",IF(COUNTIF(E$16:E$21,$B50)&gt;0,COUNTA(E$7:E$15),0)+IF(COUNTIF(E$37:E$42,$B50)&gt;0,COUNTA(E$27:E$35),0))</f>
        <v/>
      </c>
      <c r="F50" s="55" t="str">
        <f>IF($B50="","",IF(COUNTIF(F$16:F$21,$B50)&gt;0,COUNTA(F$7:F$15),0)+IF(COUNTIF(F$37:F$42,$B50)&gt;0,COUNTA(F$27:F$35),0))</f>
        <v/>
      </c>
      <c r="G50" s="55" t="str">
        <f>IF($B50="","",IF(COUNTIF(G$16:G$21,$B50)&gt;0,COUNTA(G$7:G$15),0)+IF(COUNTIF(G$37:G$42,$B50)&gt;0,COUNTA(G$27:G$35),0))</f>
        <v/>
      </c>
      <c r="H50" s="55" t="str">
        <f>IF($B50="","",IF(COUNTIF(H$16:H$21,$B50)&gt;0,COUNTA(H$7:H$15),0)+IF(COUNTIF(H$37:H$42,$B50)&gt;0,COUNTA(H$27:H$35),0))</f>
        <v/>
      </c>
      <c r="I50" s="55" t="str">
        <f>IF($B50="","",IF(COUNTIF(I$16:I$21,$B50)&gt;0,COUNTA(I$7:I$15),0)+IF(COUNTIF(I$37:I$42,$B50)&gt;0,COUNTA(I$27:I$35),0))</f>
        <v/>
      </c>
      <c r="J50" s="55" t="str">
        <f>IF($B50="","",IF(COUNTIF(J$16:J$21,$B50)&gt;0,COUNTA(J$7:J$15),0)+IF(COUNTIF(J$37:J$42,$B50)&gt;0,COUNTA(J$27:J$35),0))</f>
        <v/>
      </c>
      <c r="K50" s="55" t="str">
        <f>IF($B50="","",IF(COUNTIF(K$16:K$21,$B50)&gt;0,COUNTA(K$7:K$15),0)+IF(COUNTIF(K$37:K$42,$B50)&gt;0,COUNTA(K$27:K$35),0))</f>
        <v/>
      </c>
      <c r="L50" s="55" t="str">
        <f>IF($B50="","",IF(COUNTIF(L$16:L$21,$B50)&gt;0,COUNTA(L$7:L$15),0)+IF(COUNTIF(L$37:L$42,$B50)&gt;0,COUNTA(L$27:L$35),0))</f>
        <v/>
      </c>
      <c r="M50" s="55" t="str">
        <f>IF($B50="","",IF(COUNTIF(M$16:M$21,$B50)&gt;0,COUNTA(M$7:M$15),0)+IF(COUNTIF(M$37:M$42,$B50)&gt;0,COUNTA(M$27:M$35),0))</f>
        <v/>
      </c>
      <c r="N50" s="55" t="str">
        <f>IF($B50="","",IF(COUNTIF(N$16:N$21,$B50)&gt;0,COUNTA(N$7:N$15),0)+IF(COUNTIF(N$37:N$42,$B50)&gt;0,COUNTA(N$27:N$35),0))</f>
        <v/>
      </c>
      <c r="O50" s="55" t="str">
        <f>IF($B50="","",IF(COUNTIF(O$16:O$21,$B50)&gt;0,COUNTA(O$7:O$15),0)+IF(COUNTIF(O$37:O$42,$B50)&gt;0,COUNTA(O$27:O$35),0))</f>
        <v/>
      </c>
      <c r="P50" s="55" t="str">
        <f>IF($B50="","",IF(COUNTIF(P$16:P$21,$B50)&gt;0,COUNTA(P$7:P$15),0)+IF(COUNTIF(P$37:P$42,$B50)&gt;0,COUNTA(P$27:P$35),0))</f>
        <v/>
      </c>
      <c r="Q50" s="55" t="str">
        <f>IF($B50="","",IF(COUNTIF(Q$16:Q$21,$B50)&gt;0,COUNTA(Q$7:Q$15),0)+IF(COUNTIF(Q$37:Q$42,$B50)&gt;0,COUNTA(Q$27:Q$35),0))</f>
        <v/>
      </c>
      <c r="R50" s="55" t="str">
        <f>IF($B50="","",IF(COUNTIF(R$16:R$21,$B50)&gt;0,COUNTA(R$7:R$15),0)+IF(COUNTIF(R$37:R$42,$B50)&gt;0,COUNTA(R$27:R$35),0))</f>
        <v/>
      </c>
      <c r="S50" s="55" t="str">
        <f>IF($B50="","",IF(COUNTIF(S$16:S$21,$B50)&gt;0,COUNTA(S$7:S$15),0)+IF(COUNTIF(S$37:S$42,$B50)&gt;0,COUNTA(S$27:S$35),0))</f>
        <v/>
      </c>
      <c r="T50" s="55" t="str">
        <f>IF($B50="","",IF(COUNTIF(T$16:T$21,$B50)&gt;0,COUNTA(T$7:T$15),0)+IF(COUNTIF(T$37:T$42,$B50)&gt;0,COUNTA(T$27:T$35),0))</f>
        <v/>
      </c>
      <c r="U50" s="55" t="str">
        <f>IF($B50="","",IF(COUNTIF(U$16:U$21,$B50)&gt;0,COUNTA(U$7:U$15),0)+IF(COUNTIF(U$37:U$42,$B50)&gt;0,COUNTA(U$27:U$35),0))</f>
        <v/>
      </c>
      <c r="V50" s="55" t="str">
        <f>IF($B50="","",IF(COUNTIF(V$16:V$21,$B50)&gt;0,COUNTA(V$7:V$15),0)+IF(COUNTIF(V$37:V$42,$B50)&gt;0,COUNTA(V$27:V$35),0))</f>
        <v/>
      </c>
      <c r="W50" s="55" t="str">
        <f>IF($B50="","",IF(COUNTIF(W$16:W$21,$B50)&gt;0,COUNTA(W$7:W$15),0)+IF(COUNTIF(W$37:W$42,$B50)&gt;0,COUNTA(W$27:W$35),0))</f>
        <v/>
      </c>
      <c r="X50" s="55" t="str">
        <f>IF($B50="","",IF(COUNTIF(X$16:X$21,$B50)&gt;0,COUNTA(X$7:X$15),0)+IF(COUNTIF(X$37:X$42,$B50)&gt;0,COUNTA(X$27:X$35),0))</f>
        <v/>
      </c>
      <c r="Y50" s="55" t="str">
        <f>IF($B50="","",IF(COUNTIF(Y$16:Y$21,$B50)&gt;0,COUNTA(Y$7:Y$15),0)+IF(COUNTIF(Y$37:Y$42,$B50)&gt;0,COUNTA(Y$27:Y$35),0))</f>
        <v/>
      </c>
      <c r="Z50" s="55" t="str">
        <f>IF($B50="","",IF(COUNTIF(Z$16:Z$21,$B50)&gt;0,COUNTA(Z$7:Z$15),0)+IF(COUNTIF(Z$37:Z$42,$B50)&gt;0,COUNTA(Z$27:Z$35),0))</f>
        <v/>
      </c>
      <c r="AA50" s="55" t="str">
        <f>IF($B50="","",IF(COUNTIF(AA$16:AA$21,$B50)&gt;0,COUNTA(AA$7:AA$15),0)+IF(COUNTIF(AA$37:AA$42,$B50)&gt;0,COUNTA(AA$27:AA$35),0))</f>
        <v/>
      </c>
      <c r="AB50" s="55" t="str">
        <f>IF($B50="","",IF(COUNTIF(AB$16:AB$21,$B50)&gt;0,COUNTA(AB$7:AB$15),0)+IF(COUNTIF(AB$37:AB$42,$B50)&gt;0,COUNTA(AB$27:AB$35),0))</f>
        <v/>
      </c>
      <c r="AC50" s="55" t="str">
        <f>IF($B50="","",IF(COUNTIF(AC$16:AC$21,$B50)&gt;0,COUNTA(AC$7:AC$15),0)+IF(COUNTIF(AC$37:AC$42,$B50)&gt;0,COUNTA(AC$27:AC$35),0))</f>
        <v/>
      </c>
      <c r="AD50" s="55" t="str">
        <f>IF($B50="","",IF(COUNTIF(AD$16:AD$21,$B50)&gt;0,COUNTA(AD$7:AD$15),0)+IF(COUNTIF(AD$37:AD$42,$B50)&gt;0,COUNTA(AD$27:AD$35),0))</f>
        <v/>
      </c>
      <c r="AE50" s="55" t="str">
        <f>IF($B50="","",IF(COUNTIF(AE$16:AE$21,$B50)&gt;0,COUNTA(AE$7:AE$15),0)+IF(COUNTIF(AE$37:AE$42,$B50)&gt;0,COUNTA(AE$27:AE$35),0))</f>
        <v/>
      </c>
      <c r="AF50" s="55" t="str">
        <f>IF($B50="","",IF(COUNTIF(AF$16:AF$21,$B50)&gt;0,COUNTA(AF$7:AF$15),0)+IF(COUNTIF(AF$37:AF$42,$B50)&gt;0,COUNTA(AF$27:AF$35),0))</f>
        <v/>
      </c>
      <c r="AG50" s="55" t="str">
        <f>IF($B50="","",IF(COUNTIF(AG$16:AG$21,$B50)&gt;0,COUNTA(AG$7:AG$15),0)+IF(COUNTIF(AG$37:AG$42,$B50)&gt;0,COUNTA(AG$27:AG$35),0))</f>
        <v/>
      </c>
      <c r="AH50" s="55" t="str">
        <f>IF($B50="","",IF(COUNTIF(AH$16:AH$21,$B50)&gt;0,COUNTA(AH$7:AH$15),0)+IF(COUNTIF(AH$37:AH$42,$B50)&gt;0,COUNTA(AH$27:AH$35),0))</f>
        <v/>
      </c>
      <c r="AI50" s="55" t="str">
        <f>IF($B50="","",IF(COUNTIF(AI$16:AI$21,$B50)&gt;0,COUNTA(AI$7:AI$15),0)+IF(COUNTIF(AI$37:AI$42,$B50)&gt;0,COUNTA(AI$27:AI$35),0))</f>
        <v/>
      </c>
      <c r="AJ50" s="55" t="str">
        <f>IF($B50="","",IF(COUNTIF(AJ$16:AJ$21,$B50)&gt;0,COUNTA(AJ$7:AJ$15),0)+IF(COUNTIF(AJ$37:AJ$42,$B50)&gt;0,COUNTA(AJ$27:AJ$35),0))</f>
        <v/>
      </c>
      <c r="AK50" s="55" t="str">
        <f>IF($B50="","",IF(COUNTIF(AK$16:AK$21,$B50)&gt;0,COUNTA(AK$7:AK$15),0)+IF(COUNTIF(AK$37:AK$42,$B50)&gt;0,COUNTA(AK$27:AK$35),0))</f>
        <v/>
      </c>
      <c r="AL50" s="55" t="str">
        <f>IF($B50="","",IF(COUNTIF(AL$16:AL$21,$B50)&gt;0,COUNTA(AL$7:AL$15),0)+IF(COUNTIF(AL$37:AL$42,$B50)&gt;0,COUNTA(AL$27:AL$35),0))</f>
        <v/>
      </c>
      <c r="AM50" s="55" t="str">
        <f>IF($B50="","",IF(COUNTIF(AM$16:AM$21,$B50)&gt;0,COUNTA(AM$7:AM$15),0)+IF(COUNTIF(AM$37:AM$42,$B50)&gt;0,COUNTA(AM$27:AM$35),0))</f>
        <v/>
      </c>
      <c r="AN50" s="55" t="str">
        <f>IF($B50="","",IF(COUNTIF(AN$16:AN$21,$B50)&gt;0,COUNTA(AN$7:AN$15),0)+IF(COUNTIF(AN$37:AN$42,$B50)&gt;0,COUNTA(AN$27:AN$35),0))</f>
        <v/>
      </c>
      <c r="AO50" s="55" t="str">
        <f>IF($B50="","",IF(COUNTIF(AO$16:AO$21,$B50)&gt;0,COUNTA(AO$7:AO$15),0)+IF(COUNTIF(AO$37:AO$42,$B50)&gt;0,COUNTA(AO$27:AO$35),0))</f>
        <v/>
      </c>
      <c r="AP50" s="55" t="str">
        <f>IF($B50="","",IF(COUNTIF(AP$16:AP$21,$B50)&gt;0,COUNTA(AP$7:AP$15),0)+IF(COUNTIF(AP$37:AP$42,$B50)&gt;0,COUNTA(AP$27:AP$35),0))</f>
        <v/>
      </c>
      <c r="AQ50" s="55" t="str">
        <f>IF($B50="","",IF(COUNTIF(AQ$16:AQ$21,$B50)&gt;0,COUNTA(AQ$7:AQ$15),0)+IF(COUNTIF(AQ$37:AQ$42,$B50)&gt;0,COUNTA(AQ$27:AQ$35),0))</f>
        <v/>
      </c>
      <c r="AR50" s="55" t="str">
        <f>IF($B50="","",IF(COUNTIF(AR$16:AR$21,$B50)&gt;0,COUNTA(AR$7:AR$15),0)+IF(COUNTIF(AR$37:AR$42,$B50)&gt;0,COUNTA(AR$27:AR$35),0))</f>
        <v/>
      </c>
      <c r="AS50" s="55" t="str">
        <f>IF($B50="","",IF(COUNTIF(AS$16:AS$21,$B50)&gt;0,COUNTA(AS$7:AS$15),0)+IF(COUNTIF(AS$37:AS$42,$B50)&gt;0,COUNTA(AS$27:AS$35),0))</f>
        <v/>
      </c>
      <c r="AT50" s="55" t="str">
        <f>IF($B50="","",IF(COUNTIF(AT$16:AT$21,$B50)&gt;0,COUNTA(AT$7:AT$15),0)+IF(COUNTIF(AT$37:AT$42,$B50)&gt;0,COUNTA(AT$27:AT$35),0))</f>
        <v/>
      </c>
      <c r="AU50" s="55" t="str">
        <f>IF($B50="","",IF(COUNTIF(AU$16:AU$21,$B50)&gt;0,COUNTA(AU$7:AU$15),0)+IF(COUNTIF(AU$37:AU$42,$B50)&gt;0,COUNTA(AU$27:AU$35),0))</f>
        <v/>
      </c>
      <c r="AV50" s="55" t="str">
        <f>IF($B50="","",IF(COUNTIF(AV$16:AV$21,$B50)&gt;0,COUNTA(AV$7:AV$15),0)+IF(COUNTIF(AV$37:AV$42,$B50)&gt;0,COUNTA(AV$27:AV$35),0))</f>
        <v/>
      </c>
      <c r="AW50" s="55" t="str">
        <f>IF($B50="","",IF(COUNTIF(AW$16:AW$21,$B50)&gt;0,COUNTA(AW$7:AW$15),0)+IF(COUNTIF(AW$37:AW$42,$B50)&gt;0,COUNTA(AW$27:AW$35),0))</f>
        <v/>
      </c>
      <c r="AX50" s="55" t="str">
        <f>IF($B50="","",IF(COUNTIF(AX$16:AX$21,$B50)&gt;0,COUNTA(AX$7:AX$15),0)+IF(COUNTIF(AX$37:AX$42,$B50)&gt;0,COUNTA(AX$27:AX$35),0))</f>
        <v/>
      </c>
      <c r="AY50" s="55" t="str">
        <f>IF($B50="","",IF(COUNTIF(AY$16:AY$21,$B50)&gt;0,COUNTA(AY$7:AY$15),0)+IF(COUNTIF(AY$37:AY$42,$B50)&gt;0,COUNTA(AY$27:AY$35),0))</f>
        <v/>
      </c>
      <c r="AZ50" s="55" t="str">
        <f>IF($B50="","",IF(COUNTIF(AZ$16:AZ$21,$B50)&gt;0,COUNTA(AZ$7:AZ$15),0)+IF(COUNTIF(AZ$37:AZ$42,$B50)&gt;0,COUNTA(AZ$27:AZ$35),0))</f>
        <v/>
      </c>
      <c r="BA50" s="55" t="str">
        <f>IF($B50="","",IF(COUNTIF(BA$16:BA$21,$B50)&gt;0,COUNTA(BA$7:BA$15),0)+IF(COUNTIF(BA$37:BA$42,$B50)&gt;0,COUNTA(BA$27:BA$35),0))</f>
        <v/>
      </c>
      <c r="BB50" s="55" t="str">
        <f>IF($B50="","",IF(COUNTIF(BB$16:BB$21,$B50)&gt;0,COUNTA(BB$7:BB$15),0)+IF(COUNTIF(BB$37:BB$42,$B50)&gt;0,COUNTA(BB$27:BB$35),0))</f>
        <v/>
      </c>
      <c r="BC50" s="55" t="str">
        <f>IF($B50="","",IF(COUNTIF(BC$16:BC$21,$B50)&gt;0,COUNTA(BC$7:BC$15),0)+IF(COUNTIF(BC$37:BC$42,$B50)&gt;0,COUNTA(BC$27:BC$35),0))</f>
        <v/>
      </c>
      <c r="BD50" s="55" t="str">
        <f>IF($B50="","",IF(COUNTIF(BD$16:BD$21,$B50)&gt;0,COUNTA(BD$7:BD$15),0)+IF(COUNTIF(BD$37:BD$42,$B50)&gt;0,COUNTA(BD$27:BD$35),0))</f>
        <v/>
      </c>
      <c r="BE50" s="55" t="str">
        <f>IF($B50="","",IF(COUNTIF(BE$16:BE$21,$B50)&gt;0,COUNTA(BE$7:BE$15),0)+IF(COUNTIF(BE$37:BE$42,$B50)&gt;0,COUNTA(BE$27:BE$35),0))</f>
        <v/>
      </c>
      <c r="BF50" s="55" t="str">
        <f>IF($B50="","",IF(COUNTIF(BF$16:BF$21,$B50)&gt;0,COUNTA(BF$7:BF$15),0)+IF(COUNTIF(BF$37:BF$42,$B50)&gt;0,COUNTA(BF$27:BF$35),0))</f>
        <v/>
      </c>
      <c r="BG50" s="55" t="str">
        <f>IF($B50="","",IF(COUNTIF(BG$16:BG$21,$B50)&gt;0,COUNTA(BG$7:BG$15),0)+IF(COUNTIF(BG$37:BG$42,$B50)&gt;0,COUNTA(BG$27:BG$35),0))</f>
        <v/>
      </c>
      <c r="BH50" s="55" t="str">
        <f>IF($B50="","",IF(COUNTIF(BH$16:BH$21,$B50)&gt;0,COUNTA(BH$7:BH$15),0)+IF(COUNTIF(BH$37:BH$42,$B50)&gt;0,COUNTA(BH$27:BH$35),0))</f>
        <v/>
      </c>
      <c r="BI50" s="55" t="str">
        <f>IF($B50="","",IF(COUNTIF(BI$16:BI$21,$B50)&gt;0,COUNTA(BI$7:BI$15),0)+IF(COUNTIF(BI$37:BI$42,$B50)&gt;0,COUNTA(BI$27:BI$35),0))</f>
        <v/>
      </c>
      <c r="BJ50" s="55" t="str">
        <f>IF($B50="","",IF(COUNTIF(BJ$16:BJ$21,$B50)&gt;0,COUNTA(BJ$7:BJ$15),0)+IF(COUNTIF(BJ$37:BJ$42,$B50)&gt;0,COUNTA(BJ$27:BJ$35),0))</f>
        <v/>
      </c>
      <c r="BK50" s="55" t="str">
        <f>IF($B50="","",IF(COUNTIF(BK$16:BK$21,$B50)&gt;0,COUNTA(BK$7:BK$15),0)+IF(COUNTIF(BK$37:BK$42,$B50)&gt;0,COUNTA(BK$27:BK$35),0))</f>
        <v/>
      </c>
      <c r="BL50" s="55" t="str">
        <f>IF($B50="","",IF(COUNTIF(BL$16:BL$21,$B50)&gt;0,COUNTA(BL$7:BL$15),0)+IF(COUNTIF(BL$37:BL$42,$B50)&gt;0,COUNTA(BL$27:BL$35),0))</f>
        <v/>
      </c>
      <c r="BM50" s="55" t="str">
        <f>IF($B50="","",IF(COUNTIF(BM$16:BM$21,$B50)&gt;0,COUNTA(BM$7:BM$15),0)+IF(COUNTIF(BM$37:BM$42,$B50)&gt;0,COUNTA(BM$27:BM$35),0))</f>
        <v/>
      </c>
      <c r="BN50" s="55" t="str">
        <f>IF($B50="","",IF(COUNTIF(BN$16:BN$21,$B50)&gt;0,COUNTA(BN$7:BN$15),0)+IF(COUNTIF(BN$37:BN$42,$B50)&gt;0,COUNTA(BN$27:BN$35),0))</f>
        <v/>
      </c>
      <c r="BO50" s="55" t="str">
        <f>IF($B50="","",IF(COUNTIF(BO$16:BO$21,$B50)&gt;0,COUNTA(BO$7:BO$15),0)+IF(COUNTIF(BO$37:BO$42,$B50)&gt;0,COUNTA(BO$27:BO$35),0))</f>
        <v/>
      </c>
      <c r="BP50" s="55" t="str">
        <f>IF($B50="","",IF(COUNTIF(BP$16:BP$21,$B50)&gt;0,COUNTA(BP$7:BP$15),0)+IF(COUNTIF(BP$37:BP$42,$B50)&gt;0,COUNTA(BP$27:BP$35),0))</f>
        <v/>
      </c>
      <c r="BQ50" s="55" t="str">
        <f>IF($B50="","",IF(COUNTIF(BQ$16:BQ$21,$B50)&gt;0,COUNTA(BQ$7:BQ$15),0)+IF(COUNTIF(BQ$37:BQ$42,$B50)&gt;0,COUNTA(BQ$27:BQ$35),0))</f>
        <v/>
      </c>
      <c r="BR50" s="55" t="str">
        <f>IF($B50="","",IF(COUNTIF(BR$16:BR$21,$B50)&gt;0,COUNTA(BR$7:BR$15),0)+IF(COUNTIF(BR$37:BR$42,$B50)&gt;0,COUNTA(BR$27:BR$35),0))</f>
        <v/>
      </c>
      <c r="BS50" s="55" t="str">
        <f>IF($B50="","",IF(COUNTIF(BS$16:BS$21,$B50)&gt;0,COUNTA(BS$7:BS$15),0)+IF(COUNTIF(BS$37:BS$42,$B50)&gt;0,COUNTA(BS$27:BS$35),0))</f>
        <v/>
      </c>
      <c r="BT50" s="55" t="str">
        <f>IF($B50="","",IF(COUNTIF(BT$16:BT$21,$B50)&gt;0,COUNTA(BT$7:BT$15),0)+IF(COUNTIF(BT$37:BT$42,$B50)&gt;0,COUNTA(BT$27:BT$35),0))</f>
        <v/>
      </c>
      <c r="BU50" s="55" t="str">
        <f>IF($B50="","",IF(COUNTIF(BU$16:BU$21,$B50)&gt;0,COUNTA(BU$7:BU$15),0)+IF(COUNTIF(BU$37:BU$42,$B50)&gt;0,COUNTA(BU$27:BU$35),0))</f>
        <v/>
      </c>
      <c r="BV50" s="55" t="str">
        <f>IF($B50="","",IF(COUNTIF(BV$16:BV$21,$B50)&gt;0,COUNTA(BV$7:BV$15),0)+IF(COUNTIF(BV$37:BV$42,$B50)&gt;0,COUNTA(BV$27:BV$35),0))</f>
        <v/>
      </c>
      <c r="BW50" s="55" t="str">
        <f>IF($B50="","",IF(COUNTIF(BW$16:BW$21,$B50)&gt;0,COUNTA(BW$7:BW$15),0)+IF(COUNTIF(BW$37:BW$42,$B50)&gt;0,COUNTA(BW$27:BW$35),0))</f>
        <v/>
      </c>
      <c r="BX50" s="55" t="str">
        <f>IF($B50="","",IF(COUNTIF(BX$16:BX$21,$B50)&gt;0,COUNTA(BX$7:BX$15),0)+IF(COUNTIF(BX$37:BX$42,$B50)&gt;0,COUNTA(BX$27:BX$35),0))</f>
        <v/>
      </c>
      <c r="BY50" s="55" t="str">
        <f>IF($B50="","",IF(COUNTIF(BY$16:BY$21,$B50)&gt;0,COUNTA(BY$7:BY$15),0)+IF(COUNTIF(BY$37:BY$42,$B50)&gt;0,COUNTA(BY$27:BY$35),0))</f>
        <v/>
      </c>
      <c r="BZ50" s="55" t="str">
        <f>IF($B50="","",IF(COUNTIF(BZ$16:BZ$21,$B50)&gt;0,COUNTA(BZ$7:BZ$15),0)+IF(COUNTIF(BZ$37:BZ$42,$B50)&gt;0,COUNTA(BZ$27:BZ$35),0))</f>
        <v/>
      </c>
      <c r="CA50" s="55" t="str">
        <f>IF($B50="","",IF(COUNTIF(CA$16:CA$21,$B50)&gt;0,COUNTA(CA$7:CA$15),0)+IF(COUNTIF(CA$37:CA$42,$B50)&gt;0,COUNTA(CA$27:CA$35),0))</f>
        <v/>
      </c>
      <c r="CB50" s="55" t="str">
        <f>IF($B50="","",IF(COUNTIF(CB$16:CB$21,$B50)&gt;0,COUNTA(CB$7:CB$15),0)+IF(COUNTIF(CB$37:CB$42,$B50)&gt;0,COUNTA(CB$27:CB$35),0))</f>
        <v/>
      </c>
      <c r="CC50" s="55" t="str">
        <f>IF($B50="","",IF(COUNTIF(CC$16:CC$21,$B50)&gt;0,COUNTA(CC$7:CC$15),0)+IF(COUNTIF(CC$37:CC$42,$B50)&gt;0,COUNTA(CC$27:CC$35),0))</f>
        <v/>
      </c>
      <c r="CD50" s="55" t="str">
        <f>IF($B50="","",IF(COUNTIF(CD$16:CD$21,$B50)&gt;0,COUNTA(CD$7:CD$15),0)+IF(COUNTIF(CD$37:CD$42,$B50)&gt;0,COUNTA(CD$27:CD$35),0))</f>
        <v/>
      </c>
      <c r="CE50" s="55" t="str">
        <f>IF($B50="","",IF(COUNTIF(CE$16:CE$21,$B50)&gt;0,COUNTA(CE$7:CE$15),0)+IF(COUNTIF(CE$37:CE$42,$B50)&gt;0,COUNTA(CE$27:CE$35),0))</f>
        <v/>
      </c>
      <c r="CF50" s="55" t="str">
        <f>IF($B50="","",IF(COUNTIF(CF$16:CF$21,$B50)&gt;0,COUNTA(CF$7:CF$15),0)+IF(COUNTIF(CF$37:CF$42,$B50)&gt;0,COUNTA(CF$27:CF$35),0))</f>
        <v/>
      </c>
      <c r="CG50" s="55" t="str">
        <f>IF($B50="","",IF(COUNTIF(CG$16:CG$21,$B50)&gt;0,COUNTA(CG$7:CG$15),0)+IF(COUNTIF(CG$37:CG$42,$B50)&gt;0,COUNTA(CG$27:CG$35),0))</f>
        <v/>
      </c>
      <c r="CH50" s="55" t="str">
        <f>IF($B50="","",IF(COUNTIF(CH$16:CH$21,$B50)&gt;0,COUNTA(CH$7:CH$15),0)+IF(COUNTIF(CH$37:CH$42,$B50)&gt;0,COUNTA(CH$27:CH$35),0))</f>
        <v/>
      </c>
      <c r="CI50" s="55" t="str">
        <f>IF($B50="","",IF(COUNTIF(CI$16:CI$21,$B50)&gt;0,COUNTA(CI$7:CI$15),0)+IF(COUNTIF(CI$37:CI$42,$B50)&gt;0,COUNTA(CI$27:CI$35),0))</f>
        <v/>
      </c>
      <c r="CJ50" s="55" t="str">
        <f>IF($B50="","",IF(COUNTIF(CJ$16:CJ$21,$B50)&gt;0,COUNTA(CJ$7:CJ$15),0)+IF(COUNTIF(CJ$37:CJ$42,$B50)&gt;0,COUNTA(CJ$27:CJ$35),0))</f>
        <v/>
      </c>
      <c r="CK50" s="55" t="str">
        <f>IF($B50="","",IF(COUNTIF(CK$16:CK$21,$B50)&gt;0,COUNTA(CK$7:CK$15),0)+IF(COUNTIF(CK$37:CK$42,$B50)&gt;0,COUNTA(CK$27:CK$35),0))</f>
        <v/>
      </c>
      <c r="CL50" s="55" t="str">
        <f>IF($B50="","",IF(COUNTIF(CL$16:CL$21,$B50)&gt;0,COUNTA(CL$7:CL$15),0)+IF(COUNTIF(CL$37:CL$42,$B50)&gt;0,COUNTA(CL$27:CL$35),0))</f>
        <v/>
      </c>
      <c r="CM50" s="55" t="str">
        <f>IF($B50="","",IF(COUNTIF(CM$16:CM$21,$B50)&gt;0,COUNTA(CM$7:CM$15),0)+IF(COUNTIF(CM$37:CM$42,$B50)&gt;0,COUNTA(CM$27:CM$35),0))</f>
        <v/>
      </c>
      <c r="CN50" s="55" t="str">
        <f>IF($B50="","",IF(COUNTIF(CN$16:CN$21,$B50)&gt;0,COUNTA(CN$7:CN$15),0)+IF(COUNTIF(CN$37:CN$42,$B50)&gt;0,COUNTA(CN$27:CN$35),0))</f>
        <v/>
      </c>
      <c r="CO50" s="55" t="str">
        <f>IF($B50="","",IF(COUNTIF(CO$16:CO$21,$B50)&gt;0,COUNTA(CO$7:CO$15),0)+IF(COUNTIF(CO$37:CO$42,$B50)&gt;0,COUNTA(CO$27:CO$35),0))</f>
        <v/>
      </c>
      <c r="CP50" s="55" t="str">
        <f>IF($B50="","",IF(COUNTIF(CP$16:CP$21,$B50)&gt;0,COUNTA(CP$7:CP$15),0)+IF(COUNTIF(CP$37:CP$42,$B50)&gt;0,COUNTA(CP$27:CP$35),0))</f>
        <v/>
      </c>
      <c r="CQ50" s="55" t="str">
        <f>IF($B50="","",IF(COUNTIF(CQ$16:CQ$21,$B50)&gt;0,COUNTA(CQ$7:CQ$15),0)+IF(COUNTIF(CQ$37:CQ$42,$B50)&gt;0,COUNTA(CQ$27:CQ$35),0))</f>
        <v/>
      </c>
      <c r="CR50" s="55" t="str">
        <f>IF($B50="","",IF(COUNTIF(CR$16:CR$21,$B50)&gt;0,COUNTA(CR$7:CR$15),0)+IF(COUNTIF(CR$37:CR$42,$B50)&gt;0,COUNTA(CR$27:CR$35),0))</f>
        <v/>
      </c>
      <c r="CS50" s="55" t="str">
        <f>IF($B50="","",IF(COUNTIF(CS$16:CS$21,$B50)&gt;0,COUNTA(CS$7:CS$15),0)+IF(COUNTIF(CS$37:CS$42,$B50)&gt;0,COUNTA(CS$27:CS$35),0))</f>
        <v/>
      </c>
      <c r="CT50" s="55" t="str">
        <f>IF($B50="","",IF(COUNTIF(CT$16:CT$21,$B50)&gt;0,COUNTA(CT$7:CT$15),0)+IF(COUNTIF(CT$37:CT$42,$B50)&gt;0,COUNTA(CT$27:CT$35),0))</f>
        <v/>
      </c>
      <c r="CU50" s="55" t="str">
        <f>IF($B50="","",IF(COUNTIF(CU$16:CU$21,$B50)&gt;0,COUNTA(CU$7:CU$15),0)+IF(COUNTIF(CU$37:CU$42,$B50)&gt;0,COUNTA(CU$27:CU$35),0))</f>
        <v/>
      </c>
      <c r="CV50" s="55" t="str">
        <f>IF($B50="","",IF(COUNTIF(CV$16:CV$21,$B50)&gt;0,COUNTA(CV$7:CV$15),0)+IF(COUNTIF(CV$37:CV$42,$B50)&gt;0,COUNTA(CV$27:CV$35),0))</f>
        <v/>
      </c>
      <c r="CW50" s="55" t="str">
        <f>IF($B50="","",IF(COUNTIF(CW$16:CW$21,$B50)&gt;0,COUNTA(CW$7:CW$15),0)+IF(COUNTIF(CW$37:CW$42,$B50)&gt;0,COUNTA(CW$27:CW$35),0))</f>
        <v/>
      </c>
      <c r="CX50" s="55" t="str">
        <f>IF($B50="","",IF(COUNTIF(CX$16:CX$21,$B50)&gt;0,COUNTA(CX$7:CX$15),0)+IF(COUNTIF(CX$37:CX$42,$B50)&gt;0,COUNTA(CX$27:CX$35),0))</f>
        <v/>
      </c>
      <c r="CY50" s="55" t="str">
        <f>IF($B50="","",IF(COUNTIF(CY$16:CY$21,$B50)&gt;0,COUNTA(CY$7:CY$15),0)+IF(COUNTIF(CY$37:CY$42,$B50)&gt;0,COUNTA(CY$27:CY$35),0))</f>
        <v/>
      </c>
      <c r="CZ50" s="55" t="str">
        <f>IF($B50="","",IF(COUNTIF(CZ$16:CZ$21,$B50)&gt;0,COUNTA(CZ$7:CZ$15),0)+IF(COUNTIF(CZ$37:CZ$42,$B50)&gt;0,COUNTA(CZ$27:CZ$35),0))</f>
        <v/>
      </c>
      <c r="DA50" s="55" t="str">
        <f>IF($B50="","",IF(COUNTIF(DA$16:DA$21,$B50)&gt;0,COUNTA(DA$7:DA$15),0)+IF(COUNTIF(DA$37:DA$42,$B50)&gt;0,COUNTA(DA$27:DA$35),0))</f>
        <v/>
      </c>
      <c r="DB50" s="55" t="str">
        <f>IF($B50="","",IF(COUNTIF(DB$16:DB$21,$B50)&gt;0,COUNTA(DB$7:DB$15),0)+IF(COUNTIF(DB$37:DB$42,$B50)&gt;0,COUNTA(DB$27:DB$35),0))</f>
        <v/>
      </c>
      <c r="DC50" s="55" t="str">
        <f>IF($B50="","",IF(COUNTIF(DC$16:DC$21,$B50)&gt;0,COUNTA(DC$7:DC$15),0)+IF(COUNTIF(DC$37:DC$42,$B50)&gt;0,COUNTA(DC$27:DC$35),0))</f>
        <v/>
      </c>
      <c r="DD50" s="55" t="str">
        <f>IF($B50="","",IF(COUNTIF(DD$16:DD$21,$B50)&gt;0,COUNTA(DD$7:DD$15),0)+IF(COUNTIF(DD$37:DD$42,$B50)&gt;0,COUNTA(DD$27:DD$35),0))</f>
        <v/>
      </c>
      <c r="DE50" s="58" t="str">
        <f>IF($B50="","",IF(COUNTIF(DE$16:DE$21,$B50)&gt;0,COUNTA(DE$7:DE$15),0)+IF(COUNTIF(DE$37:DE$42,$B50)&gt;0,COUNTA(DE$27:DE$35),0))</f>
        <v/>
      </c>
    </row>
    <row r="51" spans="2:109" x14ac:dyDescent="0.2">
      <c r="B51" s="84" t="str">
        <f>IFERROR(INDEX(_xlfn._xlws.FILTER(Ressourcer!$B$1:$X$1,_xlfn.BYCOL(Ressourcer!$B$23:$X$25,_xlfn.LAMBDA(_xlpm.c,COUNTIF(_xlpm.c,"&lt;&gt;" )&gt;0))),ROWS($B$2:B8)),"")</f>
        <v/>
      </c>
      <c r="C51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)&gt;0))),_xlfn.LAMBDA(_xlpm.col,SUM(INDEX(Ressourcer!$B$23:$X$25,,_xlpm.col-COLUMN(Ressourcer!$B$23:$X$25)+1)))),ROWS($B$2:B8))/2,"")</f>
        <v/>
      </c>
      <c r="D51" s="106" t="str">
        <f t="shared" si="35"/>
        <v/>
      </c>
      <c r="E51" s="57" t="str">
        <f>IF($B51="","",IF(COUNTIF(E$16:E$21,$B51)&gt;0,COUNTA(E$7:E$15),0)+IF(COUNTIF(E$37:E$42,$B51)&gt;0,COUNTA(E$27:E$35),0))</f>
        <v/>
      </c>
      <c r="F51" s="55" t="str">
        <f>IF($B51="","",IF(COUNTIF(F$16:F$21,$B51)&gt;0,COUNTA(F$7:F$15),0)+IF(COUNTIF(F$37:F$42,$B51)&gt;0,COUNTA(F$27:F$35),0))</f>
        <v/>
      </c>
      <c r="G51" s="55" t="str">
        <f>IF($B51="","",IF(COUNTIF(G$16:G$21,$B51)&gt;0,COUNTA(G$7:G$15),0)+IF(COUNTIF(G$37:G$42,$B51)&gt;0,COUNTA(G$27:G$35),0))</f>
        <v/>
      </c>
      <c r="H51" s="55" t="str">
        <f>IF($B51="","",IF(COUNTIF(H$16:H$21,$B51)&gt;0,COUNTA(H$7:H$15),0)+IF(COUNTIF(H$37:H$42,$B51)&gt;0,COUNTA(H$27:H$35),0))</f>
        <v/>
      </c>
      <c r="I51" s="55" t="str">
        <f>IF($B51="","",IF(COUNTIF(I$16:I$21,$B51)&gt;0,COUNTA(I$7:I$15),0)+IF(COUNTIF(I$37:I$42,$B51)&gt;0,COUNTA(I$27:I$35),0))</f>
        <v/>
      </c>
      <c r="J51" s="55" t="str">
        <f>IF($B51="","",IF(COUNTIF(J$16:J$21,$B51)&gt;0,COUNTA(J$7:J$15),0)+IF(COUNTIF(J$37:J$42,$B51)&gt;0,COUNTA(J$27:J$35),0))</f>
        <v/>
      </c>
      <c r="K51" s="55" t="str">
        <f>IF($B51="","",IF(COUNTIF(K$16:K$21,$B51)&gt;0,COUNTA(K$7:K$15),0)+IF(COUNTIF(K$37:K$42,$B51)&gt;0,COUNTA(K$27:K$35),0))</f>
        <v/>
      </c>
      <c r="L51" s="55" t="str">
        <f>IF($B51="","",IF(COUNTIF(L$16:L$21,$B51)&gt;0,COUNTA(L$7:L$15),0)+IF(COUNTIF(L$37:L$42,$B51)&gt;0,COUNTA(L$27:L$35),0))</f>
        <v/>
      </c>
      <c r="M51" s="55" t="str">
        <f>IF($B51="","",IF(COUNTIF(M$16:M$21,$B51)&gt;0,COUNTA(M$7:M$15),0)+IF(COUNTIF(M$37:M$42,$B51)&gt;0,COUNTA(M$27:M$35),0))</f>
        <v/>
      </c>
      <c r="N51" s="55" t="str">
        <f>IF($B51="","",IF(COUNTIF(N$16:N$21,$B51)&gt;0,COUNTA(N$7:N$15),0)+IF(COUNTIF(N$37:N$42,$B51)&gt;0,COUNTA(N$27:N$35),0))</f>
        <v/>
      </c>
      <c r="O51" s="55" t="str">
        <f>IF($B51="","",IF(COUNTIF(O$16:O$21,$B51)&gt;0,COUNTA(O$7:O$15),0)+IF(COUNTIF(O$37:O$42,$B51)&gt;0,COUNTA(O$27:O$35),0))</f>
        <v/>
      </c>
      <c r="P51" s="55" t="str">
        <f>IF($B51="","",IF(COUNTIF(P$16:P$21,$B51)&gt;0,COUNTA(P$7:P$15),0)+IF(COUNTIF(P$37:P$42,$B51)&gt;0,COUNTA(P$27:P$35),0))</f>
        <v/>
      </c>
      <c r="Q51" s="55" t="str">
        <f>IF($B51="","",IF(COUNTIF(Q$16:Q$21,$B51)&gt;0,COUNTA(Q$7:Q$15),0)+IF(COUNTIF(Q$37:Q$42,$B51)&gt;0,COUNTA(Q$27:Q$35),0))</f>
        <v/>
      </c>
      <c r="R51" s="55" t="str">
        <f>IF($B51="","",IF(COUNTIF(R$16:R$21,$B51)&gt;0,COUNTA(R$7:R$15),0)+IF(COUNTIF(R$37:R$42,$B51)&gt;0,COUNTA(R$27:R$35),0))</f>
        <v/>
      </c>
      <c r="S51" s="55" t="str">
        <f>IF($B51="","",IF(COUNTIF(S$16:S$21,$B51)&gt;0,COUNTA(S$7:S$15),0)+IF(COUNTIF(S$37:S$42,$B51)&gt;0,COUNTA(S$27:S$35),0))</f>
        <v/>
      </c>
      <c r="T51" s="55" t="str">
        <f>IF($B51="","",IF(COUNTIF(T$16:T$21,$B51)&gt;0,COUNTA(T$7:T$15),0)+IF(COUNTIF(T$37:T$42,$B51)&gt;0,COUNTA(T$27:T$35),0))</f>
        <v/>
      </c>
      <c r="U51" s="55" t="str">
        <f>IF($B51="","",IF(COUNTIF(U$16:U$21,$B51)&gt;0,COUNTA(U$7:U$15),0)+IF(COUNTIF(U$37:U$42,$B51)&gt;0,COUNTA(U$27:U$35),0))</f>
        <v/>
      </c>
      <c r="V51" s="55" t="str">
        <f>IF($B51="","",IF(COUNTIF(V$16:V$21,$B51)&gt;0,COUNTA(V$7:V$15),0)+IF(COUNTIF(V$37:V$42,$B51)&gt;0,COUNTA(V$27:V$35),0))</f>
        <v/>
      </c>
      <c r="W51" s="55" t="str">
        <f>IF($B51="","",IF(COUNTIF(W$16:W$21,$B51)&gt;0,COUNTA(W$7:W$15),0)+IF(COUNTIF(W$37:W$42,$B51)&gt;0,COUNTA(W$27:W$35),0))</f>
        <v/>
      </c>
      <c r="X51" s="55" t="str">
        <f>IF($B51="","",IF(COUNTIF(X$16:X$21,$B51)&gt;0,COUNTA(X$7:X$15),0)+IF(COUNTIF(X$37:X$42,$B51)&gt;0,COUNTA(X$27:X$35),0))</f>
        <v/>
      </c>
      <c r="Y51" s="55" t="str">
        <f>IF($B51="","",IF(COUNTIF(Y$16:Y$21,$B51)&gt;0,COUNTA(Y$7:Y$15),0)+IF(COUNTIF(Y$37:Y$42,$B51)&gt;0,COUNTA(Y$27:Y$35),0))</f>
        <v/>
      </c>
      <c r="Z51" s="55" t="str">
        <f>IF($B51="","",IF(COUNTIF(Z$16:Z$21,$B51)&gt;0,COUNTA(Z$7:Z$15),0)+IF(COUNTIF(Z$37:Z$42,$B51)&gt;0,COUNTA(Z$27:Z$35),0))</f>
        <v/>
      </c>
      <c r="AA51" s="55" t="str">
        <f>IF($B51="","",IF(COUNTIF(AA$16:AA$21,$B51)&gt;0,COUNTA(AA$7:AA$15),0)+IF(COUNTIF(AA$37:AA$42,$B51)&gt;0,COUNTA(AA$27:AA$35),0))</f>
        <v/>
      </c>
      <c r="AB51" s="55" t="str">
        <f>IF($B51="","",IF(COUNTIF(AB$16:AB$21,$B51)&gt;0,COUNTA(AB$7:AB$15),0)+IF(COUNTIF(AB$37:AB$42,$B51)&gt;0,COUNTA(AB$27:AB$35),0))</f>
        <v/>
      </c>
      <c r="AC51" s="55" t="str">
        <f>IF($B51="","",IF(COUNTIF(AC$16:AC$21,$B51)&gt;0,COUNTA(AC$7:AC$15),0)+IF(COUNTIF(AC$37:AC$42,$B51)&gt;0,COUNTA(AC$27:AC$35),0))</f>
        <v/>
      </c>
      <c r="AD51" s="55" t="str">
        <f>IF($B51="","",IF(COUNTIF(AD$16:AD$21,$B51)&gt;0,COUNTA(AD$7:AD$15),0)+IF(COUNTIF(AD$37:AD$42,$B51)&gt;0,COUNTA(AD$27:AD$35),0))</f>
        <v/>
      </c>
      <c r="AE51" s="55" t="str">
        <f>IF($B51="","",IF(COUNTIF(AE$16:AE$21,$B51)&gt;0,COUNTA(AE$7:AE$15),0)+IF(COUNTIF(AE$37:AE$42,$B51)&gt;0,COUNTA(AE$27:AE$35),0))</f>
        <v/>
      </c>
      <c r="AF51" s="55" t="str">
        <f>IF($B51="","",IF(COUNTIF(AF$16:AF$21,$B51)&gt;0,COUNTA(AF$7:AF$15),0)+IF(COUNTIF(AF$37:AF$42,$B51)&gt;0,COUNTA(AF$27:AF$35),0))</f>
        <v/>
      </c>
      <c r="AG51" s="55" t="str">
        <f>IF($B51="","",IF(COUNTIF(AG$16:AG$21,$B51)&gt;0,COUNTA(AG$7:AG$15),0)+IF(COUNTIF(AG$37:AG$42,$B51)&gt;0,COUNTA(AG$27:AG$35),0))</f>
        <v/>
      </c>
      <c r="AH51" s="55" t="str">
        <f>IF($B51="","",IF(COUNTIF(AH$16:AH$21,$B51)&gt;0,COUNTA(AH$7:AH$15),0)+IF(COUNTIF(AH$37:AH$42,$B51)&gt;0,COUNTA(AH$27:AH$35),0))</f>
        <v/>
      </c>
      <c r="AI51" s="55" t="str">
        <f>IF($B51="","",IF(COUNTIF(AI$16:AI$21,$B51)&gt;0,COUNTA(AI$7:AI$15),0)+IF(COUNTIF(AI$37:AI$42,$B51)&gt;0,COUNTA(AI$27:AI$35),0))</f>
        <v/>
      </c>
      <c r="AJ51" s="55" t="str">
        <f>IF($B51="","",IF(COUNTIF(AJ$16:AJ$21,$B51)&gt;0,COUNTA(AJ$7:AJ$15),0)+IF(COUNTIF(AJ$37:AJ$42,$B51)&gt;0,COUNTA(AJ$27:AJ$35),0))</f>
        <v/>
      </c>
      <c r="AK51" s="55" t="str">
        <f>IF($B51="","",IF(COUNTIF(AK$16:AK$21,$B51)&gt;0,COUNTA(AK$7:AK$15),0)+IF(COUNTIF(AK$37:AK$42,$B51)&gt;0,COUNTA(AK$27:AK$35),0))</f>
        <v/>
      </c>
      <c r="AL51" s="55" t="str">
        <f>IF($B51="","",IF(COUNTIF(AL$16:AL$21,$B51)&gt;0,COUNTA(AL$7:AL$15),0)+IF(COUNTIF(AL$37:AL$42,$B51)&gt;0,COUNTA(AL$27:AL$35),0))</f>
        <v/>
      </c>
      <c r="AM51" s="55" t="str">
        <f>IF($B51="","",IF(COUNTIF(AM$16:AM$21,$B51)&gt;0,COUNTA(AM$7:AM$15),0)+IF(COUNTIF(AM$37:AM$42,$B51)&gt;0,COUNTA(AM$27:AM$35),0))</f>
        <v/>
      </c>
      <c r="AN51" s="55" t="str">
        <f>IF($B51="","",IF(COUNTIF(AN$16:AN$21,$B51)&gt;0,COUNTA(AN$7:AN$15),0)+IF(COUNTIF(AN$37:AN$42,$B51)&gt;0,COUNTA(AN$27:AN$35),0))</f>
        <v/>
      </c>
      <c r="AO51" s="55" t="str">
        <f>IF($B51="","",IF(COUNTIF(AO$16:AO$21,$B51)&gt;0,COUNTA(AO$7:AO$15),0)+IF(COUNTIF(AO$37:AO$42,$B51)&gt;0,COUNTA(AO$27:AO$35),0))</f>
        <v/>
      </c>
      <c r="AP51" s="55" t="str">
        <f>IF($B51="","",IF(COUNTIF(AP$16:AP$21,$B51)&gt;0,COUNTA(AP$7:AP$15),0)+IF(COUNTIF(AP$37:AP$42,$B51)&gt;0,COUNTA(AP$27:AP$35),0))</f>
        <v/>
      </c>
      <c r="AQ51" s="55" t="str">
        <f>IF($B51="","",IF(COUNTIF(AQ$16:AQ$21,$B51)&gt;0,COUNTA(AQ$7:AQ$15),0)+IF(COUNTIF(AQ$37:AQ$42,$B51)&gt;0,COUNTA(AQ$27:AQ$35),0))</f>
        <v/>
      </c>
      <c r="AR51" s="55" t="str">
        <f>IF($B51="","",IF(COUNTIF(AR$16:AR$21,$B51)&gt;0,COUNTA(AR$7:AR$15),0)+IF(COUNTIF(AR$37:AR$42,$B51)&gt;0,COUNTA(AR$27:AR$35),0))</f>
        <v/>
      </c>
      <c r="AS51" s="55" t="str">
        <f>IF($B51="","",IF(COUNTIF(AS$16:AS$21,$B51)&gt;0,COUNTA(AS$7:AS$15),0)+IF(COUNTIF(AS$37:AS$42,$B51)&gt;0,COUNTA(AS$27:AS$35),0))</f>
        <v/>
      </c>
      <c r="AT51" s="55" t="str">
        <f>IF($B51="","",IF(COUNTIF(AT$16:AT$21,$B51)&gt;0,COUNTA(AT$7:AT$15),0)+IF(COUNTIF(AT$37:AT$42,$B51)&gt;0,COUNTA(AT$27:AT$35),0))</f>
        <v/>
      </c>
      <c r="AU51" s="55" t="str">
        <f>IF($B51="","",IF(COUNTIF(AU$16:AU$21,$B51)&gt;0,COUNTA(AU$7:AU$15),0)+IF(COUNTIF(AU$37:AU$42,$B51)&gt;0,COUNTA(AU$27:AU$35),0))</f>
        <v/>
      </c>
      <c r="AV51" s="55" t="str">
        <f>IF($B51="","",IF(COUNTIF(AV$16:AV$21,$B51)&gt;0,COUNTA(AV$7:AV$15),0)+IF(COUNTIF(AV$37:AV$42,$B51)&gt;0,COUNTA(AV$27:AV$35),0))</f>
        <v/>
      </c>
      <c r="AW51" s="55" t="str">
        <f>IF($B51="","",IF(COUNTIF(AW$16:AW$21,$B51)&gt;0,COUNTA(AW$7:AW$15),0)+IF(COUNTIF(AW$37:AW$42,$B51)&gt;0,COUNTA(AW$27:AW$35),0))</f>
        <v/>
      </c>
      <c r="AX51" s="55" t="str">
        <f>IF($B51="","",IF(COUNTIF(AX$16:AX$21,$B51)&gt;0,COUNTA(AX$7:AX$15),0)+IF(COUNTIF(AX$37:AX$42,$B51)&gt;0,COUNTA(AX$27:AX$35),0))</f>
        <v/>
      </c>
      <c r="AY51" s="55" t="str">
        <f>IF($B51="","",IF(COUNTIF(AY$16:AY$21,$B51)&gt;0,COUNTA(AY$7:AY$15),0)+IF(COUNTIF(AY$37:AY$42,$B51)&gt;0,COUNTA(AY$27:AY$35),0))</f>
        <v/>
      </c>
      <c r="AZ51" s="55" t="str">
        <f>IF($B51="","",IF(COUNTIF(AZ$16:AZ$21,$B51)&gt;0,COUNTA(AZ$7:AZ$15),0)+IF(COUNTIF(AZ$37:AZ$42,$B51)&gt;0,COUNTA(AZ$27:AZ$35),0))</f>
        <v/>
      </c>
      <c r="BA51" s="55" t="str">
        <f>IF($B51="","",IF(COUNTIF(BA$16:BA$21,$B51)&gt;0,COUNTA(BA$7:BA$15),0)+IF(COUNTIF(BA$37:BA$42,$B51)&gt;0,COUNTA(BA$27:BA$35),0))</f>
        <v/>
      </c>
      <c r="BB51" s="55" t="str">
        <f>IF($B51="","",IF(COUNTIF(BB$16:BB$21,$B51)&gt;0,COUNTA(BB$7:BB$15),0)+IF(COUNTIF(BB$37:BB$42,$B51)&gt;0,COUNTA(BB$27:BB$35),0))</f>
        <v/>
      </c>
      <c r="BC51" s="55" t="str">
        <f>IF($B51="","",IF(COUNTIF(BC$16:BC$21,$B51)&gt;0,COUNTA(BC$7:BC$15),0)+IF(COUNTIF(BC$37:BC$42,$B51)&gt;0,COUNTA(BC$27:BC$35),0))</f>
        <v/>
      </c>
      <c r="BD51" s="55" t="str">
        <f>IF($B51="","",IF(COUNTIF(BD$16:BD$21,$B51)&gt;0,COUNTA(BD$7:BD$15),0)+IF(COUNTIF(BD$37:BD$42,$B51)&gt;0,COUNTA(BD$27:BD$35),0))</f>
        <v/>
      </c>
      <c r="BE51" s="55" t="str">
        <f>IF($B51="","",IF(COUNTIF(BE$16:BE$21,$B51)&gt;0,COUNTA(BE$7:BE$15),0)+IF(COUNTIF(BE$37:BE$42,$B51)&gt;0,COUNTA(BE$27:BE$35),0))</f>
        <v/>
      </c>
      <c r="BF51" s="55" t="str">
        <f>IF($B51="","",IF(COUNTIF(BF$16:BF$21,$B51)&gt;0,COUNTA(BF$7:BF$15),0)+IF(COUNTIF(BF$37:BF$42,$B51)&gt;0,COUNTA(BF$27:BF$35),0))</f>
        <v/>
      </c>
      <c r="BG51" s="55" t="str">
        <f>IF($B51="","",IF(COUNTIF(BG$16:BG$21,$B51)&gt;0,COUNTA(BG$7:BG$15),0)+IF(COUNTIF(BG$37:BG$42,$B51)&gt;0,COUNTA(BG$27:BG$35),0))</f>
        <v/>
      </c>
      <c r="BH51" s="55" t="str">
        <f>IF($B51="","",IF(COUNTIF(BH$16:BH$21,$B51)&gt;0,COUNTA(BH$7:BH$15),0)+IF(COUNTIF(BH$37:BH$42,$B51)&gt;0,COUNTA(BH$27:BH$35),0))</f>
        <v/>
      </c>
      <c r="BI51" s="55" t="str">
        <f>IF($B51="","",IF(COUNTIF(BI$16:BI$21,$B51)&gt;0,COUNTA(BI$7:BI$15),0)+IF(COUNTIF(BI$37:BI$42,$B51)&gt;0,COUNTA(BI$27:BI$35),0))</f>
        <v/>
      </c>
      <c r="BJ51" s="55" t="str">
        <f>IF($B51="","",IF(COUNTIF(BJ$16:BJ$21,$B51)&gt;0,COUNTA(BJ$7:BJ$15),0)+IF(COUNTIF(BJ$37:BJ$42,$B51)&gt;0,COUNTA(BJ$27:BJ$35),0))</f>
        <v/>
      </c>
      <c r="BK51" s="55" t="str">
        <f>IF($B51="","",IF(COUNTIF(BK$16:BK$21,$B51)&gt;0,COUNTA(BK$7:BK$15),0)+IF(COUNTIF(BK$37:BK$42,$B51)&gt;0,COUNTA(BK$27:BK$35),0))</f>
        <v/>
      </c>
      <c r="BL51" s="55" t="str">
        <f>IF($B51="","",IF(COUNTIF(BL$16:BL$21,$B51)&gt;0,COUNTA(BL$7:BL$15),0)+IF(COUNTIF(BL$37:BL$42,$B51)&gt;0,COUNTA(BL$27:BL$35),0))</f>
        <v/>
      </c>
      <c r="BM51" s="55" t="str">
        <f>IF($B51="","",IF(COUNTIF(BM$16:BM$21,$B51)&gt;0,COUNTA(BM$7:BM$15),0)+IF(COUNTIF(BM$37:BM$42,$B51)&gt;0,COUNTA(BM$27:BM$35),0))</f>
        <v/>
      </c>
      <c r="BN51" s="55" t="str">
        <f>IF($B51="","",IF(COUNTIF(BN$16:BN$21,$B51)&gt;0,COUNTA(BN$7:BN$15),0)+IF(COUNTIF(BN$37:BN$42,$B51)&gt;0,COUNTA(BN$27:BN$35),0))</f>
        <v/>
      </c>
      <c r="BO51" s="55" t="str">
        <f>IF($B51="","",IF(COUNTIF(BO$16:BO$21,$B51)&gt;0,COUNTA(BO$7:BO$15),0)+IF(COUNTIF(BO$37:BO$42,$B51)&gt;0,COUNTA(BO$27:BO$35),0))</f>
        <v/>
      </c>
      <c r="BP51" s="55" t="str">
        <f>IF($B51="","",IF(COUNTIF(BP$16:BP$21,$B51)&gt;0,COUNTA(BP$7:BP$15),0)+IF(COUNTIF(BP$37:BP$42,$B51)&gt;0,COUNTA(BP$27:BP$35),0))</f>
        <v/>
      </c>
      <c r="BQ51" s="55" t="str">
        <f>IF($B51="","",IF(COUNTIF(BQ$16:BQ$21,$B51)&gt;0,COUNTA(BQ$7:BQ$15),0)+IF(COUNTIF(BQ$37:BQ$42,$B51)&gt;0,COUNTA(BQ$27:BQ$35),0))</f>
        <v/>
      </c>
      <c r="BR51" s="55" t="str">
        <f>IF($B51="","",IF(COUNTIF(BR$16:BR$21,$B51)&gt;0,COUNTA(BR$7:BR$15),0)+IF(COUNTIF(BR$37:BR$42,$B51)&gt;0,COUNTA(BR$27:BR$35),0))</f>
        <v/>
      </c>
      <c r="BS51" s="55" t="str">
        <f>IF($B51="","",IF(COUNTIF(BS$16:BS$21,$B51)&gt;0,COUNTA(BS$7:BS$15),0)+IF(COUNTIF(BS$37:BS$42,$B51)&gt;0,COUNTA(BS$27:BS$35),0))</f>
        <v/>
      </c>
      <c r="BT51" s="55" t="str">
        <f>IF($B51="","",IF(COUNTIF(BT$16:BT$21,$B51)&gt;0,COUNTA(BT$7:BT$15),0)+IF(COUNTIF(BT$37:BT$42,$B51)&gt;0,COUNTA(BT$27:BT$35),0))</f>
        <v/>
      </c>
      <c r="BU51" s="55" t="str">
        <f>IF($B51="","",IF(COUNTIF(BU$16:BU$21,$B51)&gt;0,COUNTA(BU$7:BU$15),0)+IF(COUNTIF(BU$37:BU$42,$B51)&gt;0,COUNTA(BU$27:BU$35),0))</f>
        <v/>
      </c>
      <c r="BV51" s="55" t="str">
        <f>IF($B51="","",IF(COUNTIF(BV$16:BV$21,$B51)&gt;0,COUNTA(BV$7:BV$15),0)+IF(COUNTIF(BV$37:BV$42,$B51)&gt;0,COUNTA(BV$27:BV$35),0))</f>
        <v/>
      </c>
      <c r="BW51" s="55" t="str">
        <f>IF($B51="","",IF(COUNTIF(BW$16:BW$21,$B51)&gt;0,COUNTA(BW$7:BW$15),0)+IF(COUNTIF(BW$37:BW$42,$B51)&gt;0,COUNTA(BW$27:BW$35),0))</f>
        <v/>
      </c>
      <c r="BX51" s="55" t="str">
        <f>IF($B51="","",IF(COUNTIF(BX$16:BX$21,$B51)&gt;0,COUNTA(BX$7:BX$15),0)+IF(COUNTIF(BX$37:BX$42,$B51)&gt;0,COUNTA(BX$27:BX$35),0))</f>
        <v/>
      </c>
      <c r="BY51" s="55" t="str">
        <f>IF($B51="","",IF(COUNTIF(BY$16:BY$21,$B51)&gt;0,COUNTA(BY$7:BY$15),0)+IF(COUNTIF(BY$37:BY$42,$B51)&gt;0,COUNTA(BY$27:BY$35),0))</f>
        <v/>
      </c>
      <c r="BZ51" s="55" t="str">
        <f>IF($B51="","",IF(COUNTIF(BZ$16:BZ$21,$B51)&gt;0,COUNTA(BZ$7:BZ$15),0)+IF(COUNTIF(BZ$37:BZ$42,$B51)&gt;0,COUNTA(BZ$27:BZ$35),0))</f>
        <v/>
      </c>
      <c r="CA51" s="55" t="str">
        <f>IF($B51="","",IF(COUNTIF(CA$16:CA$21,$B51)&gt;0,COUNTA(CA$7:CA$15),0)+IF(COUNTIF(CA$37:CA$42,$B51)&gt;0,COUNTA(CA$27:CA$35),0))</f>
        <v/>
      </c>
      <c r="CB51" s="55" t="str">
        <f>IF($B51="","",IF(COUNTIF(CB$16:CB$21,$B51)&gt;0,COUNTA(CB$7:CB$15),0)+IF(COUNTIF(CB$37:CB$42,$B51)&gt;0,COUNTA(CB$27:CB$35),0))</f>
        <v/>
      </c>
      <c r="CC51" s="55" t="str">
        <f>IF($B51="","",IF(COUNTIF(CC$16:CC$21,$B51)&gt;0,COUNTA(CC$7:CC$15),0)+IF(COUNTIF(CC$37:CC$42,$B51)&gt;0,COUNTA(CC$27:CC$35),0))</f>
        <v/>
      </c>
      <c r="CD51" s="55" t="str">
        <f>IF($B51="","",IF(COUNTIF(CD$16:CD$21,$B51)&gt;0,COUNTA(CD$7:CD$15),0)+IF(COUNTIF(CD$37:CD$42,$B51)&gt;0,COUNTA(CD$27:CD$35),0))</f>
        <v/>
      </c>
      <c r="CE51" s="55" t="str">
        <f>IF($B51="","",IF(COUNTIF(CE$16:CE$21,$B51)&gt;0,COUNTA(CE$7:CE$15),0)+IF(COUNTIF(CE$37:CE$42,$B51)&gt;0,COUNTA(CE$27:CE$35),0))</f>
        <v/>
      </c>
      <c r="CF51" s="55" t="str">
        <f>IF($B51="","",IF(COUNTIF(CF$16:CF$21,$B51)&gt;0,COUNTA(CF$7:CF$15),0)+IF(COUNTIF(CF$37:CF$42,$B51)&gt;0,COUNTA(CF$27:CF$35),0))</f>
        <v/>
      </c>
      <c r="CG51" s="55" t="str">
        <f>IF($B51="","",IF(COUNTIF(CG$16:CG$21,$B51)&gt;0,COUNTA(CG$7:CG$15),0)+IF(COUNTIF(CG$37:CG$42,$B51)&gt;0,COUNTA(CG$27:CG$35),0))</f>
        <v/>
      </c>
      <c r="CH51" s="55" t="str">
        <f>IF($B51="","",IF(COUNTIF(CH$16:CH$21,$B51)&gt;0,COUNTA(CH$7:CH$15),0)+IF(COUNTIF(CH$37:CH$42,$B51)&gt;0,COUNTA(CH$27:CH$35),0))</f>
        <v/>
      </c>
      <c r="CI51" s="55" t="str">
        <f>IF($B51="","",IF(COUNTIF(CI$16:CI$21,$B51)&gt;0,COUNTA(CI$7:CI$15),0)+IF(COUNTIF(CI$37:CI$42,$B51)&gt;0,COUNTA(CI$27:CI$35),0))</f>
        <v/>
      </c>
      <c r="CJ51" s="55" t="str">
        <f>IF($B51="","",IF(COUNTIF(CJ$16:CJ$21,$B51)&gt;0,COUNTA(CJ$7:CJ$15),0)+IF(COUNTIF(CJ$37:CJ$42,$B51)&gt;0,COUNTA(CJ$27:CJ$35),0))</f>
        <v/>
      </c>
      <c r="CK51" s="55" t="str">
        <f>IF($B51="","",IF(COUNTIF(CK$16:CK$21,$B51)&gt;0,COUNTA(CK$7:CK$15),0)+IF(COUNTIF(CK$37:CK$42,$B51)&gt;0,COUNTA(CK$27:CK$35),0))</f>
        <v/>
      </c>
      <c r="CL51" s="55" t="str">
        <f>IF($B51="","",IF(COUNTIF(CL$16:CL$21,$B51)&gt;0,COUNTA(CL$7:CL$15),0)+IF(COUNTIF(CL$37:CL$42,$B51)&gt;0,COUNTA(CL$27:CL$35),0))</f>
        <v/>
      </c>
      <c r="CM51" s="55" t="str">
        <f>IF($B51="","",IF(COUNTIF(CM$16:CM$21,$B51)&gt;0,COUNTA(CM$7:CM$15),0)+IF(COUNTIF(CM$37:CM$42,$B51)&gt;0,COUNTA(CM$27:CM$35),0))</f>
        <v/>
      </c>
      <c r="CN51" s="55" t="str">
        <f>IF($B51="","",IF(COUNTIF(CN$16:CN$21,$B51)&gt;0,COUNTA(CN$7:CN$15),0)+IF(COUNTIF(CN$37:CN$42,$B51)&gt;0,COUNTA(CN$27:CN$35),0))</f>
        <v/>
      </c>
      <c r="CO51" s="55" t="str">
        <f>IF($B51="","",IF(COUNTIF(CO$16:CO$21,$B51)&gt;0,COUNTA(CO$7:CO$15),0)+IF(COUNTIF(CO$37:CO$42,$B51)&gt;0,COUNTA(CO$27:CO$35),0))</f>
        <v/>
      </c>
      <c r="CP51" s="55" t="str">
        <f>IF($B51="","",IF(COUNTIF(CP$16:CP$21,$B51)&gt;0,COUNTA(CP$7:CP$15),0)+IF(COUNTIF(CP$37:CP$42,$B51)&gt;0,COUNTA(CP$27:CP$35),0))</f>
        <v/>
      </c>
      <c r="CQ51" s="55" t="str">
        <f>IF($B51="","",IF(COUNTIF(CQ$16:CQ$21,$B51)&gt;0,COUNTA(CQ$7:CQ$15),0)+IF(COUNTIF(CQ$37:CQ$42,$B51)&gt;0,COUNTA(CQ$27:CQ$35),0))</f>
        <v/>
      </c>
      <c r="CR51" s="55" t="str">
        <f>IF($B51="","",IF(COUNTIF(CR$16:CR$21,$B51)&gt;0,COUNTA(CR$7:CR$15),0)+IF(COUNTIF(CR$37:CR$42,$B51)&gt;0,COUNTA(CR$27:CR$35),0))</f>
        <v/>
      </c>
      <c r="CS51" s="55" t="str">
        <f>IF($B51="","",IF(COUNTIF(CS$16:CS$21,$B51)&gt;0,COUNTA(CS$7:CS$15),0)+IF(COUNTIF(CS$37:CS$42,$B51)&gt;0,COUNTA(CS$27:CS$35),0))</f>
        <v/>
      </c>
      <c r="CT51" s="55" t="str">
        <f>IF($B51="","",IF(COUNTIF(CT$16:CT$21,$B51)&gt;0,COUNTA(CT$7:CT$15),0)+IF(COUNTIF(CT$37:CT$42,$B51)&gt;0,COUNTA(CT$27:CT$35),0))</f>
        <v/>
      </c>
      <c r="CU51" s="55" t="str">
        <f>IF($B51="","",IF(COUNTIF(CU$16:CU$21,$B51)&gt;0,COUNTA(CU$7:CU$15),0)+IF(COUNTIF(CU$37:CU$42,$B51)&gt;0,COUNTA(CU$27:CU$35),0))</f>
        <v/>
      </c>
      <c r="CV51" s="55" t="str">
        <f>IF($B51="","",IF(COUNTIF(CV$16:CV$21,$B51)&gt;0,COUNTA(CV$7:CV$15),0)+IF(COUNTIF(CV$37:CV$42,$B51)&gt;0,COUNTA(CV$27:CV$35),0))</f>
        <v/>
      </c>
      <c r="CW51" s="55" t="str">
        <f>IF($B51="","",IF(COUNTIF(CW$16:CW$21,$B51)&gt;0,COUNTA(CW$7:CW$15),0)+IF(COUNTIF(CW$37:CW$42,$B51)&gt;0,COUNTA(CW$27:CW$35),0))</f>
        <v/>
      </c>
      <c r="CX51" s="55" t="str">
        <f>IF($B51="","",IF(COUNTIF(CX$16:CX$21,$B51)&gt;0,COUNTA(CX$7:CX$15),0)+IF(COUNTIF(CX$37:CX$42,$B51)&gt;0,COUNTA(CX$27:CX$35),0))</f>
        <v/>
      </c>
      <c r="CY51" s="55" t="str">
        <f>IF($B51="","",IF(COUNTIF(CY$16:CY$21,$B51)&gt;0,COUNTA(CY$7:CY$15),0)+IF(COUNTIF(CY$37:CY$42,$B51)&gt;0,COUNTA(CY$27:CY$35),0))</f>
        <v/>
      </c>
      <c r="CZ51" s="55" t="str">
        <f>IF($B51="","",IF(COUNTIF(CZ$16:CZ$21,$B51)&gt;0,COUNTA(CZ$7:CZ$15),0)+IF(COUNTIF(CZ$37:CZ$42,$B51)&gt;0,COUNTA(CZ$27:CZ$35),0))</f>
        <v/>
      </c>
      <c r="DA51" s="55" t="str">
        <f>IF($B51="","",IF(COUNTIF(DA$16:DA$21,$B51)&gt;0,COUNTA(DA$7:DA$15),0)+IF(COUNTIF(DA$37:DA$42,$B51)&gt;0,COUNTA(DA$27:DA$35),0))</f>
        <v/>
      </c>
      <c r="DB51" s="55" t="str">
        <f>IF($B51="","",IF(COUNTIF(DB$16:DB$21,$B51)&gt;0,COUNTA(DB$7:DB$15),0)+IF(COUNTIF(DB$37:DB$42,$B51)&gt;0,COUNTA(DB$27:DB$35),0))</f>
        <v/>
      </c>
      <c r="DC51" s="55" t="str">
        <f>IF($B51="","",IF(COUNTIF(DC$16:DC$21,$B51)&gt;0,COUNTA(DC$7:DC$15),0)+IF(COUNTIF(DC$37:DC$42,$B51)&gt;0,COUNTA(DC$27:DC$35),0))</f>
        <v/>
      </c>
      <c r="DD51" s="55" t="str">
        <f>IF($B51="","",IF(COUNTIF(DD$16:DD$21,$B51)&gt;0,COUNTA(DD$7:DD$15),0)+IF(COUNTIF(DD$37:DD$42,$B51)&gt;0,COUNTA(DD$27:DD$35),0))</f>
        <v/>
      </c>
      <c r="DE51" s="58" t="str">
        <f>IF($B51="","",IF(COUNTIF(DE$16:DE$21,$B51)&gt;0,COUNTA(DE$7:DE$15),0)+IF(COUNTIF(DE$37:DE$42,$B51)&gt;0,COUNTA(DE$27:DE$35),0))</f>
        <v/>
      </c>
    </row>
    <row r="52" spans="2:109" x14ac:dyDescent="0.2">
      <c r="B52" s="84" t="str">
        <f>IFERROR(INDEX(_xlfn._xlws.FILTER(Ressourcer!$B$1:$X$1,_xlfn.BYCOL(Ressourcer!$B$23:$X$25,_xlfn.LAMBDA(_xlpm.c,COUNTIF(_xlpm.c,"&lt;&gt;" )&gt;0))),ROWS($B$2:B9)),"")</f>
        <v/>
      </c>
      <c r="C52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)&gt;0))),_xlfn.LAMBDA(_xlpm.col,SUM(INDEX(Ressourcer!$B$23:$X$25,,_xlpm.col-COLUMN(Ressourcer!$B$23:$X$25)+1)))),ROWS($B$2:B9))/2,"")</f>
        <v/>
      </c>
      <c r="D52" s="106" t="str">
        <f t="shared" si="35"/>
        <v/>
      </c>
      <c r="E52" s="57" t="str">
        <f>IF($B52="","",IF(COUNTIF(E$16:E$21,$B52)&gt;0,COUNTA(E$7:E$15),0)+IF(COUNTIF(E$37:E$42,$B52)&gt;0,COUNTA(E$27:E$35),0))</f>
        <v/>
      </c>
      <c r="F52" s="55" t="str">
        <f>IF($B52="","",IF(COUNTIF(F$16:F$21,$B52)&gt;0,COUNTA(F$7:F$15),0)+IF(COUNTIF(F$37:F$42,$B52)&gt;0,COUNTA(F$27:F$35),0))</f>
        <v/>
      </c>
      <c r="G52" s="55" t="str">
        <f>IF($B52="","",IF(COUNTIF(G$16:G$21,$B52)&gt;0,COUNTA(G$7:G$15),0)+IF(COUNTIF(G$37:G$42,$B52)&gt;0,COUNTA(G$27:G$35),0))</f>
        <v/>
      </c>
      <c r="H52" s="55" t="str">
        <f>IF($B52="","",IF(COUNTIF(H$16:H$21,$B52)&gt;0,COUNTA(H$7:H$15),0)+IF(COUNTIF(H$37:H$42,$B52)&gt;0,COUNTA(H$27:H$35),0))</f>
        <v/>
      </c>
      <c r="I52" s="55" t="str">
        <f>IF($B52="","",IF(COUNTIF(I$16:I$21,$B52)&gt;0,COUNTA(I$7:I$15),0)+IF(COUNTIF(I$37:I$42,$B52)&gt;0,COUNTA(I$27:I$35),0))</f>
        <v/>
      </c>
      <c r="J52" s="55" t="str">
        <f>IF($B52="","",IF(COUNTIF(J$16:J$21,$B52)&gt;0,COUNTA(J$7:J$15),0)+IF(COUNTIF(J$37:J$42,$B52)&gt;0,COUNTA(J$27:J$35),0))</f>
        <v/>
      </c>
      <c r="K52" s="55" t="str">
        <f>IF($B52="","",IF(COUNTIF(K$16:K$21,$B52)&gt;0,COUNTA(K$7:K$15),0)+IF(COUNTIF(K$37:K$42,$B52)&gt;0,COUNTA(K$27:K$35),0))</f>
        <v/>
      </c>
      <c r="L52" s="55" t="str">
        <f>IF($B52="","",IF(COUNTIF(L$16:L$21,$B52)&gt;0,COUNTA(L$7:L$15),0)+IF(COUNTIF(L$37:L$42,$B52)&gt;0,COUNTA(L$27:L$35),0))</f>
        <v/>
      </c>
      <c r="M52" s="55" t="str">
        <f>IF($B52="","",IF(COUNTIF(M$16:M$21,$B52)&gt;0,COUNTA(M$7:M$15),0)+IF(COUNTIF(M$37:M$42,$B52)&gt;0,COUNTA(M$27:M$35),0))</f>
        <v/>
      </c>
      <c r="N52" s="55" t="str">
        <f>IF($B52="","",IF(COUNTIF(N$16:N$21,$B52)&gt;0,COUNTA(N$7:N$15),0)+IF(COUNTIF(N$37:N$42,$B52)&gt;0,COUNTA(N$27:N$35),0))</f>
        <v/>
      </c>
      <c r="O52" s="55" t="str">
        <f>IF($B52="","",IF(COUNTIF(O$16:O$21,$B52)&gt;0,COUNTA(O$7:O$15),0)+IF(COUNTIF(O$37:O$42,$B52)&gt;0,COUNTA(O$27:O$35),0))</f>
        <v/>
      </c>
      <c r="P52" s="55" t="str">
        <f>IF($B52="","",IF(COUNTIF(P$16:P$21,$B52)&gt;0,COUNTA(P$7:P$15),0)+IF(COUNTIF(P$37:P$42,$B52)&gt;0,COUNTA(P$27:P$35),0))</f>
        <v/>
      </c>
      <c r="Q52" s="55" t="str">
        <f>IF($B52="","",IF(COUNTIF(Q$16:Q$21,$B52)&gt;0,COUNTA(Q$7:Q$15),0)+IF(COUNTIF(Q$37:Q$42,$B52)&gt;0,COUNTA(Q$27:Q$35),0))</f>
        <v/>
      </c>
      <c r="R52" s="55" t="str">
        <f>IF($B52="","",IF(COUNTIF(R$16:R$21,$B52)&gt;0,COUNTA(R$7:R$15),0)+IF(COUNTIF(R$37:R$42,$B52)&gt;0,COUNTA(R$27:R$35),0))</f>
        <v/>
      </c>
      <c r="S52" s="55" t="str">
        <f>IF($B52="","",IF(COUNTIF(S$16:S$21,$B52)&gt;0,COUNTA(S$7:S$15),0)+IF(COUNTIF(S$37:S$42,$B52)&gt;0,COUNTA(S$27:S$35),0))</f>
        <v/>
      </c>
      <c r="T52" s="55" t="str">
        <f>IF($B52="","",IF(COUNTIF(T$16:T$21,$B52)&gt;0,COUNTA(T$7:T$15),0)+IF(COUNTIF(T$37:T$42,$B52)&gt;0,COUNTA(T$27:T$35),0))</f>
        <v/>
      </c>
      <c r="U52" s="55" t="str">
        <f>IF($B52="","",IF(COUNTIF(U$16:U$21,$B52)&gt;0,COUNTA(U$7:U$15),0)+IF(COUNTIF(U$37:U$42,$B52)&gt;0,COUNTA(U$27:U$35),0))</f>
        <v/>
      </c>
      <c r="V52" s="55" t="str">
        <f>IF($B52="","",IF(COUNTIF(V$16:V$21,$B52)&gt;0,COUNTA(V$7:V$15),0)+IF(COUNTIF(V$37:V$42,$B52)&gt;0,COUNTA(V$27:V$35),0))</f>
        <v/>
      </c>
      <c r="W52" s="55" t="str">
        <f>IF($B52="","",IF(COUNTIF(W$16:W$21,$B52)&gt;0,COUNTA(W$7:W$15),0)+IF(COUNTIF(W$37:W$42,$B52)&gt;0,COUNTA(W$27:W$35),0))</f>
        <v/>
      </c>
      <c r="X52" s="55" t="str">
        <f>IF($B52="","",IF(COUNTIF(X$16:X$21,$B52)&gt;0,COUNTA(X$7:X$15),0)+IF(COUNTIF(X$37:X$42,$B52)&gt;0,COUNTA(X$27:X$35),0))</f>
        <v/>
      </c>
      <c r="Y52" s="55" t="str">
        <f>IF($B52="","",IF(COUNTIF(Y$16:Y$21,$B52)&gt;0,COUNTA(Y$7:Y$15),0)+IF(COUNTIF(Y$37:Y$42,$B52)&gt;0,COUNTA(Y$27:Y$35),0))</f>
        <v/>
      </c>
      <c r="Z52" s="55" t="str">
        <f>IF($B52="","",IF(COUNTIF(Z$16:Z$21,$B52)&gt;0,COUNTA(Z$7:Z$15),0)+IF(COUNTIF(Z$37:Z$42,$B52)&gt;0,COUNTA(Z$27:Z$35),0))</f>
        <v/>
      </c>
      <c r="AA52" s="55" t="str">
        <f>IF($B52="","",IF(COUNTIF(AA$16:AA$21,$B52)&gt;0,COUNTA(AA$7:AA$15),0)+IF(COUNTIF(AA$37:AA$42,$B52)&gt;0,COUNTA(AA$27:AA$35),0))</f>
        <v/>
      </c>
      <c r="AB52" s="55" t="str">
        <f>IF($B52="","",IF(COUNTIF(AB$16:AB$21,$B52)&gt;0,COUNTA(AB$7:AB$15),0)+IF(COUNTIF(AB$37:AB$42,$B52)&gt;0,COUNTA(AB$27:AB$35),0))</f>
        <v/>
      </c>
      <c r="AC52" s="55" t="str">
        <f>IF($B52="","",IF(COUNTIF(AC$16:AC$21,$B52)&gt;0,COUNTA(AC$7:AC$15),0)+IF(COUNTIF(AC$37:AC$42,$B52)&gt;0,COUNTA(AC$27:AC$35),0))</f>
        <v/>
      </c>
      <c r="AD52" s="55" t="str">
        <f>IF($B52="","",IF(COUNTIF(AD$16:AD$21,$B52)&gt;0,COUNTA(AD$7:AD$15),0)+IF(COUNTIF(AD$37:AD$42,$B52)&gt;0,COUNTA(AD$27:AD$35),0))</f>
        <v/>
      </c>
      <c r="AE52" s="55" t="str">
        <f>IF($B52="","",IF(COUNTIF(AE$16:AE$21,$B52)&gt;0,COUNTA(AE$7:AE$15),0)+IF(COUNTIF(AE$37:AE$42,$B52)&gt;0,COUNTA(AE$27:AE$35),0))</f>
        <v/>
      </c>
      <c r="AF52" s="55" t="str">
        <f>IF($B52="","",IF(COUNTIF(AF$16:AF$21,$B52)&gt;0,COUNTA(AF$7:AF$15),0)+IF(COUNTIF(AF$37:AF$42,$B52)&gt;0,COUNTA(AF$27:AF$35),0))</f>
        <v/>
      </c>
      <c r="AG52" s="55" t="str">
        <f>IF($B52="","",IF(COUNTIF(AG$16:AG$21,$B52)&gt;0,COUNTA(AG$7:AG$15),0)+IF(COUNTIF(AG$37:AG$42,$B52)&gt;0,COUNTA(AG$27:AG$35),0))</f>
        <v/>
      </c>
      <c r="AH52" s="55" t="str">
        <f>IF($B52="","",IF(COUNTIF(AH$16:AH$21,$B52)&gt;0,COUNTA(AH$7:AH$15),0)+IF(COUNTIF(AH$37:AH$42,$B52)&gt;0,COUNTA(AH$27:AH$35),0))</f>
        <v/>
      </c>
      <c r="AI52" s="55" t="str">
        <f>IF($B52="","",IF(COUNTIF(AI$16:AI$21,$B52)&gt;0,COUNTA(AI$7:AI$15),0)+IF(COUNTIF(AI$37:AI$42,$B52)&gt;0,COUNTA(AI$27:AI$35),0))</f>
        <v/>
      </c>
      <c r="AJ52" s="55" t="str">
        <f>IF($B52="","",IF(COUNTIF(AJ$16:AJ$21,$B52)&gt;0,COUNTA(AJ$7:AJ$15),0)+IF(COUNTIF(AJ$37:AJ$42,$B52)&gt;0,COUNTA(AJ$27:AJ$35),0))</f>
        <v/>
      </c>
      <c r="AK52" s="55" t="str">
        <f>IF($B52="","",IF(COUNTIF(AK$16:AK$21,$B52)&gt;0,COUNTA(AK$7:AK$15),0)+IF(COUNTIF(AK$37:AK$42,$B52)&gt;0,COUNTA(AK$27:AK$35),0))</f>
        <v/>
      </c>
      <c r="AL52" s="55" t="str">
        <f>IF($B52="","",IF(COUNTIF(AL$16:AL$21,$B52)&gt;0,COUNTA(AL$7:AL$15),0)+IF(COUNTIF(AL$37:AL$42,$B52)&gt;0,COUNTA(AL$27:AL$35),0))</f>
        <v/>
      </c>
      <c r="AM52" s="55" t="str">
        <f>IF($B52="","",IF(COUNTIF(AM$16:AM$21,$B52)&gt;0,COUNTA(AM$7:AM$15),0)+IF(COUNTIF(AM$37:AM$42,$B52)&gt;0,COUNTA(AM$27:AM$35),0))</f>
        <v/>
      </c>
      <c r="AN52" s="55" t="str">
        <f>IF($B52="","",IF(COUNTIF(AN$16:AN$21,$B52)&gt;0,COUNTA(AN$7:AN$15),0)+IF(COUNTIF(AN$37:AN$42,$B52)&gt;0,COUNTA(AN$27:AN$35),0))</f>
        <v/>
      </c>
      <c r="AO52" s="55" t="str">
        <f>IF($B52="","",IF(COUNTIF(AO$16:AO$21,$B52)&gt;0,COUNTA(AO$7:AO$15),0)+IF(COUNTIF(AO$37:AO$42,$B52)&gt;0,COUNTA(AO$27:AO$35),0))</f>
        <v/>
      </c>
      <c r="AP52" s="55" t="str">
        <f>IF($B52="","",IF(COUNTIF(AP$16:AP$21,$B52)&gt;0,COUNTA(AP$7:AP$15),0)+IF(COUNTIF(AP$37:AP$42,$B52)&gt;0,COUNTA(AP$27:AP$35),0))</f>
        <v/>
      </c>
      <c r="AQ52" s="55" t="str">
        <f>IF($B52="","",IF(COUNTIF(AQ$16:AQ$21,$B52)&gt;0,COUNTA(AQ$7:AQ$15),0)+IF(COUNTIF(AQ$37:AQ$42,$B52)&gt;0,COUNTA(AQ$27:AQ$35),0))</f>
        <v/>
      </c>
      <c r="AR52" s="55" t="str">
        <f>IF($B52="","",IF(COUNTIF(AR$16:AR$21,$B52)&gt;0,COUNTA(AR$7:AR$15),0)+IF(COUNTIF(AR$37:AR$42,$B52)&gt;0,COUNTA(AR$27:AR$35),0))</f>
        <v/>
      </c>
      <c r="AS52" s="55" t="str">
        <f>IF($B52="","",IF(COUNTIF(AS$16:AS$21,$B52)&gt;0,COUNTA(AS$7:AS$15),0)+IF(COUNTIF(AS$37:AS$42,$B52)&gt;0,COUNTA(AS$27:AS$35),0))</f>
        <v/>
      </c>
      <c r="AT52" s="55" t="str">
        <f>IF($B52="","",IF(COUNTIF(AT$16:AT$21,$B52)&gt;0,COUNTA(AT$7:AT$15),0)+IF(COUNTIF(AT$37:AT$42,$B52)&gt;0,COUNTA(AT$27:AT$35),0))</f>
        <v/>
      </c>
      <c r="AU52" s="55" t="str">
        <f>IF($B52="","",IF(COUNTIF(AU$16:AU$21,$B52)&gt;0,COUNTA(AU$7:AU$15),0)+IF(COUNTIF(AU$37:AU$42,$B52)&gt;0,COUNTA(AU$27:AU$35),0))</f>
        <v/>
      </c>
      <c r="AV52" s="55" t="str">
        <f>IF($B52="","",IF(COUNTIF(AV$16:AV$21,$B52)&gt;0,COUNTA(AV$7:AV$15),0)+IF(COUNTIF(AV$37:AV$42,$B52)&gt;0,COUNTA(AV$27:AV$35),0))</f>
        <v/>
      </c>
      <c r="AW52" s="55" t="str">
        <f>IF($B52="","",IF(COUNTIF(AW$16:AW$21,$B52)&gt;0,COUNTA(AW$7:AW$15),0)+IF(COUNTIF(AW$37:AW$42,$B52)&gt;0,COUNTA(AW$27:AW$35),0))</f>
        <v/>
      </c>
      <c r="AX52" s="55" t="str">
        <f>IF($B52="","",IF(COUNTIF(AX$16:AX$21,$B52)&gt;0,COUNTA(AX$7:AX$15),0)+IF(COUNTIF(AX$37:AX$42,$B52)&gt;0,COUNTA(AX$27:AX$35),0))</f>
        <v/>
      </c>
      <c r="AY52" s="55" t="str">
        <f>IF($B52="","",IF(COUNTIF(AY$16:AY$21,$B52)&gt;0,COUNTA(AY$7:AY$15),0)+IF(COUNTIF(AY$37:AY$42,$B52)&gt;0,COUNTA(AY$27:AY$35),0))</f>
        <v/>
      </c>
      <c r="AZ52" s="55" t="str">
        <f>IF($B52="","",IF(COUNTIF(AZ$16:AZ$21,$B52)&gt;0,COUNTA(AZ$7:AZ$15),0)+IF(COUNTIF(AZ$37:AZ$42,$B52)&gt;0,COUNTA(AZ$27:AZ$35),0))</f>
        <v/>
      </c>
      <c r="BA52" s="55" t="str">
        <f>IF($B52="","",IF(COUNTIF(BA$16:BA$21,$B52)&gt;0,COUNTA(BA$7:BA$15),0)+IF(COUNTIF(BA$37:BA$42,$B52)&gt;0,COUNTA(BA$27:BA$35),0))</f>
        <v/>
      </c>
      <c r="BB52" s="55" t="str">
        <f>IF($B52="","",IF(COUNTIF(BB$16:BB$21,$B52)&gt;0,COUNTA(BB$7:BB$15),0)+IF(COUNTIF(BB$37:BB$42,$B52)&gt;0,COUNTA(BB$27:BB$35),0))</f>
        <v/>
      </c>
      <c r="BC52" s="55" t="str">
        <f>IF($B52="","",IF(COUNTIF(BC$16:BC$21,$B52)&gt;0,COUNTA(BC$7:BC$15),0)+IF(COUNTIF(BC$37:BC$42,$B52)&gt;0,COUNTA(BC$27:BC$35),0))</f>
        <v/>
      </c>
      <c r="BD52" s="55" t="str">
        <f>IF($B52="","",IF(COUNTIF(BD$16:BD$21,$B52)&gt;0,COUNTA(BD$7:BD$15),0)+IF(COUNTIF(BD$37:BD$42,$B52)&gt;0,COUNTA(BD$27:BD$35),0))</f>
        <v/>
      </c>
      <c r="BE52" s="55" t="str">
        <f>IF($B52="","",IF(COUNTIF(BE$16:BE$21,$B52)&gt;0,COUNTA(BE$7:BE$15),0)+IF(COUNTIF(BE$37:BE$42,$B52)&gt;0,COUNTA(BE$27:BE$35),0))</f>
        <v/>
      </c>
      <c r="BF52" s="55" t="str">
        <f>IF($B52="","",IF(COUNTIF(BF$16:BF$21,$B52)&gt;0,COUNTA(BF$7:BF$15),0)+IF(COUNTIF(BF$37:BF$42,$B52)&gt;0,COUNTA(BF$27:BF$35),0))</f>
        <v/>
      </c>
      <c r="BG52" s="55" t="str">
        <f>IF($B52="","",IF(COUNTIF(BG$16:BG$21,$B52)&gt;0,COUNTA(BG$7:BG$15),0)+IF(COUNTIF(BG$37:BG$42,$B52)&gt;0,COUNTA(BG$27:BG$35),0))</f>
        <v/>
      </c>
      <c r="BH52" s="55" t="str">
        <f>IF($B52="","",IF(COUNTIF(BH$16:BH$21,$B52)&gt;0,COUNTA(BH$7:BH$15),0)+IF(COUNTIF(BH$37:BH$42,$B52)&gt;0,COUNTA(BH$27:BH$35),0))</f>
        <v/>
      </c>
      <c r="BI52" s="55" t="str">
        <f>IF($B52="","",IF(COUNTIF(BI$16:BI$21,$B52)&gt;0,COUNTA(BI$7:BI$15),0)+IF(COUNTIF(BI$37:BI$42,$B52)&gt;0,COUNTA(BI$27:BI$35),0))</f>
        <v/>
      </c>
      <c r="BJ52" s="55" t="str">
        <f>IF($B52="","",IF(COUNTIF(BJ$16:BJ$21,$B52)&gt;0,COUNTA(BJ$7:BJ$15),0)+IF(COUNTIF(BJ$37:BJ$42,$B52)&gt;0,COUNTA(BJ$27:BJ$35),0))</f>
        <v/>
      </c>
      <c r="BK52" s="55" t="str">
        <f>IF($B52="","",IF(COUNTIF(BK$16:BK$21,$B52)&gt;0,COUNTA(BK$7:BK$15),0)+IF(COUNTIF(BK$37:BK$42,$B52)&gt;0,COUNTA(BK$27:BK$35),0))</f>
        <v/>
      </c>
      <c r="BL52" s="55" t="str">
        <f>IF($B52="","",IF(COUNTIF(BL$16:BL$21,$B52)&gt;0,COUNTA(BL$7:BL$15),0)+IF(COUNTIF(BL$37:BL$42,$B52)&gt;0,COUNTA(BL$27:BL$35),0))</f>
        <v/>
      </c>
      <c r="BM52" s="55" t="str">
        <f>IF($B52="","",IF(COUNTIF(BM$16:BM$21,$B52)&gt;0,COUNTA(BM$7:BM$15),0)+IF(COUNTIF(BM$37:BM$42,$B52)&gt;0,COUNTA(BM$27:BM$35),0))</f>
        <v/>
      </c>
      <c r="BN52" s="55" t="str">
        <f>IF($B52="","",IF(COUNTIF(BN$16:BN$21,$B52)&gt;0,COUNTA(BN$7:BN$15),0)+IF(COUNTIF(BN$37:BN$42,$B52)&gt;0,COUNTA(BN$27:BN$35),0))</f>
        <v/>
      </c>
      <c r="BO52" s="55" t="str">
        <f>IF($B52="","",IF(COUNTIF(BO$16:BO$21,$B52)&gt;0,COUNTA(BO$7:BO$15),0)+IF(COUNTIF(BO$37:BO$42,$B52)&gt;0,COUNTA(BO$27:BO$35),0))</f>
        <v/>
      </c>
      <c r="BP52" s="55" t="str">
        <f>IF($B52="","",IF(COUNTIF(BP$16:BP$21,$B52)&gt;0,COUNTA(BP$7:BP$15),0)+IF(COUNTIF(BP$37:BP$42,$B52)&gt;0,COUNTA(BP$27:BP$35),0))</f>
        <v/>
      </c>
      <c r="BQ52" s="55" t="str">
        <f>IF($B52="","",IF(COUNTIF(BQ$16:BQ$21,$B52)&gt;0,COUNTA(BQ$7:BQ$15),0)+IF(COUNTIF(BQ$37:BQ$42,$B52)&gt;0,COUNTA(BQ$27:BQ$35),0))</f>
        <v/>
      </c>
      <c r="BR52" s="55" t="str">
        <f>IF($B52="","",IF(COUNTIF(BR$16:BR$21,$B52)&gt;0,COUNTA(BR$7:BR$15),0)+IF(COUNTIF(BR$37:BR$42,$B52)&gt;0,COUNTA(BR$27:BR$35),0))</f>
        <v/>
      </c>
      <c r="BS52" s="55" t="str">
        <f>IF($B52="","",IF(COUNTIF(BS$16:BS$21,$B52)&gt;0,COUNTA(BS$7:BS$15),0)+IF(COUNTIF(BS$37:BS$42,$B52)&gt;0,COUNTA(BS$27:BS$35),0))</f>
        <v/>
      </c>
      <c r="BT52" s="55" t="str">
        <f>IF($B52="","",IF(COUNTIF(BT$16:BT$21,$B52)&gt;0,COUNTA(BT$7:BT$15),0)+IF(COUNTIF(BT$37:BT$42,$B52)&gt;0,COUNTA(BT$27:BT$35),0))</f>
        <v/>
      </c>
      <c r="BU52" s="55" t="str">
        <f>IF($B52="","",IF(COUNTIF(BU$16:BU$21,$B52)&gt;0,COUNTA(BU$7:BU$15),0)+IF(COUNTIF(BU$37:BU$42,$B52)&gt;0,COUNTA(BU$27:BU$35),0))</f>
        <v/>
      </c>
      <c r="BV52" s="55" t="str">
        <f>IF($B52="","",IF(COUNTIF(BV$16:BV$21,$B52)&gt;0,COUNTA(BV$7:BV$15),0)+IF(COUNTIF(BV$37:BV$42,$B52)&gt;0,COUNTA(BV$27:BV$35),0))</f>
        <v/>
      </c>
      <c r="BW52" s="55" t="str">
        <f>IF($B52="","",IF(COUNTIF(BW$16:BW$21,$B52)&gt;0,COUNTA(BW$7:BW$15),0)+IF(COUNTIF(BW$37:BW$42,$B52)&gt;0,COUNTA(BW$27:BW$35),0))</f>
        <v/>
      </c>
      <c r="BX52" s="55" t="str">
        <f>IF($B52="","",IF(COUNTIF(BX$16:BX$21,$B52)&gt;0,COUNTA(BX$7:BX$15),0)+IF(COUNTIF(BX$37:BX$42,$B52)&gt;0,COUNTA(BX$27:BX$35),0))</f>
        <v/>
      </c>
      <c r="BY52" s="55" t="str">
        <f>IF($B52="","",IF(COUNTIF(BY$16:BY$21,$B52)&gt;0,COUNTA(BY$7:BY$15),0)+IF(COUNTIF(BY$37:BY$42,$B52)&gt;0,COUNTA(BY$27:BY$35),0))</f>
        <v/>
      </c>
      <c r="BZ52" s="55" t="str">
        <f>IF($B52="","",IF(COUNTIF(BZ$16:BZ$21,$B52)&gt;0,COUNTA(BZ$7:BZ$15),0)+IF(COUNTIF(BZ$37:BZ$42,$B52)&gt;0,COUNTA(BZ$27:BZ$35),0))</f>
        <v/>
      </c>
      <c r="CA52" s="55" t="str">
        <f>IF($B52="","",IF(COUNTIF(CA$16:CA$21,$B52)&gt;0,COUNTA(CA$7:CA$15),0)+IF(COUNTIF(CA$37:CA$42,$B52)&gt;0,COUNTA(CA$27:CA$35),0))</f>
        <v/>
      </c>
      <c r="CB52" s="55" t="str">
        <f>IF($B52="","",IF(COUNTIF(CB$16:CB$21,$B52)&gt;0,COUNTA(CB$7:CB$15),0)+IF(COUNTIF(CB$37:CB$42,$B52)&gt;0,COUNTA(CB$27:CB$35),0))</f>
        <v/>
      </c>
      <c r="CC52" s="55" t="str">
        <f>IF($B52="","",IF(COUNTIF(CC$16:CC$21,$B52)&gt;0,COUNTA(CC$7:CC$15),0)+IF(COUNTIF(CC$37:CC$42,$B52)&gt;0,COUNTA(CC$27:CC$35),0))</f>
        <v/>
      </c>
      <c r="CD52" s="55" t="str">
        <f>IF($B52="","",IF(COUNTIF(CD$16:CD$21,$B52)&gt;0,COUNTA(CD$7:CD$15),0)+IF(COUNTIF(CD$37:CD$42,$B52)&gt;0,COUNTA(CD$27:CD$35),0))</f>
        <v/>
      </c>
      <c r="CE52" s="55" t="str">
        <f>IF($B52="","",IF(COUNTIF(CE$16:CE$21,$B52)&gt;0,COUNTA(CE$7:CE$15),0)+IF(COUNTIF(CE$37:CE$42,$B52)&gt;0,COUNTA(CE$27:CE$35),0))</f>
        <v/>
      </c>
      <c r="CF52" s="55" t="str">
        <f>IF($B52="","",IF(COUNTIF(CF$16:CF$21,$B52)&gt;0,COUNTA(CF$7:CF$15),0)+IF(COUNTIF(CF$37:CF$42,$B52)&gt;0,COUNTA(CF$27:CF$35),0))</f>
        <v/>
      </c>
      <c r="CG52" s="55" t="str">
        <f>IF($B52="","",IF(COUNTIF(CG$16:CG$21,$B52)&gt;0,COUNTA(CG$7:CG$15),0)+IF(COUNTIF(CG$37:CG$42,$B52)&gt;0,COUNTA(CG$27:CG$35),0))</f>
        <v/>
      </c>
      <c r="CH52" s="55" t="str">
        <f>IF($B52="","",IF(COUNTIF(CH$16:CH$21,$B52)&gt;0,COUNTA(CH$7:CH$15),0)+IF(COUNTIF(CH$37:CH$42,$B52)&gt;0,COUNTA(CH$27:CH$35),0))</f>
        <v/>
      </c>
      <c r="CI52" s="55" t="str">
        <f>IF($B52="","",IF(COUNTIF(CI$16:CI$21,$B52)&gt;0,COUNTA(CI$7:CI$15),0)+IF(COUNTIF(CI$37:CI$42,$B52)&gt;0,COUNTA(CI$27:CI$35),0))</f>
        <v/>
      </c>
      <c r="CJ52" s="55" t="str">
        <f>IF($B52="","",IF(COUNTIF(CJ$16:CJ$21,$B52)&gt;0,COUNTA(CJ$7:CJ$15),0)+IF(COUNTIF(CJ$37:CJ$42,$B52)&gt;0,COUNTA(CJ$27:CJ$35),0))</f>
        <v/>
      </c>
      <c r="CK52" s="55" t="str">
        <f>IF($B52="","",IF(COUNTIF(CK$16:CK$21,$B52)&gt;0,COUNTA(CK$7:CK$15),0)+IF(COUNTIF(CK$37:CK$42,$B52)&gt;0,COUNTA(CK$27:CK$35),0))</f>
        <v/>
      </c>
      <c r="CL52" s="55" t="str">
        <f>IF($B52="","",IF(COUNTIF(CL$16:CL$21,$B52)&gt;0,COUNTA(CL$7:CL$15),0)+IF(COUNTIF(CL$37:CL$42,$B52)&gt;0,COUNTA(CL$27:CL$35),0))</f>
        <v/>
      </c>
      <c r="CM52" s="55" t="str">
        <f>IF($B52="","",IF(COUNTIF(CM$16:CM$21,$B52)&gt;0,COUNTA(CM$7:CM$15),0)+IF(COUNTIF(CM$37:CM$42,$B52)&gt;0,COUNTA(CM$27:CM$35),0))</f>
        <v/>
      </c>
      <c r="CN52" s="55" t="str">
        <f>IF($B52="","",IF(COUNTIF(CN$16:CN$21,$B52)&gt;0,COUNTA(CN$7:CN$15),0)+IF(COUNTIF(CN$37:CN$42,$B52)&gt;0,COUNTA(CN$27:CN$35),0))</f>
        <v/>
      </c>
      <c r="CO52" s="55" t="str">
        <f>IF($B52="","",IF(COUNTIF(CO$16:CO$21,$B52)&gt;0,COUNTA(CO$7:CO$15),0)+IF(COUNTIF(CO$37:CO$42,$B52)&gt;0,COUNTA(CO$27:CO$35),0))</f>
        <v/>
      </c>
      <c r="CP52" s="55" t="str">
        <f>IF($B52="","",IF(COUNTIF(CP$16:CP$21,$B52)&gt;0,COUNTA(CP$7:CP$15),0)+IF(COUNTIF(CP$37:CP$42,$B52)&gt;0,COUNTA(CP$27:CP$35),0))</f>
        <v/>
      </c>
      <c r="CQ52" s="55" t="str">
        <f>IF($B52="","",IF(COUNTIF(CQ$16:CQ$21,$B52)&gt;0,COUNTA(CQ$7:CQ$15),0)+IF(COUNTIF(CQ$37:CQ$42,$B52)&gt;0,COUNTA(CQ$27:CQ$35),0))</f>
        <v/>
      </c>
      <c r="CR52" s="55" t="str">
        <f>IF($B52="","",IF(COUNTIF(CR$16:CR$21,$B52)&gt;0,COUNTA(CR$7:CR$15),0)+IF(COUNTIF(CR$37:CR$42,$B52)&gt;0,COUNTA(CR$27:CR$35),0))</f>
        <v/>
      </c>
      <c r="CS52" s="55" t="str">
        <f>IF($B52="","",IF(COUNTIF(CS$16:CS$21,$B52)&gt;0,COUNTA(CS$7:CS$15),0)+IF(COUNTIF(CS$37:CS$42,$B52)&gt;0,COUNTA(CS$27:CS$35),0))</f>
        <v/>
      </c>
      <c r="CT52" s="55" t="str">
        <f>IF($B52="","",IF(COUNTIF(CT$16:CT$21,$B52)&gt;0,COUNTA(CT$7:CT$15),0)+IF(COUNTIF(CT$37:CT$42,$B52)&gt;0,COUNTA(CT$27:CT$35),0))</f>
        <v/>
      </c>
      <c r="CU52" s="55" t="str">
        <f>IF($B52="","",IF(COUNTIF(CU$16:CU$21,$B52)&gt;0,COUNTA(CU$7:CU$15),0)+IF(COUNTIF(CU$37:CU$42,$B52)&gt;0,COUNTA(CU$27:CU$35),0))</f>
        <v/>
      </c>
      <c r="CV52" s="55" t="str">
        <f>IF($B52="","",IF(COUNTIF(CV$16:CV$21,$B52)&gt;0,COUNTA(CV$7:CV$15),0)+IF(COUNTIF(CV$37:CV$42,$B52)&gt;0,COUNTA(CV$27:CV$35),0))</f>
        <v/>
      </c>
      <c r="CW52" s="55" t="str">
        <f>IF($B52="","",IF(COUNTIF(CW$16:CW$21,$B52)&gt;0,COUNTA(CW$7:CW$15),0)+IF(COUNTIF(CW$37:CW$42,$B52)&gt;0,COUNTA(CW$27:CW$35),0))</f>
        <v/>
      </c>
      <c r="CX52" s="55" t="str">
        <f>IF($B52="","",IF(COUNTIF(CX$16:CX$21,$B52)&gt;0,COUNTA(CX$7:CX$15),0)+IF(COUNTIF(CX$37:CX$42,$B52)&gt;0,COUNTA(CX$27:CX$35),0))</f>
        <v/>
      </c>
      <c r="CY52" s="55" t="str">
        <f>IF($B52="","",IF(COUNTIF(CY$16:CY$21,$B52)&gt;0,COUNTA(CY$7:CY$15),0)+IF(COUNTIF(CY$37:CY$42,$B52)&gt;0,COUNTA(CY$27:CY$35),0))</f>
        <v/>
      </c>
      <c r="CZ52" s="55" t="str">
        <f>IF($B52="","",IF(COUNTIF(CZ$16:CZ$21,$B52)&gt;0,COUNTA(CZ$7:CZ$15),0)+IF(COUNTIF(CZ$37:CZ$42,$B52)&gt;0,COUNTA(CZ$27:CZ$35),0))</f>
        <v/>
      </c>
      <c r="DA52" s="55" t="str">
        <f>IF($B52="","",IF(COUNTIF(DA$16:DA$21,$B52)&gt;0,COUNTA(DA$7:DA$15),0)+IF(COUNTIF(DA$37:DA$42,$B52)&gt;0,COUNTA(DA$27:DA$35),0))</f>
        <v/>
      </c>
      <c r="DB52" s="55" t="str">
        <f>IF($B52="","",IF(COUNTIF(DB$16:DB$21,$B52)&gt;0,COUNTA(DB$7:DB$15),0)+IF(COUNTIF(DB$37:DB$42,$B52)&gt;0,COUNTA(DB$27:DB$35),0))</f>
        <v/>
      </c>
      <c r="DC52" s="55" t="str">
        <f>IF($B52="","",IF(COUNTIF(DC$16:DC$21,$B52)&gt;0,COUNTA(DC$7:DC$15),0)+IF(COUNTIF(DC$37:DC$42,$B52)&gt;0,COUNTA(DC$27:DC$35),0))</f>
        <v/>
      </c>
      <c r="DD52" s="55" t="str">
        <f>IF($B52="","",IF(COUNTIF(DD$16:DD$21,$B52)&gt;0,COUNTA(DD$7:DD$15),0)+IF(COUNTIF(DD$37:DD$42,$B52)&gt;0,COUNTA(DD$27:DD$35),0))</f>
        <v/>
      </c>
      <c r="DE52" s="58" t="str">
        <f>IF($B52="","",IF(COUNTIF(DE$16:DE$21,$B52)&gt;0,COUNTA(DE$7:DE$15),0)+IF(COUNTIF(DE$37:DE$42,$B52)&gt;0,COUNTA(DE$27:DE$35),0))</f>
        <v/>
      </c>
    </row>
    <row r="53" spans="2:109" x14ac:dyDescent="0.2">
      <c r="B53" s="84" t="str">
        <f>IFERROR(INDEX(_xlfn._xlws.FILTER(Ressourcer!$B$1:$X$1,_xlfn.BYCOL(Ressourcer!$B$23:$X$25,_xlfn.LAMBDA(_xlpm.c,COUNTIF(_xlpm.c,"&lt;&gt;" )&gt;0))),ROWS($B$2:B10)),"")</f>
        <v/>
      </c>
      <c r="C53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)&gt;0))),_xlfn.LAMBDA(_xlpm.col,SUM(INDEX(Ressourcer!$B$23:$X$25,,_xlpm.col-COLUMN(Ressourcer!$B$23:$X$25)+1)))),ROWS($B$2:B10))/2,"")</f>
        <v/>
      </c>
      <c r="D53" s="106" t="str">
        <f t="shared" si="35"/>
        <v/>
      </c>
      <c r="E53" s="57" t="str">
        <f>IF($B53="","",IF(COUNTIF(E$16:E$21,$B53)&gt;0,COUNTA(E$7:E$15),0)+IF(COUNTIF(E$37:E$42,$B53)&gt;0,COUNTA(E$27:E$35),0))</f>
        <v/>
      </c>
      <c r="F53" s="55" t="str">
        <f>IF($B53="","",IF(COUNTIF(F$16:F$21,$B53)&gt;0,COUNTA(F$7:F$15),0)+IF(COUNTIF(F$37:F$42,$B53)&gt;0,COUNTA(F$27:F$35),0))</f>
        <v/>
      </c>
      <c r="G53" s="55" t="str">
        <f>IF($B53="","",IF(COUNTIF(G$16:G$21,$B53)&gt;0,COUNTA(G$7:G$15),0)+IF(COUNTIF(G$37:G$42,$B53)&gt;0,COUNTA(G$27:G$35),0))</f>
        <v/>
      </c>
      <c r="H53" s="55" t="str">
        <f>IF($B53="","",IF(COUNTIF(H$16:H$21,$B53)&gt;0,COUNTA(H$7:H$15),0)+IF(COUNTIF(H$37:H$42,$B53)&gt;0,COUNTA(H$27:H$35),0))</f>
        <v/>
      </c>
      <c r="I53" s="55" t="str">
        <f>IF($B53="","",IF(COUNTIF(I$16:I$21,$B53)&gt;0,COUNTA(I$7:I$15),0)+IF(COUNTIF(I$37:I$42,$B53)&gt;0,COUNTA(I$27:I$35),0))</f>
        <v/>
      </c>
      <c r="J53" s="55" t="str">
        <f>IF($B53="","",IF(COUNTIF(J$16:J$21,$B53)&gt;0,COUNTA(J$7:J$15),0)+IF(COUNTIF(J$37:J$42,$B53)&gt;0,COUNTA(J$27:J$35),0))</f>
        <v/>
      </c>
      <c r="K53" s="55" t="str">
        <f>IF($B53="","",IF(COUNTIF(K$16:K$21,$B53)&gt;0,COUNTA(K$7:K$15),0)+IF(COUNTIF(K$37:K$42,$B53)&gt;0,COUNTA(K$27:K$35),0))</f>
        <v/>
      </c>
      <c r="L53" s="55" t="str">
        <f>IF($B53="","",IF(COUNTIF(L$16:L$21,$B53)&gt;0,COUNTA(L$7:L$15),0)+IF(COUNTIF(L$37:L$42,$B53)&gt;0,COUNTA(L$27:L$35),0))</f>
        <v/>
      </c>
      <c r="M53" s="55" t="str">
        <f>IF($B53="","",IF(COUNTIF(M$16:M$21,$B53)&gt;0,COUNTA(M$7:M$15),0)+IF(COUNTIF(M$37:M$42,$B53)&gt;0,COUNTA(M$27:M$35),0))</f>
        <v/>
      </c>
      <c r="N53" s="55" t="str">
        <f>IF($B53="","",IF(COUNTIF(N$16:N$21,$B53)&gt;0,COUNTA(N$7:N$15),0)+IF(COUNTIF(N$37:N$42,$B53)&gt;0,COUNTA(N$27:N$35),0))</f>
        <v/>
      </c>
      <c r="O53" s="55" t="str">
        <f>IF($B53="","",IF(COUNTIF(O$16:O$21,$B53)&gt;0,COUNTA(O$7:O$15),0)+IF(COUNTIF(O$37:O$42,$B53)&gt;0,COUNTA(O$27:O$35),0))</f>
        <v/>
      </c>
      <c r="P53" s="55" t="str">
        <f>IF($B53="","",IF(COUNTIF(P$16:P$21,$B53)&gt;0,COUNTA(P$7:P$15),0)+IF(COUNTIF(P$37:P$42,$B53)&gt;0,COUNTA(P$27:P$35),0))</f>
        <v/>
      </c>
      <c r="Q53" s="55" t="str">
        <f>IF($B53="","",IF(COUNTIF(Q$16:Q$21,$B53)&gt;0,COUNTA(Q$7:Q$15),0)+IF(COUNTIF(Q$37:Q$42,$B53)&gt;0,COUNTA(Q$27:Q$35),0))</f>
        <v/>
      </c>
      <c r="R53" s="55" t="str">
        <f>IF($B53="","",IF(COUNTIF(R$16:R$21,$B53)&gt;0,COUNTA(R$7:R$15),0)+IF(COUNTIF(R$37:R$42,$B53)&gt;0,COUNTA(R$27:R$35),0))</f>
        <v/>
      </c>
      <c r="S53" s="55" t="str">
        <f>IF($B53="","",IF(COUNTIF(S$16:S$21,$B53)&gt;0,COUNTA(S$7:S$15),0)+IF(COUNTIF(S$37:S$42,$B53)&gt;0,COUNTA(S$27:S$35),0))</f>
        <v/>
      </c>
      <c r="T53" s="55" t="str">
        <f>IF($B53="","",IF(COUNTIF(T$16:T$21,$B53)&gt;0,COUNTA(T$7:T$15),0)+IF(COUNTIF(T$37:T$42,$B53)&gt;0,COUNTA(T$27:T$35),0))</f>
        <v/>
      </c>
      <c r="U53" s="55" t="str">
        <f>IF($B53="","",IF(COUNTIF(U$16:U$21,$B53)&gt;0,COUNTA(U$7:U$15),0)+IF(COUNTIF(U$37:U$42,$B53)&gt;0,COUNTA(U$27:U$35),0))</f>
        <v/>
      </c>
      <c r="V53" s="55" t="str">
        <f>IF($B53="","",IF(COUNTIF(V$16:V$21,$B53)&gt;0,COUNTA(V$7:V$15),0)+IF(COUNTIF(V$37:V$42,$B53)&gt;0,COUNTA(V$27:V$35),0))</f>
        <v/>
      </c>
      <c r="W53" s="55" t="str">
        <f>IF($B53="","",IF(COUNTIF(W$16:W$21,$B53)&gt;0,COUNTA(W$7:W$15),0)+IF(COUNTIF(W$37:W$42,$B53)&gt;0,COUNTA(W$27:W$35),0))</f>
        <v/>
      </c>
      <c r="X53" s="55" t="str">
        <f>IF($B53="","",IF(COUNTIF(X$16:X$21,$B53)&gt;0,COUNTA(X$7:X$15),0)+IF(COUNTIF(X$37:X$42,$B53)&gt;0,COUNTA(X$27:X$35),0))</f>
        <v/>
      </c>
      <c r="Y53" s="55" t="str">
        <f>IF($B53="","",IF(COUNTIF(Y$16:Y$21,$B53)&gt;0,COUNTA(Y$7:Y$15),0)+IF(COUNTIF(Y$37:Y$42,$B53)&gt;0,COUNTA(Y$27:Y$35),0))</f>
        <v/>
      </c>
      <c r="Z53" s="55" t="str">
        <f>IF($B53="","",IF(COUNTIF(Z$16:Z$21,$B53)&gt;0,COUNTA(Z$7:Z$15),0)+IF(COUNTIF(Z$37:Z$42,$B53)&gt;0,COUNTA(Z$27:Z$35),0))</f>
        <v/>
      </c>
      <c r="AA53" s="55" t="str">
        <f>IF($B53="","",IF(COUNTIF(AA$16:AA$21,$B53)&gt;0,COUNTA(AA$7:AA$15),0)+IF(COUNTIF(AA$37:AA$42,$B53)&gt;0,COUNTA(AA$27:AA$35),0))</f>
        <v/>
      </c>
      <c r="AB53" s="55" t="str">
        <f>IF($B53="","",IF(COUNTIF(AB$16:AB$21,$B53)&gt;0,COUNTA(AB$7:AB$15),0)+IF(COUNTIF(AB$37:AB$42,$B53)&gt;0,COUNTA(AB$27:AB$35),0))</f>
        <v/>
      </c>
      <c r="AC53" s="55" t="str">
        <f>IF($B53="","",IF(COUNTIF(AC$16:AC$21,$B53)&gt;0,COUNTA(AC$7:AC$15),0)+IF(COUNTIF(AC$37:AC$42,$B53)&gt;0,COUNTA(AC$27:AC$35),0))</f>
        <v/>
      </c>
      <c r="AD53" s="55" t="str">
        <f>IF($B53="","",IF(COUNTIF(AD$16:AD$21,$B53)&gt;0,COUNTA(AD$7:AD$15),0)+IF(COUNTIF(AD$37:AD$42,$B53)&gt;0,COUNTA(AD$27:AD$35),0))</f>
        <v/>
      </c>
      <c r="AE53" s="55" t="str">
        <f>IF($B53="","",IF(COUNTIF(AE$16:AE$21,$B53)&gt;0,COUNTA(AE$7:AE$15),0)+IF(COUNTIF(AE$37:AE$42,$B53)&gt;0,COUNTA(AE$27:AE$35),0))</f>
        <v/>
      </c>
      <c r="AF53" s="55" t="str">
        <f>IF($B53="","",IF(COUNTIF(AF$16:AF$21,$B53)&gt;0,COUNTA(AF$7:AF$15),0)+IF(COUNTIF(AF$37:AF$42,$B53)&gt;0,COUNTA(AF$27:AF$35),0))</f>
        <v/>
      </c>
      <c r="AG53" s="55" t="str">
        <f>IF($B53="","",IF(COUNTIF(AG$16:AG$21,$B53)&gt;0,COUNTA(AG$7:AG$15),0)+IF(COUNTIF(AG$37:AG$42,$B53)&gt;0,COUNTA(AG$27:AG$35),0))</f>
        <v/>
      </c>
      <c r="AH53" s="55" t="str">
        <f>IF($B53="","",IF(COUNTIF(AH$16:AH$21,$B53)&gt;0,COUNTA(AH$7:AH$15),0)+IF(COUNTIF(AH$37:AH$42,$B53)&gt;0,COUNTA(AH$27:AH$35),0))</f>
        <v/>
      </c>
      <c r="AI53" s="55" t="str">
        <f>IF($B53="","",IF(COUNTIF(AI$16:AI$21,$B53)&gt;0,COUNTA(AI$7:AI$15),0)+IF(COUNTIF(AI$37:AI$42,$B53)&gt;0,COUNTA(AI$27:AI$35),0))</f>
        <v/>
      </c>
      <c r="AJ53" s="55" t="str">
        <f>IF($B53="","",IF(COUNTIF(AJ$16:AJ$21,$B53)&gt;0,COUNTA(AJ$7:AJ$15),0)+IF(COUNTIF(AJ$37:AJ$42,$B53)&gt;0,COUNTA(AJ$27:AJ$35),0))</f>
        <v/>
      </c>
      <c r="AK53" s="55" t="str">
        <f>IF($B53="","",IF(COUNTIF(AK$16:AK$21,$B53)&gt;0,COUNTA(AK$7:AK$15),0)+IF(COUNTIF(AK$37:AK$42,$B53)&gt;0,COUNTA(AK$27:AK$35),0))</f>
        <v/>
      </c>
      <c r="AL53" s="55" t="str">
        <f>IF($B53="","",IF(COUNTIF(AL$16:AL$21,$B53)&gt;0,COUNTA(AL$7:AL$15),0)+IF(COUNTIF(AL$37:AL$42,$B53)&gt;0,COUNTA(AL$27:AL$35),0))</f>
        <v/>
      </c>
      <c r="AM53" s="55" t="str">
        <f>IF($B53="","",IF(COUNTIF(AM$16:AM$21,$B53)&gt;0,COUNTA(AM$7:AM$15),0)+IF(COUNTIF(AM$37:AM$42,$B53)&gt;0,COUNTA(AM$27:AM$35),0))</f>
        <v/>
      </c>
      <c r="AN53" s="55" t="str">
        <f>IF($B53="","",IF(COUNTIF(AN$16:AN$21,$B53)&gt;0,COUNTA(AN$7:AN$15),0)+IF(COUNTIF(AN$37:AN$42,$B53)&gt;0,COUNTA(AN$27:AN$35),0))</f>
        <v/>
      </c>
      <c r="AO53" s="55" t="str">
        <f>IF($B53="","",IF(COUNTIF(AO$16:AO$21,$B53)&gt;0,COUNTA(AO$7:AO$15),0)+IF(COUNTIF(AO$37:AO$42,$B53)&gt;0,COUNTA(AO$27:AO$35),0))</f>
        <v/>
      </c>
      <c r="AP53" s="55" t="str">
        <f>IF($B53="","",IF(COUNTIF(AP$16:AP$21,$B53)&gt;0,COUNTA(AP$7:AP$15),0)+IF(COUNTIF(AP$37:AP$42,$B53)&gt;0,COUNTA(AP$27:AP$35),0))</f>
        <v/>
      </c>
      <c r="AQ53" s="55" t="str">
        <f>IF($B53="","",IF(COUNTIF(AQ$16:AQ$21,$B53)&gt;0,COUNTA(AQ$7:AQ$15),0)+IF(COUNTIF(AQ$37:AQ$42,$B53)&gt;0,COUNTA(AQ$27:AQ$35),0))</f>
        <v/>
      </c>
      <c r="AR53" s="55" t="str">
        <f>IF($B53="","",IF(COUNTIF(AR$16:AR$21,$B53)&gt;0,COUNTA(AR$7:AR$15),0)+IF(COUNTIF(AR$37:AR$42,$B53)&gt;0,COUNTA(AR$27:AR$35),0))</f>
        <v/>
      </c>
      <c r="AS53" s="55" t="str">
        <f>IF($B53="","",IF(COUNTIF(AS$16:AS$21,$B53)&gt;0,COUNTA(AS$7:AS$15),0)+IF(COUNTIF(AS$37:AS$42,$B53)&gt;0,COUNTA(AS$27:AS$35),0))</f>
        <v/>
      </c>
      <c r="AT53" s="55" t="str">
        <f>IF($B53="","",IF(COUNTIF(AT$16:AT$21,$B53)&gt;0,COUNTA(AT$7:AT$15),0)+IF(COUNTIF(AT$37:AT$42,$B53)&gt;0,COUNTA(AT$27:AT$35),0))</f>
        <v/>
      </c>
      <c r="AU53" s="55" t="str">
        <f>IF($B53="","",IF(COUNTIF(AU$16:AU$21,$B53)&gt;0,COUNTA(AU$7:AU$15),0)+IF(COUNTIF(AU$37:AU$42,$B53)&gt;0,COUNTA(AU$27:AU$35),0))</f>
        <v/>
      </c>
      <c r="AV53" s="55" t="str">
        <f>IF($B53="","",IF(COUNTIF(AV$16:AV$21,$B53)&gt;0,COUNTA(AV$7:AV$15),0)+IF(COUNTIF(AV$37:AV$42,$B53)&gt;0,COUNTA(AV$27:AV$35),0))</f>
        <v/>
      </c>
      <c r="AW53" s="55" t="str">
        <f>IF($B53="","",IF(COUNTIF(AW$16:AW$21,$B53)&gt;0,COUNTA(AW$7:AW$15),0)+IF(COUNTIF(AW$37:AW$42,$B53)&gt;0,COUNTA(AW$27:AW$35),0))</f>
        <v/>
      </c>
      <c r="AX53" s="55" t="str">
        <f>IF($B53="","",IF(COUNTIF(AX$16:AX$21,$B53)&gt;0,COUNTA(AX$7:AX$15),0)+IF(COUNTIF(AX$37:AX$42,$B53)&gt;0,COUNTA(AX$27:AX$35),0))</f>
        <v/>
      </c>
      <c r="AY53" s="55" t="str">
        <f>IF($B53="","",IF(COUNTIF(AY$16:AY$21,$B53)&gt;0,COUNTA(AY$7:AY$15),0)+IF(COUNTIF(AY$37:AY$42,$B53)&gt;0,COUNTA(AY$27:AY$35),0))</f>
        <v/>
      </c>
      <c r="AZ53" s="55" t="str">
        <f>IF($B53="","",IF(COUNTIF(AZ$16:AZ$21,$B53)&gt;0,COUNTA(AZ$7:AZ$15),0)+IF(COUNTIF(AZ$37:AZ$42,$B53)&gt;0,COUNTA(AZ$27:AZ$35),0))</f>
        <v/>
      </c>
      <c r="BA53" s="55" t="str">
        <f>IF($B53="","",IF(COUNTIF(BA$16:BA$21,$B53)&gt;0,COUNTA(BA$7:BA$15),0)+IF(COUNTIF(BA$37:BA$42,$B53)&gt;0,COUNTA(BA$27:BA$35),0))</f>
        <v/>
      </c>
      <c r="BB53" s="55" t="str">
        <f>IF($B53="","",IF(COUNTIF(BB$16:BB$21,$B53)&gt;0,COUNTA(BB$7:BB$15),0)+IF(COUNTIF(BB$37:BB$42,$B53)&gt;0,COUNTA(BB$27:BB$35),0))</f>
        <v/>
      </c>
      <c r="BC53" s="55" t="str">
        <f>IF($B53="","",IF(COUNTIF(BC$16:BC$21,$B53)&gt;0,COUNTA(BC$7:BC$15),0)+IF(COUNTIF(BC$37:BC$42,$B53)&gt;0,COUNTA(BC$27:BC$35),0))</f>
        <v/>
      </c>
      <c r="BD53" s="55" t="str">
        <f>IF($B53="","",IF(COUNTIF(BD$16:BD$21,$B53)&gt;0,COUNTA(BD$7:BD$15),0)+IF(COUNTIF(BD$37:BD$42,$B53)&gt;0,COUNTA(BD$27:BD$35),0))</f>
        <v/>
      </c>
      <c r="BE53" s="55" t="str">
        <f>IF($B53="","",IF(COUNTIF(BE$16:BE$21,$B53)&gt;0,COUNTA(BE$7:BE$15),0)+IF(COUNTIF(BE$37:BE$42,$B53)&gt;0,COUNTA(BE$27:BE$35),0))</f>
        <v/>
      </c>
      <c r="BF53" s="55" t="str">
        <f>IF($B53="","",IF(COUNTIF(BF$16:BF$21,$B53)&gt;0,COUNTA(BF$7:BF$15),0)+IF(COUNTIF(BF$37:BF$42,$B53)&gt;0,COUNTA(BF$27:BF$35),0))</f>
        <v/>
      </c>
      <c r="BG53" s="55" t="str">
        <f>IF($B53="","",IF(COUNTIF(BG$16:BG$21,$B53)&gt;0,COUNTA(BG$7:BG$15),0)+IF(COUNTIF(BG$37:BG$42,$B53)&gt;0,COUNTA(BG$27:BG$35),0))</f>
        <v/>
      </c>
      <c r="BH53" s="55" t="str">
        <f>IF($B53="","",IF(COUNTIF(BH$16:BH$21,$B53)&gt;0,COUNTA(BH$7:BH$15),0)+IF(COUNTIF(BH$37:BH$42,$B53)&gt;0,COUNTA(BH$27:BH$35),0))</f>
        <v/>
      </c>
      <c r="BI53" s="55" t="str">
        <f>IF($B53="","",IF(COUNTIF(BI$16:BI$21,$B53)&gt;0,COUNTA(BI$7:BI$15),0)+IF(COUNTIF(BI$37:BI$42,$B53)&gt;0,COUNTA(BI$27:BI$35),0))</f>
        <v/>
      </c>
      <c r="BJ53" s="55" t="str">
        <f>IF($B53="","",IF(COUNTIF(BJ$16:BJ$21,$B53)&gt;0,COUNTA(BJ$7:BJ$15),0)+IF(COUNTIF(BJ$37:BJ$42,$B53)&gt;0,COUNTA(BJ$27:BJ$35),0))</f>
        <v/>
      </c>
      <c r="BK53" s="55" t="str">
        <f>IF($B53="","",IF(COUNTIF(BK$16:BK$21,$B53)&gt;0,COUNTA(BK$7:BK$15),0)+IF(COUNTIF(BK$37:BK$42,$B53)&gt;0,COUNTA(BK$27:BK$35),0))</f>
        <v/>
      </c>
      <c r="BL53" s="55" t="str">
        <f>IF($B53="","",IF(COUNTIF(BL$16:BL$21,$B53)&gt;0,COUNTA(BL$7:BL$15),0)+IF(COUNTIF(BL$37:BL$42,$B53)&gt;0,COUNTA(BL$27:BL$35),0))</f>
        <v/>
      </c>
      <c r="BM53" s="55" t="str">
        <f>IF($B53="","",IF(COUNTIF(BM$16:BM$21,$B53)&gt;0,COUNTA(BM$7:BM$15),0)+IF(COUNTIF(BM$37:BM$42,$B53)&gt;0,COUNTA(BM$27:BM$35),0))</f>
        <v/>
      </c>
      <c r="BN53" s="55" t="str">
        <f>IF($B53="","",IF(COUNTIF(BN$16:BN$21,$B53)&gt;0,COUNTA(BN$7:BN$15),0)+IF(COUNTIF(BN$37:BN$42,$B53)&gt;0,COUNTA(BN$27:BN$35),0))</f>
        <v/>
      </c>
      <c r="BO53" s="55" t="str">
        <f>IF($B53="","",IF(COUNTIF(BO$16:BO$21,$B53)&gt;0,COUNTA(BO$7:BO$15),0)+IF(COUNTIF(BO$37:BO$42,$B53)&gt;0,COUNTA(BO$27:BO$35),0))</f>
        <v/>
      </c>
      <c r="BP53" s="55" t="str">
        <f>IF($B53="","",IF(COUNTIF(BP$16:BP$21,$B53)&gt;0,COUNTA(BP$7:BP$15),0)+IF(COUNTIF(BP$37:BP$42,$B53)&gt;0,COUNTA(BP$27:BP$35),0))</f>
        <v/>
      </c>
      <c r="BQ53" s="55" t="str">
        <f>IF($B53="","",IF(COUNTIF(BQ$16:BQ$21,$B53)&gt;0,COUNTA(BQ$7:BQ$15),0)+IF(COUNTIF(BQ$37:BQ$42,$B53)&gt;0,COUNTA(BQ$27:BQ$35),0))</f>
        <v/>
      </c>
      <c r="BR53" s="55" t="str">
        <f>IF($B53="","",IF(COUNTIF(BR$16:BR$21,$B53)&gt;0,COUNTA(BR$7:BR$15),0)+IF(COUNTIF(BR$37:BR$42,$B53)&gt;0,COUNTA(BR$27:BR$35),0))</f>
        <v/>
      </c>
      <c r="BS53" s="55" t="str">
        <f>IF($B53="","",IF(COUNTIF(BS$16:BS$21,$B53)&gt;0,COUNTA(BS$7:BS$15),0)+IF(COUNTIF(BS$37:BS$42,$B53)&gt;0,COUNTA(BS$27:BS$35),0))</f>
        <v/>
      </c>
      <c r="BT53" s="55" t="str">
        <f>IF($B53="","",IF(COUNTIF(BT$16:BT$21,$B53)&gt;0,COUNTA(BT$7:BT$15),0)+IF(COUNTIF(BT$37:BT$42,$B53)&gt;0,COUNTA(BT$27:BT$35),0))</f>
        <v/>
      </c>
      <c r="BU53" s="55" t="str">
        <f>IF($B53="","",IF(COUNTIF(BU$16:BU$21,$B53)&gt;0,COUNTA(BU$7:BU$15),0)+IF(COUNTIF(BU$37:BU$42,$B53)&gt;0,COUNTA(BU$27:BU$35),0))</f>
        <v/>
      </c>
      <c r="BV53" s="55" t="str">
        <f>IF($B53="","",IF(COUNTIF(BV$16:BV$21,$B53)&gt;0,COUNTA(BV$7:BV$15),0)+IF(COUNTIF(BV$37:BV$42,$B53)&gt;0,COUNTA(BV$27:BV$35),0))</f>
        <v/>
      </c>
      <c r="BW53" s="55" t="str">
        <f>IF($B53="","",IF(COUNTIF(BW$16:BW$21,$B53)&gt;0,COUNTA(BW$7:BW$15),0)+IF(COUNTIF(BW$37:BW$42,$B53)&gt;0,COUNTA(BW$27:BW$35),0))</f>
        <v/>
      </c>
      <c r="BX53" s="55" t="str">
        <f>IF($B53="","",IF(COUNTIF(BX$16:BX$21,$B53)&gt;0,COUNTA(BX$7:BX$15),0)+IF(COUNTIF(BX$37:BX$42,$B53)&gt;0,COUNTA(BX$27:BX$35),0))</f>
        <v/>
      </c>
      <c r="BY53" s="55" t="str">
        <f>IF($B53="","",IF(COUNTIF(BY$16:BY$21,$B53)&gt;0,COUNTA(BY$7:BY$15),0)+IF(COUNTIF(BY$37:BY$42,$B53)&gt;0,COUNTA(BY$27:BY$35),0))</f>
        <v/>
      </c>
      <c r="BZ53" s="55" t="str">
        <f>IF($B53="","",IF(COUNTIF(BZ$16:BZ$21,$B53)&gt;0,COUNTA(BZ$7:BZ$15),0)+IF(COUNTIF(BZ$37:BZ$42,$B53)&gt;0,COUNTA(BZ$27:BZ$35),0))</f>
        <v/>
      </c>
      <c r="CA53" s="55" t="str">
        <f>IF($B53="","",IF(COUNTIF(CA$16:CA$21,$B53)&gt;0,COUNTA(CA$7:CA$15),0)+IF(COUNTIF(CA$37:CA$42,$B53)&gt;0,COUNTA(CA$27:CA$35),0))</f>
        <v/>
      </c>
      <c r="CB53" s="55" t="str">
        <f>IF($B53="","",IF(COUNTIF(CB$16:CB$21,$B53)&gt;0,COUNTA(CB$7:CB$15),0)+IF(COUNTIF(CB$37:CB$42,$B53)&gt;0,COUNTA(CB$27:CB$35),0))</f>
        <v/>
      </c>
      <c r="CC53" s="55" t="str">
        <f>IF($B53="","",IF(COUNTIF(CC$16:CC$21,$B53)&gt;0,COUNTA(CC$7:CC$15),0)+IF(COUNTIF(CC$37:CC$42,$B53)&gt;0,COUNTA(CC$27:CC$35),0))</f>
        <v/>
      </c>
      <c r="CD53" s="55" t="str">
        <f>IF($B53="","",IF(COUNTIF(CD$16:CD$21,$B53)&gt;0,COUNTA(CD$7:CD$15),0)+IF(COUNTIF(CD$37:CD$42,$B53)&gt;0,COUNTA(CD$27:CD$35),0))</f>
        <v/>
      </c>
      <c r="CE53" s="55" t="str">
        <f>IF($B53="","",IF(COUNTIF(CE$16:CE$21,$B53)&gt;0,COUNTA(CE$7:CE$15),0)+IF(COUNTIF(CE$37:CE$42,$B53)&gt;0,COUNTA(CE$27:CE$35),0))</f>
        <v/>
      </c>
      <c r="CF53" s="55" t="str">
        <f>IF($B53="","",IF(COUNTIF(CF$16:CF$21,$B53)&gt;0,COUNTA(CF$7:CF$15),0)+IF(COUNTIF(CF$37:CF$42,$B53)&gt;0,COUNTA(CF$27:CF$35),0))</f>
        <v/>
      </c>
      <c r="CG53" s="55" t="str">
        <f>IF($B53="","",IF(COUNTIF(CG$16:CG$21,$B53)&gt;0,COUNTA(CG$7:CG$15),0)+IF(COUNTIF(CG$37:CG$42,$B53)&gt;0,COUNTA(CG$27:CG$35),0))</f>
        <v/>
      </c>
      <c r="CH53" s="55" t="str">
        <f>IF($B53="","",IF(COUNTIF(CH$16:CH$21,$B53)&gt;0,COUNTA(CH$7:CH$15),0)+IF(COUNTIF(CH$37:CH$42,$B53)&gt;0,COUNTA(CH$27:CH$35),0))</f>
        <v/>
      </c>
      <c r="CI53" s="55" t="str">
        <f>IF($B53="","",IF(COUNTIF(CI$16:CI$21,$B53)&gt;0,COUNTA(CI$7:CI$15),0)+IF(COUNTIF(CI$37:CI$42,$B53)&gt;0,COUNTA(CI$27:CI$35),0))</f>
        <v/>
      </c>
      <c r="CJ53" s="55" t="str">
        <f>IF($B53="","",IF(COUNTIF(CJ$16:CJ$21,$B53)&gt;0,COUNTA(CJ$7:CJ$15),0)+IF(COUNTIF(CJ$37:CJ$42,$B53)&gt;0,COUNTA(CJ$27:CJ$35),0))</f>
        <v/>
      </c>
      <c r="CK53" s="55" t="str">
        <f>IF($B53="","",IF(COUNTIF(CK$16:CK$21,$B53)&gt;0,COUNTA(CK$7:CK$15),0)+IF(COUNTIF(CK$37:CK$42,$B53)&gt;0,COUNTA(CK$27:CK$35),0))</f>
        <v/>
      </c>
      <c r="CL53" s="55" t="str">
        <f>IF($B53="","",IF(COUNTIF(CL$16:CL$21,$B53)&gt;0,COUNTA(CL$7:CL$15),0)+IF(COUNTIF(CL$37:CL$42,$B53)&gt;0,COUNTA(CL$27:CL$35),0))</f>
        <v/>
      </c>
      <c r="CM53" s="55" t="str">
        <f>IF($B53="","",IF(COUNTIF(CM$16:CM$21,$B53)&gt;0,COUNTA(CM$7:CM$15),0)+IF(COUNTIF(CM$37:CM$42,$B53)&gt;0,COUNTA(CM$27:CM$35),0))</f>
        <v/>
      </c>
      <c r="CN53" s="55" t="str">
        <f>IF($B53="","",IF(COUNTIF(CN$16:CN$21,$B53)&gt;0,COUNTA(CN$7:CN$15),0)+IF(COUNTIF(CN$37:CN$42,$B53)&gt;0,COUNTA(CN$27:CN$35),0))</f>
        <v/>
      </c>
      <c r="CO53" s="55" t="str">
        <f>IF($B53="","",IF(COUNTIF(CO$16:CO$21,$B53)&gt;0,COUNTA(CO$7:CO$15),0)+IF(COUNTIF(CO$37:CO$42,$B53)&gt;0,COUNTA(CO$27:CO$35),0))</f>
        <v/>
      </c>
      <c r="CP53" s="55" t="str">
        <f>IF($B53="","",IF(COUNTIF(CP$16:CP$21,$B53)&gt;0,COUNTA(CP$7:CP$15),0)+IF(COUNTIF(CP$37:CP$42,$B53)&gt;0,COUNTA(CP$27:CP$35),0))</f>
        <v/>
      </c>
      <c r="CQ53" s="55" t="str">
        <f>IF($B53="","",IF(COUNTIF(CQ$16:CQ$21,$B53)&gt;0,COUNTA(CQ$7:CQ$15),0)+IF(COUNTIF(CQ$37:CQ$42,$B53)&gt;0,COUNTA(CQ$27:CQ$35),0))</f>
        <v/>
      </c>
      <c r="CR53" s="55" t="str">
        <f>IF($B53="","",IF(COUNTIF(CR$16:CR$21,$B53)&gt;0,COUNTA(CR$7:CR$15),0)+IF(COUNTIF(CR$37:CR$42,$B53)&gt;0,COUNTA(CR$27:CR$35),0))</f>
        <v/>
      </c>
      <c r="CS53" s="55" t="str">
        <f>IF($B53="","",IF(COUNTIF(CS$16:CS$21,$B53)&gt;0,COUNTA(CS$7:CS$15),0)+IF(COUNTIF(CS$37:CS$42,$B53)&gt;0,COUNTA(CS$27:CS$35),0))</f>
        <v/>
      </c>
      <c r="CT53" s="55" t="str">
        <f>IF($B53="","",IF(COUNTIF(CT$16:CT$21,$B53)&gt;0,COUNTA(CT$7:CT$15),0)+IF(COUNTIF(CT$37:CT$42,$B53)&gt;0,COUNTA(CT$27:CT$35),0))</f>
        <v/>
      </c>
      <c r="CU53" s="55" t="str">
        <f>IF($B53="","",IF(COUNTIF(CU$16:CU$21,$B53)&gt;0,COUNTA(CU$7:CU$15),0)+IF(COUNTIF(CU$37:CU$42,$B53)&gt;0,COUNTA(CU$27:CU$35),0))</f>
        <v/>
      </c>
      <c r="CV53" s="55" t="str">
        <f>IF($B53="","",IF(COUNTIF(CV$16:CV$21,$B53)&gt;0,COUNTA(CV$7:CV$15),0)+IF(COUNTIF(CV$37:CV$42,$B53)&gt;0,COUNTA(CV$27:CV$35),0))</f>
        <v/>
      </c>
      <c r="CW53" s="55" t="str">
        <f>IF($B53="","",IF(COUNTIF(CW$16:CW$21,$B53)&gt;0,COUNTA(CW$7:CW$15),0)+IF(COUNTIF(CW$37:CW$42,$B53)&gt;0,COUNTA(CW$27:CW$35),0))</f>
        <v/>
      </c>
      <c r="CX53" s="55" t="str">
        <f>IF($B53="","",IF(COUNTIF(CX$16:CX$21,$B53)&gt;0,COUNTA(CX$7:CX$15),0)+IF(COUNTIF(CX$37:CX$42,$B53)&gt;0,COUNTA(CX$27:CX$35),0))</f>
        <v/>
      </c>
      <c r="CY53" s="55" t="str">
        <f>IF($B53="","",IF(COUNTIF(CY$16:CY$21,$B53)&gt;0,COUNTA(CY$7:CY$15),0)+IF(COUNTIF(CY$37:CY$42,$B53)&gt;0,COUNTA(CY$27:CY$35),0))</f>
        <v/>
      </c>
      <c r="CZ53" s="55" t="str">
        <f>IF($B53="","",IF(COUNTIF(CZ$16:CZ$21,$B53)&gt;0,COUNTA(CZ$7:CZ$15),0)+IF(COUNTIF(CZ$37:CZ$42,$B53)&gt;0,COUNTA(CZ$27:CZ$35),0))</f>
        <v/>
      </c>
      <c r="DA53" s="55" t="str">
        <f>IF($B53="","",IF(COUNTIF(DA$16:DA$21,$B53)&gt;0,COUNTA(DA$7:DA$15),0)+IF(COUNTIF(DA$37:DA$42,$B53)&gt;0,COUNTA(DA$27:DA$35),0))</f>
        <v/>
      </c>
      <c r="DB53" s="55" t="str">
        <f>IF($B53="","",IF(COUNTIF(DB$16:DB$21,$B53)&gt;0,COUNTA(DB$7:DB$15),0)+IF(COUNTIF(DB$37:DB$42,$B53)&gt;0,COUNTA(DB$27:DB$35),0))</f>
        <v/>
      </c>
      <c r="DC53" s="55" t="str">
        <f>IF($B53="","",IF(COUNTIF(DC$16:DC$21,$B53)&gt;0,COUNTA(DC$7:DC$15),0)+IF(COUNTIF(DC$37:DC$42,$B53)&gt;0,COUNTA(DC$27:DC$35),0))</f>
        <v/>
      </c>
      <c r="DD53" s="55" t="str">
        <f>IF($B53="","",IF(COUNTIF(DD$16:DD$21,$B53)&gt;0,COUNTA(DD$7:DD$15),0)+IF(COUNTIF(DD$37:DD$42,$B53)&gt;0,COUNTA(DD$27:DD$35),0))</f>
        <v/>
      </c>
      <c r="DE53" s="58" t="str">
        <f>IF($B53="","",IF(COUNTIF(DE$16:DE$21,$B53)&gt;0,COUNTA(DE$7:DE$15),0)+IF(COUNTIF(DE$37:DE$42,$B53)&gt;0,COUNTA(DE$27:DE$35),0))</f>
        <v/>
      </c>
    </row>
    <row r="54" spans="2:109" x14ac:dyDescent="0.2">
      <c r="B54" s="84" t="str">
        <f>IFERROR(INDEX(_xlfn._xlws.FILTER(Ressourcer!$B$1:$X$1,_xlfn.BYCOL(Ressourcer!$B$23:$X$25,_xlfn.LAMBDA(_xlpm.c,COUNTIF(_xlpm.c,"&lt;&gt;" )&gt;0))),ROWS($B$2:B11)),"")</f>
        <v/>
      </c>
      <c r="C54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)&gt;0))),_xlfn.LAMBDA(_xlpm.col,SUM(INDEX(Ressourcer!$B$23:$X$25,,_xlpm.col-COLUMN(Ressourcer!$B$23:$X$25)+1)))),ROWS($B$2:B11))/2,"")</f>
        <v/>
      </c>
      <c r="D54" s="106" t="str">
        <f t="shared" si="35"/>
        <v/>
      </c>
      <c r="E54" s="57" t="str">
        <f>IF($B54="","",IF(COUNTIF(E$16:E$21,$B54)&gt;0,COUNTA(E$7:E$15),0)+IF(COUNTIF(E$37:E$42,$B54)&gt;0,COUNTA(E$27:E$35),0))</f>
        <v/>
      </c>
      <c r="F54" s="55" t="str">
        <f>IF($B54="","",IF(COUNTIF(F$16:F$21,$B54)&gt;0,COUNTA(F$7:F$15),0)+IF(COUNTIF(F$37:F$42,$B54)&gt;0,COUNTA(F$27:F$35),0))</f>
        <v/>
      </c>
      <c r="G54" s="55" t="str">
        <f>IF($B54="","",IF(COUNTIF(G$16:G$21,$B54)&gt;0,COUNTA(G$7:G$15),0)+IF(COUNTIF(G$37:G$42,$B54)&gt;0,COUNTA(G$27:G$35),0))</f>
        <v/>
      </c>
      <c r="H54" s="55" t="str">
        <f>IF($B54="","",IF(COUNTIF(H$16:H$21,$B54)&gt;0,COUNTA(H$7:H$15),0)+IF(COUNTIF(H$37:H$42,$B54)&gt;0,COUNTA(H$27:H$35),0))</f>
        <v/>
      </c>
      <c r="I54" s="55" t="str">
        <f>IF($B54="","",IF(COUNTIF(I$16:I$21,$B54)&gt;0,COUNTA(I$7:I$15),0)+IF(COUNTIF(I$37:I$42,$B54)&gt;0,COUNTA(I$27:I$35),0))</f>
        <v/>
      </c>
      <c r="J54" s="55" t="str">
        <f>IF($B54="","",IF(COUNTIF(J$16:J$21,$B54)&gt;0,COUNTA(J$7:J$15),0)+IF(COUNTIF(J$37:J$42,$B54)&gt;0,COUNTA(J$27:J$35),0))</f>
        <v/>
      </c>
      <c r="K54" s="55" t="str">
        <f>IF($B54="","",IF(COUNTIF(K$16:K$21,$B54)&gt;0,COUNTA(K$7:K$15),0)+IF(COUNTIF(K$37:K$42,$B54)&gt;0,COUNTA(K$27:K$35),0))</f>
        <v/>
      </c>
      <c r="L54" s="55" t="str">
        <f>IF($B54="","",IF(COUNTIF(L$16:L$21,$B54)&gt;0,COUNTA(L$7:L$15),0)+IF(COUNTIF(L$37:L$42,$B54)&gt;0,COUNTA(L$27:L$35),0))</f>
        <v/>
      </c>
      <c r="M54" s="55" t="str">
        <f>IF($B54="","",IF(COUNTIF(M$16:M$21,$B54)&gt;0,COUNTA(M$7:M$15),0)+IF(COUNTIF(M$37:M$42,$B54)&gt;0,COUNTA(M$27:M$35),0))</f>
        <v/>
      </c>
      <c r="N54" s="55" t="str">
        <f>IF($B54="","",IF(COUNTIF(N$16:N$21,$B54)&gt;0,COUNTA(N$7:N$15),0)+IF(COUNTIF(N$37:N$42,$B54)&gt;0,COUNTA(N$27:N$35),0))</f>
        <v/>
      </c>
      <c r="O54" s="55" t="str">
        <f>IF($B54="","",IF(COUNTIF(O$16:O$21,$B54)&gt;0,COUNTA(O$7:O$15),0)+IF(COUNTIF(O$37:O$42,$B54)&gt;0,COUNTA(O$27:O$35),0))</f>
        <v/>
      </c>
      <c r="P54" s="55" t="str">
        <f>IF($B54="","",IF(COUNTIF(P$16:P$21,$B54)&gt;0,COUNTA(P$7:P$15),0)+IF(COUNTIF(P$37:P$42,$B54)&gt;0,COUNTA(P$27:P$35),0))</f>
        <v/>
      </c>
      <c r="Q54" s="55" t="str">
        <f>IF($B54="","",IF(COUNTIF(Q$16:Q$21,$B54)&gt;0,COUNTA(Q$7:Q$15),0)+IF(COUNTIF(Q$37:Q$42,$B54)&gt;0,COUNTA(Q$27:Q$35),0))</f>
        <v/>
      </c>
      <c r="R54" s="55" t="str">
        <f>IF($B54="","",IF(COUNTIF(R$16:R$21,$B54)&gt;0,COUNTA(R$7:R$15),0)+IF(COUNTIF(R$37:R$42,$B54)&gt;0,COUNTA(R$27:R$35),0))</f>
        <v/>
      </c>
      <c r="S54" s="55" t="str">
        <f>IF($B54="","",IF(COUNTIF(S$16:S$21,$B54)&gt;0,COUNTA(S$7:S$15),0)+IF(COUNTIF(S$37:S$42,$B54)&gt;0,COUNTA(S$27:S$35),0))</f>
        <v/>
      </c>
      <c r="T54" s="55" t="str">
        <f>IF($B54="","",IF(COUNTIF(T$16:T$21,$B54)&gt;0,COUNTA(T$7:T$15),0)+IF(COUNTIF(T$37:T$42,$B54)&gt;0,COUNTA(T$27:T$35),0))</f>
        <v/>
      </c>
      <c r="U54" s="55" t="str">
        <f>IF($B54="","",IF(COUNTIF(U$16:U$21,$B54)&gt;0,COUNTA(U$7:U$15),0)+IF(COUNTIF(U$37:U$42,$B54)&gt;0,COUNTA(U$27:U$35),0))</f>
        <v/>
      </c>
      <c r="V54" s="55" t="str">
        <f>IF($B54="","",IF(COUNTIF(V$16:V$21,$B54)&gt;0,COUNTA(V$7:V$15),0)+IF(COUNTIF(V$37:V$42,$B54)&gt;0,COUNTA(V$27:V$35),0))</f>
        <v/>
      </c>
      <c r="W54" s="55" t="str">
        <f>IF($B54="","",IF(COUNTIF(W$16:W$21,$B54)&gt;0,COUNTA(W$7:W$15),0)+IF(COUNTIF(W$37:W$42,$B54)&gt;0,COUNTA(W$27:W$35),0))</f>
        <v/>
      </c>
      <c r="X54" s="55" t="str">
        <f>IF($B54="","",IF(COUNTIF(X$16:X$21,$B54)&gt;0,COUNTA(X$7:X$15),0)+IF(COUNTIF(X$37:X$42,$B54)&gt;0,COUNTA(X$27:X$35),0))</f>
        <v/>
      </c>
      <c r="Y54" s="55" t="str">
        <f>IF($B54="","",IF(COUNTIF(Y$16:Y$21,$B54)&gt;0,COUNTA(Y$7:Y$15),0)+IF(COUNTIF(Y$37:Y$42,$B54)&gt;0,COUNTA(Y$27:Y$35),0))</f>
        <v/>
      </c>
      <c r="Z54" s="55" t="str">
        <f>IF($B54="","",IF(COUNTIF(Z$16:Z$21,$B54)&gt;0,COUNTA(Z$7:Z$15),0)+IF(COUNTIF(Z$37:Z$42,$B54)&gt;0,COUNTA(Z$27:Z$35),0))</f>
        <v/>
      </c>
      <c r="AA54" s="55" t="str">
        <f>IF($B54="","",IF(COUNTIF(AA$16:AA$21,$B54)&gt;0,COUNTA(AA$7:AA$15),0)+IF(COUNTIF(AA$37:AA$42,$B54)&gt;0,COUNTA(AA$27:AA$35),0))</f>
        <v/>
      </c>
      <c r="AB54" s="55" t="str">
        <f>IF($B54="","",IF(COUNTIF(AB$16:AB$21,$B54)&gt;0,COUNTA(AB$7:AB$15),0)+IF(COUNTIF(AB$37:AB$42,$B54)&gt;0,COUNTA(AB$27:AB$35),0))</f>
        <v/>
      </c>
      <c r="AC54" s="55" t="str">
        <f>IF($B54="","",IF(COUNTIF(AC$16:AC$21,$B54)&gt;0,COUNTA(AC$7:AC$15),0)+IF(COUNTIF(AC$37:AC$42,$B54)&gt;0,COUNTA(AC$27:AC$35),0))</f>
        <v/>
      </c>
      <c r="AD54" s="55" t="str">
        <f>IF($B54="","",IF(COUNTIF(AD$16:AD$21,$B54)&gt;0,COUNTA(AD$7:AD$15),0)+IF(COUNTIF(AD$37:AD$42,$B54)&gt;0,COUNTA(AD$27:AD$35),0))</f>
        <v/>
      </c>
      <c r="AE54" s="55" t="str">
        <f>IF($B54="","",IF(COUNTIF(AE$16:AE$21,$B54)&gt;0,COUNTA(AE$7:AE$15),0)+IF(COUNTIF(AE$37:AE$42,$B54)&gt;0,COUNTA(AE$27:AE$35),0))</f>
        <v/>
      </c>
      <c r="AF54" s="55" t="str">
        <f>IF($B54="","",IF(COUNTIF(AF$16:AF$21,$B54)&gt;0,COUNTA(AF$7:AF$15),0)+IF(COUNTIF(AF$37:AF$42,$B54)&gt;0,COUNTA(AF$27:AF$35),0))</f>
        <v/>
      </c>
      <c r="AG54" s="55" t="str">
        <f>IF($B54="","",IF(COUNTIF(AG$16:AG$21,$B54)&gt;0,COUNTA(AG$7:AG$15),0)+IF(COUNTIF(AG$37:AG$42,$B54)&gt;0,COUNTA(AG$27:AG$35),0))</f>
        <v/>
      </c>
      <c r="AH54" s="55" t="str">
        <f>IF($B54="","",IF(COUNTIF(AH$16:AH$21,$B54)&gt;0,COUNTA(AH$7:AH$15),0)+IF(COUNTIF(AH$37:AH$42,$B54)&gt;0,COUNTA(AH$27:AH$35),0))</f>
        <v/>
      </c>
      <c r="AI54" s="55" t="str">
        <f>IF($B54="","",IF(COUNTIF(AI$16:AI$21,$B54)&gt;0,COUNTA(AI$7:AI$15),0)+IF(COUNTIF(AI$37:AI$42,$B54)&gt;0,COUNTA(AI$27:AI$35),0))</f>
        <v/>
      </c>
      <c r="AJ54" s="55" t="str">
        <f>IF($B54="","",IF(COUNTIF(AJ$16:AJ$21,$B54)&gt;0,COUNTA(AJ$7:AJ$15),0)+IF(COUNTIF(AJ$37:AJ$42,$B54)&gt;0,COUNTA(AJ$27:AJ$35),0))</f>
        <v/>
      </c>
      <c r="AK54" s="55" t="str">
        <f>IF($B54="","",IF(COUNTIF(AK$16:AK$21,$B54)&gt;0,COUNTA(AK$7:AK$15),0)+IF(COUNTIF(AK$37:AK$42,$B54)&gt;0,COUNTA(AK$27:AK$35),0))</f>
        <v/>
      </c>
      <c r="AL54" s="55" t="str">
        <f>IF($B54="","",IF(COUNTIF(AL$16:AL$21,$B54)&gt;0,COUNTA(AL$7:AL$15),0)+IF(COUNTIF(AL$37:AL$42,$B54)&gt;0,COUNTA(AL$27:AL$35),0))</f>
        <v/>
      </c>
      <c r="AM54" s="55" t="str">
        <f>IF($B54="","",IF(COUNTIF(AM$16:AM$21,$B54)&gt;0,COUNTA(AM$7:AM$15),0)+IF(COUNTIF(AM$37:AM$42,$B54)&gt;0,COUNTA(AM$27:AM$35),0))</f>
        <v/>
      </c>
      <c r="AN54" s="55" t="str">
        <f>IF($B54="","",IF(COUNTIF(AN$16:AN$21,$B54)&gt;0,COUNTA(AN$7:AN$15),0)+IF(COUNTIF(AN$37:AN$42,$B54)&gt;0,COUNTA(AN$27:AN$35),0))</f>
        <v/>
      </c>
      <c r="AO54" s="55" t="str">
        <f>IF($B54="","",IF(COUNTIF(AO$16:AO$21,$B54)&gt;0,COUNTA(AO$7:AO$15),0)+IF(COUNTIF(AO$37:AO$42,$B54)&gt;0,COUNTA(AO$27:AO$35),0))</f>
        <v/>
      </c>
      <c r="AP54" s="55" t="str">
        <f>IF($B54="","",IF(COUNTIF(AP$16:AP$21,$B54)&gt;0,COUNTA(AP$7:AP$15),0)+IF(COUNTIF(AP$37:AP$42,$B54)&gt;0,COUNTA(AP$27:AP$35),0))</f>
        <v/>
      </c>
      <c r="AQ54" s="55" t="str">
        <f>IF($B54="","",IF(COUNTIF(AQ$16:AQ$21,$B54)&gt;0,COUNTA(AQ$7:AQ$15),0)+IF(COUNTIF(AQ$37:AQ$42,$B54)&gt;0,COUNTA(AQ$27:AQ$35),0))</f>
        <v/>
      </c>
      <c r="AR54" s="55" t="str">
        <f>IF($B54="","",IF(COUNTIF(AR$16:AR$21,$B54)&gt;0,COUNTA(AR$7:AR$15),0)+IF(COUNTIF(AR$37:AR$42,$B54)&gt;0,COUNTA(AR$27:AR$35),0))</f>
        <v/>
      </c>
      <c r="AS54" s="55" t="str">
        <f>IF($B54="","",IF(COUNTIF(AS$16:AS$21,$B54)&gt;0,COUNTA(AS$7:AS$15),0)+IF(COUNTIF(AS$37:AS$42,$B54)&gt;0,COUNTA(AS$27:AS$35),0))</f>
        <v/>
      </c>
      <c r="AT54" s="55" t="str">
        <f>IF($B54="","",IF(COUNTIF(AT$16:AT$21,$B54)&gt;0,COUNTA(AT$7:AT$15),0)+IF(COUNTIF(AT$37:AT$42,$B54)&gt;0,COUNTA(AT$27:AT$35),0))</f>
        <v/>
      </c>
      <c r="AU54" s="55" t="str">
        <f>IF($B54="","",IF(COUNTIF(AU$16:AU$21,$B54)&gt;0,COUNTA(AU$7:AU$15),0)+IF(COUNTIF(AU$37:AU$42,$B54)&gt;0,COUNTA(AU$27:AU$35),0))</f>
        <v/>
      </c>
      <c r="AV54" s="55" t="str">
        <f>IF($B54="","",IF(COUNTIF(AV$16:AV$21,$B54)&gt;0,COUNTA(AV$7:AV$15),0)+IF(COUNTIF(AV$37:AV$42,$B54)&gt;0,COUNTA(AV$27:AV$35),0))</f>
        <v/>
      </c>
      <c r="AW54" s="55" t="str">
        <f>IF($B54="","",IF(COUNTIF(AW$16:AW$21,$B54)&gt;0,COUNTA(AW$7:AW$15),0)+IF(COUNTIF(AW$37:AW$42,$B54)&gt;0,COUNTA(AW$27:AW$35),0))</f>
        <v/>
      </c>
      <c r="AX54" s="55" t="str">
        <f>IF($B54="","",IF(COUNTIF(AX$16:AX$21,$B54)&gt;0,COUNTA(AX$7:AX$15),0)+IF(COUNTIF(AX$37:AX$42,$B54)&gt;0,COUNTA(AX$27:AX$35),0))</f>
        <v/>
      </c>
      <c r="AY54" s="55" t="str">
        <f>IF($B54="","",IF(COUNTIF(AY$16:AY$21,$B54)&gt;0,COUNTA(AY$7:AY$15),0)+IF(COUNTIF(AY$37:AY$42,$B54)&gt;0,COUNTA(AY$27:AY$35),0))</f>
        <v/>
      </c>
      <c r="AZ54" s="55" t="str">
        <f>IF($B54="","",IF(COUNTIF(AZ$16:AZ$21,$B54)&gt;0,COUNTA(AZ$7:AZ$15),0)+IF(COUNTIF(AZ$37:AZ$42,$B54)&gt;0,COUNTA(AZ$27:AZ$35),0))</f>
        <v/>
      </c>
      <c r="BA54" s="55" t="str">
        <f>IF($B54="","",IF(COUNTIF(BA$16:BA$21,$B54)&gt;0,COUNTA(BA$7:BA$15),0)+IF(COUNTIF(BA$37:BA$42,$B54)&gt;0,COUNTA(BA$27:BA$35),0))</f>
        <v/>
      </c>
      <c r="BB54" s="55" t="str">
        <f>IF($B54="","",IF(COUNTIF(BB$16:BB$21,$B54)&gt;0,COUNTA(BB$7:BB$15),0)+IF(COUNTIF(BB$37:BB$42,$B54)&gt;0,COUNTA(BB$27:BB$35),0))</f>
        <v/>
      </c>
      <c r="BC54" s="55" t="str">
        <f>IF($B54="","",IF(COUNTIF(BC$16:BC$21,$B54)&gt;0,COUNTA(BC$7:BC$15),0)+IF(COUNTIF(BC$37:BC$42,$B54)&gt;0,COUNTA(BC$27:BC$35),0))</f>
        <v/>
      </c>
      <c r="BD54" s="55" t="str">
        <f>IF($B54="","",IF(COUNTIF(BD$16:BD$21,$B54)&gt;0,COUNTA(BD$7:BD$15),0)+IF(COUNTIF(BD$37:BD$42,$B54)&gt;0,COUNTA(BD$27:BD$35),0))</f>
        <v/>
      </c>
      <c r="BE54" s="55" t="str">
        <f>IF($B54="","",IF(COUNTIF(BE$16:BE$21,$B54)&gt;0,COUNTA(BE$7:BE$15),0)+IF(COUNTIF(BE$37:BE$42,$B54)&gt;0,COUNTA(BE$27:BE$35),0))</f>
        <v/>
      </c>
      <c r="BF54" s="55" t="str">
        <f>IF($B54="","",IF(COUNTIF(BF$16:BF$21,$B54)&gt;0,COUNTA(BF$7:BF$15),0)+IF(COUNTIF(BF$37:BF$42,$B54)&gt;0,COUNTA(BF$27:BF$35),0))</f>
        <v/>
      </c>
      <c r="BG54" s="55" t="str">
        <f>IF($B54="","",IF(COUNTIF(BG$16:BG$21,$B54)&gt;0,COUNTA(BG$7:BG$15),0)+IF(COUNTIF(BG$37:BG$42,$B54)&gt;0,COUNTA(BG$27:BG$35),0))</f>
        <v/>
      </c>
      <c r="BH54" s="55" t="str">
        <f>IF($B54="","",IF(COUNTIF(BH$16:BH$21,$B54)&gt;0,COUNTA(BH$7:BH$15),0)+IF(COUNTIF(BH$37:BH$42,$B54)&gt;0,COUNTA(BH$27:BH$35),0))</f>
        <v/>
      </c>
      <c r="BI54" s="55" t="str">
        <f>IF($B54="","",IF(COUNTIF(BI$16:BI$21,$B54)&gt;0,COUNTA(BI$7:BI$15),0)+IF(COUNTIF(BI$37:BI$42,$B54)&gt;0,COUNTA(BI$27:BI$35),0))</f>
        <v/>
      </c>
      <c r="BJ54" s="55" t="str">
        <f>IF($B54="","",IF(COUNTIF(BJ$16:BJ$21,$B54)&gt;0,COUNTA(BJ$7:BJ$15),0)+IF(COUNTIF(BJ$37:BJ$42,$B54)&gt;0,COUNTA(BJ$27:BJ$35),0))</f>
        <v/>
      </c>
      <c r="BK54" s="55" t="str">
        <f>IF($B54="","",IF(COUNTIF(BK$16:BK$21,$B54)&gt;0,COUNTA(BK$7:BK$15),0)+IF(COUNTIF(BK$37:BK$42,$B54)&gt;0,COUNTA(BK$27:BK$35),0))</f>
        <v/>
      </c>
      <c r="BL54" s="55" t="str">
        <f>IF($B54="","",IF(COUNTIF(BL$16:BL$21,$B54)&gt;0,COUNTA(BL$7:BL$15),0)+IF(COUNTIF(BL$37:BL$42,$B54)&gt;0,COUNTA(BL$27:BL$35),0))</f>
        <v/>
      </c>
      <c r="BM54" s="55" t="str">
        <f>IF($B54="","",IF(COUNTIF(BM$16:BM$21,$B54)&gt;0,COUNTA(BM$7:BM$15),0)+IF(COUNTIF(BM$37:BM$42,$B54)&gt;0,COUNTA(BM$27:BM$35),0))</f>
        <v/>
      </c>
      <c r="BN54" s="55" t="str">
        <f>IF($B54="","",IF(COUNTIF(BN$16:BN$21,$B54)&gt;0,COUNTA(BN$7:BN$15),0)+IF(COUNTIF(BN$37:BN$42,$B54)&gt;0,COUNTA(BN$27:BN$35),0))</f>
        <v/>
      </c>
      <c r="BO54" s="55" t="str">
        <f>IF($B54="","",IF(COUNTIF(BO$16:BO$21,$B54)&gt;0,COUNTA(BO$7:BO$15),0)+IF(COUNTIF(BO$37:BO$42,$B54)&gt;0,COUNTA(BO$27:BO$35),0))</f>
        <v/>
      </c>
      <c r="BP54" s="55" t="str">
        <f>IF($B54="","",IF(COUNTIF(BP$16:BP$21,$B54)&gt;0,COUNTA(BP$7:BP$15),0)+IF(COUNTIF(BP$37:BP$42,$B54)&gt;0,COUNTA(BP$27:BP$35),0))</f>
        <v/>
      </c>
      <c r="BQ54" s="55" t="str">
        <f>IF($B54="","",IF(COUNTIF(BQ$16:BQ$21,$B54)&gt;0,COUNTA(BQ$7:BQ$15),0)+IF(COUNTIF(BQ$37:BQ$42,$B54)&gt;0,COUNTA(BQ$27:BQ$35),0))</f>
        <v/>
      </c>
      <c r="BR54" s="55" t="str">
        <f>IF($B54="","",IF(COUNTIF(BR$16:BR$21,$B54)&gt;0,COUNTA(BR$7:BR$15),0)+IF(COUNTIF(BR$37:BR$42,$B54)&gt;0,COUNTA(BR$27:BR$35),0))</f>
        <v/>
      </c>
      <c r="BS54" s="55" t="str">
        <f>IF($B54="","",IF(COUNTIF(BS$16:BS$21,$B54)&gt;0,COUNTA(BS$7:BS$15),0)+IF(COUNTIF(BS$37:BS$42,$B54)&gt;0,COUNTA(BS$27:BS$35),0))</f>
        <v/>
      </c>
      <c r="BT54" s="55" t="str">
        <f>IF($B54="","",IF(COUNTIF(BT$16:BT$21,$B54)&gt;0,COUNTA(BT$7:BT$15),0)+IF(COUNTIF(BT$37:BT$42,$B54)&gt;0,COUNTA(BT$27:BT$35),0))</f>
        <v/>
      </c>
      <c r="BU54" s="55" t="str">
        <f>IF($B54="","",IF(COUNTIF(BU$16:BU$21,$B54)&gt;0,COUNTA(BU$7:BU$15),0)+IF(COUNTIF(BU$37:BU$42,$B54)&gt;0,COUNTA(BU$27:BU$35),0))</f>
        <v/>
      </c>
      <c r="BV54" s="55" t="str">
        <f>IF($B54="","",IF(COUNTIF(BV$16:BV$21,$B54)&gt;0,COUNTA(BV$7:BV$15),0)+IF(COUNTIF(BV$37:BV$42,$B54)&gt;0,COUNTA(BV$27:BV$35),0))</f>
        <v/>
      </c>
      <c r="BW54" s="55" t="str">
        <f>IF($B54="","",IF(COUNTIF(BW$16:BW$21,$B54)&gt;0,COUNTA(BW$7:BW$15),0)+IF(COUNTIF(BW$37:BW$42,$B54)&gt;0,COUNTA(BW$27:BW$35),0))</f>
        <v/>
      </c>
      <c r="BX54" s="55" t="str">
        <f>IF($B54="","",IF(COUNTIF(BX$16:BX$21,$B54)&gt;0,COUNTA(BX$7:BX$15),0)+IF(COUNTIF(BX$37:BX$42,$B54)&gt;0,COUNTA(BX$27:BX$35),0))</f>
        <v/>
      </c>
      <c r="BY54" s="55" t="str">
        <f>IF($B54="","",IF(COUNTIF(BY$16:BY$21,$B54)&gt;0,COUNTA(BY$7:BY$15),0)+IF(COUNTIF(BY$37:BY$42,$B54)&gt;0,COUNTA(BY$27:BY$35),0))</f>
        <v/>
      </c>
      <c r="BZ54" s="55" t="str">
        <f>IF($B54="","",IF(COUNTIF(BZ$16:BZ$21,$B54)&gt;0,COUNTA(BZ$7:BZ$15),0)+IF(COUNTIF(BZ$37:BZ$42,$B54)&gt;0,COUNTA(BZ$27:BZ$35),0))</f>
        <v/>
      </c>
      <c r="CA54" s="55" t="str">
        <f>IF($B54="","",IF(COUNTIF(CA$16:CA$21,$B54)&gt;0,COUNTA(CA$7:CA$15),0)+IF(COUNTIF(CA$37:CA$42,$B54)&gt;0,COUNTA(CA$27:CA$35),0))</f>
        <v/>
      </c>
      <c r="CB54" s="55" t="str">
        <f>IF($B54="","",IF(COUNTIF(CB$16:CB$21,$B54)&gt;0,COUNTA(CB$7:CB$15),0)+IF(COUNTIF(CB$37:CB$42,$B54)&gt;0,COUNTA(CB$27:CB$35),0))</f>
        <v/>
      </c>
      <c r="CC54" s="55" t="str">
        <f>IF($B54="","",IF(COUNTIF(CC$16:CC$21,$B54)&gt;0,COUNTA(CC$7:CC$15),0)+IF(COUNTIF(CC$37:CC$42,$B54)&gt;0,COUNTA(CC$27:CC$35),0))</f>
        <v/>
      </c>
      <c r="CD54" s="55" t="str">
        <f>IF($B54="","",IF(COUNTIF(CD$16:CD$21,$B54)&gt;0,COUNTA(CD$7:CD$15),0)+IF(COUNTIF(CD$37:CD$42,$B54)&gt;0,COUNTA(CD$27:CD$35),0))</f>
        <v/>
      </c>
      <c r="CE54" s="55" t="str">
        <f>IF($B54="","",IF(COUNTIF(CE$16:CE$21,$B54)&gt;0,COUNTA(CE$7:CE$15),0)+IF(COUNTIF(CE$37:CE$42,$B54)&gt;0,COUNTA(CE$27:CE$35),0))</f>
        <v/>
      </c>
      <c r="CF54" s="55" t="str">
        <f>IF($B54="","",IF(COUNTIF(CF$16:CF$21,$B54)&gt;0,COUNTA(CF$7:CF$15),0)+IF(COUNTIF(CF$37:CF$42,$B54)&gt;0,COUNTA(CF$27:CF$35),0))</f>
        <v/>
      </c>
      <c r="CG54" s="55" t="str">
        <f>IF($B54="","",IF(COUNTIF(CG$16:CG$21,$B54)&gt;0,COUNTA(CG$7:CG$15),0)+IF(COUNTIF(CG$37:CG$42,$B54)&gt;0,COUNTA(CG$27:CG$35),0))</f>
        <v/>
      </c>
      <c r="CH54" s="55" t="str">
        <f>IF($B54="","",IF(COUNTIF(CH$16:CH$21,$B54)&gt;0,COUNTA(CH$7:CH$15),0)+IF(COUNTIF(CH$37:CH$42,$B54)&gt;0,COUNTA(CH$27:CH$35),0))</f>
        <v/>
      </c>
      <c r="CI54" s="55" t="str">
        <f>IF($B54="","",IF(COUNTIF(CI$16:CI$21,$B54)&gt;0,COUNTA(CI$7:CI$15),0)+IF(COUNTIF(CI$37:CI$42,$B54)&gt;0,COUNTA(CI$27:CI$35),0))</f>
        <v/>
      </c>
      <c r="CJ54" s="55" t="str">
        <f>IF($B54="","",IF(COUNTIF(CJ$16:CJ$21,$B54)&gt;0,COUNTA(CJ$7:CJ$15),0)+IF(COUNTIF(CJ$37:CJ$42,$B54)&gt;0,COUNTA(CJ$27:CJ$35),0))</f>
        <v/>
      </c>
      <c r="CK54" s="55" t="str">
        <f>IF($B54="","",IF(COUNTIF(CK$16:CK$21,$B54)&gt;0,COUNTA(CK$7:CK$15),0)+IF(COUNTIF(CK$37:CK$42,$B54)&gt;0,COUNTA(CK$27:CK$35),0))</f>
        <v/>
      </c>
      <c r="CL54" s="55" t="str">
        <f>IF($B54="","",IF(COUNTIF(CL$16:CL$21,$B54)&gt;0,COUNTA(CL$7:CL$15),0)+IF(COUNTIF(CL$37:CL$42,$B54)&gt;0,COUNTA(CL$27:CL$35),0))</f>
        <v/>
      </c>
      <c r="CM54" s="55" t="str">
        <f>IF($B54="","",IF(COUNTIF(CM$16:CM$21,$B54)&gt;0,COUNTA(CM$7:CM$15),0)+IF(COUNTIF(CM$37:CM$42,$B54)&gt;0,COUNTA(CM$27:CM$35),0))</f>
        <v/>
      </c>
      <c r="CN54" s="55" t="str">
        <f>IF($B54="","",IF(COUNTIF(CN$16:CN$21,$B54)&gt;0,COUNTA(CN$7:CN$15),0)+IF(COUNTIF(CN$37:CN$42,$B54)&gt;0,COUNTA(CN$27:CN$35),0))</f>
        <v/>
      </c>
      <c r="CO54" s="55" t="str">
        <f>IF($B54="","",IF(COUNTIF(CO$16:CO$21,$B54)&gt;0,COUNTA(CO$7:CO$15),0)+IF(COUNTIF(CO$37:CO$42,$B54)&gt;0,COUNTA(CO$27:CO$35),0))</f>
        <v/>
      </c>
      <c r="CP54" s="55" t="str">
        <f>IF($B54="","",IF(COUNTIF(CP$16:CP$21,$B54)&gt;0,COUNTA(CP$7:CP$15),0)+IF(COUNTIF(CP$37:CP$42,$B54)&gt;0,COUNTA(CP$27:CP$35),0))</f>
        <v/>
      </c>
      <c r="CQ54" s="55" t="str">
        <f>IF($B54="","",IF(COUNTIF(CQ$16:CQ$21,$B54)&gt;0,COUNTA(CQ$7:CQ$15),0)+IF(COUNTIF(CQ$37:CQ$42,$B54)&gt;0,COUNTA(CQ$27:CQ$35),0))</f>
        <v/>
      </c>
      <c r="CR54" s="55" t="str">
        <f>IF($B54="","",IF(COUNTIF(CR$16:CR$21,$B54)&gt;0,COUNTA(CR$7:CR$15),0)+IF(COUNTIF(CR$37:CR$42,$B54)&gt;0,COUNTA(CR$27:CR$35),0))</f>
        <v/>
      </c>
      <c r="CS54" s="55" t="str">
        <f>IF($B54="","",IF(COUNTIF(CS$16:CS$21,$B54)&gt;0,COUNTA(CS$7:CS$15),0)+IF(COUNTIF(CS$37:CS$42,$B54)&gt;0,COUNTA(CS$27:CS$35),0))</f>
        <v/>
      </c>
      <c r="CT54" s="55" t="str">
        <f>IF($B54="","",IF(COUNTIF(CT$16:CT$21,$B54)&gt;0,COUNTA(CT$7:CT$15),0)+IF(COUNTIF(CT$37:CT$42,$B54)&gt;0,COUNTA(CT$27:CT$35),0))</f>
        <v/>
      </c>
      <c r="CU54" s="55" t="str">
        <f>IF($B54="","",IF(COUNTIF(CU$16:CU$21,$B54)&gt;0,COUNTA(CU$7:CU$15),0)+IF(COUNTIF(CU$37:CU$42,$B54)&gt;0,COUNTA(CU$27:CU$35),0))</f>
        <v/>
      </c>
      <c r="CV54" s="55" t="str">
        <f>IF($B54="","",IF(COUNTIF(CV$16:CV$21,$B54)&gt;0,COUNTA(CV$7:CV$15),0)+IF(COUNTIF(CV$37:CV$42,$B54)&gt;0,COUNTA(CV$27:CV$35),0))</f>
        <v/>
      </c>
      <c r="CW54" s="55" t="str">
        <f>IF($B54="","",IF(COUNTIF(CW$16:CW$21,$B54)&gt;0,COUNTA(CW$7:CW$15),0)+IF(COUNTIF(CW$37:CW$42,$B54)&gt;0,COUNTA(CW$27:CW$35),0))</f>
        <v/>
      </c>
      <c r="CX54" s="55" t="str">
        <f>IF($B54="","",IF(COUNTIF(CX$16:CX$21,$B54)&gt;0,COUNTA(CX$7:CX$15),0)+IF(COUNTIF(CX$37:CX$42,$B54)&gt;0,COUNTA(CX$27:CX$35),0))</f>
        <v/>
      </c>
      <c r="CY54" s="55" t="str">
        <f>IF($B54="","",IF(COUNTIF(CY$16:CY$21,$B54)&gt;0,COUNTA(CY$7:CY$15),0)+IF(COUNTIF(CY$37:CY$42,$B54)&gt;0,COUNTA(CY$27:CY$35),0))</f>
        <v/>
      </c>
      <c r="CZ54" s="55" t="str">
        <f>IF($B54="","",IF(COUNTIF(CZ$16:CZ$21,$B54)&gt;0,COUNTA(CZ$7:CZ$15),0)+IF(COUNTIF(CZ$37:CZ$42,$B54)&gt;0,COUNTA(CZ$27:CZ$35),0))</f>
        <v/>
      </c>
      <c r="DA54" s="55" t="str">
        <f>IF($B54="","",IF(COUNTIF(DA$16:DA$21,$B54)&gt;0,COUNTA(DA$7:DA$15),0)+IF(COUNTIF(DA$37:DA$42,$B54)&gt;0,COUNTA(DA$27:DA$35),0))</f>
        <v/>
      </c>
      <c r="DB54" s="55" t="str">
        <f>IF($B54="","",IF(COUNTIF(DB$16:DB$21,$B54)&gt;0,COUNTA(DB$7:DB$15),0)+IF(COUNTIF(DB$37:DB$42,$B54)&gt;0,COUNTA(DB$27:DB$35),0))</f>
        <v/>
      </c>
      <c r="DC54" s="55" t="str">
        <f>IF($B54="","",IF(COUNTIF(DC$16:DC$21,$B54)&gt;0,COUNTA(DC$7:DC$15),0)+IF(COUNTIF(DC$37:DC$42,$B54)&gt;0,COUNTA(DC$27:DC$35),0))</f>
        <v/>
      </c>
      <c r="DD54" s="55" t="str">
        <f>IF($B54="","",IF(COUNTIF(DD$16:DD$21,$B54)&gt;0,COUNTA(DD$7:DD$15),0)+IF(COUNTIF(DD$37:DD$42,$B54)&gt;0,COUNTA(DD$27:DD$35),0))</f>
        <v/>
      </c>
      <c r="DE54" s="58" t="str">
        <f>IF($B54="","",IF(COUNTIF(DE$16:DE$21,$B54)&gt;0,COUNTA(DE$7:DE$15),0)+IF(COUNTIF(DE$37:DE$42,$B54)&gt;0,COUNTA(DE$27:DE$35),0))</f>
        <v/>
      </c>
    </row>
    <row r="55" spans="2:109" x14ac:dyDescent="0.2">
      <c r="B55" s="84" t="str">
        <f>IFERROR(INDEX(_xlfn._xlws.FILTER(Ressourcer!$B$1:$X$1,_xlfn.BYCOL(Ressourcer!$B$23:$X$25,_xlfn.LAMBDA(_xlpm.c,COUNTIF(_xlpm.c,"&lt;&gt;" )&gt;0))),ROWS($B$2:B12)),"")</f>
        <v/>
      </c>
      <c r="C55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)&gt;0))),_xlfn.LAMBDA(_xlpm.col,SUM(INDEX(Ressourcer!$B$23:$X$25,,_xlpm.col-COLUMN(Ressourcer!$B$23:$X$25)+1)))),ROWS($B$2:B12))/2,"")</f>
        <v/>
      </c>
      <c r="D55" s="106" t="str">
        <f t="shared" si="35"/>
        <v/>
      </c>
      <c r="E55" s="57" t="str">
        <f>IF($B55="","",IF(COUNTIF(E$16:E$21,$B55)&gt;0,COUNTA(E$7:E$15),0)+IF(COUNTIF(E$37:E$42,$B55)&gt;0,COUNTA(E$27:E$35),0))</f>
        <v/>
      </c>
      <c r="F55" s="55" t="str">
        <f>IF($B55="","",IF(COUNTIF(F$16:F$21,$B55)&gt;0,COUNTA(F$7:F$15),0)+IF(COUNTIF(F$37:F$42,$B55)&gt;0,COUNTA(F$27:F$35),0))</f>
        <v/>
      </c>
      <c r="G55" s="55" t="str">
        <f>IF($B55="","",IF(COUNTIF(G$16:G$21,$B55)&gt;0,COUNTA(G$7:G$15),0)+IF(COUNTIF(G$37:G$42,$B55)&gt;0,COUNTA(G$27:G$35),0))</f>
        <v/>
      </c>
      <c r="H55" s="55" t="str">
        <f>IF($B55="","",IF(COUNTIF(H$16:H$21,$B55)&gt;0,COUNTA(H$7:H$15),0)+IF(COUNTIF(H$37:H$42,$B55)&gt;0,COUNTA(H$27:H$35),0))</f>
        <v/>
      </c>
      <c r="I55" s="55" t="str">
        <f>IF($B55="","",IF(COUNTIF(I$16:I$21,$B55)&gt;0,COUNTA(I$7:I$15),0)+IF(COUNTIF(I$37:I$42,$B55)&gt;0,COUNTA(I$27:I$35),0))</f>
        <v/>
      </c>
      <c r="J55" s="55" t="str">
        <f>IF($B55="","",IF(COUNTIF(J$16:J$21,$B55)&gt;0,COUNTA(J$7:J$15),0)+IF(COUNTIF(J$37:J$42,$B55)&gt;0,COUNTA(J$27:J$35),0))</f>
        <v/>
      </c>
      <c r="K55" s="55" t="str">
        <f>IF($B55="","",IF(COUNTIF(K$16:K$21,$B55)&gt;0,COUNTA(K$7:K$15),0)+IF(COUNTIF(K$37:K$42,$B55)&gt;0,COUNTA(K$27:K$35),0))</f>
        <v/>
      </c>
      <c r="L55" s="55" t="str">
        <f>IF($B55="","",IF(COUNTIF(L$16:L$21,$B55)&gt;0,COUNTA(L$7:L$15),0)+IF(COUNTIF(L$37:L$42,$B55)&gt;0,COUNTA(L$27:L$35),0))</f>
        <v/>
      </c>
      <c r="M55" s="55" t="str">
        <f>IF($B55="","",IF(COUNTIF(M$16:M$21,$B55)&gt;0,COUNTA(M$7:M$15),0)+IF(COUNTIF(M$37:M$42,$B55)&gt;0,COUNTA(M$27:M$35),0))</f>
        <v/>
      </c>
      <c r="N55" s="55" t="str">
        <f>IF($B55="","",IF(COUNTIF(N$16:N$21,$B55)&gt;0,COUNTA(N$7:N$15),0)+IF(COUNTIF(N$37:N$42,$B55)&gt;0,COUNTA(N$27:N$35),0))</f>
        <v/>
      </c>
      <c r="O55" s="55" t="str">
        <f>IF($B55="","",IF(COUNTIF(O$16:O$21,$B55)&gt;0,COUNTA(O$7:O$15),0)+IF(COUNTIF(O$37:O$42,$B55)&gt;0,COUNTA(O$27:O$35),0))</f>
        <v/>
      </c>
      <c r="P55" s="55" t="str">
        <f>IF($B55="","",IF(COUNTIF(P$16:P$21,$B55)&gt;0,COUNTA(P$7:P$15),0)+IF(COUNTIF(P$37:P$42,$B55)&gt;0,COUNTA(P$27:P$35),0))</f>
        <v/>
      </c>
      <c r="Q55" s="55" t="str">
        <f>IF($B55="","",IF(COUNTIF(Q$16:Q$21,$B55)&gt;0,COUNTA(Q$7:Q$15),0)+IF(COUNTIF(Q$37:Q$42,$B55)&gt;0,COUNTA(Q$27:Q$35),0))</f>
        <v/>
      </c>
      <c r="R55" s="55" t="str">
        <f>IF($B55="","",IF(COUNTIF(R$16:R$21,$B55)&gt;0,COUNTA(R$7:R$15),0)+IF(COUNTIF(R$37:R$42,$B55)&gt;0,COUNTA(R$27:R$35),0))</f>
        <v/>
      </c>
      <c r="S55" s="55" t="str">
        <f>IF($B55="","",IF(COUNTIF(S$16:S$21,$B55)&gt;0,COUNTA(S$7:S$15),0)+IF(COUNTIF(S$37:S$42,$B55)&gt;0,COUNTA(S$27:S$35),0))</f>
        <v/>
      </c>
      <c r="T55" s="55" t="str">
        <f>IF($B55="","",IF(COUNTIF(T$16:T$21,$B55)&gt;0,COUNTA(T$7:T$15),0)+IF(COUNTIF(T$37:T$42,$B55)&gt;0,COUNTA(T$27:T$35),0))</f>
        <v/>
      </c>
      <c r="U55" s="55" t="str">
        <f>IF($B55="","",IF(COUNTIF(U$16:U$21,$B55)&gt;0,COUNTA(U$7:U$15),0)+IF(COUNTIF(U$37:U$42,$B55)&gt;0,COUNTA(U$27:U$35),0))</f>
        <v/>
      </c>
      <c r="V55" s="55" t="str">
        <f>IF($B55="","",IF(COUNTIF(V$16:V$21,$B55)&gt;0,COUNTA(V$7:V$15),0)+IF(COUNTIF(V$37:V$42,$B55)&gt;0,COUNTA(V$27:V$35),0))</f>
        <v/>
      </c>
      <c r="W55" s="55" t="str">
        <f>IF($B55="","",IF(COUNTIF(W$16:W$21,$B55)&gt;0,COUNTA(W$7:W$15),0)+IF(COUNTIF(W$37:W$42,$B55)&gt;0,COUNTA(W$27:W$35),0))</f>
        <v/>
      </c>
      <c r="X55" s="55" t="str">
        <f>IF($B55="","",IF(COUNTIF(X$16:X$21,$B55)&gt;0,COUNTA(X$7:X$15),0)+IF(COUNTIF(X$37:X$42,$B55)&gt;0,COUNTA(X$27:X$35),0))</f>
        <v/>
      </c>
      <c r="Y55" s="55" t="str">
        <f>IF($B55="","",IF(COUNTIF(Y$16:Y$21,$B55)&gt;0,COUNTA(Y$7:Y$15),0)+IF(COUNTIF(Y$37:Y$42,$B55)&gt;0,COUNTA(Y$27:Y$35),0))</f>
        <v/>
      </c>
      <c r="Z55" s="55" t="str">
        <f>IF($B55="","",IF(COUNTIF(Z$16:Z$21,$B55)&gt;0,COUNTA(Z$7:Z$15),0)+IF(COUNTIF(Z$37:Z$42,$B55)&gt;0,COUNTA(Z$27:Z$35),0))</f>
        <v/>
      </c>
      <c r="AA55" s="55" t="str">
        <f>IF($B55="","",IF(COUNTIF(AA$16:AA$21,$B55)&gt;0,COUNTA(AA$7:AA$15),0)+IF(COUNTIF(AA$37:AA$42,$B55)&gt;0,COUNTA(AA$27:AA$35),0))</f>
        <v/>
      </c>
      <c r="AB55" s="55" t="str">
        <f>IF($B55="","",IF(COUNTIF(AB$16:AB$21,$B55)&gt;0,COUNTA(AB$7:AB$15),0)+IF(COUNTIF(AB$37:AB$42,$B55)&gt;0,COUNTA(AB$27:AB$35),0))</f>
        <v/>
      </c>
      <c r="AC55" s="55" t="str">
        <f>IF($B55="","",IF(COUNTIF(AC$16:AC$21,$B55)&gt;0,COUNTA(AC$7:AC$15),0)+IF(COUNTIF(AC$37:AC$42,$B55)&gt;0,COUNTA(AC$27:AC$35),0))</f>
        <v/>
      </c>
      <c r="AD55" s="55" t="str">
        <f>IF($B55="","",IF(COUNTIF(AD$16:AD$21,$B55)&gt;0,COUNTA(AD$7:AD$15),0)+IF(COUNTIF(AD$37:AD$42,$B55)&gt;0,COUNTA(AD$27:AD$35),0))</f>
        <v/>
      </c>
      <c r="AE55" s="55" t="str">
        <f>IF($B55="","",IF(COUNTIF(AE$16:AE$21,$B55)&gt;0,COUNTA(AE$7:AE$15),0)+IF(COUNTIF(AE$37:AE$42,$B55)&gt;0,COUNTA(AE$27:AE$35),0))</f>
        <v/>
      </c>
      <c r="AF55" s="55" t="str">
        <f>IF($B55="","",IF(COUNTIF(AF$16:AF$21,$B55)&gt;0,COUNTA(AF$7:AF$15),0)+IF(COUNTIF(AF$37:AF$42,$B55)&gt;0,COUNTA(AF$27:AF$35),0))</f>
        <v/>
      </c>
      <c r="AG55" s="55" t="str">
        <f>IF($B55="","",IF(COUNTIF(AG$16:AG$21,$B55)&gt;0,COUNTA(AG$7:AG$15),0)+IF(COUNTIF(AG$37:AG$42,$B55)&gt;0,COUNTA(AG$27:AG$35),0))</f>
        <v/>
      </c>
      <c r="AH55" s="55" t="str">
        <f>IF($B55="","",IF(COUNTIF(AH$16:AH$21,$B55)&gt;0,COUNTA(AH$7:AH$15),0)+IF(COUNTIF(AH$37:AH$42,$B55)&gt;0,COUNTA(AH$27:AH$35),0))</f>
        <v/>
      </c>
      <c r="AI55" s="55" t="str">
        <f>IF($B55="","",IF(COUNTIF(AI$16:AI$21,$B55)&gt;0,COUNTA(AI$7:AI$15),0)+IF(COUNTIF(AI$37:AI$42,$B55)&gt;0,COUNTA(AI$27:AI$35),0))</f>
        <v/>
      </c>
      <c r="AJ55" s="55" t="str">
        <f>IF($B55="","",IF(COUNTIF(AJ$16:AJ$21,$B55)&gt;0,COUNTA(AJ$7:AJ$15),0)+IF(COUNTIF(AJ$37:AJ$42,$B55)&gt;0,COUNTA(AJ$27:AJ$35),0))</f>
        <v/>
      </c>
      <c r="AK55" s="55" t="str">
        <f>IF($B55="","",IF(COUNTIF(AK$16:AK$21,$B55)&gt;0,COUNTA(AK$7:AK$15),0)+IF(COUNTIF(AK$37:AK$42,$B55)&gt;0,COUNTA(AK$27:AK$35),0))</f>
        <v/>
      </c>
      <c r="AL55" s="55" t="str">
        <f>IF($B55="","",IF(COUNTIF(AL$16:AL$21,$B55)&gt;0,COUNTA(AL$7:AL$15),0)+IF(COUNTIF(AL$37:AL$42,$B55)&gt;0,COUNTA(AL$27:AL$35),0))</f>
        <v/>
      </c>
      <c r="AM55" s="55" t="str">
        <f>IF($B55="","",IF(COUNTIF(AM$16:AM$21,$B55)&gt;0,COUNTA(AM$7:AM$15),0)+IF(COUNTIF(AM$37:AM$42,$B55)&gt;0,COUNTA(AM$27:AM$35),0))</f>
        <v/>
      </c>
      <c r="AN55" s="55" t="str">
        <f>IF($B55="","",IF(COUNTIF(AN$16:AN$21,$B55)&gt;0,COUNTA(AN$7:AN$15),0)+IF(COUNTIF(AN$37:AN$42,$B55)&gt;0,COUNTA(AN$27:AN$35),0))</f>
        <v/>
      </c>
      <c r="AO55" s="55" t="str">
        <f>IF($B55="","",IF(COUNTIF(AO$16:AO$21,$B55)&gt;0,COUNTA(AO$7:AO$15),0)+IF(COUNTIF(AO$37:AO$42,$B55)&gt;0,COUNTA(AO$27:AO$35),0))</f>
        <v/>
      </c>
      <c r="AP55" s="55" t="str">
        <f>IF($B55="","",IF(COUNTIF(AP$16:AP$21,$B55)&gt;0,COUNTA(AP$7:AP$15),0)+IF(COUNTIF(AP$37:AP$42,$B55)&gt;0,COUNTA(AP$27:AP$35),0))</f>
        <v/>
      </c>
      <c r="AQ55" s="55" t="str">
        <f>IF($B55="","",IF(COUNTIF(AQ$16:AQ$21,$B55)&gt;0,COUNTA(AQ$7:AQ$15),0)+IF(COUNTIF(AQ$37:AQ$42,$B55)&gt;0,COUNTA(AQ$27:AQ$35),0))</f>
        <v/>
      </c>
      <c r="AR55" s="55" t="str">
        <f>IF($B55="","",IF(COUNTIF(AR$16:AR$21,$B55)&gt;0,COUNTA(AR$7:AR$15),0)+IF(COUNTIF(AR$37:AR$42,$B55)&gt;0,COUNTA(AR$27:AR$35),0))</f>
        <v/>
      </c>
      <c r="AS55" s="55" t="str">
        <f>IF($B55="","",IF(COUNTIF(AS$16:AS$21,$B55)&gt;0,COUNTA(AS$7:AS$15),0)+IF(COUNTIF(AS$37:AS$42,$B55)&gt;0,COUNTA(AS$27:AS$35),0))</f>
        <v/>
      </c>
      <c r="AT55" s="55" t="str">
        <f>IF($B55="","",IF(COUNTIF(AT$16:AT$21,$B55)&gt;0,COUNTA(AT$7:AT$15),0)+IF(COUNTIF(AT$37:AT$42,$B55)&gt;0,COUNTA(AT$27:AT$35),0))</f>
        <v/>
      </c>
      <c r="AU55" s="55" t="str">
        <f>IF($B55="","",IF(COUNTIF(AU$16:AU$21,$B55)&gt;0,COUNTA(AU$7:AU$15),0)+IF(COUNTIF(AU$37:AU$42,$B55)&gt;0,COUNTA(AU$27:AU$35),0))</f>
        <v/>
      </c>
      <c r="AV55" s="55" t="str">
        <f>IF($B55="","",IF(COUNTIF(AV$16:AV$21,$B55)&gt;0,COUNTA(AV$7:AV$15),0)+IF(COUNTIF(AV$37:AV$42,$B55)&gt;0,COUNTA(AV$27:AV$35),0))</f>
        <v/>
      </c>
      <c r="AW55" s="55" t="str">
        <f>IF($B55="","",IF(COUNTIF(AW$16:AW$21,$B55)&gt;0,COUNTA(AW$7:AW$15),0)+IF(COUNTIF(AW$37:AW$42,$B55)&gt;0,COUNTA(AW$27:AW$35),0))</f>
        <v/>
      </c>
      <c r="AX55" s="55" t="str">
        <f>IF($B55="","",IF(COUNTIF(AX$16:AX$21,$B55)&gt;0,COUNTA(AX$7:AX$15),0)+IF(COUNTIF(AX$37:AX$42,$B55)&gt;0,COUNTA(AX$27:AX$35),0))</f>
        <v/>
      </c>
      <c r="AY55" s="55" t="str">
        <f>IF($B55="","",IF(COUNTIF(AY$16:AY$21,$B55)&gt;0,COUNTA(AY$7:AY$15),0)+IF(COUNTIF(AY$37:AY$42,$B55)&gt;0,COUNTA(AY$27:AY$35),0))</f>
        <v/>
      </c>
      <c r="AZ55" s="55" t="str">
        <f>IF($B55="","",IF(COUNTIF(AZ$16:AZ$21,$B55)&gt;0,COUNTA(AZ$7:AZ$15),0)+IF(COUNTIF(AZ$37:AZ$42,$B55)&gt;0,COUNTA(AZ$27:AZ$35),0))</f>
        <v/>
      </c>
      <c r="BA55" s="55" t="str">
        <f>IF($B55="","",IF(COUNTIF(BA$16:BA$21,$B55)&gt;0,COUNTA(BA$7:BA$15),0)+IF(COUNTIF(BA$37:BA$42,$B55)&gt;0,COUNTA(BA$27:BA$35),0))</f>
        <v/>
      </c>
      <c r="BB55" s="55" t="str">
        <f>IF($B55="","",IF(COUNTIF(BB$16:BB$21,$B55)&gt;0,COUNTA(BB$7:BB$15),0)+IF(COUNTIF(BB$37:BB$42,$B55)&gt;0,COUNTA(BB$27:BB$35),0))</f>
        <v/>
      </c>
      <c r="BC55" s="55" t="str">
        <f>IF($B55="","",IF(COUNTIF(BC$16:BC$21,$B55)&gt;0,COUNTA(BC$7:BC$15),0)+IF(COUNTIF(BC$37:BC$42,$B55)&gt;0,COUNTA(BC$27:BC$35),0))</f>
        <v/>
      </c>
      <c r="BD55" s="55" t="str">
        <f>IF($B55="","",IF(COUNTIF(BD$16:BD$21,$B55)&gt;0,COUNTA(BD$7:BD$15),0)+IF(COUNTIF(BD$37:BD$42,$B55)&gt;0,COUNTA(BD$27:BD$35),0))</f>
        <v/>
      </c>
      <c r="BE55" s="55" t="str">
        <f>IF($B55="","",IF(COUNTIF(BE$16:BE$21,$B55)&gt;0,COUNTA(BE$7:BE$15),0)+IF(COUNTIF(BE$37:BE$42,$B55)&gt;0,COUNTA(BE$27:BE$35),0))</f>
        <v/>
      </c>
      <c r="BF55" s="55" t="str">
        <f>IF($B55="","",IF(COUNTIF(BF$16:BF$21,$B55)&gt;0,COUNTA(BF$7:BF$15),0)+IF(COUNTIF(BF$37:BF$42,$B55)&gt;0,COUNTA(BF$27:BF$35),0))</f>
        <v/>
      </c>
      <c r="BG55" s="55" t="str">
        <f>IF($B55="","",IF(COUNTIF(BG$16:BG$21,$B55)&gt;0,COUNTA(BG$7:BG$15),0)+IF(COUNTIF(BG$37:BG$42,$B55)&gt;0,COUNTA(BG$27:BG$35),0))</f>
        <v/>
      </c>
      <c r="BH55" s="55" t="str">
        <f>IF($B55="","",IF(COUNTIF(BH$16:BH$21,$B55)&gt;0,COUNTA(BH$7:BH$15),0)+IF(COUNTIF(BH$37:BH$42,$B55)&gt;0,COUNTA(BH$27:BH$35),0))</f>
        <v/>
      </c>
      <c r="BI55" s="55" t="str">
        <f>IF($B55="","",IF(COUNTIF(BI$16:BI$21,$B55)&gt;0,COUNTA(BI$7:BI$15),0)+IF(COUNTIF(BI$37:BI$42,$B55)&gt;0,COUNTA(BI$27:BI$35),0))</f>
        <v/>
      </c>
      <c r="BJ55" s="55" t="str">
        <f>IF($B55="","",IF(COUNTIF(BJ$16:BJ$21,$B55)&gt;0,COUNTA(BJ$7:BJ$15),0)+IF(COUNTIF(BJ$37:BJ$42,$B55)&gt;0,COUNTA(BJ$27:BJ$35),0))</f>
        <v/>
      </c>
      <c r="BK55" s="55" t="str">
        <f>IF($B55="","",IF(COUNTIF(BK$16:BK$21,$B55)&gt;0,COUNTA(BK$7:BK$15),0)+IF(COUNTIF(BK$37:BK$42,$B55)&gt;0,COUNTA(BK$27:BK$35),0))</f>
        <v/>
      </c>
      <c r="BL55" s="55" t="str">
        <f>IF($B55="","",IF(COUNTIF(BL$16:BL$21,$B55)&gt;0,COUNTA(BL$7:BL$15),0)+IF(COUNTIF(BL$37:BL$42,$B55)&gt;0,COUNTA(BL$27:BL$35),0))</f>
        <v/>
      </c>
      <c r="BM55" s="55" t="str">
        <f>IF($B55="","",IF(COUNTIF(BM$16:BM$21,$B55)&gt;0,COUNTA(BM$7:BM$15),0)+IF(COUNTIF(BM$37:BM$42,$B55)&gt;0,COUNTA(BM$27:BM$35),0))</f>
        <v/>
      </c>
      <c r="BN55" s="55" t="str">
        <f>IF($B55="","",IF(COUNTIF(BN$16:BN$21,$B55)&gt;0,COUNTA(BN$7:BN$15),0)+IF(COUNTIF(BN$37:BN$42,$B55)&gt;0,COUNTA(BN$27:BN$35),0))</f>
        <v/>
      </c>
      <c r="BO55" s="55" t="str">
        <f>IF($B55="","",IF(COUNTIF(BO$16:BO$21,$B55)&gt;0,COUNTA(BO$7:BO$15),0)+IF(COUNTIF(BO$37:BO$42,$B55)&gt;0,COUNTA(BO$27:BO$35),0))</f>
        <v/>
      </c>
      <c r="BP55" s="55" t="str">
        <f>IF($B55="","",IF(COUNTIF(BP$16:BP$21,$B55)&gt;0,COUNTA(BP$7:BP$15),0)+IF(COUNTIF(BP$37:BP$42,$B55)&gt;0,COUNTA(BP$27:BP$35),0))</f>
        <v/>
      </c>
      <c r="BQ55" s="55" t="str">
        <f>IF($B55="","",IF(COUNTIF(BQ$16:BQ$21,$B55)&gt;0,COUNTA(BQ$7:BQ$15),0)+IF(COUNTIF(BQ$37:BQ$42,$B55)&gt;0,COUNTA(BQ$27:BQ$35),0))</f>
        <v/>
      </c>
      <c r="BR55" s="55" t="str">
        <f>IF($B55="","",IF(COUNTIF(BR$16:BR$21,$B55)&gt;0,COUNTA(BR$7:BR$15),0)+IF(COUNTIF(BR$37:BR$42,$B55)&gt;0,COUNTA(BR$27:BR$35),0))</f>
        <v/>
      </c>
      <c r="BS55" s="55" t="str">
        <f>IF($B55="","",IF(COUNTIF(BS$16:BS$21,$B55)&gt;0,COUNTA(BS$7:BS$15),0)+IF(COUNTIF(BS$37:BS$42,$B55)&gt;0,COUNTA(BS$27:BS$35),0))</f>
        <v/>
      </c>
      <c r="BT55" s="55" t="str">
        <f>IF($B55="","",IF(COUNTIF(BT$16:BT$21,$B55)&gt;0,COUNTA(BT$7:BT$15),0)+IF(COUNTIF(BT$37:BT$42,$B55)&gt;0,COUNTA(BT$27:BT$35),0))</f>
        <v/>
      </c>
      <c r="BU55" s="55" t="str">
        <f>IF($B55="","",IF(COUNTIF(BU$16:BU$21,$B55)&gt;0,COUNTA(BU$7:BU$15),0)+IF(COUNTIF(BU$37:BU$42,$B55)&gt;0,COUNTA(BU$27:BU$35),0))</f>
        <v/>
      </c>
      <c r="BV55" s="55" t="str">
        <f>IF($B55="","",IF(COUNTIF(BV$16:BV$21,$B55)&gt;0,COUNTA(BV$7:BV$15),0)+IF(COUNTIF(BV$37:BV$42,$B55)&gt;0,COUNTA(BV$27:BV$35),0))</f>
        <v/>
      </c>
      <c r="BW55" s="55" t="str">
        <f>IF($B55="","",IF(COUNTIF(BW$16:BW$21,$B55)&gt;0,COUNTA(BW$7:BW$15),0)+IF(COUNTIF(BW$37:BW$42,$B55)&gt;0,COUNTA(BW$27:BW$35),0))</f>
        <v/>
      </c>
      <c r="BX55" s="55" t="str">
        <f>IF($B55="","",IF(COUNTIF(BX$16:BX$21,$B55)&gt;0,COUNTA(BX$7:BX$15),0)+IF(COUNTIF(BX$37:BX$42,$B55)&gt;0,COUNTA(BX$27:BX$35),0))</f>
        <v/>
      </c>
      <c r="BY55" s="55" t="str">
        <f>IF($B55="","",IF(COUNTIF(BY$16:BY$21,$B55)&gt;0,COUNTA(BY$7:BY$15),0)+IF(COUNTIF(BY$37:BY$42,$B55)&gt;0,COUNTA(BY$27:BY$35),0))</f>
        <v/>
      </c>
      <c r="BZ55" s="55" t="str">
        <f>IF($B55="","",IF(COUNTIF(BZ$16:BZ$21,$B55)&gt;0,COUNTA(BZ$7:BZ$15),0)+IF(COUNTIF(BZ$37:BZ$42,$B55)&gt;0,COUNTA(BZ$27:BZ$35),0))</f>
        <v/>
      </c>
      <c r="CA55" s="55" t="str">
        <f>IF($B55="","",IF(COUNTIF(CA$16:CA$21,$B55)&gt;0,COUNTA(CA$7:CA$15),0)+IF(COUNTIF(CA$37:CA$42,$B55)&gt;0,COUNTA(CA$27:CA$35),0))</f>
        <v/>
      </c>
      <c r="CB55" s="55" t="str">
        <f>IF($B55="","",IF(COUNTIF(CB$16:CB$21,$B55)&gt;0,COUNTA(CB$7:CB$15),0)+IF(COUNTIF(CB$37:CB$42,$B55)&gt;0,COUNTA(CB$27:CB$35),0))</f>
        <v/>
      </c>
      <c r="CC55" s="55" t="str">
        <f>IF($B55="","",IF(COUNTIF(CC$16:CC$21,$B55)&gt;0,COUNTA(CC$7:CC$15),0)+IF(COUNTIF(CC$37:CC$42,$B55)&gt;0,COUNTA(CC$27:CC$35),0))</f>
        <v/>
      </c>
      <c r="CD55" s="55" t="str">
        <f>IF($B55="","",IF(COUNTIF(CD$16:CD$21,$B55)&gt;0,COUNTA(CD$7:CD$15),0)+IF(COUNTIF(CD$37:CD$42,$B55)&gt;0,COUNTA(CD$27:CD$35),0))</f>
        <v/>
      </c>
      <c r="CE55" s="55" t="str">
        <f>IF($B55="","",IF(COUNTIF(CE$16:CE$21,$B55)&gt;0,COUNTA(CE$7:CE$15),0)+IF(COUNTIF(CE$37:CE$42,$B55)&gt;0,COUNTA(CE$27:CE$35),0))</f>
        <v/>
      </c>
      <c r="CF55" s="55" t="str">
        <f>IF($B55="","",IF(COUNTIF(CF$16:CF$21,$B55)&gt;0,COUNTA(CF$7:CF$15),0)+IF(COUNTIF(CF$37:CF$42,$B55)&gt;0,COUNTA(CF$27:CF$35),0))</f>
        <v/>
      </c>
      <c r="CG55" s="55" t="str">
        <f>IF($B55="","",IF(COUNTIF(CG$16:CG$21,$B55)&gt;0,COUNTA(CG$7:CG$15),0)+IF(COUNTIF(CG$37:CG$42,$B55)&gt;0,COUNTA(CG$27:CG$35),0))</f>
        <v/>
      </c>
      <c r="CH55" s="55" t="str">
        <f>IF($B55="","",IF(COUNTIF(CH$16:CH$21,$B55)&gt;0,COUNTA(CH$7:CH$15),0)+IF(COUNTIF(CH$37:CH$42,$B55)&gt;0,COUNTA(CH$27:CH$35),0))</f>
        <v/>
      </c>
      <c r="CI55" s="55" t="str">
        <f>IF($B55="","",IF(COUNTIF(CI$16:CI$21,$B55)&gt;0,COUNTA(CI$7:CI$15),0)+IF(COUNTIF(CI$37:CI$42,$B55)&gt;0,COUNTA(CI$27:CI$35),0))</f>
        <v/>
      </c>
      <c r="CJ55" s="55" t="str">
        <f>IF($B55="","",IF(COUNTIF(CJ$16:CJ$21,$B55)&gt;0,COUNTA(CJ$7:CJ$15),0)+IF(COUNTIF(CJ$37:CJ$42,$B55)&gt;0,COUNTA(CJ$27:CJ$35),0))</f>
        <v/>
      </c>
      <c r="CK55" s="55" t="str">
        <f>IF($B55="","",IF(COUNTIF(CK$16:CK$21,$B55)&gt;0,COUNTA(CK$7:CK$15),0)+IF(COUNTIF(CK$37:CK$42,$B55)&gt;0,COUNTA(CK$27:CK$35),0))</f>
        <v/>
      </c>
      <c r="CL55" s="55" t="str">
        <f>IF($B55="","",IF(COUNTIF(CL$16:CL$21,$B55)&gt;0,COUNTA(CL$7:CL$15),0)+IF(COUNTIF(CL$37:CL$42,$B55)&gt;0,COUNTA(CL$27:CL$35),0))</f>
        <v/>
      </c>
      <c r="CM55" s="55" t="str">
        <f>IF($B55="","",IF(COUNTIF(CM$16:CM$21,$B55)&gt;0,COUNTA(CM$7:CM$15),0)+IF(COUNTIF(CM$37:CM$42,$B55)&gt;0,COUNTA(CM$27:CM$35),0))</f>
        <v/>
      </c>
      <c r="CN55" s="55" t="str">
        <f>IF($B55="","",IF(COUNTIF(CN$16:CN$21,$B55)&gt;0,COUNTA(CN$7:CN$15),0)+IF(COUNTIF(CN$37:CN$42,$B55)&gt;0,COUNTA(CN$27:CN$35),0))</f>
        <v/>
      </c>
      <c r="CO55" s="55" t="str">
        <f>IF($B55="","",IF(COUNTIF(CO$16:CO$21,$B55)&gt;0,COUNTA(CO$7:CO$15),0)+IF(COUNTIF(CO$37:CO$42,$B55)&gt;0,COUNTA(CO$27:CO$35),0))</f>
        <v/>
      </c>
      <c r="CP55" s="55" t="str">
        <f>IF($B55="","",IF(COUNTIF(CP$16:CP$21,$B55)&gt;0,COUNTA(CP$7:CP$15),0)+IF(COUNTIF(CP$37:CP$42,$B55)&gt;0,COUNTA(CP$27:CP$35),0))</f>
        <v/>
      </c>
      <c r="CQ55" s="55" t="str">
        <f>IF($B55="","",IF(COUNTIF(CQ$16:CQ$21,$B55)&gt;0,COUNTA(CQ$7:CQ$15),0)+IF(COUNTIF(CQ$37:CQ$42,$B55)&gt;0,COUNTA(CQ$27:CQ$35),0))</f>
        <v/>
      </c>
      <c r="CR55" s="55" t="str">
        <f>IF($B55="","",IF(COUNTIF(CR$16:CR$21,$B55)&gt;0,COUNTA(CR$7:CR$15),0)+IF(COUNTIF(CR$37:CR$42,$B55)&gt;0,COUNTA(CR$27:CR$35),0))</f>
        <v/>
      </c>
      <c r="CS55" s="55" t="str">
        <f>IF($B55="","",IF(COUNTIF(CS$16:CS$21,$B55)&gt;0,COUNTA(CS$7:CS$15),0)+IF(COUNTIF(CS$37:CS$42,$B55)&gt;0,COUNTA(CS$27:CS$35),0))</f>
        <v/>
      </c>
      <c r="CT55" s="55" t="str">
        <f>IF($B55="","",IF(COUNTIF(CT$16:CT$21,$B55)&gt;0,COUNTA(CT$7:CT$15),0)+IF(COUNTIF(CT$37:CT$42,$B55)&gt;0,COUNTA(CT$27:CT$35),0))</f>
        <v/>
      </c>
      <c r="CU55" s="55" t="str">
        <f>IF($B55="","",IF(COUNTIF(CU$16:CU$21,$B55)&gt;0,COUNTA(CU$7:CU$15),0)+IF(COUNTIF(CU$37:CU$42,$B55)&gt;0,COUNTA(CU$27:CU$35),0))</f>
        <v/>
      </c>
      <c r="CV55" s="55" t="str">
        <f>IF($B55="","",IF(COUNTIF(CV$16:CV$21,$B55)&gt;0,COUNTA(CV$7:CV$15),0)+IF(COUNTIF(CV$37:CV$42,$B55)&gt;0,COUNTA(CV$27:CV$35),0))</f>
        <v/>
      </c>
      <c r="CW55" s="55" t="str">
        <f>IF($B55="","",IF(COUNTIF(CW$16:CW$21,$B55)&gt;0,COUNTA(CW$7:CW$15),0)+IF(COUNTIF(CW$37:CW$42,$B55)&gt;0,COUNTA(CW$27:CW$35),0))</f>
        <v/>
      </c>
      <c r="CX55" s="55" t="str">
        <f>IF($B55="","",IF(COUNTIF(CX$16:CX$21,$B55)&gt;0,COUNTA(CX$7:CX$15),0)+IF(COUNTIF(CX$37:CX$42,$B55)&gt;0,COUNTA(CX$27:CX$35),0))</f>
        <v/>
      </c>
      <c r="CY55" s="55" t="str">
        <f>IF($B55="","",IF(COUNTIF(CY$16:CY$21,$B55)&gt;0,COUNTA(CY$7:CY$15),0)+IF(COUNTIF(CY$37:CY$42,$B55)&gt;0,COUNTA(CY$27:CY$35),0))</f>
        <v/>
      </c>
      <c r="CZ55" s="55" t="str">
        <f>IF($B55="","",IF(COUNTIF(CZ$16:CZ$21,$B55)&gt;0,COUNTA(CZ$7:CZ$15),0)+IF(COUNTIF(CZ$37:CZ$42,$B55)&gt;0,COUNTA(CZ$27:CZ$35),0))</f>
        <v/>
      </c>
      <c r="DA55" s="55" t="str">
        <f>IF($B55="","",IF(COUNTIF(DA$16:DA$21,$B55)&gt;0,COUNTA(DA$7:DA$15),0)+IF(COUNTIF(DA$37:DA$42,$B55)&gt;0,COUNTA(DA$27:DA$35),0))</f>
        <v/>
      </c>
      <c r="DB55" s="55" t="str">
        <f>IF($B55="","",IF(COUNTIF(DB$16:DB$21,$B55)&gt;0,COUNTA(DB$7:DB$15),0)+IF(COUNTIF(DB$37:DB$42,$B55)&gt;0,COUNTA(DB$27:DB$35),0))</f>
        <v/>
      </c>
      <c r="DC55" s="55" t="str">
        <f>IF($B55="","",IF(COUNTIF(DC$16:DC$21,$B55)&gt;0,COUNTA(DC$7:DC$15),0)+IF(COUNTIF(DC$37:DC$42,$B55)&gt;0,COUNTA(DC$27:DC$35),0))</f>
        <v/>
      </c>
      <c r="DD55" s="55" t="str">
        <f>IF($B55="","",IF(COUNTIF(DD$16:DD$21,$B55)&gt;0,COUNTA(DD$7:DD$15),0)+IF(COUNTIF(DD$37:DD$42,$B55)&gt;0,COUNTA(DD$27:DD$35),0))</f>
        <v/>
      </c>
      <c r="DE55" s="58" t="str">
        <f>IF($B55="","",IF(COUNTIF(DE$16:DE$21,$B55)&gt;0,COUNTA(DE$7:DE$15),0)+IF(COUNTIF(DE$37:DE$42,$B55)&gt;0,COUNTA(DE$27:DE$35),0))</f>
        <v/>
      </c>
    </row>
    <row r="56" spans="2:109" x14ac:dyDescent="0.2">
      <c r="B56" s="84" t="str">
        <f>IFERROR(INDEX(_xlfn._xlws.FILTER(Ressourcer!$B$1:$X$1,_xlfn.BYCOL(Ressourcer!$B$23:$X$25,_xlfn.LAMBDA(_xlpm.c,COUNTIF(_xlpm.c,"&lt;&gt;" )&gt;0))),ROWS($B$2:B13)),"")</f>
        <v/>
      </c>
      <c r="C56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)&gt;0))),_xlfn.LAMBDA(_xlpm.col,SUM(INDEX(Ressourcer!$B$23:$X$25,,_xlpm.col-COLUMN(Ressourcer!$B$23:$X$25)+1)))),ROWS($B$2:B13))/2,"")</f>
        <v/>
      </c>
      <c r="D56" s="106" t="str">
        <f t="shared" si="35"/>
        <v/>
      </c>
      <c r="E56" s="57" t="str">
        <f>IF($B56="","",IF(COUNTIF(E$16:E$21,$B56)&gt;0,COUNTA(E$7:E$15),0)+IF(COUNTIF(E$37:E$42,$B56)&gt;0,COUNTA(E$27:E$35),0))</f>
        <v/>
      </c>
      <c r="F56" s="55" t="str">
        <f>IF($B56="","",IF(COUNTIF(F$16:F$21,$B56)&gt;0,COUNTA(F$7:F$15),0)+IF(COUNTIF(F$37:F$42,$B56)&gt;0,COUNTA(F$27:F$35),0))</f>
        <v/>
      </c>
      <c r="G56" s="55" t="str">
        <f>IF($B56="","",IF(COUNTIF(G$16:G$21,$B56)&gt;0,COUNTA(G$7:G$15),0)+IF(COUNTIF(G$37:G$42,$B56)&gt;0,COUNTA(G$27:G$35),0))</f>
        <v/>
      </c>
      <c r="H56" s="55" t="str">
        <f>IF($B56="","",IF(COUNTIF(H$16:H$21,$B56)&gt;0,COUNTA(H$7:H$15),0)+IF(COUNTIF(H$37:H$42,$B56)&gt;0,COUNTA(H$27:H$35),0))</f>
        <v/>
      </c>
      <c r="I56" s="55" t="str">
        <f>IF($B56="","",IF(COUNTIF(I$16:I$21,$B56)&gt;0,COUNTA(I$7:I$15),0)+IF(COUNTIF(I$37:I$42,$B56)&gt;0,COUNTA(I$27:I$35),0))</f>
        <v/>
      </c>
      <c r="J56" s="55" t="str">
        <f>IF($B56="","",IF(COUNTIF(J$16:J$21,$B56)&gt;0,COUNTA(J$7:J$15),0)+IF(COUNTIF(J$37:J$42,$B56)&gt;0,COUNTA(J$27:J$35),0))</f>
        <v/>
      </c>
      <c r="K56" s="55" t="str">
        <f>IF($B56="","",IF(COUNTIF(K$16:K$21,$B56)&gt;0,COUNTA(K$7:K$15),0)+IF(COUNTIF(K$37:K$42,$B56)&gt;0,COUNTA(K$27:K$35),0))</f>
        <v/>
      </c>
      <c r="L56" s="55" t="str">
        <f>IF($B56="","",IF(COUNTIF(L$16:L$21,$B56)&gt;0,COUNTA(L$7:L$15),0)+IF(COUNTIF(L$37:L$42,$B56)&gt;0,COUNTA(L$27:L$35),0))</f>
        <v/>
      </c>
      <c r="M56" s="55" t="str">
        <f>IF($B56="","",IF(COUNTIF(M$16:M$21,$B56)&gt;0,COUNTA(M$7:M$15),0)+IF(COUNTIF(M$37:M$42,$B56)&gt;0,COUNTA(M$27:M$35),0))</f>
        <v/>
      </c>
      <c r="N56" s="55" t="str">
        <f>IF($B56="","",IF(COUNTIF(N$16:N$21,$B56)&gt;0,COUNTA(N$7:N$15),0)+IF(COUNTIF(N$37:N$42,$B56)&gt;0,COUNTA(N$27:N$35),0))</f>
        <v/>
      </c>
      <c r="O56" s="55" t="str">
        <f>IF($B56="","",IF(COUNTIF(O$16:O$21,$B56)&gt;0,COUNTA(O$7:O$15),0)+IF(COUNTIF(O$37:O$42,$B56)&gt;0,COUNTA(O$27:O$35),0))</f>
        <v/>
      </c>
      <c r="P56" s="55" t="str">
        <f>IF($B56="","",IF(COUNTIF(P$16:P$21,$B56)&gt;0,COUNTA(P$7:P$15),0)+IF(COUNTIF(P$37:P$42,$B56)&gt;0,COUNTA(P$27:P$35),0))</f>
        <v/>
      </c>
      <c r="Q56" s="55" t="str">
        <f>IF($B56="","",IF(COUNTIF(Q$16:Q$21,$B56)&gt;0,COUNTA(Q$7:Q$15),0)+IF(COUNTIF(Q$37:Q$42,$B56)&gt;0,COUNTA(Q$27:Q$35),0))</f>
        <v/>
      </c>
      <c r="R56" s="55" t="str">
        <f>IF($B56="","",IF(COUNTIF(R$16:R$21,$B56)&gt;0,COUNTA(R$7:R$15),0)+IF(COUNTIF(R$37:R$42,$B56)&gt;0,COUNTA(R$27:R$35),0))</f>
        <v/>
      </c>
      <c r="S56" s="55" t="str">
        <f>IF($B56="","",IF(COUNTIF(S$16:S$21,$B56)&gt;0,COUNTA(S$7:S$15),0)+IF(COUNTIF(S$37:S$42,$B56)&gt;0,COUNTA(S$27:S$35),0))</f>
        <v/>
      </c>
      <c r="T56" s="55" t="str">
        <f>IF($B56="","",IF(COUNTIF(T$16:T$21,$B56)&gt;0,COUNTA(T$7:T$15),0)+IF(COUNTIF(T$37:T$42,$B56)&gt;0,COUNTA(T$27:T$35),0))</f>
        <v/>
      </c>
      <c r="U56" s="55" t="str">
        <f>IF($B56="","",IF(COUNTIF(U$16:U$21,$B56)&gt;0,COUNTA(U$7:U$15),0)+IF(COUNTIF(U$37:U$42,$B56)&gt;0,COUNTA(U$27:U$35),0))</f>
        <v/>
      </c>
      <c r="V56" s="55" t="str">
        <f>IF($B56="","",IF(COUNTIF(V$16:V$21,$B56)&gt;0,COUNTA(V$7:V$15),0)+IF(COUNTIF(V$37:V$42,$B56)&gt;0,COUNTA(V$27:V$35),0))</f>
        <v/>
      </c>
      <c r="W56" s="55" t="str">
        <f>IF($B56="","",IF(COUNTIF(W$16:W$21,$B56)&gt;0,COUNTA(W$7:W$15),0)+IF(COUNTIF(W$37:W$42,$B56)&gt;0,COUNTA(W$27:W$35),0))</f>
        <v/>
      </c>
      <c r="X56" s="55" t="str">
        <f>IF($B56="","",IF(COUNTIF(X$16:X$21,$B56)&gt;0,COUNTA(X$7:X$15),0)+IF(COUNTIF(X$37:X$42,$B56)&gt;0,COUNTA(X$27:X$35),0))</f>
        <v/>
      </c>
      <c r="Y56" s="55" t="str">
        <f>IF($B56="","",IF(COUNTIF(Y$16:Y$21,$B56)&gt;0,COUNTA(Y$7:Y$15),0)+IF(COUNTIF(Y$37:Y$42,$B56)&gt;0,COUNTA(Y$27:Y$35),0))</f>
        <v/>
      </c>
      <c r="Z56" s="55" t="str">
        <f>IF($B56="","",IF(COUNTIF(Z$16:Z$21,$B56)&gt;0,COUNTA(Z$7:Z$15),0)+IF(COUNTIF(Z$37:Z$42,$B56)&gt;0,COUNTA(Z$27:Z$35),0))</f>
        <v/>
      </c>
      <c r="AA56" s="55" t="str">
        <f>IF($B56="","",IF(COUNTIF(AA$16:AA$21,$B56)&gt;0,COUNTA(AA$7:AA$15),0)+IF(COUNTIF(AA$37:AA$42,$B56)&gt;0,COUNTA(AA$27:AA$35),0))</f>
        <v/>
      </c>
      <c r="AB56" s="55" t="str">
        <f>IF($B56="","",IF(COUNTIF(AB$16:AB$21,$B56)&gt;0,COUNTA(AB$7:AB$15),0)+IF(COUNTIF(AB$37:AB$42,$B56)&gt;0,COUNTA(AB$27:AB$35),0))</f>
        <v/>
      </c>
      <c r="AC56" s="55" t="str">
        <f>IF($B56="","",IF(COUNTIF(AC$16:AC$21,$B56)&gt;0,COUNTA(AC$7:AC$15),0)+IF(COUNTIF(AC$37:AC$42,$B56)&gt;0,COUNTA(AC$27:AC$35),0))</f>
        <v/>
      </c>
      <c r="AD56" s="55" t="str">
        <f>IF($B56="","",IF(COUNTIF(AD$16:AD$21,$B56)&gt;0,COUNTA(AD$7:AD$15),0)+IF(COUNTIF(AD$37:AD$42,$B56)&gt;0,COUNTA(AD$27:AD$35),0))</f>
        <v/>
      </c>
      <c r="AE56" s="55" t="str">
        <f>IF($B56="","",IF(COUNTIF(AE$16:AE$21,$B56)&gt;0,COUNTA(AE$7:AE$15),0)+IF(COUNTIF(AE$37:AE$42,$B56)&gt;0,COUNTA(AE$27:AE$35),0))</f>
        <v/>
      </c>
      <c r="AF56" s="55" t="str">
        <f>IF($B56="","",IF(COUNTIF(AF$16:AF$21,$B56)&gt;0,COUNTA(AF$7:AF$15),0)+IF(COUNTIF(AF$37:AF$42,$B56)&gt;0,COUNTA(AF$27:AF$35),0))</f>
        <v/>
      </c>
      <c r="AG56" s="55" t="str">
        <f>IF($B56="","",IF(COUNTIF(AG$16:AG$21,$B56)&gt;0,COUNTA(AG$7:AG$15),0)+IF(COUNTIF(AG$37:AG$42,$B56)&gt;0,COUNTA(AG$27:AG$35),0))</f>
        <v/>
      </c>
      <c r="AH56" s="55" t="str">
        <f>IF($B56="","",IF(COUNTIF(AH$16:AH$21,$B56)&gt;0,COUNTA(AH$7:AH$15),0)+IF(COUNTIF(AH$37:AH$42,$B56)&gt;0,COUNTA(AH$27:AH$35),0))</f>
        <v/>
      </c>
      <c r="AI56" s="55" t="str">
        <f>IF($B56="","",IF(COUNTIF(AI$16:AI$21,$B56)&gt;0,COUNTA(AI$7:AI$15),0)+IF(COUNTIF(AI$37:AI$42,$B56)&gt;0,COUNTA(AI$27:AI$35),0))</f>
        <v/>
      </c>
      <c r="AJ56" s="55" t="str">
        <f>IF($B56="","",IF(COUNTIF(AJ$16:AJ$21,$B56)&gt;0,COUNTA(AJ$7:AJ$15),0)+IF(COUNTIF(AJ$37:AJ$42,$B56)&gt;0,COUNTA(AJ$27:AJ$35),0))</f>
        <v/>
      </c>
      <c r="AK56" s="55" t="str">
        <f>IF($B56="","",IF(COUNTIF(AK$16:AK$21,$B56)&gt;0,COUNTA(AK$7:AK$15),0)+IF(COUNTIF(AK$37:AK$42,$B56)&gt;0,COUNTA(AK$27:AK$35),0))</f>
        <v/>
      </c>
      <c r="AL56" s="55" t="str">
        <f>IF($B56="","",IF(COUNTIF(AL$16:AL$21,$B56)&gt;0,COUNTA(AL$7:AL$15),0)+IF(COUNTIF(AL$37:AL$42,$B56)&gt;0,COUNTA(AL$27:AL$35),0))</f>
        <v/>
      </c>
      <c r="AM56" s="55" t="str">
        <f>IF($B56="","",IF(COUNTIF(AM$16:AM$21,$B56)&gt;0,COUNTA(AM$7:AM$15),0)+IF(COUNTIF(AM$37:AM$42,$B56)&gt;0,COUNTA(AM$27:AM$35),0))</f>
        <v/>
      </c>
      <c r="AN56" s="55" t="str">
        <f>IF($B56="","",IF(COUNTIF(AN$16:AN$21,$B56)&gt;0,COUNTA(AN$7:AN$15),0)+IF(COUNTIF(AN$37:AN$42,$B56)&gt;0,COUNTA(AN$27:AN$35),0))</f>
        <v/>
      </c>
      <c r="AO56" s="55" t="str">
        <f>IF($B56="","",IF(COUNTIF(AO$16:AO$21,$B56)&gt;0,COUNTA(AO$7:AO$15),0)+IF(COUNTIF(AO$37:AO$42,$B56)&gt;0,COUNTA(AO$27:AO$35),0))</f>
        <v/>
      </c>
      <c r="AP56" s="55" t="str">
        <f>IF($B56="","",IF(COUNTIF(AP$16:AP$21,$B56)&gt;0,COUNTA(AP$7:AP$15),0)+IF(COUNTIF(AP$37:AP$42,$B56)&gt;0,COUNTA(AP$27:AP$35),0))</f>
        <v/>
      </c>
      <c r="AQ56" s="55" t="str">
        <f>IF($B56="","",IF(COUNTIF(AQ$16:AQ$21,$B56)&gt;0,COUNTA(AQ$7:AQ$15),0)+IF(COUNTIF(AQ$37:AQ$42,$B56)&gt;0,COUNTA(AQ$27:AQ$35),0))</f>
        <v/>
      </c>
      <c r="AR56" s="55" t="str">
        <f>IF($B56="","",IF(COUNTIF(AR$16:AR$21,$B56)&gt;0,COUNTA(AR$7:AR$15),0)+IF(COUNTIF(AR$37:AR$42,$B56)&gt;0,COUNTA(AR$27:AR$35),0))</f>
        <v/>
      </c>
      <c r="AS56" s="55" t="str">
        <f>IF($B56="","",IF(COUNTIF(AS$16:AS$21,$B56)&gt;0,COUNTA(AS$7:AS$15),0)+IF(COUNTIF(AS$37:AS$42,$B56)&gt;0,COUNTA(AS$27:AS$35),0))</f>
        <v/>
      </c>
      <c r="AT56" s="55" t="str">
        <f>IF($B56="","",IF(COUNTIF(AT$16:AT$21,$B56)&gt;0,COUNTA(AT$7:AT$15),0)+IF(COUNTIF(AT$37:AT$42,$B56)&gt;0,COUNTA(AT$27:AT$35),0))</f>
        <v/>
      </c>
      <c r="AU56" s="55" t="str">
        <f>IF($B56="","",IF(COUNTIF(AU$16:AU$21,$B56)&gt;0,COUNTA(AU$7:AU$15),0)+IF(COUNTIF(AU$37:AU$42,$B56)&gt;0,COUNTA(AU$27:AU$35),0))</f>
        <v/>
      </c>
      <c r="AV56" s="55" t="str">
        <f>IF($B56="","",IF(COUNTIF(AV$16:AV$21,$B56)&gt;0,COUNTA(AV$7:AV$15),0)+IF(COUNTIF(AV$37:AV$42,$B56)&gt;0,COUNTA(AV$27:AV$35),0))</f>
        <v/>
      </c>
      <c r="AW56" s="55" t="str">
        <f>IF($B56="","",IF(COUNTIF(AW$16:AW$21,$B56)&gt;0,COUNTA(AW$7:AW$15),0)+IF(COUNTIF(AW$37:AW$42,$B56)&gt;0,COUNTA(AW$27:AW$35),0))</f>
        <v/>
      </c>
      <c r="AX56" s="55" t="str">
        <f>IF($B56="","",IF(COUNTIF(AX$16:AX$21,$B56)&gt;0,COUNTA(AX$7:AX$15),0)+IF(COUNTIF(AX$37:AX$42,$B56)&gt;0,COUNTA(AX$27:AX$35),0))</f>
        <v/>
      </c>
      <c r="AY56" s="55" t="str">
        <f>IF($B56="","",IF(COUNTIF(AY$16:AY$21,$B56)&gt;0,COUNTA(AY$7:AY$15),0)+IF(COUNTIF(AY$37:AY$42,$B56)&gt;0,COUNTA(AY$27:AY$35),0))</f>
        <v/>
      </c>
      <c r="AZ56" s="55" t="str">
        <f>IF($B56="","",IF(COUNTIF(AZ$16:AZ$21,$B56)&gt;0,COUNTA(AZ$7:AZ$15),0)+IF(COUNTIF(AZ$37:AZ$42,$B56)&gt;0,COUNTA(AZ$27:AZ$35),0))</f>
        <v/>
      </c>
      <c r="BA56" s="55" t="str">
        <f>IF($B56="","",IF(COUNTIF(BA$16:BA$21,$B56)&gt;0,COUNTA(BA$7:BA$15),0)+IF(COUNTIF(BA$37:BA$42,$B56)&gt;0,COUNTA(BA$27:BA$35),0))</f>
        <v/>
      </c>
      <c r="BB56" s="55" t="str">
        <f>IF($B56="","",IF(COUNTIF(BB$16:BB$21,$B56)&gt;0,COUNTA(BB$7:BB$15),0)+IF(COUNTIF(BB$37:BB$42,$B56)&gt;0,COUNTA(BB$27:BB$35),0))</f>
        <v/>
      </c>
      <c r="BC56" s="55" t="str">
        <f>IF($B56="","",IF(COUNTIF(BC$16:BC$21,$B56)&gt;0,COUNTA(BC$7:BC$15),0)+IF(COUNTIF(BC$37:BC$42,$B56)&gt;0,COUNTA(BC$27:BC$35),0))</f>
        <v/>
      </c>
      <c r="BD56" s="55" t="str">
        <f>IF($B56="","",IF(COUNTIF(BD$16:BD$21,$B56)&gt;0,COUNTA(BD$7:BD$15),0)+IF(COUNTIF(BD$37:BD$42,$B56)&gt;0,COUNTA(BD$27:BD$35),0))</f>
        <v/>
      </c>
      <c r="BE56" s="55" t="str">
        <f>IF($B56="","",IF(COUNTIF(BE$16:BE$21,$B56)&gt;0,COUNTA(BE$7:BE$15),0)+IF(COUNTIF(BE$37:BE$42,$B56)&gt;0,COUNTA(BE$27:BE$35),0))</f>
        <v/>
      </c>
      <c r="BF56" s="55" t="str">
        <f>IF($B56="","",IF(COUNTIF(BF$16:BF$21,$B56)&gt;0,COUNTA(BF$7:BF$15),0)+IF(COUNTIF(BF$37:BF$42,$B56)&gt;0,COUNTA(BF$27:BF$35),0))</f>
        <v/>
      </c>
      <c r="BG56" s="55" t="str">
        <f>IF($B56="","",IF(COUNTIF(BG$16:BG$21,$B56)&gt;0,COUNTA(BG$7:BG$15),0)+IF(COUNTIF(BG$37:BG$42,$B56)&gt;0,COUNTA(BG$27:BG$35),0))</f>
        <v/>
      </c>
      <c r="BH56" s="55" t="str">
        <f>IF($B56="","",IF(COUNTIF(BH$16:BH$21,$B56)&gt;0,COUNTA(BH$7:BH$15),0)+IF(COUNTIF(BH$37:BH$42,$B56)&gt;0,COUNTA(BH$27:BH$35),0))</f>
        <v/>
      </c>
      <c r="BI56" s="55" t="str">
        <f>IF($B56="","",IF(COUNTIF(BI$16:BI$21,$B56)&gt;0,COUNTA(BI$7:BI$15),0)+IF(COUNTIF(BI$37:BI$42,$B56)&gt;0,COUNTA(BI$27:BI$35),0))</f>
        <v/>
      </c>
      <c r="BJ56" s="55" t="str">
        <f>IF($B56="","",IF(COUNTIF(BJ$16:BJ$21,$B56)&gt;0,COUNTA(BJ$7:BJ$15),0)+IF(COUNTIF(BJ$37:BJ$42,$B56)&gt;0,COUNTA(BJ$27:BJ$35),0))</f>
        <v/>
      </c>
      <c r="BK56" s="55" t="str">
        <f>IF($B56="","",IF(COUNTIF(BK$16:BK$21,$B56)&gt;0,COUNTA(BK$7:BK$15),0)+IF(COUNTIF(BK$37:BK$42,$B56)&gt;0,COUNTA(BK$27:BK$35),0))</f>
        <v/>
      </c>
      <c r="BL56" s="55" t="str">
        <f>IF($B56="","",IF(COUNTIF(BL$16:BL$21,$B56)&gt;0,COUNTA(BL$7:BL$15),0)+IF(COUNTIF(BL$37:BL$42,$B56)&gt;0,COUNTA(BL$27:BL$35),0))</f>
        <v/>
      </c>
      <c r="BM56" s="55" t="str">
        <f>IF($B56="","",IF(COUNTIF(BM$16:BM$21,$B56)&gt;0,COUNTA(BM$7:BM$15),0)+IF(COUNTIF(BM$37:BM$42,$B56)&gt;0,COUNTA(BM$27:BM$35),0))</f>
        <v/>
      </c>
      <c r="BN56" s="55" t="str">
        <f>IF($B56="","",IF(COUNTIF(BN$16:BN$21,$B56)&gt;0,COUNTA(BN$7:BN$15),0)+IF(COUNTIF(BN$37:BN$42,$B56)&gt;0,COUNTA(BN$27:BN$35),0))</f>
        <v/>
      </c>
      <c r="BO56" s="55" t="str">
        <f>IF($B56="","",IF(COUNTIF(BO$16:BO$21,$B56)&gt;0,COUNTA(BO$7:BO$15),0)+IF(COUNTIF(BO$37:BO$42,$B56)&gt;0,COUNTA(BO$27:BO$35),0))</f>
        <v/>
      </c>
      <c r="BP56" s="55" t="str">
        <f>IF($B56="","",IF(COUNTIF(BP$16:BP$21,$B56)&gt;0,COUNTA(BP$7:BP$15),0)+IF(COUNTIF(BP$37:BP$42,$B56)&gt;0,COUNTA(BP$27:BP$35),0))</f>
        <v/>
      </c>
      <c r="BQ56" s="55" t="str">
        <f>IF($B56="","",IF(COUNTIF(BQ$16:BQ$21,$B56)&gt;0,COUNTA(BQ$7:BQ$15),0)+IF(COUNTIF(BQ$37:BQ$42,$B56)&gt;0,COUNTA(BQ$27:BQ$35),0))</f>
        <v/>
      </c>
      <c r="BR56" s="55" t="str">
        <f>IF($B56="","",IF(COUNTIF(BR$16:BR$21,$B56)&gt;0,COUNTA(BR$7:BR$15),0)+IF(COUNTIF(BR$37:BR$42,$B56)&gt;0,COUNTA(BR$27:BR$35),0))</f>
        <v/>
      </c>
      <c r="BS56" s="55" t="str">
        <f>IF($B56="","",IF(COUNTIF(BS$16:BS$21,$B56)&gt;0,COUNTA(BS$7:BS$15),0)+IF(COUNTIF(BS$37:BS$42,$B56)&gt;0,COUNTA(BS$27:BS$35),0))</f>
        <v/>
      </c>
      <c r="BT56" s="55" t="str">
        <f>IF($B56="","",IF(COUNTIF(BT$16:BT$21,$B56)&gt;0,COUNTA(BT$7:BT$15),0)+IF(COUNTIF(BT$37:BT$42,$B56)&gt;0,COUNTA(BT$27:BT$35),0))</f>
        <v/>
      </c>
      <c r="BU56" s="55" t="str">
        <f>IF($B56="","",IF(COUNTIF(BU$16:BU$21,$B56)&gt;0,COUNTA(BU$7:BU$15),0)+IF(COUNTIF(BU$37:BU$42,$B56)&gt;0,COUNTA(BU$27:BU$35),0))</f>
        <v/>
      </c>
      <c r="BV56" s="55" t="str">
        <f>IF($B56="","",IF(COUNTIF(BV$16:BV$21,$B56)&gt;0,COUNTA(BV$7:BV$15),0)+IF(COUNTIF(BV$37:BV$42,$B56)&gt;0,COUNTA(BV$27:BV$35),0))</f>
        <v/>
      </c>
      <c r="BW56" s="55" t="str">
        <f>IF($B56="","",IF(COUNTIF(BW$16:BW$21,$B56)&gt;0,COUNTA(BW$7:BW$15),0)+IF(COUNTIF(BW$37:BW$42,$B56)&gt;0,COUNTA(BW$27:BW$35),0))</f>
        <v/>
      </c>
      <c r="BX56" s="55" t="str">
        <f>IF($B56="","",IF(COUNTIF(BX$16:BX$21,$B56)&gt;0,COUNTA(BX$7:BX$15),0)+IF(COUNTIF(BX$37:BX$42,$B56)&gt;0,COUNTA(BX$27:BX$35),0))</f>
        <v/>
      </c>
      <c r="BY56" s="55" t="str">
        <f>IF($B56="","",IF(COUNTIF(BY$16:BY$21,$B56)&gt;0,COUNTA(BY$7:BY$15),0)+IF(COUNTIF(BY$37:BY$42,$B56)&gt;0,COUNTA(BY$27:BY$35),0))</f>
        <v/>
      </c>
      <c r="BZ56" s="55" t="str">
        <f>IF($B56="","",IF(COUNTIF(BZ$16:BZ$21,$B56)&gt;0,COUNTA(BZ$7:BZ$15),0)+IF(COUNTIF(BZ$37:BZ$42,$B56)&gt;0,COUNTA(BZ$27:BZ$35),0))</f>
        <v/>
      </c>
      <c r="CA56" s="55" t="str">
        <f>IF($B56="","",IF(COUNTIF(CA$16:CA$21,$B56)&gt;0,COUNTA(CA$7:CA$15),0)+IF(COUNTIF(CA$37:CA$42,$B56)&gt;0,COUNTA(CA$27:CA$35),0))</f>
        <v/>
      </c>
      <c r="CB56" s="55" t="str">
        <f>IF($B56="","",IF(COUNTIF(CB$16:CB$21,$B56)&gt;0,COUNTA(CB$7:CB$15),0)+IF(COUNTIF(CB$37:CB$42,$B56)&gt;0,COUNTA(CB$27:CB$35),0))</f>
        <v/>
      </c>
      <c r="CC56" s="55" t="str">
        <f>IF($B56="","",IF(COUNTIF(CC$16:CC$21,$B56)&gt;0,COUNTA(CC$7:CC$15),0)+IF(COUNTIF(CC$37:CC$42,$B56)&gt;0,COUNTA(CC$27:CC$35),0))</f>
        <v/>
      </c>
      <c r="CD56" s="55" t="str">
        <f>IF($B56="","",IF(COUNTIF(CD$16:CD$21,$B56)&gt;0,COUNTA(CD$7:CD$15),0)+IF(COUNTIF(CD$37:CD$42,$B56)&gt;0,COUNTA(CD$27:CD$35),0))</f>
        <v/>
      </c>
      <c r="CE56" s="55" t="str">
        <f>IF($B56="","",IF(COUNTIF(CE$16:CE$21,$B56)&gt;0,COUNTA(CE$7:CE$15),0)+IF(COUNTIF(CE$37:CE$42,$B56)&gt;0,COUNTA(CE$27:CE$35),0))</f>
        <v/>
      </c>
      <c r="CF56" s="55" t="str">
        <f>IF($B56="","",IF(COUNTIF(CF$16:CF$21,$B56)&gt;0,COUNTA(CF$7:CF$15),0)+IF(COUNTIF(CF$37:CF$42,$B56)&gt;0,COUNTA(CF$27:CF$35),0))</f>
        <v/>
      </c>
      <c r="CG56" s="55" t="str">
        <f>IF($B56="","",IF(COUNTIF(CG$16:CG$21,$B56)&gt;0,COUNTA(CG$7:CG$15),0)+IF(COUNTIF(CG$37:CG$42,$B56)&gt;0,COUNTA(CG$27:CG$35),0))</f>
        <v/>
      </c>
      <c r="CH56" s="55" t="str">
        <f>IF($B56="","",IF(COUNTIF(CH$16:CH$21,$B56)&gt;0,COUNTA(CH$7:CH$15),0)+IF(COUNTIF(CH$37:CH$42,$B56)&gt;0,COUNTA(CH$27:CH$35),0))</f>
        <v/>
      </c>
      <c r="CI56" s="55" t="str">
        <f>IF($B56="","",IF(COUNTIF(CI$16:CI$21,$B56)&gt;0,COUNTA(CI$7:CI$15),0)+IF(COUNTIF(CI$37:CI$42,$B56)&gt;0,COUNTA(CI$27:CI$35),0))</f>
        <v/>
      </c>
      <c r="CJ56" s="55" t="str">
        <f>IF($B56="","",IF(COUNTIF(CJ$16:CJ$21,$B56)&gt;0,COUNTA(CJ$7:CJ$15),0)+IF(COUNTIF(CJ$37:CJ$42,$B56)&gt;0,COUNTA(CJ$27:CJ$35),0))</f>
        <v/>
      </c>
      <c r="CK56" s="55" t="str">
        <f>IF($B56="","",IF(COUNTIF(CK$16:CK$21,$B56)&gt;0,COUNTA(CK$7:CK$15),0)+IF(COUNTIF(CK$37:CK$42,$B56)&gt;0,COUNTA(CK$27:CK$35),0))</f>
        <v/>
      </c>
      <c r="CL56" s="55" t="str">
        <f>IF($B56="","",IF(COUNTIF(CL$16:CL$21,$B56)&gt;0,COUNTA(CL$7:CL$15),0)+IF(COUNTIF(CL$37:CL$42,$B56)&gt;0,COUNTA(CL$27:CL$35),0))</f>
        <v/>
      </c>
      <c r="CM56" s="55" t="str">
        <f>IF($B56="","",IF(COUNTIF(CM$16:CM$21,$B56)&gt;0,COUNTA(CM$7:CM$15),0)+IF(COUNTIF(CM$37:CM$42,$B56)&gt;0,COUNTA(CM$27:CM$35),0))</f>
        <v/>
      </c>
      <c r="CN56" s="55" t="str">
        <f>IF($B56="","",IF(COUNTIF(CN$16:CN$21,$B56)&gt;0,COUNTA(CN$7:CN$15),0)+IF(COUNTIF(CN$37:CN$42,$B56)&gt;0,COUNTA(CN$27:CN$35),0))</f>
        <v/>
      </c>
      <c r="CO56" s="55" t="str">
        <f>IF($B56="","",IF(COUNTIF(CO$16:CO$21,$B56)&gt;0,COUNTA(CO$7:CO$15),0)+IF(COUNTIF(CO$37:CO$42,$B56)&gt;0,COUNTA(CO$27:CO$35),0))</f>
        <v/>
      </c>
      <c r="CP56" s="55" t="str">
        <f>IF($B56="","",IF(COUNTIF(CP$16:CP$21,$B56)&gt;0,COUNTA(CP$7:CP$15),0)+IF(COUNTIF(CP$37:CP$42,$B56)&gt;0,COUNTA(CP$27:CP$35),0))</f>
        <v/>
      </c>
      <c r="CQ56" s="55" t="str">
        <f>IF($B56="","",IF(COUNTIF(CQ$16:CQ$21,$B56)&gt;0,COUNTA(CQ$7:CQ$15),0)+IF(COUNTIF(CQ$37:CQ$42,$B56)&gt;0,COUNTA(CQ$27:CQ$35),0))</f>
        <v/>
      </c>
      <c r="CR56" s="55" t="str">
        <f>IF($B56="","",IF(COUNTIF(CR$16:CR$21,$B56)&gt;0,COUNTA(CR$7:CR$15),0)+IF(COUNTIF(CR$37:CR$42,$B56)&gt;0,COUNTA(CR$27:CR$35),0))</f>
        <v/>
      </c>
      <c r="CS56" s="55" t="str">
        <f>IF($B56="","",IF(COUNTIF(CS$16:CS$21,$B56)&gt;0,COUNTA(CS$7:CS$15),0)+IF(COUNTIF(CS$37:CS$42,$B56)&gt;0,COUNTA(CS$27:CS$35),0))</f>
        <v/>
      </c>
      <c r="CT56" s="55" t="str">
        <f>IF($B56="","",IF(COUNTIF(CT$16:CT$21,$B56)&gt;0,COUNTA(CT$7:CT$15),0)+IF(COUNTIF(CT$37:CT$42,$B56)&gt;0,COUNTA(CT$27:CT$35),0))</f>
        <v/>
      </c>
      <c r="CU56" s="55" t="str">
        <f>IF($B56="","",IF(COUNTIF(CU$16:CU$21,$B56)&gt;0,COUNTA(CU$7:CU$15),0)+IF(COUNTIF(CU$37:CU$42,$B56)&gt;0,COUNTA(CU$27:CU$35),0))</f>
        <v/>
      </c>
      <c r="CV56" s="55" t="str">
        <f>IF($B56="","",IF(COUNTIF(CV$16:CV$21,$B56)&gt;0,COUNTA(CV$7:CV$15),0)+IF(COUNTIF(CV$37:CV$42,$B56)&gt;0,COUNTA(CV$27:CV$35),0))</f>
        <v/>
      </c>
      <c r="CW56" s="55" t="str">
        <f>IF($B56="","",IF(COUNTIF(CW$16:CW$21,$B56)&gt;0,COUNTA(CW$7:CW$15),0)+IF(COUNTIF(CW$37:CW$42,$B56)&gt;0,COUNTA(CW$27:CW$35),0))</f>
        <v/>
      </c>
      <c r="CX56" s="55" t="str">
        <f>IF($B56="","",IF(COUNTIF(CX$16:CX$21,$B56)&gt;0,COUNTA(CX$7:CX$15),0)+IF(COUNTIF(CX$37:CX$42,$B56)&gt;0,COUNTA(CX$27:CX$35),0))</f>
        <v/>
      </c>
      <c r="CY56" s="55" t="str">
        <f>IF($B56="","",IF(COUNTIF(CY$16:CY$21,$B56)&gt;0,COUNTA(CY$7:CY$15),0)+IF(COUNTIF(CY$37:CY$42,$B56)&gt;0,COUNTA(CY$27:CY$35),0))</f>
        <v/>
      </c>
      <c r="CZ56" s="55" t="str">
        <f>IF($B56="","",IF(COUNTIF(CZ$16:CZ$21,$B56)&gt;0,COUNTA(CZ$7:CZ$15),0)+IF(COUNTIF(CZ$37:CZ$42,$B56)&gt;0,COUNTA(CZ$27:CZ$35),0))</f>
        <v/>
      </c>
      <c r="DA56" s="55" t="str">
        <f>IF($B56="","",IF(COUNTIF(DA$16:DA$21,$B56)&gt;0,COUNTA(DA$7:DA$15),0)+IF(COUNTIF(DA$37:DA$42,$B56)&gt;0,COUNTA(DA$27:DA$35),0))</f>
        <v/>
      </c>
      <c r="DB56" s="55" t="str">
        <f>IF($B56="","",IF(COUNTIF(DB$16:DB$21,$B56)&gt;0,COUNTA(DB$7:DB$15),0)+IF(COUNTIF(DB$37:DB$42,$B56)&gt;0,COUNTA(DB$27:DB$35),0))</f>
        <v/>
      </c>
      <c r="DC56" s="55" t="str">
        <f>IF($B56="","",IF(COUNTIF(DC$16:DC$21,$B56)&gt;0,COUNTA(DC$7:DC$15),0)+IF(COUNTIF(DC$37:DC$42,$B56)&gt;0,COUNTA(DC$27:DC$35),0))</f>
        <v/>
      </c>
      <c r="DD56" s="55" t="str">
        <f>IF($B56="","",IF(COUNTIF(DD$16:DD$21,$B56)&gt;0,COUNTA(DD$7:DD$15),0)+IF(COUNTIF(DD$37:DD$42,$B56)&gt;0,COUNTA(DD$27:DD$35),0))</f>
        <v/>
      </c>
      <c r="DE56" s="58" t="str">
        <f>IF($B56="","",IF(COUNTIF(DE$16:DE$21,$B56)&gt;0,COUNTA(DE$7:DE$15),0)+IF(COUNTIF(DE$37:DE$42,$B56)&gt;0,COUNTA(DE$27:DE$35),0))</f>
        <v/>
      </c>
    </row>
    <row r="57" spans="2:109" x14ac:dyDescent="0.2">
      <c r="B57" s="84" t="str">
        <f>IFERROR(INDEX(_xlfn._xlws.FILTER(Ressourcer!$B$1:$X$1,_xlfn.BYCOL(Ressourcer!$B$23:$X$25,_xlfn.LAMBDA(_xlpm.c,COUNTIF(_xlpm.c,"&lt;&gt;" )&gt;0))),ROWS($B$2:B14)),"")</f>
        <v/>
      </c>
      <c r="C57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)&gt;0))),_xlfn.LAMBDA(_xlpm.col,SUM(INDEX(Ressourcer!$B$23:$X$25,,_xlpm.col-COLUMN(Ressourcer!$B$23:$X$25)+1)))),ROWS($B$2:B14))/2,"")</f>
        <v/>
      </c>
      <c r="D57" s="106" t="str">
        <f t="shared" si="35"/>
        <v/>
      </c>
      <c r="E57" s="57" t="str">
        <f>IF($B57="","",IF(COUNTIF(E$16:E$21,$B57)&gt;0,COUNTA(E$7:E$15),0)+IF(COUNTIF(E$37:E$42,$B57)&gt;0,COUNTA(E$27:E$35),0))</f>
        <v/>
      </c>
      <c r="F57" s="55" t="str">
        <f>IF($B57="","",IF(COUNTIF(F$16:F$21,$B57)&gt;0,COUNTA(F$7:F$15),0)+IF(COUNTIF(F$37:F$42,$B57)&gt;0,COUNTA(F$27:F$35),0))</f>
        <v/>
      </c>
      <c r="G57" s="55" t="str">
        <f>IF($B57="","",IF(COUNTIF(G$16:G$21,$B57)&gt;0,COUNTA(G$7:G$15),0)+IF(COUNTIF(G$37:G$42,$B57)&gt;0,COUNTA(G$27:G$35),0))</f>
        <v/>
      </c>
      <c r="H57" s="55" t="str">
        <f>IF($B57="","",IF(COUNTIF(H$16:H$21,$B57)&gt;0,COUNTA(H$7:H$15),0)+IF(COUNTIF(H$37:H$42,$B57)&gt;0,COUNTA(H$27:H$35),0))</f>
        <v/>
      </c>
      <c r="I57" s="55" t="str">
        <f>IF($B57="","",IF(COUNTIF(I$16:I$21,$B57)&gt;0,COUNTA(I$7:I$15),0)+IF(COUNTIF(I$37:I$42,$B57)&gt;0,COUNTA(I$27:I$35),0))</f>
        <v/>
      </c>
      <c r="J57" s="55" t="str">
        <f>IF($B57="","",IF(COUNTIF(J$16:J$21,$B57)&gt;0,COUNTA(J$7:J$15),0)+IF(COUNTIF(J$37:J$42,$B57)&gt;0,COUNTA(J$27:J$35),0))</f>
        <v/>
      </c>
      <c r="K57" s="55" t="str">
        <f>IF($B57="","",IF(COUNTIF(K$16:K$21,$B57)&gt;0,COUNTA(K$7:K$15),0)+IF(COUNTIF(K$37:K$42,$B57)&gt;0,COUNTA(K$27:K$35),0))</f>
        <v/>
      </c>
      <c r="L57" s="55" t="str">
        <f>IF($B57="","",IF(COUNTIF(L$16:L$21,$B57)&gt;0,COUNTA(L$7:L$15),0)+IF(COUNTIF(L$37:L$42,$B57)&gt;0,COUNTA(L$27:L$35),0))</f>
        <v/>
      </c>
      <c r="M57" s="55" t="str">
        <f>IF($B57="","",IF(COUNTIF(M$16:M$21,$B57)&gt;0,COUNTA(M$7:M$15),0)+IF(COUNTIF(M$37:M$42,$B57)&gt;0,COUNTA(M$27:M$35),0))</f>
        <v/>
      </c>
      <c r="N57" s="55" t="str">
        <f>IF($B57="","",IF(COUNTIF(N$16:N$21,$B57)&gt;0,COUNTA(N$7:N$15),0)+IF(COUNTIF(N$37:N$42,$B57)&gt;0,COUNTA(N$27:N$35),0))</f>
        <v/>
      </c>
      <c r="O57" s="55" t="str">
        <f>IF($B57="","",IF(COUNTIF(O$16:O$21,$B57)&gt;0,COUNTA(O$7:O$15),0)+IF(COUNTIF(O$37:O$42,$B57)&gt;0,COUNTA(O$27:O$35),0))</f>
        <v/>
      </c>
      <c r="P57" s="55" t="str">
        <f>IF($B57="","",IF(COUNTIF(P$16:P$21,$B57)&gt;0,COUNTA(P$7:P$15),0)+IF(COUNTIF(P$37:P$42,$B57)&gt;0,COUNTA(P$27:P$35),0))</f>
        <v/>
      </c>
      <c r="Q57" s="55" t="str">
        <f>IF($B57="","",IF(COUNTIF(Q$16:Q$21,$B57)&gt;0,COUNTA(Q$7:Q$15),0)+IF(COUNTIF(Q$37:Q$42,$B57)&gt;0,COUNTA(Q$27:Q$35),0))</f>
        <v/>
      </c>
      <c r="R57" s="55" t="str">
        <f>IF($B57="","",IF(COUNTIF(R$16:R$21,$B57)&gt;0,COUNTA(R$7:R$15),0)+IF(COUNTIF(R$37:R$42,$B57)&gt;0,COUNTA(R$27:R$35),0))</f>
        <v/>
      </c>
      <c r="S57" s="55" t="str">
        <f>IF($B57="","",IF(COUNTIF(S$16:S$21,$B57)&gt;0,COUNTA(S$7:S$15),0)+IF(COUNTIF(S$37:S$42,$B57)&gt;0,COUNTA(S$27:S$35),0))</f>
        <v/>
      </c>
      <c r="T57" s="55" t="str">
        <f>IF($B57="","",IF(COUNTIF(T$16:T$21,$B57)&gt;0,COUNTA(T$7:T$15),0)+IF(COUNTIF(T$37:T$42,$B57)&gt;0,COUNTA(T$27:T$35),0))</f>
        <v/>
      </c>
      <c r="U57" s="55" t="str">
        <f>IF($B57="","",IF(COUNTIF(U$16:U$21,$B57)&gt;0,COUNTA(U$7:U$15),0)+IF(COUNTIF(U$37:U$42,$B57)&gt;0,COUNTA(U$27:U$35),0))</f>
        <v/>
      </c>
      <c r="V57" s="55" t="str">
        <f>IF($B57="","",IF(COUNTIF(V$16:V$21,$B57)&gt;0,COUNTA(V$7:V$15),0)+IF(COUNTIF(V$37:V$42,$B57)&gt;0,COUNTA(V$27:V$35),0))</f>
        <v/>
      </c>
      <c r="W57" s="55" t="str">
        <f>IF($B57="","",IF(COUNTIF(W$16:W$21,$B57)&gt;0,COUNTA(W$7:W$15),0)+IF(COUNTIF(W$37:W$42,$B57)&gt;0,COUNTA(W$27:W$35),0))</f>
        <v/>
      </c>
      <c r="X57" s="55" t="str">
        <f>IF($B57="","",IF(COUNTIF(X$16:X$21,$B57)&gt;0,COUNTA(X$7:X$15),0)+IF(COUNTIF(X$37:X$42,$B57)&gt;0,COUNTA(X$27:X$35),0))</f>
        <v/>
      </c>
      <c r="Y57" s="55" t="str">
        <f>IF($B57="","",IF(COUNTIF(Y$16:Y$21,$B57)&gt;0,COUNTA(Y$7:Y$15),0)+IF(COUNTIF(Y$37:Y$42,$B57)&gt;0,COUNTA(Y$27:Y$35),0))</f>
        <v/>
      </c>
      <c r="Z57" s="55" t="str">
        <f>IF($B57="","",IF(COUNTIF(Z$16:Z$21,$B57)&gt;0,COUNTA(Z$7:Z$15),0)+IF(COUNTIF(Z$37:Z$42,$B57)&gt;0,COUNTA(Z$27:Z$35),0))</f>
        <v/>
      </c>
      <c r="AA57" s="55" t="str">
        <f>IF($B57="","",IF(COUNTIF(AA$16:AA$21,$B57)&gt;0,COUNTA(AA$7:AA$15),0)+IF(COUNTIF(AA$37:AA$42,$B57)&gt;0,COUNTA(AA$27:AA$35),0))</f>
        <v/>
      </c>
      <c r="AB57" s="55" t="str">
        <f>IF($B57="","",IF(COUNTIF(AB$16:AB$21,$B57)&gt;0,COUNTA(AB$7:AB$15),0)+IF(COUNTIF(AB$37:AB$42,$B57)&gt;0,COUNTA(AB$27:AB$35),0))</f>
        <v/>
      </c>
      <c r="AC57" s="55" t="str">
        <f>IF($B57="","",IF(COUNTIF(AC$16:AC$21,$B57)&gt;0,COUNTA(AC$7:AC$15),0)+IF(COUNTIF(AC$37:AC$42,$B57)&gt;0,COUNTA(AC$27:AC$35),0))</f>
        <v/>
      </c>
      <c r="AD57" s="55" t="str">
        <f>IF($B57="","",IF(COUNTIF(AD$16:AD$21,$B57)&gt;0,COUNTA(AD$7:AD$15),0)+IF(COUNTIF(AD$37:AD$42,$B57)&gt;0,COUNTA(AD$27:AD$35),0))</f>
        <v/>
      </c>
      <c r="AE57" s="55" t="str">
        <f>IF($B57="","",IF(COUNTIF(AE$16:AE$21,$B57)&gt;0,COUNTA(AE$7:AE$15),0)+IF(COUNTIF(AE$37:AE$42,$B57)&gt;0,COUNTA(AE$27:AE$35),0))</f>
        <v/>
      </c>
      <c r="AF57" s="55" t="str">
        <f>IF($B57="","",IF(COUNTIF(AF$16:AF$21,$B57)&gt;0,COUNTA(AF$7:AF$15),0)+IF(COUNTIF(AF$37:AF$42,$B57)&gt;0,COUNTA(AF$27:AF$35),0))</f>
        <v/>
      </c>
      <c r="AG57" s="55" t="str">
        <f>IF($B57="","",IF(COUNTIF(AG$16:AG$21,$B57)&gt;0,COUNTA(AG$7:AG$15),0)+IF(COUNTIF(AG$37:AG$42,$B57)&gt;0,COUNTA(AG$27:AG$35),0))</f>
        <v/>
      </c>
      <c r="AH57" s="55" t="str">
        <f>IF($B57="","",IF(COUNTIF(AH$16:AH$21,$B57)&gt;0,COUNTA(AH$7:AH$15),0)+IF(COUNTIF(AH$37:AH$42,$B57)&gt;0,COUNTA(AH$27:AH$35),0))</f>
        <v/>
      </c>
      <c r="AI57" s="55" t="str">
        <f>IF($B57="","",IF(COUNTIF(AI$16:AI$21,$B57)&gt;0,COUNTA(AI$7:AI$15),0)+IF(COUNTIF(AI$37:AI$42,$B57)&gt;0,COUNTA(AI$27:AI$35),0))</f>
        <v/>
      </c>
      <c r="AJ57" s="55" t="str">
        <f>IF($B57="","",IF(COUNTIF(AJ$16:AJ$21,$B57)&gt;0,COUNTA(AJ$7:AJ$15),0)+IF(COUNTIF(AJ$37:AJ$42,$B57)&gt;0,COUNTA(AJ$27:AJ$35),0))</f>
        <v/>
      </c>
      <c r="AK57" s="55" t="str">
        <f>IF($B57="","",IF(COUNTIF(AK$16:AK$21,$B57)&gt;0,COUNTA(AK$7:AK$15),0)+IF(COUNTIF(AK$37:AK$42,$B57)&gt;0,COUNTA(AK$27:AK$35),0))</f>
        <v/>
      </c>
      <c r="AL57" s="55" t="str">
        <f>IF($B57="","",IF(COUNTIF(AL$16:AL$21,$B57)&gt;0,COUNTA(AL$7:AL$15),0)+IF(COUNTIF(AL$37:AL$42,$B57)&gt;0,COUNTA(AL$27:AL$35),0))</f>
        <v/>
      </c>
      <c r="AM57" s="55" t="str">
        <f>IF($B57="","",IF(COUNTIF(AM$16:AM$21,$B57)&gt;0,COUNTA(AM$7:AM$15),0)+IF(COUNTIF(AM$37:AM$42,$B57)&gt;0,COUNTA(AM$27:AM$35),0))</f>
        <v/>
      </c>
      <c r="AN57" s="55" t="str">
        <f>IF($B57="","",IF(COUNTIF(AN$16:AN$21,$B57)&gt;0,COUNTA(AN$7:AN$15),0)+IF(COUNTIF(AN$37:AN$42,$B57)&gt;0,COUNTA(AN$27:AN$35),0))</f>
        <v/>
      </c>
      <c r="AO57" s="55" t="str">
        <f>IF($B57="","",IF(COUNTIF(AO$16:AO$21,$B57)&gt;0,COUNTA(AO$7:AO$15),0)+IF(COUNTIF(AO$37:AO$42,$B57)&gt;0,COUNTA(AO$27:AO$35),0))</f>
        <v/>
      </c>
      <c r="AP57" s="55" t="str">
        <f>IF($B57="","",IF(COUNTIF(AP$16:AP$21,$B57)&gt;0,COUNTA(AP$7:AP$15),0)+IF(COUNTIF(AP$37:AP$42,$B57)&gt;0,COUNTA(AP$27:AP$35),0))</f>
        <v/>
      </c>
      <c r="AQ57" s="55" t="str">
        <f>IF($B57="","",IF(COUNTIF(AQ$16:AQ$21,$B57)&gt;0,COUNTA(AQ$7:AQ$15),0)+IF(COUNTIF(AQ$37:AQ$42,$B57)&gt;0,COUNTA(AQ$27:AQ$35),0))</f>
        <v/>
      </c>
      <c r="AR57" s="55" t="str">
        <f>IF($B57="","",IF(COUNTIF(AR$16:AR$21,$B57)&gt;0,COUNTA(AR$7:AR$15),0)+IF(COUNTIF(AR$37:AR$42,$B57)&gt;0,COUNTA(AR$27:AR$35),0))</f>
        <v/>
      </c>
      <c r="AS57" s="55" t="str">
        <f>IF($B57="","",IF(COUNTIF(AS$16:AS$21,$B57)&gt;0,COUNTA(AS$7:AS$15),0)+IF(COUNTIF(AS$37:AS$42,$B57)&gt;0,COUNTA(AS$27:AS$35),0))</f>
        <v/>
      </c>
      <c r="AT57" s="55" t="str">
        <f>IF($B57="","",IF(COUNTIF(AT$16:AT$21,$B57)&gt;0,COUNTA(AT$7:AT$15),0)+IF(COUNTIF(AT$37:AT$42,$B57)&gt;0,COUNTA(AT$27:AT$35),0))</f>
        <v/>
      </c>
      <c r="AU57" s="55" t="str">
        <f>IF($B57="","",IF(COUNTIF(AU$16:AU$21,$B57)&gt;0,COUNTA(AU$7:AU$15),0)+IF(COUNTIF(AU$37:AU$42,$B57)&gt;0,COUNTA(AU$27:AU$35),0))</f>
        <v/>
      </c>
      <c r="AV57" s="55" t="str">
        <f>IF($B57="","",IF(COUNTIF(AV$16:AV$21,$B57)&gt;0,COUNTA(AV$7:AV$15),0)+IF(COUNTIF(AV$37:AV$42,$B57)&gt;0,COUNTA(AV$27:AV$35),0))</f>
        <v/>
      </c>
      <c r="AW57" s="55" t="str">
        <f>IF($B57="","",IF(COUNTIF(AW$16:AW$21,$B57)&gt;0,COUNTA(AW$7:AW$15),0)+IF(COUNTIF(AW$37:AW$42,$B57)&gt;0,COUNTA(AW$27:AW$35),0))</f>
        <v/>
      </c>
      <c r="AX57" s="55" t="str">
        <f>IF($B57="","",IF(COUNTIF(AX$16:AX$21,$B57)&gt;0,COUNTA(AX$7:AX$15),0)+IF(COUNTIF(AX$37:AX$42,$B57)&gt;0,COUNTA(AX$27:AX$35),0))</f>
        <v/>
      </c>
      <c r="AY57" s="55" t="str">
        <f>IF($B57="","",IF(COUNTIF(AY$16:AY$21,$B57)&gt;0,COUNTA(AY$7:AY$15),0)+IF(COUNTIF(AY$37:AY$42,$B57)&gt;0,COUNTA(AY$27:AY$35),0))</f>
        <v/>
      </c>
      <c r="AZ57" s="55" t="str">
        <f>IF($B57="","",IF(COUNTIF(AZ$16:AZ$21,$B57)&gt;0,COUNTA(AZ$7:AZ$15),0)+IF(COUNTIF(AZ$37:AZ$42,$B57)&gt;0,COUNTA(AZ$27:AZ$35),0))</f>
        <v/>
      </c>
      <c r="BA57" s="55" t="str">
        <f>IF($B57="","",IF(COUNTIF(BA$16:BA$21,$B57)&gt;0,COUNTA(BA$7:BA$15),0)+IF(COUNTIF(BA$37:BA$42,$B57)&gt;0,COUNTA(BA$27:BA$35),0))</f>
        <v/>
      </c>
      <c r="BB57" s="55" t="str">
        <f>IF($B57="","",IF(COUNTIF(BB$16:BB$21,$B57)&gt;0,COUNTA(BB$7:BB$15),0)+IF(COUNTIF(BB$37:BB$42,$B57)&gt;0,COUNTA(BB$27:BB$35),0))</f>
        <v/>
      </c>
      <c r="BC57" s="55" t="str">
        <f>IF($B57="","",IF(COUNTIF(BC$16:BC$21,$B57)&gt;0,COUNTA(BC$7:BC$15),0)+IF(COUNTIF(BC$37:BC$42,$B57)&gt;0,COUNTA(BC$27:BC$35),0))</f>
        <v/>
      </c>
      <c r="BD57" s="55" t="str">
        <f>IF($B57="","",IF(COUNTIF(BD$16:BD$21,$B57)&gt;0,COUNTA(BD$7:BD$15),0)+IF(COUNTIF(BD$37:BD$42,$B57)&gt;0,COUNTA(BD$27:BD$35),0))</f>
        <v/>
      </c>
      <c r="BE57" s="55" t="str">
        <f>IF($B57="","",IF(COUNTIF(BE$16:BE$21,$B57)&gt;0,COUNTA(BE$7:BE$15),0)+IF(COUNTIF(BE$37:BE$42,$B57)&gt;0,COUNTA(BE$27:BE$35),0))</f>
        <v/>
      </c>
      <c r="BF57" s="55" t="str">
        <f>IF($B57="","",IF(COUNTIF(BF$16:BF$21,$B57)&gt;0,COUNTA(BF$7:BF$15),0)+IF(COUNTIF(BF$37:BF$42,$B57)&gt;0,COUNTA(BF$27:BF$35),0))</f>
        <v/>
      </c>
      <c r="BG57" s="55" t="str">
        <f>IF($B57="","",IF(COUNTIF(BG$16:BG$21,$B57)&gt;0,COUNTA(BG$7:BG$15),0)+IF(COUNTIF(BG$37:BG$42,$B57)&gt;0,COUNTA(BG$27:BG$35),0))</f>
        <v/>
      </c>
      <c r="BH57" s="55" t="str">
        <f>IF($B57="","",IF(COUNTIF(BH$16:BH$21,$B57)&gt;0,COUNTA(BH$7:BH$15),0)+IF(COUNTIF(BH$37:BH$42,$B57)&gt;0,COUNTA(BH$27:BH$35),0))</f>
        <v/>
      </c>
      <c r="BI57" s="55" t="str">
        <f>IF($B57="","",IF(COUNTIF(BI$16:BI$21,$B57)&gt;0,COUNTA(BI$7:BI$15),0)+IF(COUNTIF(BI$37:BI$42,$B57)&gt;0,COUNTA(BI$27:BI$35),0))</f>
        <v/>
      </c>
      <c r="BJ57" s="55" t="str">
        <f>IF($B57="","",IF(COUNTIF(BJ$16:BJ$21,$B57)&gt;0,COUNTA(BJ$7:BJ$15),0)+IF(COUNTIF(BJ$37:BJ$42,$B57)&gt;0,COUNTA(BJ$27:BJ$35),0))</f>
        <v/>
      </c>
      <c r="BK57" s="55" t="str">
        <f>IF($B57="","",IF(COUNTIF(BK$16:BK$21,$B57)&gt;0,COUNTA(BK$7:BK$15),0)+IF(COUNTIF(BK$37:BK$42,$B57)&gt;0,COUNTA(BK$27:BK$35),0))</f>
        <v/>
      </c>
      <c r="BL57" s="55" t="str">
        <f>IF($B57="","",IF(COUNTIF(BL$16:BL$21,$B57)&gt;0,COUNTA(BL$7:BL$15),0)+IF(COUNTIF(BL$37:BL$42,$B57)&gt;0,COUNTA(BL$27:BL$35),0))</f>
        <v/>
      </c>
      <c r="BM57" s="55" t="str">
        <f>IF($B57="","",IF(COUNTIF(BM$16:BM$21,$B57)&gt;0,COUNTA(BM$7:BM$15),0)+IF(COUNTIF(BM$37:BM$42,$B57)&gt;0,COUNTA(BM$27:BM$35),0))</f>
        <v/>
      </c>
      <c r="BN57" s="55" t="str">
        <f>IF($B57="","",IF(COUNTIF(BN$16:BN$21,$B57)&gt;0,COUNTA(BN$7:BN$15),0)+IF(COUNTIF(BN$37:BN$42,$B57)&gt;0,COUNTA(BN$27:BN$35),0))</f>
        <v/>
      </c>
      <c r="BO57" s="55" t="str">
        <f>IF($B57="","",IF(COUNTIF(BO$16:BO$21,$B57)&gt;0,COUNTA(BO$7:BO$15),0)+IF(COUNTIF(BO$37:BO$42,$B57)&gt;0,COUNTA(BO$27:BO$35),0))</f>
        <v/>
      </c>
      <c r="BP57" s="55" t="str">
        <f>IF($B57="","",IF(COUNTIF(BP$16:BP$21,$B57)&gt;0,COUNTA(BP$7:BP$15),0)+IF(COUNTIF(BP$37:BP$42,$B57)&gt;0,COUNTA(BP$27:BP$35),0))</f>
        <v/>
      </c>
      <c r="BQ57" s="55" t="str">
        <f>IF($B57="","",IF(COUNTIF(BQ$16:BQ$21,$B57)&gt;0,COUNTA(BQ$7:BQ$15),0)+IF(COUNTIF(BQ$37:BQ$42,$B57)&gt;0,COUNTA(BQ$27:BQ$35),0))</f>
        <v/>
      </c>
      <c r="BR57" s="55" t="str">
        <f>IF($B57="","",IF(COUNTIF(BR$16:BR$21,$B57)&gt;0,COUNTA(BR$7:BR$15),0)+IF(COUNTIF(BR$37:BR$42,$B57)&gt;0,COUNTA(BR$27:BR$35),0))</f>
        <v/>
      </c>
      <c r="BS57" s="55" t="str">
        <f>IF($B57="","",IF(COUNTIF(BS$16:BS$21,$B57)&gt;0,COUNTA(BS$7:BS$15),0)+IF(COUNTIF(BS$37:BS$42,$B57)&gt;0,COUNTA(BS$27:BS$35),0))</f>
        <v/>
      </c>
      <c r="BT57" s="55" t="str">
        <f>IF($B57="","",IF(COUNTIF(BT$16:BT$21,$B57)&gt;0,COUNTA(BT$7:BT$15),0)+IF(COUNTIF(BT$37:BT$42,$B57)&gt;0,COUNTA(BT$27:BT$35),0))</f>
        <v/>
      </c>
      <c r="BU57" s="55" t="str">
        <f>IF($B57="","",IF(COUNTIF(BU$16:BU$21,$B57)&gt;0,COUNTA(BU$7:BU$15),0)+IF(COUNTIF(BU$37:BU$42,$B57)&gt;0,COUNTA(BU$27:BU$35),0))</f>
        <v/>
      </c>
      <c r="BV57" s="55" t="str">
        <f>IF($B57="","",IF(COUNTIF(BV$16:BV$21,$B57)&gt;0,COUNTA(BV$7:BV$15),0)+IF(COUNTIF(BV$37:BV$42,$B57)&gt;0,COUNTA(BV$27:BV$35),0))</f>
        <v/>
      </c>
      <c r="BW57" s="55" t="str">
        <f>IF($B57="","",IF(COUNTIF(BW$16:BW$21,$B57)&gt;0,COUNTA(BW$7:BW$15),0)+IF(COUNTIF(BW$37:BW$42,$B57)&gt;0,COUNTA(BW$27:BW$35),0))</f>
        <v/>
      </c>
      <c r="BX57" s="55" t="str">
        <f>IF($B57="","",IF(COUNTIF(BX$16:BX$21,$B57)&gt;0,COUNTA(BX$7:BX$15),0)+IF(COUNTIF(BX$37:BX$42,$B57)&gt;0,COUNTA(BX$27:BX$35),0))</f>
        <v/>
      </c>
      <c r="BY57" s="55" t="str">
        <f>IF($B57="","",IF(COUNTIF(BY$16:BY$21,$B57)&gt;0,COUNTA(BY$7:BY$15),0)+IF(COUNTIF(BY$37:BY$42,$B57)&gt;0,COUNTA(BY$27:BY$35),0))</f>
        <v/>
      </c>
      <c r="BZ57" s="55" t="str">
        <f>IF($B57="","",IF(COUNTIF(BZ$16:BZ$21,$B57)&gt;0,COUNTA(BZ$7:BZ$15),0)+IF(COUNTIF(BZ$37:BZ$42,$B57)&gt;0,COUNTA(BZ$27:BZ$35),0))</f>
        <v/>
      </c>
      <c r="CA57" s="55" t="str">
        <f>IF($B57="","",IF(COUNTIF(CA$16:CA$21,$B57)&gt;0,COUNTA(CA$7:CA$15),0)+IF(COUNTIF(CA$37:CA$42,$B57)&gt;0,COUNTA(CA$27:CA$35),0))</f>
        <v/>
      </c>
      <c r="CB57" s="55" t="str">
        <f>IF($B57="","",IF(COUNTIF(CB$16:CB$21,$B57)&gt;0,COUNTA(CB$7:CB$15),0)+IF(COUNTIF(CB$37:CB$42,$B57)&gt;0,COUNTA(CB$27:CB$35),0))</f>
        <v/>
      </c>
      <c r="CC57" s="55" t="str">
        <f>IF($B57="","",IF(COUNTIF(CC$16:CC$21,$B57)&gt;0,COUNTA(CC$7:CC$15),0)+IF(COUNTIF(CC$37:CC$42,$B57)&gt;0,COUNTA(CC$27:CC$35),0))</f>
        <v/>
      </c>
      <c r="CD57" s="55" t="str">
        <f>IF($B57="","",IF(COUNTIF(CD$16:CD$21,$B57)&gt;0,COUNTA(CD$7:CD$15),0)+IF(COUNTIF(CD$37:CD$42,$B57)&gt;0,COUNTA(CD$27:CD$35),0))</f>
        <v/>
      </c>
      <c r="CE57" s="55" t="str">
        <f>IF($B57="","",IF(COUNTIF(CE$16:CE$21,$B57)&gt;0,COUNTA(CE$7:CE$15),0)+IF(COUNTIF(CE$37:CE$42,$B57)&gt;0,COUNTA(CE$27:CE$35),0))</f>
        <v/>
      </c>
      <c r="CF57" s="55" t="str">
        <f>IF($B57="","",IF(COUNTIF(CF$16:CF$21,$B57)&gt;0,COUNTA(CF$7:CF$15),0)+IF(COUNTIF(CF$37:CF$42,$B57)&gt;0,COUNTA(CF$27:CF$35),0))</f>
        <v/>
      </c>
      <c r="CG57" s="55" t="str">
        <f>IF($B57="","",IF(COUNTIF(CG$16:CG$21,$B57)&gt;0,COUNTA(CG$7:CG$15),0)+IF(COUNTIF(CG$37:CG$42,$B57)&gt;0,COUNTA(CG$27:CG$35),0))</f>
        <v/>
      </c>
      <c r="CH57" s="55" t="str">
        <f>IF($B57="","",IF(COUNTIF(CH$16:CH$21,$B57)&gt;0,COUNTA(CH$7:CH$15),0)+IF(COUNTIF(CH$37:CH$42,$B57)&gt;0,COUNTA(CH$27:CH$35),0))</f>
        <v/>
      </c>
      <c r="CI57" s="55" t="str">
        <f>IF($B57="","",IF(COUNTIF(CI$16:CI$21,$B57)&gt;0,COUNTA(CI$7:CI$15),0)+IF(COUNTIF(CI$37:CI$42,$B57)&gt;0,COUNTA(CI$27:CI$35),0))</f>
        <v/>
      </c>
      <c r="CJ57" s="55" t="str">
        <f>IF($B57="","",IF(COUNTIF(CJ$16:CJ$21,$B57)&gt;0,COUNTA(CJ$7:CJ$15),0)+IF(COUNTIF(CJ$37:CJ$42,$B57)&gt;0,COUNTA(CJ$27:CJ$35),0))</f>
        <v/>
      </c>
      <c r="CK57" s="55" t="str">
        <f>IF($B57="","",IF(COUNTIF(CK$16:CK$21,$B57)&gt;0,COUNTA(CK$7:CK$15),0)+IF(COUNTIF(CK$37:CK$42,$B57)&gt;0,COUNTA(CK$27:CK$35),0))</f>
        <v/>
      </c>
      <c r="CL57" s="55" t="str">
        <f>IF($B57="","",IF(COUNTIF(CL$16:CL$21,$B57)&gt;0,COUNTA(CL$7:CL$15),0)+IF(COUNTIF(CL$37:CL$42,$B57)&gt;0,COUNTA(CL$27:CL$35),0))</f>
        <v/>
      </c>
      <c r="CM57" s="55" t="str">
        <f>IF($B57="","",IF(COUNTIF(CM$16:CM$21,$B57)&gt;0,COUNTA(CM$7:CM$15),0)+IF(COUNTIF(CM$37:CM$42,$B57)&gt;0,COUNTA(CM$27:CM$35),0))</f>
        <v/>
      </c>
      <c r="CN57" s="55" t="str">
        <f>IF($B57="","",IF(COUNTIF(CN$16:CN$21,$B57)&gt;0,COUNTA(CN$7:CN$15),0)+IF(COUNTIF(CN$37:CN$42,$B57)&gt;0,COUNTA(CN$27:CN$35),0))</f>
        <v/>
      </c>
      <c r="CO57" s="55" t="str">
        <f>IF($B57="","",IF(COUNTIF(CO$16:CO$21,$B57)&gt;0,COUNTA(CO$7:CO$15),0)+IF(COUNTIF(CO$37:CO$42,$B57)&gt;0,COUNTA(CO$27:CO$35),0))</f>
        <v/>
      </c>
      <c r="CP57" s="55" t="str">
        <f>IF($B57="","",IF(COUNTIF(CP$16:CP$21,$B57)&gt;0,COUNTA(CP$7:CP$15),0)+IF(COUNTIF(CP$37:CP$42,$B57)&gt;0,COUNTA(CP$27:CP$35),0))</f>
        <v/>
      </c>
      <c r="CQ57" s="55" t="str">
        <f>IF($B57="","",IF(COUNTIF(CQ$16:CQ$21,$B57)&gt;0,COUNTA(CQ$7:CQ$15),0)+IF(COUNTIF(CQ$37:CQ$42,$B57)&gt;0,COUNTA(CQ$27:CQ$35),0))</f>
        <v/>
      </c>
      <c r="CR57" s="55" t="str">
        <f>IF($B57="","",IF(COUNTIF(CR$16:CR$21,$B57)&gt;0,COUNTA(CR$7:CR$15),0)+IF(COUNTIF(CR$37:CR$42,$B57)&gt;0,COUNTA(CR$27:CR$35),0))</f>
        <v/>
      </c>
      <c r="CS57" s="55" t="str">
        <f>IF($B57="","",IF(COUNTIF(CS$16:CS$21,$B57)&gt;0,COUNTA(CS$7:CS$15),0)+IF(COUNTIF(CS$37:CS$42,$B57)&gt;0,COUNTA(CS$27:CS$35),0))</f>
        <v/>
      </c>
      <c r="CT57" s="55" t="str">
        <f>IF($B57="","",IF(COUNTIF(CT$16:CT$21,$B57)&gt;0,COUNTA(CT$7:CT$15),0)+IF(COUNTIF(CT$37:CT$42,$B57)&gt;0,COUNTA(CT$27:CT$35),0))</f>
        <v/>
      </c>
      <c r="CU57" s="55" t="str">
        <f>IF($B57="","",IF(COUNTIF(CU$16:CU$21,$B57)&gt;0,COUNTA(CU$7:CU$15),0)+IF(COUNTIF(CU$37:CU$42,$B57)&gt;0,COUNTA(CU$27:CU$35),0))</f>
        <v/>
      </c>
      <c r="CV57" s="55" t="str">
        <f>IF($B57="","",IF(COUNTIF(CV$16:CV$21,$B57)&gt;0,COUNTA(CV$7:CV$15),0)+IF(COUNTIF(CV$37:CV$42,$B57)&gt;0,COUNTA(CV$27:CV$35),0))</f>
        <v/>
      </c>
      <c r="CW57" s="55" t="str">
        <f>IF($B57="","",IF(COUNTIF(CW$16:CW$21,$B57)&gt;0,COUNTA(CW$7:CW$15),0)+IF(COUNTIF(CW$37:CW$42,$B57)&gt;0,COUNTA(CW$27:CW$35),0))</f>
        <v/>
      </c>
      <c r="CX57" s="55" t="str">
        <f>IF($B57="","",IF(COUNTIF(CX$16:CX$21,$B57)&gt;0,COUNTA(CX$7:CX$15),0)+IF(COUNTIF(CX$37:CX$42,$B57)&gt;0,COUNTA(CX$27:CX$35),0))</f>
        <v/>
      </c>
      <c r="CY57" s="55" t="str">
        <f>IF($B57="","",IF(COUNTIF(CY$16:CY$21,$B57)&gt;0,COUNTA(CY$7:CY$15),0)+IF(COUNTIF(CY$37:CY$42,$B57)&gt;0,COUNTA(CY$27:CY$35),0))</f>
        <v/>
      </c>
      <c r="CZ57" s="55" t="str">
        <f>IF($B57="","",IF(COUNTIF(CZ$16:CZ$21,$B57)&gt;0,COUNTA(CZ$7:CZ$15),0)+IF(COUNTIF(CZ$37:CZ$42,$B57)&gt;0,COUNTA(CZ$27:CZ$35),0))</f>
        <v/>
      </c>
      <c r="DA57" s="55" t="str">
        <f>IF($B57="","",IF(COUNTIF(DA$16:DA$21,$B57)&gt;0,COUNTA(DA$7:DA$15),0)+IF(COUNTIF(DA$37:DA$42,$B57)&gt;0,COUNTA(DA$27:DA$35),0))</f>
        <v/>
      </c>
      <c r="DB57" s="55" t="str">
        <f>IF($B57="","",IF(COUNTIF(DB$16:DB$21,$B57)&gt;0,COUNTA(DB$7:DB$15),0)+IF(COUNTIF(DB$37:DB$42,$B57)&gt;0,COUNTA(DB$27:DB$35),0))</f>
        <v/>
      </c>
      <c r="DC57" s="55" t="str">
        <f>IF($B57="","",IF(COUNTIF(DC$16:DC$21,$B57)&gt;0,COUNTA(DC$7:DC$15),0)+IF(COUNTIF(DC$37:DC$42,$B57)&gt;0,COUNTA(DC$27:DC$35),0))</f>
        <v/>
      </c>
      <c r="DD57" s="55" t="str">
        <f>IF($B57="","",IF(COUNTIF(DD$16:DD$21,$B57)&gt;0,COUNTA(DD$7:DD$15),0)+IF(COUNTIF(DD$37:DD$42,$B57)&gt;0,COUNTA(DD$27:DD$35),0))</f>
        <v/>
      </c>
      <c r="DE57" s="58" t="str">
        <f>IF($B57="","",IF(COUNTIF(DE$16:DE$21,$B57)&gt;0,COUNTA(DE$7:DE$15),0)+IF(COUNTIF(DE$37:DE$42,$B57)&gt;0,COUNTA(DE$27:DE$35),0))</f>
        <v/>
      </c>
    </row>
    <row r="58" spans="2:109" x14ac:dyDescent="0.2">
      <c r="B58" s="84" t="str">
        <f>IFERROR(INDEX(_xlfn._xlws.FILTER(Ressourcer!$B$1:$X$1,_xlfn.BYCOL(Ressourcer!$B$23:$X$25,_xlfn.LAMBDA(_xlpm.c,COUNTIF(_xlpm.c,"&lt;&gt;" )&gt;0))),ROWS($B$2:B15)),"")</f>
        <v/>
      </c>
      <c r="C58" s="79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)&gt;0))),_xlfn.LAMBDA(_xlpm.col,SUM(INDEX(Ressourcer!$B$23:$X$25,,_xlpm.col-COLUMN(Ressourcer!$B$23:$X$25)+1)))),ROWS($B$2:B15))/2,"")</f>
        <v/>
      </c>
      <c r="D58" s="106" t="str">
        <f>IF(SUM(E58:DE58)=0,"",SUM(E58:DE58))</f>
        <v/>
      </c>
      <c r="E58" s="57" t="str">
        <f>IF($B58="","",IF(COUNTIF(E$16:E$21,$B58)&gt;0,COUNTA(E$7:E$15),0)+IF(COUNTIF(E$37:E$42,$B58)&gt;0,COUNTA(E$27:E$35),0))</f>
        <v/>
      </c>
      <c r="F58" s="55" t="str">
        <f>IF($B58="","",IF(COUNTIF(F$16:F$21,$B58)&gt;0,COUNTA(F$7:F$15),0)+IF(COUNTIF(F$37:F$42,$B58)&gt;0,COUNTA(F$27:F$35),0))</f>
        <v/>
      </c>
      <c r="G58" s="55" t="str">
        <f>IF($B58="","",IF(COUNTIF(G$16:G$21,$B58)&gt;0,COUNTA(G$7:G$15),0)+IF(COUNTIF(G$37:G$42,$B58)&gt;0,COUNTA(G$27:G$35),0))</f>
        <v/>
      </c>
      <c r="H58" s="55" t="str">
        <f>IF($B58="","",IF(COUNTIF(H$16:H$21,$B58)&gt;0,COUNTA(H$7:H$15),0)+IF(COUNTIF(H$37:H$42,$B58)&gt;0,COUNTA(H$27:H$35),0))</f>
        <v/>
      </c>
      <c r="I58" s="55" t="str">
        <f>IF($B58="","",IF(COUNTIF(I$16:I$21,$B58)&gt;0,COUNTA(I$7:I$15),0)+IF(COUNTIF(I$37:I$42,$B58)&gt;0,COUNTA(I$27:I$35),0))</f>
        <v/>
      </c>
      <c r="J58" s="55" t="str">
        <f>IF($B58="","",IF(COUNTIF(J$16:J$21,$B58)&gt;0,COUNTA(J$7:J$15),0)+IF(COUNTIF(J$37:J$42,$B58)&gt;0,COUNTA(J$27:J$35),0))</f>
        <v/>
      </c>
      <c r="K58" s="55" t="str">
        <f>IF($B58="","",IF(COUNTIF(K$16:K$21,$B58)&gt;0,COUNTA(K$7:K$15),0)+IF(COUNTIF(K$37:K$42,$B58)&gt;0,COUNTA(K$27:K$35),0))</f>
        <v/>
      </c>
      <c r="L58" s="55" t="str">
        <f>IF($B58="","",IF(COUNTIF(L$16:L$21,$B58)&gt;0,COUNTA(L$7:L$15),0)+IF(COUNTIF(L$37:L$42,$B58)&gt;0,COUNTA(L$27:L$35),0))</f>
        <v/>
      </c>
      <c r="M58" s="55" t="str">
        <f>IF($B58="","",IF(COUNTIF(M$16:M$21,$B58)&gt;0,COUNTA(M$7:M$15),0)+IF(COUNTIF(M$37:M$42,$B58)&gt;0,COUNTA(M$27:M$35),0))</f>
        <v/>
      </c>
      <c r="N58" s="55" t="str">
        <f>IF($B58="","",IF(COUNTIF(N$16:N$21,$B58)&gt;0,COUNTA(N$7:N$15),0)+IF(COUNTIF(N$37:N$42,$B58)&gt;0,COUNTA(N$27:N$35),0))</f>
        <v/>
      </c>
      <c r="O58" s="55" t="str">
        <f>IF($B58="","",IF(COUNTIF(O$16:O$21,$B58)&gt;0,COUNTA(O$7:O$15),0)+IF(COUNTIF(O$37:O$42,$B58)&gt;0,COUNTA(O$27:O$35),0))</f>
        <v/>
      </c>
      <c r="P58" s="55" t="str">
        <f>IF($B58="","",IF(COUNTIF(P$16:P$21,$B58)&gt;0,COUNTA(P$7:P$15),0)+IF(COUNTIF(P$37:P$42,$B58)&gt;0,COUNTA(P$27:P$35),0))</f>
        <v/>
      </c>
      <c r="Q58" s="55" t="str">
        <f>IF($B58="","",IF(COUNTIF(Q$16:Q$21,$B58)&gt;0,COUNTA(Q$7:Q$15),0)+IF(COUNTIF(Q$37:Q$42,$B58)&gt;0,COUNTA(Q$27:Q$35),0))</f>
        <v/>
      </c>
      <c r="R58" s="55" t="str">
        <f>IF($B58="","",IF(COUNTIF(R$16:R$21,$B58)&gt;0,COUNTA(R$7:R$15),0)+IF(COUNTIF(R$37:R$42,$B58)&gt;0,COUNTA(R$27:R$35),0))</f>
        <v/>
      </c>
      <c r="S58" s="55" t="str">
        <f>IF($B58="","",IF(COUNTIF(S$16:S$21,$B58)&gt;0,COUNTA(S$7:S$15),0)+IF(COUNTIF(S$37:S$42,$B58)&gt;0,COUNTA(S$27:S$35),0))</f>
        <v/>
      </c>
      <c r="T58" s="55" t="str">
        <f>IF($B58="","",IF(COUNTIF(T$16:T$21,$B58)&gt;0,COUNTA(T$7:T$15),0)+IF(COUNTIF(T$37:T$42,$B58)&gt;0,COUNTA(T$27:T$35),0))</f>
        <v/>
      </c>
      <c r="U58" s="55" t="str">
        <f>IF($B58="","",IF(COUNTIF(U$16:U$21,$B58)&gt;0,COUNTA(U$7:U$15),0)+IF(COUNTIF(U$37:U$42,$B58)&gt;0,COUNTA(U$27:U$35),0))</f>
        <v/>
      </c>
      <c r="V58" s="55" t="str">
        <f>IF($B58="","",IF(COUNTIF(V$16:V$21,$B58)&gt;0,COUNTA(V$7:V$15),0)+IF(COUNTIF(V$37:V$42,$B58)&gt;0,COUNTA(V$27:V$35),0))</f>
        <v/>
      </c>
      <c r="W58" s="55" t="str">
        <f>IF($B58="","",IF(COUNTIF(W$16:W$21,$B58)&gt;0,COUNTA(W$7:W$15),0)+IF(COUNTIF(W$37:W$42,$B58)&gt;0,COUNTA(W$27:W$35),0))</f>
        <v/>
      </c>
      <c r="X58" s="55" t="str">
        <f>IF($B58="","",IF(COUNTIF(X$16:X$21,$B58)&gt;0,COUNTA(X$7:X$15),0)+IF(COUNTIF(X$37:X$42,$B58)&gt;0,COUNTA(X$27:X$35),0))</f>
        <v/>
      </c>
      <c r="Y58" s="55" t="str">
        <f>IF($B58="","",IF(COUNTIF(Y$16:Y$21,$B58)&gt;0,COUNTA(Y$7:Y$15),0)+IF(COUNTIF(Y$37:Y$42,$B58)&gt;0,COUNTA(Y$27:Y$35),0))</f>
        <v/>
      </c>
      <c r="Z58" s="55" t="str">
        <f>IF($B58="","",IF(COUNTIF(Z$16:Z$21,$B58)&gt;0,COUNTA(Z$7:Z$15),0)+IF(COUNTIF(Z$37:Z$42,$B58)&gt;0,COUNTA(Z$27:Z$35),0))</f>
        <v/>
      </c>
      <c r="AA58" s="55" t="str">
        <f>IF($B58="","",IF(COUNTIF(AA$16:AA$21,$B58)&gt;0,COUNTA(AA$7:AA$15),0)+IF(COUNTIF(AA$37:AA$42,$B58)&gt;0,COUNTA(AA$27:AA$35),0))</f>
        <v/>
      </c>
      <c r="AB58" s="55" t="str">
        <f>IF($B58="","",IF(COUNTIF(AB$16:AB$21,$B58)&gt;0,COUNTA(AB$7:AB$15),0)+IF(COUNTIF(AB$37:AB$42,$B58)&gt;0,COUNTA(AB$27:AB$35),0))</f>
        <v/>
      </c>
      <c r="AC58" s="55" t="str">
        <f>IF($B58="","",IF(COUNTIF(AC$16:AC$21,$B58)&gt;0,COUNTA(AC$7:AC$15),0)+IF(COUNTIF(AC$37:AC$42,$B58)&gt;0,COUNTA(AC$27:AC$35),0))</f>
        <v/>
      </c>
      <c r="AD58" s="55" t="str">
        <f>IF($B58="","",IF(COUNTIF(AD$16:AD$21,$B58)&gt;0,COUNTA(AD$7:AD$15),0)+IF(COUNTIF(AD$37:AD$42,$B58)&gt;0,COUNTA(AD$27:AD$35),0))</f>
        <v/>
      </c>
      <c r="AE58" s="55" t="str">
        <f>IF($B58="","",IF(COUNTIF(AE$16:AE$21,$B58)&gt;0,COUNTA(AE$7:AE$15),0)+IF(COUNTIF(AE$37:AE$42,$B58)&gt;0,COUNTA(AE$27:AE$35),0))</f>
        <v/>
      </c>
      <c r="AF58" s="55" t="str">
        <f>IF($B58="","",IF(COUNTIF(AF$16:AF$21,$B58)&gt;0,COUNTA(AF$7:AF$15),0)+IF(COUNTIF(AF$37:AF$42,$B58)&gt;0,COUNTA(AF$27:AF$35),0))</f>
        <v/>
      </c>
      <c r="AG58" s="55" t="str">
        <f>IF($B58="","",IF(COUNTIF(AG$16:AG$21,$B58)&gt;0,COUNTA(AG$7:AG$15),0)+IF(COUNTIF(AG$37:AG$42,$B58)&gt;0,COUNTA(AG$27:AG$35),0))</f>
        <v/>
      </c>
      <c r="AH58" s="55" t="str">
        <f>IF($B58="","",IF(COUNTIF(AH$16:AH$21,$B58)&gt;0,COUNTA(AH$7:AH$15),0)+IF(COUNTIF(AH$37:AH$42,$B58)&gt;0,COUNTA(AH$27:AH$35),0))</f>
        <v/>
      </c>
      <c r="AI58" s="55" t="str">
        <f>IF($B58="","",IF(COUNTIF(AI$16:AI$21,$B58)&gt;0,COUNTA(AI$7:AI$15),0)+IF(COUNTIF(AI$37:AI$42,$B58)&gt;0,COUNTA(AI$27:AI$35),0))</f>
        <v/>
      </c>
      <c r="AJ58" s="55" t="str">
        <f>IF($B58="","",IF(COUNTIF(AJ$16:AJ$21,$B58)&gt;0,COUNTA(AJ$7:AJ$15),0)+IF(COUNTIF(AJ$37:AJ$42,$B58)&gt;0,COUNTA(AJ$27:AJ$35),0))</f>
        <v/>
      </c>
      <c r="AK58" s="55" t="str">
        <f>IF($B58="","",IF(COUNTIF(AK$16:AK$21,$B58)&gt;0,COUNTA(AK$7:AK$15),0)+IF(COUNTIF(AK$37:AK$42,$B58)&gt;0,COUNTA(AK$27:AK$35),0))</f>
        <v/>
      </c>
      <c r="AL58" s="55" t="str">
        <f>IF($B58="","",IF(COUNTIF(AL$16:AL$21,$B58)&gt;0,COUNTA(AL$7:AL$15),0)+IF(COUNTIF(AL$37:AL$42,$B58)&gt;0,COUNTA(AL$27:AL$35),0))</f>
        <v/>
      </c>
      <c r="AM58" s="55" t="str">
        <f>IF($B58="","",IF(COUNTIF(AM$16:AM$21,$B58)&gt;0,COUNTA(AM$7:AM$15),0)+IF(COUNTIF(AM$37:AM$42,$B58)&gt;0,COUNTA(AM$27:AM$35),0))</f>
        <v/>
      </c>
      <c r="AN58" s="55" t="str">
        <f>IF($B58="","",IF(COUNTIF(AN$16:AN$21,$B58)&gt;0,COUNTA(AN$7:AN$15),0)+IF(COUNTIF(AN$37:AN$42,$B58)&gt;0,COUNTA(AN$27:AN$35),0))</f>
        <v/>
      </c>
      <c r="AO58" s="55" t="str">
        <f>IF($B58="","",IF(COUNTIF(AO$16:AO$21,$B58)&gt;0,COUNTA(AO$7:AO$15),0)+IF(COUNTIF(AO$37:AO$42,$B58)&gt;0,COUNTA(AO$27:AO$35),0))</f>
        <v/>
      </c>
      <c r="AP58" s="55" t="str">
        <f>IF($B58="","",IF(COUNTIF(AP$16:AP$21,$B58)&gt;0,COUNTA(AP$7:AP$15),0)+IF(COUNTIF(AP$37:AP$42,$B58)&gt;0,COUNTA(AP$27:AP$35),0))</f>
        <v/>
      </c>
      <c r="AQ58" s="55" t="str">
        <f>IF($B58="","",IF(COUNTIF(AQ$16:AQ$21,$B58)&gt;0,COUNTA(AQ$7:AQ$15),0)+IF(COUNTIF(AQ$37:AQ$42,$B58)&gt;0,COUNTA(AQ$27:AQ$35),0))</f>
        <v/>
      </c>
      <c r="AR58" s="55" t="str">
        <f>IF($B58="","",IF(COUNTIF(AR$16:AR$21,$B58)&gt;0,COUNTA(AR$7:AR$15),0)+IF(COUNTIF(AR$37:AR$42,$B58)&gt;0,COUNTA(AR$27:AR$35),0))</f>
        <v/>
      </c>
      <c r="AS58" s="55" t="str">
        <f>IF($B58="","",IF(COUNTIF(AS$16:AS$21,$B58)&gt;0,COUNTA(AS$7:AS$15),0)+IF(COUNTIF(AS$37:AS$42,$B58)&gt;0,COUNTA(AS$27:AS$35),0))</f>
        <v/>
      </c>
      <c r="AT58" s="55" t="str">
        <f>IF($B58="","",IF(COUNTIF(AT$16:AT$21,$B58)&gt;0,COUNTA(AT$7:AT$15),0)+IF(COUNTIF(AT$37:AT$42,$B58)&gt;0,COUNTA(AT$27:AT$35),0))</f>
        <v/>
      </c>
      <c r="AU58" s="55" t="str">
        <f>IF($B58="","",IF(COUNTIF(AU$16:AU$21,$B58)&gt;0,COUNTA(AU$7:AU$15),0)+IF(COUNTIF(AU$37:AU$42,$B58)&gt;0,COUNTA(AU$27:AU$35),0))</f>
        <v/>
      </c>
      <c r="AV58" s="55" t="str">
        <f>IF($B58="","",IF(COUNTIF(AV$16:AV$21,$B58)&gt;0,COUNTA(AV$7:AV$15),0)+IF(COUNTIF(AV$37:AV$42,$B58)&gt;0,COUNTA(AV$27:AV$35),0))</f>
        <v/>
      </c>
      <c r="AW58" s="55" t="str">
        <f>IF($B58="","",IF(COUNTIF(AW$16:AW$21,$B58)&gt;0,COUNTA(AW$7:AW$15),0)+IF(COUNTIF(AW$37:AW$42,$B58)&gt;0,COUNTA(AW$27:AW$35),0))</f>
        <v/>
      </c>
      <c r="AX58" s="55" t="str">
        <f>IF($B58="","",IF(COUNTIF(AX$16:AX$21,$B58)&gt;0,COUNTA(AX$7:AX$15),0)+IF(COUNTIF(AX$37:AX$42,$B58)&gt;0,COUNTA(AX$27:AX$35),0))</f>
        <v/>
      </c>
      <c r="AY58" s="55" t="str">
        <f>IF($B58="","",IF(COUNTIF(AY$16:AY$21,$B58)&gt;0,COUNTA(AY$7:AY$15),0)+IF(COUNTIF(AY$37:AY$42,$B58)&gt;0,COUNTA(AY$27:AY$35),0))</f>
        <v/>
      </c>
      <c r="AZ58" s="55" t="str">
        <f>IF($B58="","",IF(COUNTIF(AZ$16:AZ$21,$B58)&gt;0,COUNTA(AZ$7:AZ$15),0)+IF(COUNTIF(AZ$37:AZ$42,$B58)&gt;0,COUNTA(AZ$27:AZ$35),0))</f>
        <v/>
      </c>
      <c r="BA58" s="55" t="str">
        <f>IF($B58="","",IF(COUNTIF(BA$16:BA$21,$B58)&gt;0,COUNTA(BA$7:BA$15),0)+IF(COUNTIF(BA$37:BA$42,$B58)&gt;0,COUNTA(BA$27:BA$35),0))</f>
        <v/>
      </c>
      <c r="BB58" s="55" t="str">
        <f>IF($B58="","",IF(COUNTIF(BB$16:BB$21,$B58)&gt;0,COUNTA(BB$7:BB$15),0)+IF(COUNTIF(BB$37:BB$42,$B58)&gt;0,COUNTA(BB$27:BB$35),0))</f>
        <v/>
      </c>
      <c r="BC58" s="55" t="str">
        <f>IF($B58="","",IF(COUNTIF(BC$16:BC$21,$B58)&gt;0,COUNTA(BC$7:BC$15),0)+IF(COUNTIF(BC$37:BC$42,$B58)&gt;0,COUNTA(BC$27:BC$35),0))</f>
        <v/>
      </c>
      <c r="BD58" s="55" t="str">
        <f>IF($B58="","",IF(COUNTIF(BD$16:BD$21,$B58)&gt;0,COUNTA(BD$7:BD$15),0)+IF(COUNTIF(BD$37:BD$42,$B58)&gt;0,COUNTA(BD$27:BD$35),0))</f>
        <v/>
      </c>
      <c r="BE58" s="55" t="str">
        <f>IF($B58="","",IF(COUNTIF(BE$16:BE$21,$B58)&gt;0,COUNTA(BE$7:BE$15),0)+IF(COUNTIF(BE$37:BE$42,$B58)&gt;0,COUNTA(BE$27:BE$35),0))</f>
        <v/>
      </c>
      <c r="BF58" s="55" t="str">
        <f>IF($B58="","",IF(COUNTIF(BF$16:BF$21,$B58)&gt;0,COUNTA(BF$7:BF$15),0)+IF(COUNTIF(BF$37:BF$42,$B58)&gt;0,COUNTA(BF$27:BF$35),0))</f>
        <v/>
      </c>
      <c r="BG58" s="55" t="str">
        <f>IF($B58="","",IF(COUNTIF(BG$16:BG$21,$B58)&gt;0,COUNTA(BG$7:BG$15),0)+IF(COUNTIF(BG$37:BG$42,$B58)&gt;0,COUNTA(BG$27:BG$35),0))</f>
        <v/>
      </c>
      <c r="BH58" s="55" t="str">
        <f>IF($B58="","",IF(COUNTIF(BH$16:BH$21,$B58)&gt;0,COUNTA(BH$7:BH$15),0)+IF(COUNTIF(BH$37:BH$42,$B58)&gt;0,COUNTA(BH$27:BH$35),0))</f>
        <v/>
      </c>
      <c r="BI58" s="55" t="str">
        <f>IF($B58="","",IF(COUNTIF(BI$16:BI$21,$B58)&gt;0,COUNTA(BI$7:BI$15),0)+IF(COUNTIF(BI$37:BI$42,$B58)&gt;0,COUNTA(BI$27:BI$35),0))</f>
        <v/>
      </c>
      <c r="BJ58" s="55" t="str">
        <f>IF($B58="","",IF(COUNTIF(BJ$16:BJ$21,$B58)&gt;0,COUNTA(BJ$7:BJ$15),0)+IF(COUNTIF(BJ$37:BJ$42,$B58)&gt;0,COUNTA(BJ$27:BJ$35),0))</f>
        <v/>
      </c>
      <c r="BK58" s="55" t="str">
        <f>IF($B58="","",IF(COUNTIF(BK$16:BK$21,$B58)&gt;0,COUNTA(BK$7:BK$15),0)+IF(COUNTIF(BK$37:BK$42,$B58)&gt;0,COUNTA(BK$27:BK$35),0))</f>
        <v/>
      </c>
      <c r="BL58" s="55" t="str">
        <f>IF($B58="","",IF(COUNTIF(BL$16:BL$21,$B58)&gt;0,COUNTA(BL$7:BL$15),0)+IF(COUNTIF(BL$37:BL$42,$B58)&gt;0,COUNTA(BL$27:BL$35),0))</f>
        <v/>
      </c>
      <c r="BM58" s="55" t="str">
        <f>IF($B58="","",IF(COUNTIF(BM$16:BM$21,$B58)&gt;0,COUNTA(BM$7:BM$15),0)+IF(COUNTIF(BM$37:BM$42,$B58)&gt;0,COUNTA(BM$27:BM$35),0))</f>
        <v/>
      </c>
      <c r="BN58" s="55" t="str">
        <f>IF($B58="","",IF(COUNTIF(BN$16:BN$21,$B58)&gt;0,COUNTA(BN$7:BN$15),0)+IF(COUNTIF(BN$37:BN$42,$B58)&gt;0,COUNTA(BN$27:BN$35),0))</f>
        <v/>
      </c>
      <c r="BO58" s="55" t="str">
        <f>IF($B58="","",IF(COUNTIF(BO$16:BO$21,$B58)&gt;0,COUNTA(BO$7:BO$15),0)+IF(COUNTIF(BO$37:BO$42,$B58)&gt;0,COUNTA(BO$27:BO$35),0))</f>
        <v/>
      </c>
      <c r="BP58" s="55" t="str">
        <f>IF($B58="","",IF(COUNTIF(BP$16:BP$21,$B58)&gt;0,COUNTA(BP$7:BP$15),0)+IF(COUNTIF(BP$37:BP$42,$B58)&gt;0,COUNTA(BP$27:BP$35),0))</f>
        <v/>
      </c>
      <c r="BQ58" s="55" t="str">
        <f>IF($B58="","",IF(COUNTIF(BQ$16:BQ$21,$B58)&gt;0,COUNTA(BQ$7:BQ$15),0)+IF(COUNTIF(BQ$37:BQ$42,$B58)&gt;0,COUNTA(BQ$27:BQ$35),0))</f>
        <v/>
      </c>
      <c r="BR58" s="55" t="str">
        <f>IF($B58="","",IF(COUNTIF(BR$16:BR$21,$B58)&gt;0,COUNTA(BR$7:BR$15),0)+IF(COUNTIF(BR$37:BR$42,$B58)&gt;0,COUNTA(BR$27:BR$35),0))</f>
        <v/>
      </c>
      <c r="BS58" s="55" t="str">
        <f>IF($B58="","",IF(COUNTIF(BS$16:BS$21,$B58)&gt;0,COUNTA(BS$7:BS$15),0)+IF(COUNTIF(BS$37:BS$42,$B58)&gt;0,COUNTA(BS$27:BS$35),0))</f>
        <v/>
      </c>
      <c r="BT58" s="55" t="str">
        <f>IF($B58="","",IF(COUNTIF(BT$16:BT$21,$B58)&gt;0,COUNTA(BT$7:BT$15),0)+IF(COUNTIF(BT$37:BT$42,$B58)&gt;0,COUNTA(BT$27:BT$35),0))</f>
        <v/>
      </c>
      <c r="BU58" s="55" t="str">
        <f>IF($B58="","",IF(COUNTIF(BU$16:BU$21,$B58)&gt;0,COUNTA(BU$7:BU$15),0)+IF(COUNTIF(BU$37:BU$42,$B58)&gt;0,COUNTA(BU$27:BU$35),0))</f>
        <v/>
      </c>
      <c r="BV58" s="55" t="str">
        <f>IF($B58="","",IF(COUNTIF(BV$16:BV$21,$B58)&gt;0,COUNTA(BV$7:BV$15),0)+IF(COUNTIF(BV$37:BV$42,$B58)&gt;0,COUNTA(BV$27:BV$35),0))</f>
        <v/>
      </c>
      <c r="BW58" s="55" t="str">
        <f>IF($B58="","",IF(COUNTIF(BW$16:BW$21,$B58)&gt;0,COUNTA(BW$7:BW$15),0)+IF(COUNTIF(BW$37:BW$42,$B58)&gt;0,COUNTA(BW$27:BW$35),0))</f>
        <v/>
      </c>
      <c r="BX58" s="55" t="str">
        <f>IF($B58="","",IF(COUNTIF(BX$16:BX$21,$B58)&gt;0,COUNTA(BX$7:BX$15),0)+IF(COUNTIF(BX$37:BX$42,$B58)&gt;0,COUNTA(BX$27:BX$35),0))</f>
        <v/>
      </c>
      <c r="BY58" s="55" t="str">
        <f>IF($B58="","",IF(COUNTIF(BY$16:BY$21,$B58)&gt;0,COUNTA(BY$7:BY$15),0)+IF(COUNTIF(BY$37:BY$42,$B58)&gt;0,COUNTA(BY$27:BY$35),0))</f>
        <v/>
      </c>
      <c r="BZ58" s="55" t="str">
        <f>IF($B58="","",IF(COUNTIF(BZ$16:BZ$21,$B58)&gt;0,COUNTA(BZ$7:BZ$15),0)+IF(COUNTIF(BZ$37:BZ$42,$B58)&gt;0,COUNTA(BZ$27:BZ$35),0))</f>
        <v/>
      </c>
      <c r="CA58" s="55" t="str">
        <f>IF($B58="","",IF(COUNTIF(CA$16:CA$21,$B58)&gt;0,COUNTA(CA$7:CA$15),0)+IF(COUNTIF(CA$37:CA$42,$B58)&gt;0,COUNTA(CA$27:CA$35),0))</f>
        <v/>
      </c>
      <c r="CB58" s="55" t="str">
        <f>IF($B58="","",IF(COUNTIF(CB$16:CB$21,$B58)&gt;0,COUNTA(CB$7:CB$15),0)+IF(COUNTIF(CB$37:CB$42,$B58)&gt;0,COUNTA(CB$27:CB$35),0))</f>
        <v/>
      </c>
      <c r="CC58" s="55" t="str">
        <f>IF($B58="","",IF(COUNTIF(CC$16:CC$21,$B58)&gt;0,COUNTA(CC$7:CC$15),0)+IF(COUNTIF(CC$37:CC$42,$B58)&gt;0,COUNTA(CC$27:CC$35),0))</f>
        <v/>
      </c>
      <c r="CD58" s="55" t="str">
        <f>IF($B58="","",IF(COUNTIF(CD$16:CD$21,$B58)&gt;0,COUNTA(CD$7:CD$15),0)+IF(COUNTIF(CD$37:CD$42,$B58)&gt;0,COUNTA(CD$27:CD$35),0))</f>
        <v/>
      </c>
      <c r="CE58" s="55" t="str">
        <f>IF($B58="","",IF(COUNTIF(CE$16:CE$21,$B58)&gt;0,COUNTA(CE$7:CE$15),0)+IF(COUNTIF(CE$37:CE$42,$B58)&gt;0,COUNTA(CE$27:CE$35),0))</f>
        <v/>
      </c>
      <c r="CF58" s="55" t="str">
        <f>IF($B58="","",IF(COUNTIF(CF$16:CF$21,$B58)&gt;0,COUNTA(CF$7:CF$15),0)+IF(COUNTIF(CF$37:CF$42,$B58)&gt;0,COUNTA(CF$27:CF$35),0))</f>
        <v/>
      </c>
      <c r="CG58" s="55" t="str">
        <f>IF($B58="","",IF(COUNTIF(CG$16:CG$21,$B58)&gt;0,COUNTA(CG$7:CG$15),0)+IF(COUNTIF(CG$37:CG$42,$B58)&gt;0,COUNTA(CG$27:CG$35),0))</f>
        <v/>
      </c>
      <c r="CH58" s="55" t="str">
        <f>IF($B58="","",IF(COUNTIF(CH$16:CH$21,$B58)&gt;0,COUNTA(CH$7:CH$15),0)+IF(COUNTIF(CH$37:CH$42,$B58)&gt;0,COUNTA(CH$27:CH$35),0))</f>
        <v/>
      </c>
      <c r="CI58" s="55" t="str">
        <f>IF($B58="","",IF(COUNTIF(CI$16:CI$21,$B58)&gt;0,COUNTA(CI$7:CI$15),0)+IF(COUNTIF(CI$37:CI$42,$B58)&gt;0,COUNTA(CI$27:CI$35),0))</f>
        <v/>
      </c>
      <c r="CJ58" s="55" t="str">
        <f>IF($B58="","",IF(COUNTIF(CJ$16:CJ$21,$B58)&gt;0,COUNTA(CJ$7:CJ$15),0)+IF(COUNTIF(CJ$37:CJ$42,$B58)&gt;0,COUNTA(CJ$27:CJ$35),0))</f>
        <v/>
      </c>
      <c r="CK58" s="55" t="str">
        <f>IF($B58="","",IF(COUNTIF(CK$16:CK$21,$B58)&gt;0,COUNTA(CK$7:CK$15),0)+IF(COUNTIF(CK$37:CK$42,$B58)&gt;0,COUNTA(CK$27:CK$35),0))</f>
        <v/>
      </c>
      <c r="CL58" s="55" t="str">
        <f>IF($B58="","",IF(COUNTIF(CL$16:CL$21,$B58)&gt;0,COUNTA(CL$7:CL$15),0)+IF(COUNTIF(CL$37:CL$42,$B58)&gt;0,COUNTA(CL$27:CL$35),0))</f>
        <v/>
      </c>
      <c r="CM58" s="55" t="str">
        <f>IF($B58="","",IF(COUNTIF(CM$16:CM$21,$B58)&gt;0,COUNTA(CM$7:CM$15),0)+IF(COUNTIF(CM$37:CM$42,$B58)&gt;0,COUNTA(CM$27:CM$35),0))</f>
        <v/>
      </c>
      <c r="CN58" s="55" t="str">
        <f>IF($B58="","",IF(COUNTIF(CN$16:CN$21,$B58)&gt;0,COUNTA(CN$7:CN$15),0)+IF(COUNTIF(CN$37:CN$42,$B58)&gt;0,COUNTA(CN$27:CN$35),0))</f>
        <v/>
      </c>
      <c r="CO58" s="55" t="str">
        <f>IF($B58="","",IF(COUNTIF(CO$16:CO$21,$B58)&gt;0,COUNTA(CO$7:CO$15),0)+IF(COUNTIF(CO$37:CO$42,$B58)&gt;0,COUNTA(CO$27:CO$35),0))</f>
        <v/>
      </c>
      <c r="CP58" s="55" t="str">
        <f>IF($B58="","",IF(COUNTIF(CP$16:CP$21,$B58)&gt;0,COUNTA(CP$7:CP$15),0)+IF(COUNTIF(CP$37:CP$42,$B58)&gt;0,COUNTA(CP$27:CP$35),0))</f>
        <v/>
      </c>
      <c r="CQ58" s="55" t="str">
        <f>IF($B58="","",IF(COUNTIF(CQ$16:CQ$21,$B58)&gt;0,COUNTA(CQ$7:CQ$15),0)+IF(COUNTIF(CQ$37:CQ$42,$B58)&gt;0,COUNTA(CQ$27:CQ$35),0))</f>
        <v/>
      </c>
      <c r="CR58" s="55" t="str">
        <f>IF($B58="","",IF(COUNTIF(CR$16:CR$21,$B58)&gt;0,COUNTA(CR$7:CR$15),0)+IF(COUNTIF(CR$37:CR$42,$B58)&gt;0,COUNTA(CR$27:CR$35),0))</f>
        <v/>
      </c>
      <c r="CS58" s="55" t="str">
        <f>IF($B58="","",IF(COUNTIF(CS$16:CS$21,$B58)&gt;0,COUNTA(CS$7:CS$15),0)+IF(COUNTIF(CS$37:CS$42,$B58)&gt;0,COUNTA(CS$27:CS$35),0))</f>
        <v/>
      </c>
      <c r="CT58" s="55" t="str">
        <f>IF($B58="","",IF(COUNTIF(CT$16:CT$21,$B58)&gt;0,COUNTA(CT$7:CT$15),0)+IF(COUNTIF(CT$37:CT$42,$B58)&gt;0,COUNTA(CT$27:CT$35),0))</f>
        <v/>
      </c>
      <c r="CU58" s="55" t="str">
        <f>IF($B58="","",IF(COUNTIF(CU$16:CU$21,$B58)&gt;0,COUNTA(CU$7:CU$15),0)+IF(COUNTIF(CU$37:CU$42,$B58)&gt;0,COUNTA(CU$27:CU$35),0))</f>
        <v/>
      </c>
      <c r="CV58" s="55" t="str">
        <f>IF($B58="","",IF(COUNTIF(CV$16:CV$21,$B58)&gt;0,COUNTA(CV$7:CV$15),0)+IF(COUNTIF(CV$37:CV$42,$B58)&gt;0,COUNTA(CV$27:CV$35),0))</f>
        <v/>
      </c>
      <c r="CW58" s="55" t="str">
        <f>IF($B58="","",IF(COUNTIF(CW$16:CW$21,$B58)&gt;0,COUNTA(CW$7:CW$15),0)+IF(COUNTIF(CW$37:CW$42,$B58)&gt;0,COUNTA(CW$27:CW$35),0))</f>
        <v/>
      </c>
      <c r="CX58" s="55" t="str">
        <f>IF($B58="","",IF(COUNTIF(CX$16:CX$21,$B58)&gt;0,COUNTA(CX$7:CX$15),0)+IF(COUNTIF(CX$37:CX$42,$B58)&gt;0,COUNTA(CX$27:CX$35),0))</f>
        <v/>
      </c>
      <c r="CY58" s="55" t="str">
        <f>IF($B58="","",IF(COUNTIF(CY$16:CY$21,$B58)&gt;0,COUNTA(CY$7:CY$15),0)+IF(COUNTIF(CY$37:CY$42,$B58)&gt;0,COUNTA(CY$27:CY$35),0))</f>
        <v/>
      </c>
      <c r="CZ58" s="55" t="str">
        <f>IF($B58="","",IF(COUNTIF(CZ$16:CZ$21,$B58)&gt;0,COUNTA(CZ$7:CZ$15),0)+IF(COUNTIF(CZ$37:CZ$42,$B58)&gt;0,COUNTA(CZ$27:CZ$35),0))</f>
        <v/>
      </c>
      <c r="DA58" s="55" t="str">
        <f>IF($B58="","",IF(COUNTIF(DA$16:DA$21,$B58)&gt;0,COUNTA(DA$7:DA$15),0)+IF(COUNTIF(DA$37:DA$42,$B58)&gt;0,COUNTA(DA$27:DA$35),0))</f>
        <v/>
      </c>
      <c r="DB58" s="55" t="str">
        <f>IF($B58="","",IF(COUNTIF(DB$16:DB$21,$B58)&gt;0,COUNTA(DB$7:DB$15),0)+IF(COUNTIF(DB$37:DB$42,$B58)&gt;0,COUNTA(DB$27:DB$35),0))</f>
        <v/>
      </c>
      <c r="DC58" s="55" t="str">
        <f>IF($B58="","",IF(COUNTIF(DC$16:DC$21,$B58)&gt;0,COUNTA(DC$7:DC$15),0)+IF(COUNTIF(DC$37:DC$42,$B58)&gt;0,COUNTA(DC$27:DC$35),0))</f>
        <v/>
      </c>
      <c r="DD58" s="55" t="str">
        <f>IF($B58="","",IF(COUNTIF(DD$16:DD$21,$B58)&gt;0,COUNTA(DD$7:DD$15),0)+IF(COUNTIF(DD$37:DD$42,$B58)&gt;0,COUNTA(DD$27:DD$35),0))</f>
        <v/>
      </c>
      <c r="DE58" s="58" t="str">
        <f>IF($B58="","",IF(COUNTIF(DE$16:DE$21,$B58)&gt;0,COUNTA(DE$7:DE$15),0)+IF(COUNTIF(DE$37:DE$42,$B58)&gt;0,COUNTA(DE$27:DE$35),0))</f>
        <v/>
      </c>
    </row>
    <row r="59" spans="2:109" ht="17" thickBot="1" x14ac:dyDescent="0.25">
      <c r="B59" s="85" t="str">
        <f>IFERROR(INDEX(_xlfn._xlws.FILTER(Ressourcer!$B$1:$X$1,_xlfn.BYCOL(Ressourcer!$B$23:$X$25,_xlfn.LAMBDA(_xlpm.c,COUNTIF(_xlpm.c,"&lt;&gt;" )&gt;0))),ROWS($B$2:B16)),"")</f>
        <v/>
      </c>
      <c r="C59" s="86" t="str">
        <f>IFERROR(INDEX(_xlfn.MAP(_xlfn._xlws.FILTER(COLUMN(Ressourcer!$B$1:$X$1),_xlfn.BYCOL(Ressourcer!$B$23:$X$25,_xlfn.LAMBDA(_xlpm.c,COUNTIF(_xlpm.c,"&lt;&gt;" )&gt;0))),_xlfn.LAMBDA(_xlpm.col,SUM(INDEX(Ressourcer!$B$23:$X$25,,_xlpm.col-COLUMN(Ressourcer!$B$23:$X$25)+1)))),ROWS($B$2:B16))/2,"")</f>
        <v/>
      </c>
      <c r="D59" s="106" t="str">
        <f>IF(SUM(E59:DE59)=0,"",SUM(E59:DE59))</f>
        <v/>
      </c>
      <c r="E59" s="59" t="str">
        <f>IF($B59="","",IF(COUNTIF(E$16:E$21,$B59)&gt;0,COUNTA(E$7:E$15),0)+IF(COUNTIF(E$37:E$42,$B59)&gt;0,COUNTA(E$27:E$35),0))</f>
        <v/>
      </c>
      <c r="F59" s="60" t="str">
        <f>IF($B59="","",IF(COUNTIF(F$16:F$21,$B59)&gt;0,COUNTA(F$7:F$15),0)+IF(COUNTIF(F$37:F$42,$B59)&gt;0,COUNTA(F$27:F$35),0))</f>
        <v/>
      </c>
      <c r="G59" s="60" t="str">
        <f>IF($B59="","",IF(COUNTIF(G$16:G$21,$B59)&gt;0,COUNTA(G$7:G$15),0)+IF(COUNTIF(G$37:G$42,$B59)&gt;0,COUNTA(G$27:G$35),0))</f>
        <v/>
      </c>
      <c r="H59" s="60" t="str">
        <f>IF($B59="","",IF(COUNTIF(H$16:H$21,$B59)&gt;0,COUNTA(H$7:H$15),0)+IF(COUNTIF(H$37:H$42,$B59)&gt;0,COUNTA(H$27:H$35),0))</f>
        <v/>
      </c>
      <c r="I59" s="60" t="str">
        <f>IF($B59="","",IF(COUNTIF(I$16:I$21,$B59)&gt;0,COUNTA(I$7:I$15),0)+IF(COUNTIF(I$37:I$42,$B59)&gt;0,COUNTA(I$27:I$35),0))</f>
        <v/>
      </c>
      <c r="J59" s="60" t="str">
        <f>IF($B59="","",IF(COUNTIF(J$16:J$21,$B59)&gt;0,COUNTA(J$7:J$15),0)+IF(COUNTIF(J$37:J$42,$B59)&gt;0,COUNTA(J$27:J$35),0))</f>
        <v/>
      </c>
      <c r="K59" s="60" t="str">
        <f>IF($B59="","",IF(COUNTIF(K$16:K$21,$B59)&gt;0,COUNTA(K$7:K$15),0)+IF(COUNTIF(K$37:K$42,$B59)&gt;0,COUNTA(K$27:K$35),0))</f>
        <v/>
      </c>
      <c r="L59" s="60" t="str">
        <f>IF($B59="","",IF(COUNTIF(L$16:L$21,$B59)&gt;0,COUNTA(L$7:L$15),0)+IF(COUNTIF(L$37:L$42,$B59)&gt;0,COUNTA(L$27:L$35),0))</f>
        <v/>
      </c>
      <c r="M59" s="60" t="str">
        <f>IF($B59="","",IF(COUNTIF(M$16:M$21,$B59)&gt;0,COUNTA(M$7:M$15),0)+IF(COUNTIF(M$37:M$42,$B59)&gt;0,COUNTA(M$27:M$35),0))</f>
        <v/>
      </c>
      <c r="N59" s="60" t="str">
        <f>IF($B59="","",IF(COUNTIF(N$16:N$21,$B59)&gt;0,COUNTA(N$7:N$15),0)+IF(COUNTIF(N$37:N$42,$B59)&gt;0,COUNTA(N$27:N$35),0))</f>
        <v/>
      </c>
      <c r="O59" s="60" t="str">
        <f>IF($B59="","",IF(COUNTIF(O$16:O$21,$B59)&gt;0,COUNTA(O$7:O$15),0)+IF(COUNTIF(O$37:O$42,$B59)&gt;0,COUNTA(O$27:O$35),0))</f>
        <v/>
      </c>
      <c r="P59" s="60" t="str">
        <f>IF($B59="","",IF(COUNTIF(P$16:P$21,$B59)&gt;0,COUNTA(P$7:P$15),0)+IF(COUNTIF(P$37:P$42,$B59)&gt;0,COUNTA(P$27:P$35),0))</f>
        <v/>
      </c>
      <c r="Q59" s="60" t="str">
        <f>IF($B59="","",IF(COUNTIF(Q$16:Q$21,$B59)&gt;0,COUNTA(Q$7:Q$15),0)+IF(COUNTIF(Q$37:Q$42,$B59)&gt;0,COUNTA(Q$27:Q$35),0))</f>
        <v/>
      </c>
      <c r="R59" s="60" t="str">
        <f>IF($B59="","",IF(COUNTIF(R$16:R$21,$B59)&gt;0,COUNTA(R$7:R$15),0)+IF(COUNTIF(R$37:R$42,$B59)&gt;0,COUNTA(R$27:R$35),0))</f>
        <v/>
      </c>
      <c r="S59" s="60" t="str">
        <f>IF($B59="","",IF(COUNTIF(S$16:S$21,$B59)&gt;0,COUNTA(S$7:S$15),0)+IF(COUNTIF(S$37:S$42,$B59)&gt;0,COUNTA(S$27:S$35),0))</f>
        <v/>
      </c>
      <c r="T59" s="60" t="str">
        <f>IF($B59="","",IF(COUNTIF(T$16:T$21,$B59)&gt;0,COUNTA(T$7:T$15),0)+IF(COUNTIF(T$37:T$42,$B59)&gt;0,COUNTA(T$27:T$35),0))</f>
        <v/>
      </c>
      <c r="U59" s="60" t="str">
        <f>IF($B59="","",IF(COUNTIF(U$16:U$21,$B59)&gt;0,COUNTA(U$7:U$15),0)+IF(COUNTIF(U$37:U$42,$B59)&gt;0,COUNTA(U$27:U$35),0))</f>
        <v/>
      </c>
      <c r="V59" s="60" t="str">
        <f>IF($B59="","",IF(COUNTIF(V$16:V$21,$B59)&gt;0,COUNTA(V$7:V$15),0)+IF(COUNTIF(V$37:V$42,$B59)&gt;0,COUNTA(V$27:V$35),0))</f>
        <v/>
      </c>
      <c r="W59" s="60" t="str">
        <f>IF($B59="","",IF(COUNTIF(W$16:W$21,$B59)&gt;0,COUNTA(W$7:W$15),0)+IF(COUNTIF(W$37:W$42,$B59)&gt;0,COUNTA(W$27:W$35),0))</f>
        <v/>
      </c>
      <c r="X59" s="60" t="str">
        <f>IF($B59="","",IF(COUNTIF(X$16:X$21,$B59)&gt;0,COUNTA(X$7:X$15),0)+IF(COUNTIF(X$37:X$42,$B59)&gt;0,COUNTA(X$27:X$35),0))</f>
        <v/>
      </c>
      <c r="Y59" s="60" t="str">
        <f>IF($B59="","",IF(COUNTIF(Y$16:Y$21,$B59)&gt;0,COUNTA(Y$7:Y$15),0)+IF(COUNTIF(Y$37:Y$42,$B59)&gt;0,COUNTA(Y$27:Y$35),0))</f>
        <v/>
      </c>
      <c r="Z59" s="60" t="str">
        <f>IF($B59="","",IF(COUNTIF(Z$16:Z$21,$B59)&gt;0,COUNTA(Z$7:Z$15),0)+IF(COUNTIF(Z$37:Z$42,$B59)&gt;0,COUNTA(Z$27:Z$35),0))</f>
        <v/>
      </c>
      <c r="AA59" s="60" t="str">
        <f>IF($B59="","",IF(COUNTIF(AA$16:AA$21,$B59)&gt;0,COUNTA(AA$7:AA$15),0)+IF(COUNTIF(AA$37:AA$42,$B59)&gt;0,COUNTA(AA$27:AA$35),0))</f>
        <v/>
      </c>
      <c r="AB59" s="60" t="str">
        <f>IF($B59="","",IF(COUNTIF(AB$16:AB$21,$B59)&gt;0,COUNTA(AB$7:AB$15),0)+IF(COUNTIF(AB$37:AB$42,$B59)&gt;0,COUNTA(AB$27:AB$35),0))</f>
        <v/>
      </c>
      <c r="AC59" s="60" t="str">
        <f>IF($B59="","",IF(COUNTIF(AC$16:AC$21,$B59)&gt;0,COUNTA(AC$7:AC$15),0)+IF(COUNTIF(AC$37:AC$42,$B59)&gt;0,COUNTA(AC$27:AC$35),0))</f>
        <v/>
      </c>
      <c r="AD59" s="60" t="str">
        <f>IF($B59="","",IF(COUNTIF(AD$16:AD$21,$B59)&gt;0,COUNTA(AD$7:AD$15),0)+IF(COUNTIF(AD$37:AD$42,$B59)&gt;0,COUNTA(AD$27:AD$35),0))</f>
        <v/>
      </c>
      <c r="AE59" s="60" t="str">
        <f>IF($B59="","",IF(COUNTIF(AE$16:AE$21,$B59)&gt;0,COUNTA(AE$7:AE$15),0)+IF(COUNTIF(AE$37:AE$42,$B59)&gt;0,COUNTA(AE$27:AE$35),0))</f>
        <v/>
      </c>
      <c r="AF59" s="60" t="str">
        <f>IF($B59="","",IF(COUNTIF(AF$16:AF$21,$B59)&gt;0,COUNTA(AF$7:AF$15),0)+IF(COUNTIF(AF$37:AF$42,$B59)&gt;0,COUNTA(AF$27:AF$35),0))</f>
        <v/>
      </c>
      <c r="AG59" s="60" t="str">
        <f>IF($B59="","",IF(COUNTIF(AG$16:AG$21,$B59)&gt;0,COUNTA(AG$7:AG$15),0)+IF(COUNTIF(AG$37:AG$42,$B59)&gt;0,COUNTA(AG$27:AG$35),0))</f>
        <v/>
      </c>
      <c r="AH59" s="60" t="str">
        <f>IF($B59="","",IF(COUNTIF(AH$16:AH$21,$B59)&gt;0,COUNTA(AH$7:AH$15),0)+IF(COUNTIF(AH$37:AH$42,$B59)&gt;0,COUNTA(AH$27:AH$35),0))</f>
        <v/>
      </c>
      <c r="AI59" s="60" t="str">
        <f>IF($B59="","",IF(COUNTIF(AI$16:AI$21,$B59)&gt;0,COUNTA(AI$7:AI$15),0)+IF(COUNTIF(AI$37:AI$42,$B59)&gt;0,COUNTA(AI$27:AI$35),0))</f>
        <v/>
      </c>
      <c r="AJ59" s="60" t="str">
        <f>IF($B59="","",IF(COUNTIF(AJ$16:AJ$21,$B59)&gt;0,COUNTA(AJ$7:AJ$15),0)+IF(COUNTIF(AJ$37:AJ$42,$B59)&gt;0,COUNTA(AJ$27:AJ$35),0))</f>
        <v/>
      </c>
      <c r="AK59" s="60" t="str">
        <f>IF($B59="","",IF(COUNTIF(AK$16:AK$21,$B59)&gt;0,COUNTA(AK$7:AK$15),0)+IF(COUNTIF(AK$37:AK$42,$B59)&gt;0,COUNTA(AK$27:AK$35),0))</f>
        <v/>
      </c>
      <c r="AL59" s="60" t="str">
        <f>IF($B59="","",IF(COUNTIF(AL$16:AL$21,$B59)&gt;0,COUNTA(AL$7:AL$15),0)+IF(COUNTIF(AL$37:AL$42,$B59)&gt;0,COUNTA(AL$27:AL$35),0))</f>
        <v/>
      </c>
      <c r="AM59" s="60" t="str">
        <f>IF($B59="","",IF(COUNTIF(AM$16:AM$21,$B59)&gt;0,COUNTA(AM$7:AM$15),0)+IF(COUNTIF(AM$37:AM$42,$B59)&gt;0,COUNTA(AM$27:AM$35),0))</f>
        <v/>
      </c>
      <c r="AN59" s="60" t="str">
        <f>IF($B59="","",IF(COUNTIF(AN$16:AN$21,$B59)&gt;0,COUNTA(AN$7:AN$15),0)+IF(COUNTIF(AN$37:AN$42,$B59)&gt;0,COUNTA(AN$27:AN$35),0))</f>
        <v/>
      </c>
      <c r="AO59" s="60" t="str">
        <f>IF($B59="","",IF(COUNTIF(AO$16:AO$21,$B59)&gt;0,COUNTA(AO$7:AO$15),0)+IF(COUNTIF(AO$37:AO$42,$B59)&gt;0,COUNTA(AO$27:AO$35),0))</f>
        <v/>
      </c>
      <c r="AP59" s="60" t="str">
        <f>IF($B59="","",IF(COUNTIF(AP$16:AP$21,$B59)&gt;0,COUNTA(AP$7:AP$15),0)+IF(COUNTIF(AP$37:AP$42,$B59)&gt;0,COUNTA(AP$27:AP$35),0))</f>
        <v/>
      </c>
      <c r="AQ59" s="60" t="str">
        <f>IF($B59="","",IF(COUNTIF(AQ$16:AQ$21,$B59)&gt;0,COUNTA(AQ$7:AQ$15),0)+IF(COUNTIF(AQ$37:AQ$42,$B59)&gt;0,COUNTA(AQ$27:AQ$35),0))</f>
        <v/>
      </c>
      <c r="AR59" s="60" t="str">
        <f>IF($B59="","",IF(COUNTIF(AR$16:AR$21,$B59)&gt;0,COUNTA(AR$7:AR$15),0)+IF(COUNTIF(AR$37:AR$42,$B59)&gt;0,COUNTA(AR$27:AR$35),0))</f>
        <v/>
      </c>
      <c r="AS59" s="60" t="str">
        <f>IF($B59="","",IF(COUNTIF(AS$16:AS$21,$B59)&gt;0,COUNTA(AS$7:AS$15),0)+IF(COUNTIF(AS$37:AS$42,$B59)&gt;0,COUNTA(AS$27:AS$35),0))</f>
        <v/>
      </c>
      <c r="AT59" s="60" t="str">
        <f>IF($B59="","",IF(COUNTIF(AT$16:AT$21,$B59)&gt;0,COUNTA(AT$7:AT$15),0)+IF(COUNTIF(AT$37:AT$42,$B59)&gt;0,COUNTA(AT$27:AT$35),0))</f>
        <v/>
      </c>
      <c r="AU59" s="60" t="str">
        <f>IF($B59="","",IF(COUNTIF(AU$16:AU$21,$B59)&gt;0,COUNTA(AU$7:AU$15),0)+IF(COUNTIF(AU$37:AU$42,$B59)&gt;0,COUNTA(AU$27:AU$35),0))</f>
        <v/>
      </c>
      <c r="AV59" s="60" t="str">
        <f>IF($B59="","",IF(COUNTIF(AV$16:AV$21,$B59)&gt;0,COUNTA(AV$7:AV$15),0)+IF(COUNTIF(AV$37:AV$42,$B59)&gt;0,COUNTA(AV$27:AV$35),0))</f>
        <v/>
      </c>
      <c r="AW59" s="60" t="str">
        <f>IF($B59="","",IF(COUNTIF(AW$16:AW$21,$B59)&gt;0,COUNTA(AW$7:AW$15),0)+IF(COUNTIF(AW$37:AW$42,$B59)&gt;0,COUNTA(AW$27:AW$35),0))</f>
        <v/>
      </c>
      <c r="AX59" s="60" t="str">
        <f>IF($B59="","",IF(COUNTIF(AX$16:AX$21,$B59)&gt;0,COUNTA(AX$7:AX$15),0)+IF(COUNTIF(AX$37:AX$42,$B59)&gt;0,COUNTA(AX$27:AX$35),0))</f>
        <v/>
      </c>
      <c r="AY59" s="60" t="str">
        <f>IF($B59="","",IF(COUNTIF(AY$16:AY$21,$B59)&gt;0,COUNTA(AY$7:AY$15),0)+IF(COUNTIF(AY$37:AY$42,$B59)&gt;0,COUNTA(AY$27:AY$35),0))</f>
        <v/>
      </c>
      <c r="AZ59" s="60" t="str">
        <f>IF($B59="","",IF(COUNTIF(AZ$16:AZ$21,$B59)&gt;0,COUNTA(AZ$7:AZ$15),0)+IF(COUNTIF(AZ$37:AZ$42,$B59)&gt;0,COUNTA(AZ$27:AZ$35),0))</f>
        <v/>
      </c>
      <c r="BA59" s="60" t="str">
        <f>IF($B59="","",IF(COUNTIF(BA$16:BA$21,$B59)&gt;0,COUNTA(BA$7:BA$15),0)+IF(COUNTIF(BA$37:BA$42,$B59)&gt;0,COUNTA(BA$27:BA$35),0))</f>
        <v/>
      </c>
      <c r="BB59" s="60" t="str">
        <f>IF($B59="","",IF(COUNTIF(BB$16:BB$21,$B59)&gt;0,COUNTA(BB$7:BB$15),0)+IF(COUNTIF(BB$37:BB$42,$B59)&gt;0,COUNTA(BB$27:BB$35),0))</f>
        <v/>
      </c>
      <c r="BC59" s="60" t="str">
        <f>IF($B59="","",IF(COUNTIF(BC$16:BC$21,$B59)&gt;0,COUNTA(BC$7:BC$15),0)+IF(COUNTIF(BC$37:BC$42,$B59)&gt;0,COUNTA(BC$27:BC$35),0))</f>
        <v/>
      </c>
      <c r="BD59" s="60" t="str">
        <f>IF($B59="","",IF(COUNTIF(BD$16:BD$21,$B59)&gt;0,COUNTA(BD$7:BD$15),0)+IF(COUNTIF(BD$37:BD$42,$B59)&gt;0,COUNTA(BD$27:BD$35),0))</f>
        <v/>
      </c>
      <c r="BE59" s="60" t="str">
        <f>IF($B59="","",IF(COUNTIF(BE$16:BE$21,$B59)&gt;0,COUNTA(BE$7:BE$15),0)+IF(COUNTIF(BE$37:BE$42,$B59)&gt;0,COUNTA(BE$27:BE$35),0))</f>
        <v/>
      </c>
      <c r="BF59" s="60" t="str">
        <f>IF($B59="","",IF(COUNTIF(BF$16:BF$21,$B59)&gt;0,COUNTA(BF$7:BF$15),0)+IF(COUNTIF(BF$37:BF$42,$B59)&gt;0,COUNTA(BF$27:BF$35),0))</f>
        <v/>
      </c>
      <c r="BG59" s="60" t="str">
        <f>IF($B59="","",IF(COUNTIF(BG$16:BG$21,$B59)&gt;0,COUNTA(BG$7:BG$15),0)+IF(COUNTIF(BG$37:BG$42,$B59)&gt;0,COUNTA(BG$27:BG$35),0))</f>
        <v/>
      </c>
      <c r="BH59" s="60" t="str">
        <f>IF($B59="","",IF(COUNTIF(BH$16:BH$21,$B59)&gt;0,COUNTA(BH$7:BH$15),0)+IF(COUNTIF(BH$37:BH$42,$B59)&gt;0,COUNTA(BH$27:BH$35),0))</f>
        <v/>
      </c>
      <c r="BI59" s="60" t="str">
        <f>IF($B59="","",IF(COUNTIF(BI$16:BI$21,$B59)&gt;0,COUNTA(BI$7:BI$15),0)+IF(COUNTIF(BI$37:BI$42,$B59)&gt;0,COUNTA(BI$27:BI$35),0))</f>
        <v/>
      </c>
      <c r="BJ59" s="60" t="str">
        <f>IF($B59="","",IF(COUNTIF(BJ$16:BJ$21,$B59)&gt;0,COUNTA(BJ$7:BJ$15),0)+IF(COUNTIF(BJ$37:BJ$42,$B59)&gt;0,COUNTA(BJ$27:BJ$35),0))</f>
        <v/>
      </c>
      <c r="BK59" s="60" t="str">
        <f>IF($B59="","",IF(COUNTIF(BK$16:BK$21,$B59)&gt;0,COUNTA(BK$7:BK$15),0)+IF(COUNTIF(BK$37:BK$42,$B59)&gt;0,COUNTA(BK$27:BK$35),0))</f>
        <v/>
      </c>
      <c r="BL59" s="60" t="str">
        <f>IF($B59="","",IF(COUNTIF(BL$16:BL$21,$B59)&gt;0,COUNTA(BL$7:BL$15),0)+IF(COUNTIF(BL$37:BL$42,$B59)&gt;0,COUNTA(BL$27:BL$35),0))</f>
        <v/>
      </c>
      <c r="BM59" s="60" t="str">
        <f>IF($B59="","",IF(COUNTIF(BM$16:BM$21,$B59)&gt;0,COUNTA(BM$7:BM$15),0)+IF(COUNTIF(BM$37:BM$42,$B59)&gt;0,COUNTA(BM$27:BM$35),0))</f>
        <v/>
      </c>
      <c r="BN59" s="60" t="str">
        <f>IF($B59="","",IF(COUNTIF(BN$16:BN$21,$B59)&gt;0,COUNTA(BN$7:BN$15),0)+IF(COUNTIF(BN$37:BN$42,$B59)&gt;0,COUNTA(BN$27:BN$35),0))</f>
        <v/>
      </c>
      <c r="BO59" s="60" t="str">
        <f>IF($B59="","",IF(COUNTIF(BO$16:BO$21,$B59)&gt;0,COUNTA(BO$7:BO$15),0)+IF(COUNTIF(BO$37:BO$42,$B59)&gt;0,COUNTA(BO$27:BO$35),0))</f>
        <v/>
      </c>
      <c r="BP59" s="60" t="str">
        <f>IF($B59="","",IF(COUNTIF(BP$16:BP$21,$B59)&gt;0,COUNTA(BP$7:BP$15),0)+IF(COUNTIF(BP$37:BP$42,$B59)&gt;0,COUNTA(BP$27:BP$35),0))</f>
        <v/>
      </c>
      <c r="BQ59" s="60" t="str">
        <f>IF($B59="","",IF(COUNTIF(BQ$16:BQ$21,$B59)&gt;0,COUNTA(BQ$7:BQ$15),0)+IF(COUNTIF(BQ$37:BQ$42,$B59)&gt;0,COUNTA(BQ$27:BQ$35),0))</f>
        <v/>
      </c>
      <c r="BR59" s="60" t="str">
        <f>IF($B59="","",IF(COUNTIF(BR$16:BR$21,$B59)&gt;0,COUNTA(BR$7:BR$15),0)+IF(COUNTIF(BR$37:BR$42,$B59)&gt;0,COUNTA(BR$27:BR$35),0))</f>
        <v/>
      </c>
      <c r="BS59" s="60" t="str">
        <f>IF($B59="","",IF(COUNTIF(BS$16:BS$21,$B59)&gt;0,COUNTA(BS$7:BS$15),0)+IF(COUNTIF(BS$37:BS$42,$B59)&gt;0,COUNTA(BS$27:BS$35),0))</f>
        <v/>
      </c>
      <c r="BT59" s="60" t="str">
        <f>IF($B59="","",IF(COUNTIF(BT$16:BT$21,$B59)&gt;0,COUNTA(BT$7:BT$15),0)+IF(COUNTIF(BT$37:BT$42,$B59)&gt;0,COUNTA(BT$27:BT$35),0))</f>
        <v/>
      </c>
      <c r="BU59" s="60" t="str">
        <f>IF($B59="","",IF(COUNTIF(BU$16:BU$21,$B59)&gt;0,COUNTA(BU$7:BU$15),0)+IF(COUNTIF(BU$37:BU$42,$B59)&gt;0,COUNTA(BU$27:BU$35),0))</f>
        <v/>
      </c>
      <c r="BV59" s="60" t="str">
        <f>IF($B59="","",IF(COUNTIF(BV$16:BV$21,$B59)&gt;0,COUNTA(BV$7:BV$15),0)+IF(COUNTIF(BV$37:BV$42,$B59)&gt;0,COUNTA(BV$27:BV$35),0))</f>
        <v/>
      </c>
      <c r="BW59" s="60" t="str">
        <f>IF($B59="","",IF(COUNTIF(BW$16:BW$21,$B59)&gt;0,COUNTA(BW$7:BW$15),0)+IF(COUNTIF(BW$37:BW$42,$B59)&gt;0,COUNTA(BW$27:BW$35),0))</f>
        <v/>
      </c>
      <c r="BX59" s="60" t="str">
        <f>IF($B59="","",IF(COUNTIF(BX$16:BX$21,$B59)&gt;0,COUNTA(BX$7:BX$15),0)+IF(COUNTIF(BX$37:BX$42,$B59)&gt;0,COUNTA(BX$27:BX$35),0))</f>
        <v/>
      </c>
      <c r="BY59" s="60" t="str">
        <f>IF($B59="","",IF(COUNTIF(BY$16:BY$21,$B59)&gt;0,COUNTA(BY$7:BY$15),0)+IF(COUNTIF(BY$37:BY$42,$B59)&gt;0,COUNTA(BY$27:BY$35),0))</f>
        <v/>
      </c>
      <c r="BZ59" s="60" t="str">
        <f>IF($B59="","",IF(COUNTIF(BZ$16:BZ$21,$B59)&gt;0,COUNTA(BZ$7:BZ$15),0)+IF(COUNTIF(BZ$37:BZ$42,$B59)&gt;0,COUNTA(BZ$27:BZ$35),0))</f>
        <v/>
      </c>
      <c r="CA59" s="60" t="str">
        <f>IF($B59="","",IF(COUNTIF(CA$16:CA$21,$B59)&gt;0,COUNTA(CA$7:CA$15),0)+IF(COUNTIF(CA$37:CA$42,$B59)&gt;0,COUNTA(CA$27:CA$35),0))</f>
        <v/>
      </c>
      <c r="CB59" s="60" t="str">
        <f>IF($B59="","",IF(COUNTIF(CB$16:CB$21,$B59)&gt;0,COUNTA(CB$7:CB$15),0)+IF(COUNTIF(CB$37:CB$42,$B59)&gt;0,COUNTA(CB$27:CB$35),0))</f>
        <v/>
      </c>
      <c r="CC59" s="60" t="str">
        <f>IF($B59="","",IF(COUNTIF(CC$16:CC$21,$B59)&gt;0,COUNTA(CC$7:CC$15),0)+IF(COUNTIF(CC$37:CC$42,$B59)&gt;0,COUNTA(CC$27:CC$35),0))</f>
        <v/>
      </c>
      <c r="CD59" s="60" t="str">
        <f>IF($B59="","",IF(COUNTIF(CD$16:CD$21,$B59)&gt;0,COUNTA(CD$7:CD$15),0)+IF(COUNTIF(CD$37:CD$42,$B59)&gt;0,COUNTA(CD$27:CD$35),0))</f>
        <v/>
      </c>
      <c r="CE59" s="60" t="str">
        <f>IF($B59="","",IF(COUNTIF(CE$16:CE$21,$B59)&gt;0,COUNTA(CE$7:CE$15),0)+IF(COUNTIF(CE$37:CE$42,$B59)&gt;0,COUNTA(CE$27:CE$35),0))</f>
        <v/>
      </c>
      <c r="CF59" s="60" t="str">
        <f>IF($B59="","",IF(COUNTIF(CF$16:CF$21,$B59)&gt;0,COUNTA(CF$7:CF$15),0)+IF(COUNTIF(CF$37:CF$42,$B59)&gt;0,COUNTA(CF$27:CF$35),0))</f>
        <v/>
      </c>
      <c r="CG59" s="60" t="str">
        <f>IF($B59="","",IF(COUNTIF(CG$16:CG$21,$B59)&gt;0,COUNTA(CG$7:CG$15),0)+IF(COUNTIF(CG$37:CG$42,$B59)&gt;0,COUNTA(CG$27:CG$35),0))</f>
        <v/>
      </c>
      <c r="CH59" s="60" t="str">
        <f>IF($B59="","",IF(COUNTIF(CH$16:CH$21,$B59)&gt;0,COUNTA(CH$7:CH$15),0)+IF(COUNTIF(CH$37:CH$42,$B59)&gt;0,COUNTA(CH$27:CH$35),0))</f>
        <v/>
      </c>
      <c r="CI59" s="60" t="str">
        <f>IF($B59="","",IF(COUNTIF(CI$16:CI$21,$B59)&gt;0,COUNTA(CI$7:CI$15),0)+IF(COUNTIF(CI$37:CI$42,$B59)&gt;0,COUNTA(CI$27:CI$35),0))</f>
        <v/>
      </c>
      <c r="CJ59" s="60" t="str">
        <f>IF($B59="","",IF(COUNTIF(CJ$16:CJ$21,$B59)&gt;0,COUNTA(CJ$7:CJ$15),0)+IF(COUNTIF(CJ$37:CJ$42,$B59)&gt;0,COUNTA(CJ$27:CJ$35),0))</f>
        <v/>
      </c>
      <c r="CK59" s="60" t="str">
        <f>IF($B59="","",IF(COUNTIF(CK$16:CK$21,$B59)&gt;0,COUNTA(CK$7:CK$15),0)+IF(COUNTIF(CK$37:CK$42,$B59)&gt;0,COUNTA(CK$27:CK$35),0))</f>
        <v/>
      </c>
      <c r="CL59" s="60" t="str">
        <f>IF($B59="","",IF(COUNTIF(CL$16:CL$21,$B59)&gt;0,COUNTA(CL$7:CL$15),0)+IF(COUNTIF(CL$37:CL$42,$B59)&gt;0,COUNTA(CL$27:CL$35),0))</f>
        <v/>
      </c>
      <c r="CM59" s="60" t="str">
        <f>IF($B59="","",IF(COUNTIF(CM$16:CM$21,$B59)&gt;0,COUNTA(CM$7:CM$15),0)+IF(COUNTIF(CM$37:CM$42,$B59)&gt;0,COUNTA(CM$27:CM$35),0))</f>
        <v/>
      </c>
      <c r="CN59" s="60" t="str">
        <f>IF($B59="","",IF(COUNTIF(CN$16:CN$21,$B59)&gt;0,COUNTA(CN$7:CN$15),0)+IF(COUNTIF(CN$37:CN$42,$B59)&gt;0,COUNTA(CN$27:CN$35),0))</f>
        <v/>
      </c>
      <c r="CO59" s="60" t="str">
        <f>IF($B59="","",IF(COUNTIF(CO$16:CO$21,$B59)&gt;0,COUNTA(CO$7:CO$15),0)+IF(COUNTIF(CO$37:CO$42,$B59)&gt;0,COUNTA(CO$27:CO$35),0))</f>
        <v/>
      </c>
      <c r="CP59" s="60" t="str">
        <f>IF($B59="","",IF(COUNTIF(CP$16:CP$21,$B59)&gt;0,COUNTA(CP$7:CP$15),0)+IF(COUNTIF(CP$37:CP$42,$B59)&gt;0,COUNTA(CP$27:CP$35),0))</f>
        <v/>
      </c>
      <c r="CQ59" s="60" t="str">
        <f>IF($B59="","",IF(COUNTIF(CQ$16:CQ$21,$B59)&gt;0,COUNTA(CQ$7:CQ$15),0)+IF(COUNTIF(CQ$37:CQ$42,$B59)&gt;0,COUNTA(CQ$27:CQ$35),0))</f>
        <v/>
      </c>
      <c r="CR59" s="60" t="str">
        <f>IF($B59="","",IF(COUNTIF(CR$16:CR$21,$B59)&gt;0,COUNTA(CR$7:CR$15),0)+IF(COUNTIF(CR$37:CR$42,$B59)&gt;0,COUNTA(CR$27:CR$35),0))</f>
        <v/>
      </c>
      <c r="CS59" s="60" t="str">
        <f>IF($B59="","",IF(COUNTIF(CS$16:CS$21,$B59)&gt;0,COUNTA(CS$7:CS$15),0)+IF(COUNTIF(CS$37:CS$42,$B59)&gt;0,COUNTA(CS$27:CS$35),0))</f>
        <v/>
      </c>
      <c r="CT59" s="60" t="str">
        <f>IF($B59="","",IF(COUNTIF(CT$16:CT$21,$B59)&gt;0,COUNTA(CT$7:CT$15),0)+IF(COUNTIF(CT$37:CT$42,$B59)&gt;0,COUNTA(CT$27:CT$35),0))</f>
        <v/>
      </c>
      <c r="CU59" s="60" t="str">
        <f>IF($B59="","",IF(COUNTIF(CU$16:CU$21,$B59)&gt;0,COUNTA(CU$7:CU$15),0)+IF(COUNTIF(CU$37:CU$42,$B59)&gt;0,COUNTA(CU$27:CU$35),0))</f>
        <v/>
      </c>
      <c r="CV59" s="60" t="str">
        <f>IF($B59="","",IF(COUNTIF(CV$16:CV$21,$B59)&gt;0,COUNTA(CV$7:CV$15),0)+IF(COUNTIF(CV$37:CV$42,$B59)&gt;0,COUNTA(CV$27:CV$35),0))</f>
        <v/>
      </c>
      <c r="CW59" s="60" t="str">
        <f>IF($B59="","",IF(COUNTIF(CW$16:CW$21,$B59)&gt;0,COUNTA(CW$7:CW$15),0)+IF(COUNTIF(CW$37:CW$42,$B59)&gt;0,COUNTA(CW$27:CW$35),0))</f>
        <v/>
      </c>
      <c r="CX59" s="60" t="str">
        <f>IF($B59="","",IF(COUNTIF(CX$16:CX$21,$B59)&gt;0,COUNTA(CX$7:CX$15),0)+IF(COUNTIF(CX$37:CX$42,$B59)&gt;0,COUNTA(CX$27:CX$35),0))</f>
        <v/>
      </c>
      <c r="CY59" s="60" t="str">
        <f>IF($B59="","",IF(COUNTIF(CY$16:CY$21,$B59)&gt;0,COUNTA(CY$7:CY$15),0)+IF(COUNTIF(CY$37:CY$42,$B59)&gt;0,COUNTA(CY$27:CY$35),0))</f>
        <v/>
      </c>
      <c r="CZ59" s="60" t="str">
        <f>IF($B59="","",IF(COUNTIF(CZ$16:CZ$21,$B59)&gt;0,COUNTA(CZ$7:CZ$15),0)+IF(COUNTIF(CZ$37:CZ$42,$B59)&gt;0,COUNTA(CZ$27:CZ$35),0))</f>
        <v/>
      </c>
      <c r="DA59" s="60" t="str">
        <f>IF($B59="","",IF(COUNTIF(DA$16:DA$21,$B59)&gt;0,COUNTA(DA$7:DA$15),0)+IF(COUNTIF(DA$37:DA$42,$B59)&gt;0,COUNTA(DA$27:DA$35),0))</f>
        <v/>
      </c>
      <c r="DB59" s="60" t="str">
        <f>IF($B59="","",IF(COUNTIF(DB$16:DB$21,$B59)&gt;0,COUNTA(DB$7:DB$15),0)+IF(COUNTIF(DB$37:DB$42,$B59)&gt;0,COUNTA(DB$27:DB$35),0))</f>
        <v/>
      </c>
      <c r="DC59" s="60" t="str">
        <f>IF($B59="","",IF(COUNTIF(DC$16:DC$21,$B59)&gt;0,COUNTA(DC$7:DC$15),0)+IF(COUNTIF(DC$37:DC$42,$B59)&gt;0,COUNTA(DC$27:DC$35),0))</f>
        <v/>
      </c>
      <c r="DD59" s="60" t="str">
        <f>IF($B59="","",IF(COUNTIF(DD$16:DD$21,$B59)&gt;0,COUNTA(DD$7:DD$15),0)+IF(COUNTIF(DD$37:DD$42,$B59)&gt;0,COUNTA(DD$27:DD$35),0))</f>
        <v/>
      </c>
      <c r="DE59" s="61" t="str">
        <f>IF($B59="","",IF(COUNTIF(DE$16:DE$21,$B59)&gt;0,COUNTA(DE$7:DE$15),0)+IF(COUNTIF(DE$37:DE$42,$B59)&gt;0,COUNTA(DE$27:DE$35),0))</f>
        <v/>
      </c>
    </row>
    <row r="60" spans="2:109" ht="17" thickBot="1" x14ac:dyDescent="0.25">
      <c r="C60" s="87">
        <f>SUM(C45:C59)</f>
        <v>725</v>
      </c>
      <c r="D60" s="88">
        <f>SUM(D45:D59)</f>
        <v>0</v>
      </c>
      <c r="E60" s="139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</row>
    <row r="61" spans="2:109" x14ac:dyDescent="0.2">
      <c r="E61" s="139"/>
      <c r="F61" s="140"/>
      <c r="G61" s="141"/>
      <c r="H61" s="142"/>
      <c r="I61" s="142"/>
      <c r="J61" s="142"/>
      <c r="K61" s="142"/>
      <c r="L61" s="142"/>
      <c r="M61" s="142"/>
      <c r="N61" s="142"/>
      <c r="O61" s="142"/>
      <c r="P61" s="140"/>
    </row>
  </sheetData>
  <mergeCells count="114">
    <mergeCell ref="B39:D39"/>
    <mergeCell ref="B40:D40"/>
    <mergeCell ref="B41:D41"/>
    <mergeCell ref="B42:D42"/>
    <mergeCell ref="B31:D31"/>
    <mergeCell ref="B34:D34"/>
    <mergeCell ref="B35:D35"/>
    <mergeCell ref="B36:D36"/>
    <mergeCell ref="B37:D37"/>
    <mergeCell ref="B38:D38"/>
    <mergeCell ref="CQ24:CU24"/>
    <mergeCell ref="CV24:CZ24"/>
    <mergeCell ref="DA24:DE24"/>
    <mergeCell ref="B27:D27"/>
    <mergeCell ref="B28:D28"/>
    <mergeCell ref="B30:D30"/>
    <mergeCell ref="BM24:BQ24"/>
    <mergeCell ref="BR24:BV24"/>
    <mergeCell ref="BW24:CA24"/>
    <mergeCell ref="CB24:CF24"/>
    <mergeCell ref="CG24:CK24"/>
    <mergeCell ref="CL24:CP24"/>
    <mergeCell ref="AI24:AM24"/>
    <mergeCell ref="AN24:AR24"/>
    <mergeCell ref="AS24:AW24"/>
    <mergeCell ref="AX24:BB24"/>
    <mergeCell ref="BC24:BG24"/>
    <mergeCell ref="BH24:BL24"/>
    <mergeCell ref="CQ23:CU23"/>
    <mergeCell ref="CV23:CZ23"/>
    <mergeCell ref="DA23:DE23"/>
    <mergeCell ref="B24:D26"/>
    <mergeCell ref="E24:I24"/>
    <mergeCell ref="J24:N24"/>
    <mergeCell ref="O24:S24"/>
    <mergeCell ref="T24:X24"/>
    <mergeCell ref="Y24:AC24"/>
    <mergeCell ref="AD24:AH24"/>
    <mergeCell ref="BM23:BQ23"/>
    <mergeCell ref="BR23:BV23"/>
    <mergeCell ref="BW23:CA23"/>
    <mergeCell ref="CB23:CF23"/>
    <mergeCell ref="CG23:CK23"/>
    <mergeCell ref="CL23:CP23"/>
    <mergeCell ref="AI23:AM23"/>
    <mergeCell ref="AN23:AR23"/>
    <mergeCell ref="AS23:AW23"/>
    <mergeCell ref="AX23:BB23"/>
    <mergeCell ref="BC23:BG23"/>
    <mergeCell ref="BH23:BL23"/>
    <mergeCell ref="E23:I23"/>
    <mergeCell ref="J23:N23"/>
    <mergeCell ref="O23:S23"/>
    <mergeCell ref="T23:X23"/>
    <mergeCell ref="Y23:AC23"/>
    <mergeCell ref="AD23:AH23"/>
    <mergeCell ref="B17:D17"/>
    <mergeCell ref="B18:D18"/>
    <mergeCell ref="B19:D19"/>
    <mergeCell ref="B20:D20"/>
    <mergeCell ref="B21:D21"/>
    <mergeCell ref="B23:D23"/>
    <mergeCell ref="B9:D9"/>
    <mergeCell ref="B10:D10"/>
    <mergeCell ref="B13:D13"/>
    <mergeCell ref="B14:D14"/>
    <mergeCell ref="B15:D15"/>
    <mergeCell ref="B16:D16"/>
    <mergeCell ref="CL3:CP3"/>
    <mergeCell ref="CQ3:CU3"/>
    <mergeCell ref="CV3:CZ3"/>
    <mergeCell ref="DA3:DE3"/>
    <mergeCell ref="B6:D6"/>
    <mergeCell ref="B7:D7"/>
    <mergeCell ref="BH3:BL3"/>
    <mergeCell ref="BM3:BQ3"/>
    <mergeCell ref="BR3:BV3"/>
    <mergeCell ref="BW3:CA3"/>
    <mergeCell ref="CB3:CF3"/>
    <mergeCell ref="CG3:CK3"/>
    <mergeCell ref="AD3:AH3"/>
    <mergeCell ref="AI3:AM3"/>
    <mergeCell ref="AN3:AR3"/>
    <mergeCell ref="AS3:AW3"/>
    <mergeCell ref="AX3:BB3"/>
    <mergeCell ref="BC3:BG3"/>
    <mergeCell ref="CL2:CP2"/>
    <mergeCell ref="CQ2:CU2"/>
    <mergeCell ref="CV2:CZ2"/>
    <mergeCell ref="DA2:DE2"/>
    <mergeCell ref="B3:D5"/>
    <mergeCell ref="E3:I3"/>
    <mergeCell ref="J3:N3"/>
    <mergeCell ref="O3:S3"/>
    <mergeCell ref="T3:X3"/>
    <mergeCell ref="Y3:AC3"/>
    <mergeCell ref="BH2:BL2"/>
    <mergeCell ref="BM2:BQ2"/>
    <mergeCell ref="BR2:BV2"/>
    <mergeCell ref="BW2:CA2"/>
    <mergeCell ref="CB2:CF2"/>
    <mergeCell ref="CG2:CK2"/>
    <mergeCell ref="AD2:AH2"/>
    <mergeCell ref="AI2:AM2"/>
    <mergeCell ref="AN2:AR2"/>
    <mergeCell ref="AS2:AW2"/>
    <mergeCell ref="AX2:BB2"/>
    <mergeCell ref="BC2:BG2"/>
    <mergeCell ref="B2:D2"/>
    <mergeCell ref="E2:I2"/>
    <mergeCell ref="J2:N2"/>
    <mergeCell ref="O2:S2"/>
    <mergeCell ref="T2:X2"/>
    <mergeCell ref="Y2:AC2"/>
  </mergeCells>
  <conditionalFormatting sqref="E6:BV6">
    <cfRule type="containsText" dxfId="535" priority="179" operator="containsText" text="BLOCKED">
      <formula>NOT(ISERROR(SEARCH("BLOCKED",E6)))</formula>
    </cfRule>
  </conditionalFormatting>
  <conditionalFormatting sqref="BX6:CO6 CQ6:DE6">
    <cfRule type="containsText" dxfId="534" priority="180" operator="containsText" text="BLOCKED">
      <formula>NOT(ISERROR(SEARCH("BLOCKED",BX6)))</formula>
    </cfRule>
  </conditionalFormatting>
  <conditionalFormatting sqref="F11:AJ11 AL11:BD11 BF11:BJ11 BM11:DE11">
    <cfRule type="containsText" dxfId="531" priority="167" operator="containsText" text="BLOCKED">
      <formula>NOT(ISERROR(SEARCH("BLOCKED",F11)))</formula>
    </cfRule>
  </conditionalFormatting>
  <conditionalFormatting sqref="F11:AJ11 AL11:BD11 BF11:BJ11 BM11:DE11">
    <cfRule type="containsText" dxfId="530" priority="168" operator="containsText" text="Eksamen">
      <formula>NOT(ISERROR(SEARCH("Eksamen",F11)))</formula>
    </cfRule>
    <cfRule type="containsText" dxfId="529" priority="169" operator="containsText" text="Øvelser">
      <formula>NOT(ISERROR(SEARCH("Øvelser",F11)))</formula>
    </cfRule>
    <cfRule type="containsText" dxfId="528" priority="170" operator="containsText" text="FORET_ARK">
      <formula>NOT(ISERROR(SEARCH("FORET_ARK",F11)))</formula>
    </cfRule>
    <cfRule type="containsText" dxfId="527" priority="171" operator="containsText" text="DATA_ARK">
      <formula>NOT(ISERROR(SEARCH("DATA_ARK",F11)))</formula>
    </cfRule>
    <cfRule type="containsText" dxfId="526" priority="172" operator="containsText" text="DRIFT ANALYSE">
      <formula>NOT(ISERROR(SEARCH("DRIFT ANALYSE",F11)))</formula>
    </cfRule>
    <cfRule type="containsText" dxfId="525" priority="173" operator="containsText" text="PROJ_STYR">
      <formula>NOT(ISERROR(SEARCH("PROJ_STYR",F11)))</formula>
    </cfRule>
    <cfRule type="containsText" dxfId="524" priority="174" operator="containsText" text="Coaching">
      <formula>NOT(ISERROR(SEARCH("Coaching",F11)))</formula>
    </cfRule>
    <cfRule type="containsText" dxfId="523" priority="175" operator="containsText" text="CasePræs">
      <formula>NOT(ISERROR(SEARCH("CasePræs",F11)))</formula>
    </cfRule>
    <cfRule type="containsText" dxfId="522" priority="176" operator="containsText" text="Feedback">
      <formula>NOT(ISERROR(SEARCH("Feedback",F11)))</formula>
    </cfRule>
  </conditionalFormatting>
  <conditionalFormatting sqref="F11:AJ11 AL11:BD11 BF11:BJ11 BM11:DE11">
    <cfRule type="expression" dxfId="521" priority="166">
      <formula>INDIRECT("R5C" &amp; COLUMN(),FALSE)="BLOCKED"</formula>
    </cfRule>
  </conditionalFormatting>
  <conditionalFormatting sqref="E11">
    <cfRule type="containsText" dxfId="399" priority="35" operator="containsText" text="BLOCKED">
      <formula>NOT(ISERROR(SEARCH("BLOCKED",E11)))</formula>
    </cfRule>
  </conditionalFormatting>
  <conditionalFormatting sqref="E11">
    <cfRule type="containsText" dxfId="398" priority="36" operator="containsText" text="Eksamen">
      <formula>NOT(ISERROR(SEARCH("Eksamen",E11)))</formula>
    </cfRule>
    <cfRule type="containsText" dxfId="397" priority="37" operator="containsText" text="Øvelser">
      <formula>NOT(ISERROR(SEARCH("Øvelser",E11)))</formula>
    </cfRule>
    <cfRule type="containsText" dxfId="396" priority="38" operator="containsText" text="FORET_ARK">
      <formula>NOT(ISERROR(SEARCH("FORET_ARK",E11)))</formula>
    </cfRule>
    <cfRule type="containsText" dxfId="395" priority="39" operator="containsText" text="DATA_ARK">
      <formula>NOT(ISERROR(SEARCH("DATA_ARK",E11)))</formula>
    </cfRule>
    <cfRule type="containsText" dxfId="394" priority="40" operator="containsText" text="DRIFT ANALYSE">
      <formula>NOT(ISERROR(SEARCH("DRIFT ANALYSE",E11)))</formula>
    </cfRule>
    <cfRule type="containsText" dxfId="393" priority="41" operator="containsText" text="PROJ_STYR">
      <formula>NOT(ISERROR(SEARCH("PROJ_STYR",E11)))</formula>
    </cfRule>
    <cfRule type="containsText" dxfId="392" priority="42" operator="containsText" text="Coaching">
      <formula>NOT(ISERROR(SEARCH("Coaching",E11)))</formula>
    </cfRule>
    <cfRule type="containsText" dxfId="391" priority="43" operator="containsText" text="CasePræs">
      <formula>NOT(ISERROR(SEARCH("CasePræs",E11)))</formula>
    </cfRule>
    <cfRule type="containsText" dxfId="390" priority="44" operator="containsText" text="Feedback">
      <formula>NOT(ISERROR(SEARCH("Feedback",E11)))</formula>
    </cfRule>
  </conditionalFormatting>
  <conditionalFormatting sqref="E11">
    <cfRule type="expression" dxfId="389" priority="34">
      <formula>INDIRECT("R5C" &amp; COLUMN(),FALSE)="BLOCKED"</formula>
    </cfRule>
  </conditionalFormatting>
  <conditionalFormatting sqref="AK11">
    <cfRule type="containsText" dxfId="388" priority="24" operator="containsText" text="BLOCKED">
      <formula>NOT(ISERROR(SEARCH("BLOCKED",AK11)))</formula>
    </cfRule>
  </conditionalFormatting>
  <conditionalFormatting sqref="AK11">
    <cfRule type="containsText" dxfId="387" priority="25" operator="containsText" text="Eksamen">
      <formula>NOT(ISERROR(SEARCH("Eksamen",AK11)))</formula>
    </cfRule>
    <cfRule type="containsText" dxfId="386" priority="26" operator="containsText" text="Øvelser">
      <formula>NOT(ISERROR(SEARCH("Øvelser",AK11)))</formula>
    </cfRule>
    <cfRule type="containsText" dxfId="385" priority="27" operator="containsText" text="FORET_ARK">
      <formula>NOT(ISERROR(SEARCH("FORET_ARK",AK11)))</formula>
    </cfRule>
    <cfRule type="containsText" dxfId="384" priority="28" operator="containsText" text="DATA_ARK">
      <formula>NOT(ISERROR(SEARCH("DATA_ARK",AK11)))</formula>
    </cfRule>
    <cfRule type="containsText" dxfId="383" priority="29" operator="containsText" text="DRIFT ANALYSE">
      <formula>NOT(ISERROR(SEARCH("DRIFT ANALYSE",AK11)))</formula>
    </cfRule>
    <cfRule type="containsText" dxfId="382" priority="30" operator="containsText" text="PROJ_STYR">
      <formula>NOT(ISERROR(SEARCH("PROJ_STYR",AK11)))</formula>
    </cfRule>
    <cfRule type="containsText" dxfId="381" priority="31" operator="containsText" text="Coaching">
      <formula>NOT(ISERROR(SEARCH("Coaching",AK11)))</formula>
    </cfRule>
    <cfRule type="containsText" dxfId="380" priority="32" operator="containsText" text="CasePræs">
      <formula>NOT(ISERROR(SEARCH("CasePræs",AK11)))</formula>
    </cfRule>
    <cfRule type="containsText" dxfId="379" priority="33" operator="containsText" text="Feedback">
      <formula>NOT(ISERROR(SEARCH("Feedback",AK11)))</formula>
    </cfRule>
  </conditionalFormatting>
  <conditionalFormatting sqref="AK11">
    <cfRule type="expression" dxfId="378" priority="23">
      <formula>INDIRECT("R5C" &amp; COLUMN(),FALSE)="BLOCKED"</formula>
    </cfRule>
  </conditionalFormatting>
  <conditionalFormatting sqref="BE11">
    <cfRule type="containsText" dxfId="377" priority="13" operator="containsText" text="BLOCKED">
      <formula>NOT(ISERROR(SEARCH("BLOCKED",BE11)))</formula>
    </cfRule>
  </conditionalFormatting>
  <conditionalFormatting sqref="BE11">
    <cfRule type="containsText" dxfId="376" priority="14" operator="containsText" text="Eksamen">
      <formula>NOT(ISERROR(SEARCH("Eksamen",BE11)))</formula>
    </cfRule>
    <cfRule type="containsText" dxfId="375" priority="15" operator="containsText" text="Øvelser">
      <formula>NOT(ISERROR(SEARCH("Øvelser",BE11)))</formula>
    </cfRule>
    <cfRule type="containsText" dxfId="374" priority="16" operator="containsText" text="FORET_ARK">
      <formula>NOT(ISERROR(SEARCH("FORET_ARK",BE11)))</formula>
    </cfRule>
    <cfRule type="containsText" dxfId="373" priority="17" operator="containsText" text="DATA_ARK">
      <formula>NOT(ISERROR(SEARCH("DATA_ARK",BE11)))</formula>
    </cfRule>
    <cfRule type="containsText" dxfId="372" priority="18" operator="containsText" text="DRIFT ANALYSE">
      <formula>NOT(ISERROR(SEARCH("DRIFT ANALYSE",BE11)))</formula>
    </cfRule>
    <cfRule type="containsText" dxfId="371" priority="19" operator="containsText" text="PROJ_STYR">
      <formula>NOT(ISERROR(SEARCH("PROJ_STYR",BE11)))</formula>
    </cfRule>
    <cfRule type="containsText" dxfId="370" priority="20" operator="containsText" text="Coaching">
      <formula>NOT(ISERROR(SEARCH("Coaching",BE11)))</formula>
    </cfRule>
    <cfRule type="containsText" dxfId="369" priority="21" operator="containsText" text="CasePræs">
      <formula>NOT(ISERROR(SEARCH("CasePræs",BE11)))</formula>
    </cfRule>
    <cfRule type="containsText" dxfId="368" priority="22" operator="containsText" text="Feedback">
      <formula>NOT(ISERROR(SEARCH("Feedback",BE11)))</formula>
    </cfRule>
  </conditionalFormatting>
  <conditionalFormatting sqref="BE11">
    <cfRule type="expression" dxfId="367" priority="12">
      <formula>INDIRECT("R5C" &amp; COLUMN(),FALSE)="BLOCKED"</formula>
    </cfRule>
  </conditionalFormatting>
  <conditionalFormatting sqref="BK11:BL11">
    <cfRule type="containsText" dxfId="366" priority="2" operator="containsText" text="BLOCKED">
      <formula>NOT(ISERROR(SEARCH("BLOCKED",BK11)))</formula>
    </cfRule>
  </conditionalFormatting>
  <conditionalFormatting sqref="BK11:BL11">
    <cfRule type="containsText" dxfId="365" priority="3" operator="containsText" text="Eksamen">
      <formula>NOT(ISERROR(SEARCH("Eksamen",BK11)))</formula>
    </cfRule>
    <cfRule type="containsText" dxfId="364" priority="4" operator="containsText" text="Øvelser">
      <formula>NOT(ISERROR(SEARCH("Øvelser",BK11)))</formula>
    </cfRule>
    <cfRule type="containsText" dxfId="363" priority="5" operator="containsText" text="FORET_ARK">
      <formula>NOT(ISERROR(SEARCH("FORET_ARK",BK11)))</formula>
    </cfRule>
    <cfRule type="containsText" dxfId="362" priority="6" operator="containsText" text="DATA_ARK">
      <formula>NOT(ISERROR(SEARCH("DATA_ARK",BK11)))</formula>
    </cfRule>
    <cfRule type="containsText" dxfId="361" priority="7" operator="containsText" text="DRIFT ANALYSE">
      <formula>NOT(ISERROR(SEARCH("DRIFT ANALYSE",BK11)))</formula>
    </cfRule>
    <cfRule type="containsText" dxfId="360" priority="8" operator="containsText" text="PROJ_STYR">
      <formula>NOT(ISERROR(SEARCH("PROJ_STYR",BK11)))</formula>
    </cfRule>
    <cfRule type="containsText" dxfId="359" priority="9" operator="containsText" text="Coaching">
      <formula>NOT(ISERROR(SEARCH("Coaching",BK11)))</formula>
    </cfRule>
    <cfRule type="containsText" dxfId="358" priority="10" operator="containsText" text="CasePræs">
      <formula>NOT(ISERROR(SEARCH("CasePræs",BK11)))</formula>
    </cfRule>
    <cfRule type="containsText" dxfId="357" priority="11" operator="containsText" text="Feedback">
      <formula>NOT(ISERROR(SEARCH("Feedback",BK11)))</formula>
    </cfRule>
  </conditionalFormatting>
  <conditionalFormatting sqref="BK11:BL11">
    <cfRule type="expression" dxfId="356" priority="1">
      <formula>INDIRECT("R5C" &amp; COLUMN(),FALSE)="BLOCKED"</formula>
    </cfRule>
  </conditionalFormatting>
  <conditionalFormatting sqref="E7:DE10 E12:DE15">
    <cfRule type="containsText" dxfId="309" priority="181" stopIfTrue="1" operator="containsText" text="RESIL">
      <formula>NOT(ISERROR(SEARCH("RESIL",E7)))</formula>
    </cfRule>
  </conditionalFormatting>
  <conditionalFormatting sqref="E7:DE10 E12:DE15">
    <cfRule type="containsText" dxfId="302" priority="182" stopIfTrue="1" operator="containsText" text="DIGTRA">
      <formula>NOT(ISERROR(SEARCH("DIGTRA",E7)))</formula>
    </cfRule>
    <cfRule type="containsText" dxfId="301" priority="189" stopIfTrue="1" operator="containsText" text="INTRO">
      <formula>NOT(ISERROR(SEARCH("INTRO",E7)))</formula>
    </cfRule>
  </conditionalFormatting>
  <conditionalFormatting sqref="E7:DE10 E12:DE15">
    <cfRule type="containsText" dxfId="308" priority="183" stopIfTrue="1" operator="containsText" text="LØSNING">
      <formula>NOT(ISERROR(SEARCH("LØSNING",E7)))</formula>
    </cfRule>
  </conditionalFormatting>
  <conditionalFormatting sqref="E7:DE10 E12:DE15">
    <cfRule type="containsText" dxfId="307" priority="184" stopIfTrue="1" operator="containsText" text="COACH">
      <formula>NOT(ISERROR(SEARCH("COACH",E7)))</formula>
    </cfRule>
  </conditionalFormatting>
  <conditionalFormatting sqref="E7:DE10 E12:DE15">
    <cfRule type="containsText" dxfId="306" priority="185" stopIfTrue="1" operator="containsText" text="CASEPRÆS">
      <formula>NOT(ISERROR(SEARCH("CASEPRÆS",E7)))</formula>
    </cfRule>
  </conditionalFormatting>
  <conditionalFormatting sqref="E7:DE10 E12:DE15">
    <cfRule type="containsText" dxfId="305" priority="186" stopIfTrue="1" operator="containsText" text="FEEDBACK">
      <formula>NOT(ISERROR(SEARCH("FEEDBACK",E7)))</formula>
    </cfRule>
  </conditionalFormatting>
  <conditionalFormatting sqref="E7:DE10 E12:DE15">
    <cfRule type="containsText" dxfId="304" priority="187" stopIfTrue="1" operator="containsText" text="ØVELSER">
      <formula>NOT(ISERROR(SEARCH("ØVELSER",E7)))</formula>
    </cfRule>
  </conditionalFormatting>
  <conditionalFormatting sqref="E7:DE10 E12:DE15">
    <cfRule type="containsText" dxfId="303" priority="188" stopIfTrue="1" operator="containsText" text="EKSAM">
      <formula>NOT(ISERROR(SEARCH("EKSAM",E7)))</formula>
    </cfRule>
  </conditionalFormatting>
  <conditionalFormatting sqref="E27:DE35">
    <cfRule type="containsText" dxfId="300" priority="190" stopIfTrue="1" operator="containsText" text="RESIL">
      <formula>NOT(ISERROR(SEARCH("RESIL",E27)))</formula>
    </cfRule>
  </conditionalFormatting>
  <conditionalFormatting sqref="E27:DE35">
    <cfRule type="containsText" dxfId="299" priority="191" stopIfTrue="1" operator="containsText" text="DIGTRA">
      <formula>NOT(ISERROR(SEARCH("DIGTRA",E27)))</formula>
    </cfRule>
  </conditionalFormatting>
  <conditionalFormatting sqref="E27:DE35">
    <cfRule type="containsText" dxfId="298" priority="192" stopIfTrue="1" operator="containsText" text="LØSNING">
      <formula>NOT(ISERROR(SEARCH("LØSNING",E27)))</formula>
    </cfRule>
  </conditionalFormatting>
  <conditionalFormatting sqref="E27:DE35">
    <cfRule type="containsText" dxfId="297" priority="193" stopIfTrue="1" operator="containsText" text="COACH">
      <formula>NOT(ISERROR(SEARCH("COACH",E27)))</formula>
    </cfRule>
  </conditionalFormatting>
  <conditionalFormatting sqref="E27:DE35">
    <cfRule type="containsText" dxfId="296" priority="194" stopIfTrue="1" operator="containsText" text="CASEPRÆS">
      <formula>NOT(ISERROR(SEARCH("CASEPRÆS",E27)))</formula>
    </cfRule>
  </conditionalFormatting>
  <conditionalFormatting sqref="E27:DE35">
    <cfRule type="containsText" dxfId="295" priority="195" stopIfTrue="1" operator="containsText" text="FEEDBACK">
      <formula>NOT(ISERROR(SEARCH("FEEDBACK",E27)))</formula>
    </cfRule>
  </conditionalFormatting>
  <conditionalFormatting sqref="E27:DE35">
    <cfRule type="containsText" dxfId="294" priority="196" stopIfTrue="1" operator="containsText" text="ØVELSER">
      <formula>NOT(ISERROR(SEARCH("ØVELSER",E27)))</formula>
    </cfRule>
  </conditionalFormatting>
  <conditionalFormatting sqref="E27:DE35">
    <cfRule type="containsText" dxfId="293" priority="197" stopIfTrue="1" operator="containsText" text="EKSAM">
      <formula>NOT(ISERROR(SEARCH("EKSAM",E27)))</formula>
    </cfRule>
  </conditionalFormatting>
  <conditionalFormatting sqref="E27:DE35">
    <cfRule type="containsText" dxfId="292" priority="198" stopIfTrue="1" operator="containsText" text="INTRO">
      <formula>NOT(ISERROR(SEARCH("INTRO",E27)))</formula>
    </cfRule>
  </conditionalFormatting>
  <conditionalFormatting sqref="D45:D59">
    <cfRule type="expression" dxfId="291" priority="199" stopIfTrue="1">
      <formula>ABS($D45-$C45)&lt;=10</formula>
    </cfRule>
  </conditionalFormatting>
  <conditionalFormatting sqref="D45:D59">
    <cfRule type="expression" dxfId="290" priority="200" stopIfTrue="1">
      <formula>ABS($D45-$C45)&gt;10</formula>
    </cfRule>
  </conditionalFormatting>
  <dataValidations count="1">
    <dataValidation type="list" allowBlank="1" showInputMessage="1" showErrorMessage="1" sqref="E16:DE21 E37:DE42" xr:uid="{A63DEBCD-36CB-8542-93D1-289CCAAC4061}">
      <formula1>$B$45:$B$59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ACD6A40-D027-1F43-8A39-713F7D2E460F}">
          <x14:formula1>
            <xm:f>Data!$I$3:$I$40</xm:f>
          </x14:formula1>
          <xm:sqref>E7:DE15 E27:DE35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c9ff8844-3e68-48b8-b004-5e00575d9390" xsi:nil="true"/>
    <lcf76f155ced4ddcb4097134ff3c332f xmlns="9a8269ef-f37d-4c82-b725-1323fa9f24bf">
      <Terms xmlns="http://schemas.microsoft.com/office/infopath/2007/PartnerControls"/>
    </lcf76f155ced4ddcb4097134ff3c332f>
    <Kategori xmlns="9a8269ef-f37d-4c82-b725-1323fa9f24bf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085ED6083DA4B7468EA58BA871084878" ma:contentTypeVersion="16" ma:contentTypeDescription="Opret et nyt dokument." ma:contentTypeScope="" ma:versionID="7d0b0987870d934946227beb5f2e2bde">
  <xsd:schema xmlns:xsd="http://www.w3.org/2001/XMLSchema" xmlns:xs="http://www.w3.org/2001/XMLSchema" xmlns:p="http://schemas.microsoft.com/office/2006/metadata/properties" xmlns:ns2="9a8269ef-f37d-4c82-b725-1323fa9f24bf" xmlns:ns3="c9ff8844-3e68-48b8-b004-5e00575d9390" targetNamespace="http://schemas.microsoft.com/office/2006/metadata/properties" ma:root="true" ma:fieldsID="e96696e6c77c12b09177b71967f3487c" ns2:_="" ns3:_="">
    <xsd:import namespace="9a8269ef-f37d-4c82-b725-1323fa9f24bf"/>
    <xsd:import namespace="c9ff8844-3e68-48b8-b004-5e00575d9390"/>
    <xsd:element name="properties">
      <xsd:complexType>
        <xsd:sequence>
          <xsd:element name="documentManagement">
            <xsd:complexType>
              <xsd:all>
                <xsd:element ref="ns2:Kategori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8269ef-f37d-4c82-b725-1323fa9f24bf" elementFormDefault="qualified">
    <xsd:import namespace="http://schemas.microsoft.com/office/2006/documentManagement/types"/>
    <xsd:import namespace="http://schemas.microsoft.com/office/infopath/2007/PartnerControls"/>
    <xsd:element name="Kategori" ma:index="5" nillable="true" ma:displayName="Kategori" ma:format="Dropdown" ma:internalName="Kategori" ma:readOnly="false">
      <xsd:simpleType>
        <xsd:restriction base="dms:Choice">
          <xsd:enumeration value="Semester"/>
          <xsd:enumeration value="Møder"/>
          <xsd:enumeration value="Studieordning"/>
          <xsd:enumeration value="Team"/>
        </xsd:restriction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7" nillable="true" ma:displayName="Location" ma:description="" ma:indexed="true" ma:internalName="MediaServiceLocation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Billedmærker" ma:readOnly="false" ma:fieldId="{5cf76f15-5ced-4ddc-b409-7134ff3c332f}" ma:taxonomyMulti="true" ma:sspId="61593edc-fe69-4ff2-86d1-67b90c929ed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9ff8844-3e68-48b8-b004-5e00575d9390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50ebed-11a8-4649-9ddf-8564773a0ba7}" ma:internalName="TaxCatchAll" ma:showField="CatchAllData" ma:web="c9ff8844-3e68-48b8-b004-5e00575d939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6" ma:displayName="Indholdstype"/>
        <xsd:element ref="dc:title" minOccurs="0" maxOccurs="1" ma:index="3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B3AF90-6B7A-4653-81AD-B4827107C74C}">
  <ds:schemaRefs>
    <ds:schemaRef ds:uri="http://schemas.microsoft.com/office/infopath/2007/PartnerControls"/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9a8269ef-f37d-4c82-b725-1323fa9f24bf"/>
    <ds:schemaRef ds:uri="http://www.w3.org/XML/1998/namespace"/>
    <ds:schemaRef ds:uri="c9ff8844-3e68-48b8-b004-5e00575d9390"/>
    <ds:schemaRef ds:uri="http://schemas.microsoft.com/office/2006/documentManagement/types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34D5E000-5F31-4217-8A74-929310EFCD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a8269ef-f37d-4c82-b725-1323fa9f24bf"/>
    <ds:schemaRef ds:uri="c9ff8844-3e68-48b8-b004-5e00575d939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8DAE889A-E4B5-48FF-BE13-9BAB0EB8F57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2. Sem (test)</vt:lpstr>
      <vt:lpstr>Ressourcer</vt:lpstr>
      <vt:lpstr>Data</vt:lpstr>
      <vt:lpstr>Lokaleplan</vt:lpstr>
      <vt:lpstr>TemplateLokale</vt:lpstr>
      <vt:lpstr>TemplateBig</vt:lpstr>
      <vt:lpstr>TemplateSmall</vt:lpstr>
      <vt:lpstr>TimeEdit</vt:lpstr>
      <vt:lpstr>Overblik</vt:lpstr>
      <vt:lpstr>Dobbeltbooking</vt:lpstr>
      <vt:lpstr>1. Sem</vt:lpstr>
      <vt:lpstr>2. Sem</vt:lpstr>
      <vt:lpstr>3. Sem</vt:lpstr>
      <vt:lpstr>4. Sem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Bård Blytt Sandstad</dc:creator>
  <cp:keywords/>
  <dc:description/>
  <cp:lastModifiedBy>Guillaume Nadon</cp:lastModifiedBy>
  <cp:revision/>
  <dcterms:created xsi:type="dcterms:W3CDTF">2025-12-02T14:06:53Z</dcterms:created>
  <dcterms:modified xsi:type="dcterms:W3CDTF">2026-10-07T09:18:25Z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0x010100085ED6083DA4B7468EA58BA871084878</vt:lpwstr>
  </property>
  <property fmtid="{D5CDD505-2E9C-101B-9397-08002B2CF9AE}" pid="3" name="MediaServiceImageTags">
    <vt:lpwstr/>
  </property>
  <property fmtid="{D5CDD505-2E9C-101B-9397-08002B2CF9AE}" pid="4" name="MSIP_Label_defa4170-0d19-0005-0004-bc88714345d2_Enabled">
    <vt:lpwstr>true</vt:lpwstr>
  </property>
  <property fmtid="{D5CDD505-2E9C-101B-9397-08002B2CF9AE}" pid="5" name="MSIP_Label_defa4170-0d19-0005-0004-bc88714345d2_SetDate">
    <vt:lpwstr>2026-06-25T08:39:29Z</vt:lpwstr>
  </property>
  <property fmtid="{D5CDD505-2E9C-101B-9397-08002B2CF9AE}" pid="6" name="MSIP_Label_defa4170-0d19-0005-0004-bc88714345d2_Method">
    <vt:lpwstr>Privileged</vt:lpwstr>
  </property>
  <property fmtid="{D5CDD505-2E9C-101B-9397-08002B2CF9AE}" pid="7" name="MSIP_Label_defa4170-0d19-0005-0004-bc88714345d2_Name">
    <vt:lpwstr>defa4170-0d19-0005-0004-bc88714345d2</vt:lpwstr>
  </property>
  <property fmtid="{D5CDD505-2E9C-101B-9397-08002B2CF9AE}" pid="8" name="MSIP_Label_defa4170-0d19-0005-0004-bc88714345d2_SiteId">
    <vt:lpwstr>9aafd452-b819-40a3-a400-f94ff33b0125</vt:lpwstr>
  </property>
  <property fmtid="{D5CDD505-2E9C-101B-9397-08002B2CF9AE}" pid="9" name="MSIP_Label_defa4170-0d19-0005-0004-bc88714345d2_ActionId">
    <vt:lpwstr>a90a43b2-b68b-477c-a3b4-276958af4003</vt:lpwstr>
  </property>
  <property fmtid="{D5CDD505-2E9C-101B-9397-08002B2CF9AE}" pid="10" name="MSIP_Label_defa4170-0d19-0005-0004-bc88714345d2_ContentBits">
    <vt:lpwstr>0</vt:lpwstr>
  </property>
  <property fmtid="{D5CDD505-2E9C-101B-9397-08002B2CF9AE}" pid="11" name="MSIP_Label_defa4170-0d19-0005-0004-bc88714345d2_Tag">
    <vt:lpwstr>50, 0, 1, 1</vt:lpwstr>
  </property>
</Properties>
</file>